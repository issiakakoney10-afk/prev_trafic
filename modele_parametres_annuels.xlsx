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5940" tabRatio="763" firstSheet="3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EFFICIENTS_SAISONNIERS_2026" sheetId="2" state="visible" r:id="rId2"/>
    <sheet xmlns:r="http://schemas.openxmlformats.org/officeDocument/2006/relationships" name="Stats exo 2025brute" sheetId="3" state="visible" r:id="rId3"/>
    <sheet xmlns:r="http://schemas.openxmlformats.org/officeDocument/2006/relationships" name="TC2 - Engagement contractuel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__1__123Graph_AGRAPHIQUE_1A" hidden="1">#REF!</definedName>
    <definedName name="____2__123Graph_BGRAPHIQUE_1A" hidden="1">#REF!</definedName>
    <definedName name="____3__123Graph_CGRAPHIQUE_1A" hidden="1">#REF!</definedName>
    <definedName name="____4__123Graph_DGRAPHIQUE_1A" hidden="1">#REF!</definedName>
    <definedName name="____5__123Graph_EGRAPHIQUE_1A" hidden="1">#REF!</definedName>
    <definedName name="____6__123Graph_FGRAPHIQUE_1A" hidden="1">#REF!</definedName>
    <definedName name="____7__123Graph_XGRAPHIQUE_1A" hidden="1">#REF!</definedName>
    <definedName name="___1__123Graph_AGRAPHIQUE_1A" hidden="1">#REF!</definedName>
    <definedName name="___10__123Graph_EGRAPHIQUE_1A" hidden="1">#REF!</definedName>
    <definedName name="___12__123Graph_FGRAPHIQUE_1A" hidden="1">#REF!</definedName>
    <definedName name="___14__123Graph_XGRAPHIQUE_1A" hidden="1">#REF!</definedName>
    <definedName name="___2__123Graph_AGRAPHIQUE_1A" hidden="1">#REF!</definedName>
    <definedName name="___2__123Graph_BGRAPHIQUE_1A" hidden="1">#REF!</definedName>
    <definedName name="___3__123Graph_CGRAPHIQUE_1A" hidden="1">#REF!</definedName>
    <definedName name="___4__123Graph_BGRAPHIQUE_1A" hidden="1">#REF!</definedName>
    <definedName name="___4__123Graph_DGRAPHIQUE_1A" hidden="1">#REF!</definedName>
    <definedName name="___5__123Graph_EGRAPHIQUE_1A" hidden="1">#REF!</definedName>
    <definedName name="___6__123Graph_CGRAPHIQUE_1A" hidden="1">#REF!</definedName>
    <definedName name="___6__123Graph_FGRAPHIQUE_1A" hidden="1">#REF!</definedName>
    <definedName name="___7__123Graph_XGRAPHIQUE_1A" hidden="1">#REF!</definedName>
    <definedName name="___8__123Graph_DGRAPHIQUE_1A" hidden="1">#REF!</definedName>
    <definedName name="___xlfn.BAHTTEXT" hidden="1">#NAME?</definedName>
    <definedName name="__1__123Graph_AGRAPHIQUE_1A" hidden="1">#REF!</definedName>
    <definedName name="__10__123Graph_EGRAPHIQUE_1A" hidden="1">#REF!</definedName>
    <definedName name="__12______123Graph_DGRAPHIQUE_1A" hidden="1">#REF!</definedName>
    <definedName name="__12__123Graph_DGRAPHIQUE_1A" hidden="1">#REF!</definedName>
    <definedName name="__12__123Graph_FGRAPHIQUE_1A" hidden="1">#REF!</definedName>
    <definedName name="__123Graph_A" hidden="1">#REF!</definedName>
    <definedName name="__123Graph_AA" hidden="1">#REF!</definedName>
    <definedName name="__123Graph_AChart1" hidden="1">#REF!</definedName>
    <definedName name="__123Graph_ACurrent" hidden="1">#REF!</definedName>
    <definedName name="__123Graph_AREER" hidden="1">#REF!</definedName>
    <definedName name="__123Graph_B" hidden="1">#REF!</definedName>
    <definedName name="__123Graph_BREER" hidden="1">#REF!</definedName>
    <definedName name="__123Graph_C" hidden="1">#REF!</definedName>
    <definedName name="__123Graph_CREER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ATHERING" hidden="1">#REF!</definedName>
    <definedName name="__14__123Graph_BGRAPHIQUE_1A" hidden="1">#REF!</definedName>
    <definedName name="__14__123Graph_XGRAPHIQUE_1A" hidden="1">#REF!</definedName>
    <definedName name="__15______123Graph_EGRAPHIQUE_1A" hidden="1">#REF!</definedName>
    <definedName name="__15__123Graph_EGRAPHIQUE_1A" hidden="1">#REF!</definedName>
    <definedName name="__18______123Graph_FGRAPHIQUE_1A" hidden="1">#REF!</definedName>
    <definedName name="__18__123Graph_FGRAPHIQUE_1A" hidden="1">#REF!</definedName>
    <definedName name="__2__123Graph_AGRAPHIQUE_1A" hidden="1">#REF!</definedName>
    <definedName name="__2__123Graph_BGRAPHIQUE_1A" hidden="1">#REF!</definedName>
    <definedName name="__21______123Graph_XGRAPHIQUE_1A" hidden="1">#REF!</definedName>
    <definedName name="__21__123Graph_CGRAPHIQUE_1A" hidden="1">#REF!</definedName>
    <definedName name="__21__123Graph_XGRAPHIQUE_1A" hidden="1">#REF!</definedName>
    <definedName name="__24_____123Graph_AGRAPHIQUE_1A" hidden="1">#REF!</definedName>
    <definedName name="__27_____123Graph_BGRAPHIQUE_1A" hidden="1">#REF!</definedName>
    <definedName name="__28__123Graph_DGRAPHIQUE_1A" hidden="1">#REF!</definedName>
    <definedName name="__3______123Graph_AGRAPHIQUE_1A" hidden="1">#REF!</definedName>
    <definedName name="__3__123Graph_ACPI_ER_LOG" hidden="1">#REF!</definedName>
    <definedName name="__3__123Graph_AGRAPHIQUE_1A" hidden="1">#REF!</definedName>
    <definedName name="__3__123Graph_CGRAPHIQUE_1A" hidden="1">#REF!</definedName>
    <definedName name="__30_____123Graph_CGRAPHIQUE_1A" hidden="1">#REF!</definedName>
    <definedName name="__33_____123Graph_DGRAPHIQUE_1A" hidden="1">#REF!</definedName>
    <definedName name="__35__123Graph_EGRAPHIQUE_1A" hidden="1">#REF!</definedName>
    <definedName name="__36_____123Graph_EGRAPHIQUE_1A" hidden="1">#REF!</definedName>
    <definedName name="__39_____123Graph_FGRAPHIQUE_1A" hidden="1">#REF!</definedName>
    <definedName name="__4__123Graph_BCPI_ER_LOG" hidden="1">#REF!</definedName>
    <definedName name="__4__123Graph_BGRAPHIQUE_1A" hidden="1">#REF!</definedName>
    <definedName name="__4__123Graph_DGRAPHIQUE_1A" hidden="1">#REF!</definedName>
    <definedName name="__42_____123Graph_XGRAPHIQUE_1A" hidden="1">#REF!</definedName>
    <definedName name="__42__123Graph_FGRAPHIQUE_1A" hidden="1">#REF!</definedName>
    <definedName name="__45____123Graph_AGRAPHIQUE_1A" hidden="1">#REF!</definedName>
    <definedName name="__48____123Graph_BGRAPHIQUE_1A" hidden="1">#REF!</definedName>
    <definedName name="__49__123Graph_XGRAPHIQUE_1A" hidden="1">#REF!</definedName>
    <definedName name="__5__123Graph_BIBA_IBRD" hidden="1">#REF!</definedName>
    <definedName name="__5__123Graph_EGRAPHIQUE_1A" hidden="1">#REF!</definedName>
    <definedName name="__51____123Graph_CGRAPHIQUE_1A" hidden="1">#REF!</definedName>
    <definedName name="__54____123Graph_DGRAPHIQUE_1A" hidden="1">#REF!</definedName>
    <definedName name="__57____123Graph_EGRAPHIQUE_1A" hidden="1">#REF!</definedName>
    <definedName name="__6______123Graph_BGRAPHIQUE_1A" hidden="1">#REF!</definedName>
    <definedName name="__6__123Graph_BGRAPHIQUE_1A" hidden="1">#REF!</definedName>
    <definedName name="__6__123Graph_CGRAPHIQUE_1A" hidden="1">#REF!</definedName>
    <definedName name="__6__123Graph_FGRAPHIQUE_1A" hidden="1">#REF!</definedName>
    <definedName name="__60____123Graph_FGRAPHIQUE_1A" hidden="1">#REF!</definedName>
    <definedName name="__63____123Graph_XGRAPHIQUE_1A" hidden="1">#REF!</definedName>
    <definedName name="__66___123Graph_AGRAPHIQUE_1A" hidden="1">#REF!</definedName>
    <definedName name="__69___123Graph_BGRAPHIQUE_1A" hidden="1">#REF!</definedName>
    <definedName name="__7__123Graph_AGRAPHIQUE_1A" hidden="1">#REF!</definedName>
    <definedName name="__7__123Graph_XGRAPHIQUE_1A" hidden="1">#REF!</definedName>
    <definedName name="__72___123Graph_CGRAPHIQUE_1A" hidden="1">#REF!</definedName>
    <definedName name="__75___123Graph_DGRAPHIQUE_1A" hidden="1">#REF!</definedName>
    <definedName name="__78___123Graph_EGRAPHIQUE_1A" hidden="1">#REF!</definedName>
    <definedName name="__8__123Graph_DGRAPHIQUE_1A" hidden="1">#REF!</definedName>
    <definedName name="__81___123Graph_FGRAPHIQUE_1A" hidden="1">#REF!</definedName>
    <definedName name="__84___123Graph_XGRAPHIQUE_1A" hidden="1">#REF!</definedName>
    <definedName name="__9______123Graph_CGRAPHIQUE_1A" hidden="1">#REF!</definedName>
    <definedName name="__9__123Graph_CGRAPHIQUE_1A" hidden="1">#REF!</definedName>
    <definedName name="__FDS_HYPERLINK_TOGGLE_STATE__" hidden="1">"ON"</definedName>
    <definedName name="__xlfn.BAHTTEXT" hidden="1">#NAME?</definedName>
    <definedName name="_1__________________________________________123Graph_AGRAPHIQUE_1A" hidden="1">#REF!</definedName>
    <definedName name="_1______________________123Graph_AGRAPHIQUE_1A" hidden="1">#REF!</definedName>
    <definedName name="_1__123Graph_AGRAPHIQUE_1A" hidden="1">#REF!</definedName>
    <definedName name="_10_________________________________________123Graph_CGRAPHIQUE_1A" hidden="1">#REF!</definedName>
    <definedName name="_10_____________________123Graph_CGRAPHIQUE_1A" hidden="1">#REF!</definedName>
    <definedName name="_10______123Graph_EGRAPHIQUE_1A" hidden="1">#REF!</definedName>
    <definedName name="_10__123Graph_AR_M_VOLUMES" hidden="1">#REF!</definedName>
    <definedName name="_10__123Graph_BGRAPHIQUE_1A" hidden="1">#REF!</definedName>
    <definedName name="_10__123Graph_EGRAPHIQUE_1A" hidden="1">#REF!</definedName>
    <definedName name="_100____________________________123Graph_BGRAPHIQUE_1A" hidden="1">#REF!</definedName>
    <definedName name="_100________123Graph_BGRAPHIQUE_1A" hidden="1">#REF!</definedName>
    <definedName name="_101____________________________123Graph_CGRAPHIQUE_1A" hidden="1">#REF!</definedName>
    <definedName name="_101________123Graph_CGRAPHIQUE_1A" hidden="1">#REF!</definedName>
    <definedName name="_102____________________________123Graph_DGRAPHIQUE_1A" hidden="1">#REF!</definedName>
    <definedName name="_102________123Graph_DGRAPHIQUE_1A" hidden="1">#REF!</definedName>
    <definedName name="_103____________________________123Graph_EGRAPHIQUE_1A" hidden="1">#REF!</definedName>
    <definedName name="_103________123Graph_EGRAPHIQUE_1A" hidden="1">#REF!</definedName>
    <definedName name="_104____________________________123Graph_FGRAPHIQUE_1A" hidden="1">#REF!</definedName>
    <definedName name="_104________123Graph_FGRAPHIQUE_1A" hidden="1">#REF!</definedName>
    <definedName name="_105____________________________123Graph_XGRAPHIQUE_1A" hidden="1">#REF!</definedName>
    <definedName name="_105________123Graph_XGRAPHIQUE_1A" hidden="1">#REF!</definedName>
    <definedName name="_106___________________________123Graph_AGRAPHIQUE_1A" hidden="1">#REF!</definedName>
    <definedName name="_106_______123Graph_AGRAPHIQUE_1A" hidden="1">#REF!</definedName>
    <definedName name="_107___________________________123Graph_BGRAPHIQUE_1A" hidden="1">#REF!</definedName>
    <definedName name="_107_______123Graph_BGRAPHIQUE_1A" hidden="1">#REF!</definedName>
    <definedName name="_108___________________________123Graph_CGRAPHIQUE_1A" hidden="1">#REF!</definedName>
    <definedName name="_108_______123Graph_CGRAPHIQUE_1A" hidden="1">#REF!</definedName>
    <definedName name="_109___________________________123Graph_DGRAPHIQUE_1A" hidden="1">#REF!</definedName>
    <definedName name="_109_______123Graph_DGRAPHIQUE_1A" hidden="1">#REF!</definedName>
    <definedName name="_11_________________________________________123Graph_DGRAPHIQUE_1A" hidden="1">#REF!</definedName>
    <definedName name="_11_____________________123Graph_DGRAPHIQUE_1A" hidden="1">#REF!</definedName>
    <definedName name="_11__123Graph_BR_M_MARGINS" hidden="1">#REF!</definedName>
    <definedName name="_110___________________________123Graph_EGRAPHIQUE_1A" hidden="1">#REF!</definedName>
    <definedName name="_110_______123Graph_EGRAPHIQUE_1A" hidden="1">#REF!</definedName>
    <definedName name="_111___________________________123Graph_FGRAPHIQUE_1A" hidden="1">#REF!</definedName>
    <definedName name="_111_______123Graph_FGRAPHIQUE_1A" hidden="1">#REF!</definedName>
    <definedName name="_112___________________________123Graph_XGRAPHIQUE_1A" hidden="1">#REF!</definedName>
    <definedName name="_112_______123Graph_XGRAPHIQUE_1A" hidden="1">#REF!</definedName>
    <definedName name="_113__________________________123Graph_AGRAPHIQUE_1A" hidden="1">#REF!</definedName>
    <definedName name="_113______123Graph_AGRAPHIQUE_1A" hidden="1">#REF!</definedName>
    <definedName name="_114__________________________123Graph_BGRAPHIQUE_1A" hidden="1">#REF!</definedName>
    <definedName name="_114______123Graph_BGRAPHIQUE_1A" hidden="1">#REF!</definedName>
    <definedName name="_115__________________________123Graph_CGRAPHIQUE_1A" hidden="1">#REF!</definedName>
    <definedName name="_115______123Graph_CGRAPHIQUE_1A" hidden="1">#REF!</definedName>
    <definedName name="_116__________________________123Graph_DGRAPHIQUE_1A" hidden="1">#REF!</definedName>
    <definedName name="_116______123Graph_DGRAPHIQUE_1A" hidden="1">#REF!</definedName>
    <definedName name="_117__________________________123Graph_EGRAPHIQUE_1A" hidden="1">#REF!</definedName>
    <definedName name="_117______123Graph_EGRAPHIQUE_1A" hidden="1">#REF!</definedName>
    <definedName name="_118__________________________123Graph_FGRAPHIQUE_1A" hidden="1">#REF!</definedName>
    <definedName name="_118______123Graph_FGRAPHIQUE_1A" hidden="1">#REF!</definedName>
    <definedName name="_119__________________________123Graph_XGRAPHIQUE_1A" hidden="1">#REF!</definedName>
    <definedName name="_119______123Graph_XGRAPHIQUE_1A" hidden="1">#REF!</definedName>
    <definedName name="_12_________________________________________123Graph_EGRAPHIQUE_1A" hidden="1">#REF!</definedName>
    <definedName name="_12_____________________123Graph_EGRAPHIQUE_1A" hidden="1">#REF!</definedName>
    <definedName name="_12______123Graph_DGRAPHIQUE_1A" hidden="1">#REF!</definedName>
    <definedName name="_12______123Graph_FGRAPHIQUE_1A" hidden="1">#REF!</definedName>
    <definedName name="_12__123Graph_BR_M_VOLUMES" hidden="1">#REF!</definedName>
    <definedName name="_12__123Graph_CGRAPHIQUE_1A" hidden="1">#REF!</definedName>
    <definedName name="_12__123Graph_DGRAPHIQUE_1A" hidden="1">#REF!</definedName>
    <definedName name="_12__123Graph_FGRAPHIQUE_1A" hidden="1">#REF!</definedName>
    <definedName name="_120_________________________123Graph_AGRAPHIQUE_1A" hidden="1">#REF!</definedName>
    <definedName name="_120_____123Graph_AGRAPHIQUE_1A" hidden="1">#REF!</definedName>
    <definedName name="_121_________________________123Graph_BGRAPHIQUE_1A" hidden="1">#REF!</definedName>
    <definedName name="_121_____123Graph_BGRAPHIQUE_1A" hidden="1">#REF!</definedName>
    <definedName name="_122_________________________123Graph_CGRAPHIQUE_1A" hidden="1">#REF!</definedName>
    <definedName name="_122_____123Graph_CGRAPHIQUE_1A" hidden="1">#REF!</definedName>
    <definedName name="_123_________________________123Graph_DGRAPHIQUE_1A" hidden="1">#REF!</definedName>
    <definedName name="_123_____123Graph_DGRAPHIQUE_1A" hidden="1">#REF!</definedName>
    <definedName name="_124_________________________123Graph_EGRAPHIQUE_1A" hidden="1">#REF!</definedName>
    <definedName name="_124_____123Graph_EGRAPHIQUE_1A" hidden="1">#REF!</definedName>
    <definedName name="_125_________________________123Graph_FGRAPHIQUE_1A" hidden="1">#REF!</definedName>
    <definedName name="_125_____123Graph_FGRAPHIQUE_1A" hidden="1">#REF!</definedName>
    <definedName name="_126_________________________123Graph_XGRAPHIQUE_1A" hidden="1">#REF!</definedName>
    <definedName name="_126_____123Graph_XGRAPHIQUE_1A" hidden="1">#REF!</definedName>
    <definedName name="_127________________________123Graph_AGRAPHIQUE_1A" hidden="1">#REF!</definedName>
    <definedName name="_127____123Graph_AGRAPHIQUE_1A" hidden="1">#REF!</definedName>
    <definedName name="_128________________________123Graph_BGRAPHIQUE_1A" hidden="1">#REF!</definedName>
    <definedName name="_128____123Graph_BGRAPHIQUE_1A" hidden="1">#REF!</definedName>
    <definedName name="_129________________________123Graph_CGRAPHIQUE_1A" hidden="1">#REF!</definedName>
    <definedName name="_129____123Graph_CGRAPHIQUE_1A" hidden="1">#REF!</definedName>
    <definedName name="_13_________________________________________123Graph_FGRAPHIQUE_1A" hidden="1">#REF!</definedName>
    <definedName name="_13_____________________123Graph_FGRAPHIQUE_1A" hidden="1">#REF!</definedName>
    <definedName name="_13__123Graph_XR_M_MARGINS" hidden="1">#REF!</definedName>
    <definedName name="_130________________________123Graph_DGRAPHIQUE_1A" hidden="1">#REF!</definedName>
    <definedName name="_130____123Graph_DGRAPHIQUE_1A" hidden="1">#REF!</definedName>
    <definedName name="_131________________________123Graph_EGRAPHIQUE_1A" hidden="1">#REF!</definedName>
    <definedName name="_131____123Graph_EGRAPHIQUE_1A" hidden="1">#REF!</definedName>
    <definedName name="_132________________________123Graph_FGRAPHIQUE_1A" hidden="1">#REF!</definedName>
    <definedName name="_132____123Graph_FGRAPHIQUE_1A" hidden="1">#REF!</definedName>
    <definedName name="_133________________________123Graph_XGRAPHIQUE_1A" hidden="1">#REF!</definedName>
    <definedName name="_133____123Graph_XGRAPHIQUE_1A" hidden="1">#REF!</definedName>
    <definedName name="_134_______________________123Graph_AGRAPHIQUE_1A" hidden="1">#REF!</definedName>
    <definedName name="_134___123Graph_AGRAPHIQUE_1A" hidden="1">#REF!</definedName>
    <definedName name="_135_______________________123Graph_BGRAPHIQUE_1A" hidden="1">#REF!</definedName>
    <definedName name="_135___123Graph_BGRAPHIQUE_1A" hidden="1">#REF!</definedName>
    <definedName name="_136_______________________123Graph_CGRAPHIQUE_1A" hidden="1">#REF!</definedName>
    <definedName name="_136___123Graph_CGRAPHIQUE_1A" hidden="1">#REF!</definedName>
    <definedName name="_137_______________________123Graph_DGRAPHIQUE_1A" hidden="1">#REF!</definedName>
    <definedName name="_137___123Graph_DGRAPHIQUE_1A" hidden="1">#REF!</definedName>
    <definedName name="_138_______________________123Graph_EGRAPHIQUE_1A" hidden="1">#REF!</definedName>
    <definedName name="_138___123Graph_EGRAPHIQUE_1A" hidden="1">#REF!</definedName>
    <definedName name="_139_______________________123Graph_FGRAPHIQUE_1A" hidden="1">#REF!</definedName>
    <definedName name="_139___123Graph_FGRAPHIQUE_1A" hidden="1">#REF!</definedName>
    <definedName name="_14_________________________________________123Graph_XGRAPHIQUE_1A" hidden="1">#REF!</definedName>
    <definedName name="_14_____________________123Graph_XGRAPHIQUE_1A" hidden="1">#REF!</definedName>
    <definedName name="_14______123Graph_XGRAPHIQUE_1A" hidden="1">#REF!</definedName>
    <definedName name="_14__123Graph_BGRAPHIQUE_1A" hidden="1">#REF!</definedName>
    <definedName name="_14__123Graph_XGRAPHIQUE_1A" hidden="1">#REF!</definedName>
    <definedName name="_14__123Graph_XR_M_VOLUMES" hidden="1">#REF!</definedName>
    <definedName name="_140_______________________123Graph_XGRAPHIQUE_1A" hidden="1">#REF!</definedName>
    <definedName name="_140___123Graph_XGRAPHIQUE_1A" hidden="1">#REF!</definedName>
    <definedName name="_141______________________123Graph_AGRAPHIQUE_1A" hidden="1">#REF!</definedName>
    <definedName name="_142______________________123Graph_BGRAPHIQUE_1A" hidden="1">#REF!</definedName>
    <definedName name="_143______________________123Graph_CGRAPHIQUE_1A" hidden="1">#REF!</definedName>
    <definedName name="_144______________________123Graph_DGRAPHIQUE_1A" hidden="1">#REF!</definedName>
    <definedName name="_145______________________123Graph_EGRAPHIQUE_1A" hidden="1">#REF!</definedName>
    <definedName name="_146______________________123Graph_FGRAPHIQUE_1A" hidden="1">#REF!</definedName>
    <definedName name="_147______________________123Graph_XGRAPHIQUE_1A" hidden="1">#REF!</definedName>
    <definedName name="_148_____________________123Graph_AGRAPHIQUE_1A" hidden="1">#REF!</definedName>
    <definedName name="_149_____________________123Graph_BGRAPHIQUE_1A" hidden="1">#REF!</definedName>
    <definedName name="_15________________________________________123Graph_AGRAPHIQUE_1A" hidden="1">#REF!</definedName>
    <definedName name="_15____________________123Graph_AGRAPHIQUE_1A" hidden="1">#REF!</definedName>
    <definedName name="_15______123Graph_EGRAPHIQUE_1A" hidden="1">#REF!</definedName>
    <definedName name="_15__123Graph_CGRAPHIQUE_1A" hidden="1">#REF!</definedName>
    <definedName name="_15__123Graph_EGRAPHIQUE_1A" hidden="1">#REF!</definedName>
    <definedName name="_150_____________________123Graph_CGRAPHIQUE_1A" hidden="1">#REF!</definedName>
    <definedName name="_151_____________________123Graph_DGRAPHIQUE_1A" hidden="1">#REF!</definedName>
    <definedName name="_152_____________________123Graph_EGRAPHIQUE_1A" hidden="1">#REF!</definedName>
    <definedName name="_153_____________________123Graph_FGRAPHIQUE_1A" hidden="1">#REF!</definedName>
    <definedName name="_154_____________________123Graph_XGRAPHIQUE_1A" hidden="1">#REF!</definedName>
    <definedName name="_155____________________123Graph_AGRAPHIQUE_1A" hidden="1">#REF!</definedName>
    <definedName name="_156____________________123Graph_BGRAPHIQUE_1A" hidden="1">#REF!</definedName>
    <definedName name="_157____________________123Graph_CGRAPHIQUE_1A" hidden="1">#REF!</definedName>
    <definedName name="_158____________________123Graph_DGRAPHIQUE_1A" hidden="1">#REF!</definedName>
    <definedName name="_159____________________123Graph_EGRAPHIQUE_1A" hidden="1">#REF!</definedName>
    <definedName name="_16________________________________________123Graph_BGRAPHIQUE_1A" hidden="1">#REF!</definedName>
    <definedName name="_16____________________123Graph_BGRAPHIQUE_1A" hidden="1">#REF!</definedName>
    <definedName name="_16_____123Graph_AGRAPHIQUE_1A" hidden="1">#REF!</definedName>
    <definedName name="_16__123Graph_DGRAPHIQUE_1A" hidden="1">#REF!</definedName>
    <definedName name="_160____________________123Graph_FGRAPHIQUE_1A" hidden="1">#REF!</definedName>
    <definedName name="_161____________________123Graph_XGRAPHIQUE_1A" hidden="1">#REF!</definedName>
    <definedName name="_162___________________123Graph_AGRAPHIQUE_1A" hidden="1">#REF!</definedName>
    <definedName name="_163___________________123Graph_BGRAPHIQUE_1A" hidden="1">#REF!</definedName>
    <definedName name="_164___________________123Graph_CGRAPHIQUE_1A" hidden="1">#REF!</definedName>
    <definedName name="_165___________________123Graph_DGRAPHIQUE_1A" hidden="1">#REF!</definedName>
    <definedName name="_166___________________123Graph_EGRAPHIQUE_1A" hidden="1">#REF!</definedName>
    <definedName name="_167___________________123Graph_FGRAPHIQUE_1A" hidden="1">#REF!</definedName>
    <definedName name="_168___________________123Graph_XGRAPHIQUE_1A" hidden="1">#REF!</definedName>
    <definedName name="_169__________________123Graph_AGRAPHIQUE_1A" hidden="1">#REF!</definedName>
    <definedName name="_17________________________________________123Graph_CGRAPHIQUE_1A" hidden="1">#REF!</definedName>
    <definedName name="_17____________________123Graph_CGRAPHIQUE_1A" hidden="1">#REF!</definedName>
    <definedName name="_170__________________123Graph_BGRAPHIQUE_1A" hidden="1">#REF!</definedName>
    <definedName name="_171__________________123Graph_CGRAPHIQUE_1A" hidden="1">#REF!</definedName>
    <definedName name="_172__________________123Graph_DGRAPHIQUE_1A" hidden="1">#REF!</definedName>
    <definedName name="_173__________________123Graph_EGRAPHIQUE_1A" hidden="1">#REF!</definedName>
    <definedName name="_174__________________123Graph_FGRAPHIQUE_1A" hidden="1">#REF!</definedName>
    <definedName name="_175__________________123Graph_XGRAPHIQUE_1A" hidden="1">#REF!</definedName>
    <definedName name="_176_________________123Graph_AGRAPHIQUE_1A" hidden="1">#REF!</definedName>
    <definedName name="_177_________________123Graph_BGRAPHIQUE_1A" hidden="1">#REF!</definedName>
    <definedName name="_178_________________123Graph_CGRAPHIQUE_1A" hidden="1">#REF!</definedName>
    <definedName name="_179_________________123Graph_DGRAPHIQUE_1A" hidden="1">#REF!</definedName>
    <definedName name="_18________________________________________123Graph_DGRAPHIQUE_1A" hidden="1">#REF!</definedName>
    <definedName name="_18____________________123Graph_DGRAPHIQUE_1A" hidden="1">#REF!</definedName>
    <definedName name="_18______123Graph_FGRAPHIQUE_1A" hidden="1">#REF!</definedName>
    <definedName name="_18_____123Graph_BGRAPHIQUE_1A" hidden="1">#REF!</definedName>
    <definedName name="_18__123Graph_BGRAPHIQUE_1A" hidden="1">#REF!</definedName>
    <definedName name="_18__123Graph_FGRAPHIQUE_1A" hidden="1">#REF!</definedName>
    <definedName name="_180_________________123Graph_EGRAPHIQUE_1A" hidden="1">#REF!</definedName>
    <definedName name="_181_________________123Graph_FGRAPHIQUE_1A" hidden="1">#REF!</definedName>
    <definedName name="_182_________________123Graph_XGRAPHIQUE_1A" hidden="1">#REF!</definedName>
    <definedName name="_183________________123Graph_AGRAPHIQUE_1A" hidden="1">#REF!</definedName>
    <definedName name="_184________________123Graph_BGRAPHIQUE_1A" hidden="1">#REF!</definedName>
    <definedName name="_185________________123Graph_CGRAPHIQUE_1A" hidden="1">#REF!</definedName>
    <definedName name="_186________________123Graph_DGRAPHIQUE_1A" hidden="1">#REF!</definedName>
    <definedName name="_187________________123Graph_EGRAPHIQUE_1A" hidden="1">#REF!</definedName>
    <definedName name="_188________________123Graph_FGRAPHIQUE_1A" hidden="1">#REF!</definedName>
    <definedName name="_189________________123Graph_XGRAPHIQUE_1A" hidden="1">#REF!</definedName>
    <definedName name="_19________________________________________123Graph_EGRAPHIQUE_1A" hidden="1">#REF!</definedName>
    <definedName name="_19____________________123Graph_EGRAPHIQUE_1A" hidden="1">#REF!</definedName>
    <definedName name="_190_______________123Graph_AGRAPHIQUE_1A" hidden="1">#REF!</definedName>
    <definedName name="_191_______________123Graph_BGRAPHIQUE_1A" hidden="1">#REF!</definedName>
    <definedName name="_192_______________123Graph_CGRAPHIQUE_1A" hidden="1">#REF!</definedName>
    <definedName name="_193_______________123Graph_DGRAPHIQUE_1A" hidden="1">#REF!</definedName>
    <definedName name="_194_______________123Graph_EGRAPHIQUE_1A" hidden="1">#REF!</definedName>
    <definedName name="_195_______________123Graph_FGRAPHIQUE_1A" hidden="1">#REF!</definedName>
    <definedName name="_196_______________123Graph_XGRAPHIQUE_1A" hidden="1">#REF!</definedName>
    <definedName name="_197______________123Graph_AGRAPHIQUE_1A" hidden="1">#REF!</definedName>
    <definedName name="_198______________123Graph_BGRAPHIQUE_1A" hidden="1">#REF!</definedName>
    <definedName name="_199______________123Graph_CGRAPHIQUE_1A" hidden="1">#REF!</definedName>
    <definedName name="_2__________________________________________123Graph_BGRAPHIQUE_1A" hidden="1">#REF!</definedName>
    <definedName name="_2______________________123Graph_BGRAPHIQUE_1A" hidden="1">#REF!</definedName>
    <definedName name="_2______123Graph_AGRAPHIQUE_1A" hidden="1">#REF!</definedName>
    <definedName name="_2__123Graph_AGRAPHIQUE_1A" hidden="1">#REF!</definedName>
    <definedName name="_2__123Graph_BGRAPHIQUE_1A" hidden="1">#REF!</definedName>
    <definedName name="_20________________________________________123Graph_FGRAPHIQUE_1A" hidden="1">#REF!</definedName>
    <definedName name="_20____________________123Graph_FGRAPHIQUE_1A" hidden="1">#REF!</definedName>
    <definedName name="_20_____123Graph_CGRAPHIQUE_1A" hidden="1">#REF!</definedName>
    <definedName name="_20__123Graph_DGRAPHIQUE_1A" hidden="1">#REF!</definedName>
    <definedName name="_20__123Graph_EGRAPHIQUE_1A" hidden="1">#REF!</definedName>
    <definedName name="_200______________123Graph_DGRAPHIQUE_1A" hidden="1">#REF!</definedName>
    <definedName name="_201______________123Graph_EGRAPHIQUE_1A" hidden="1">#REF!</definedName>
    <definedName name="_202______________123Graph_FGRAPHIQUE_1A" hidden="1">#REF!</definedName>
    <definedName name="_203______________123Graph_XGRAPHIQUE_1A" hidden="1">#REF!</definedName>
    <definedName name="_204_____________123Graph_AGRAPHIQUE_1A" hidden="1">#REF!</definedName>
    <definedName name="_205_____________123Graph_BGRAPHIQUE_1A" hidden="1">#REF!</definedName>
    <definedName name="_206_____________123Graph_CGRAPHIQUE_1A" hidden="1">#REF!</definedName>
    <definedName name="_207_____________123Graph_DGRAPHIQUE_1A" hidden="1">#REF!</definedName>
    <definedName name="_208_____________123Graph_EGRAPHIQUE_1A" hidden="1">#REF!</definedName>
    <definedName name="_209_____________123Graph_FGRAPHIQUE_1A" hidden="1">#REF!</definedName>
    <definedName name="_21________________________________________123Graph_XGRAPHIQUE_1A" hidden="1">#REF!</definedName>
    <definedName name="_21____________________123Graph_XGRAPHIQUE_1A" hidden="1">#REF!</definedName>
    <definedName name="_21______123Graph_XGRAPHIQUE_1A" hidden="1">#REF!</definedName>
    <definedName name="_21__123Graph_CGRAPHIQUE_1A" hidden="1">#REF!</definedName>
    <definedName name="_21__123Graph_XGRAPHIQUE_1A" hidden="1">#REF!</definedName>
    <definedName name="_210_____________123Graph_XGRAPHIQUE_1A" hidden="1">#REF!</definedName>
    <definedName name="_211____________123Graph_AGRAPHIQUE_1A" hidden="1">#REF!</definedName>
    <definedName name="_212____________123Graph_BGRAPHIQUE_1A" hidden="1">#REF!</definedName>
    <definedName name="_213____________123Graph_CGRAPHIQUE_1A" hidden="1">#REF!</definedName>
    <definedName name="_214____________123Graph_DGRAPHIQUE_1A" hidden="1">#REF!</definedName>
    <definedName name="_215____________123Graph_EGRAPHIQUE_1A" hidden="1">#REF!</definedName>
    <definedName name="_216____________123Graph_FGRAPHIQUE_1A" hidden="1">#REF!</definedName>
    <definedName name="_217____________123Graph_XGRAPHIQUE_1A" hidden="1">#REF!</definedName>
    <definedName name="_218___________123Graph_AGRAPHIQUE_1A" hidden="1">#REF!</definedName>
    <definedName name="_219___________123Graph_BGRAPHIQUE_1A" hidden="1">#REF!</definedName>
    <definedName name="_22_______________________________________123Graph_AGRAPHIQUE_1A" hidden="1">#REF!</definedName>
    <definedName name="_22___________________123Graph_AGRAPHIQUE_1A" hidden="1">#REF!</definedName>
    <definedName name="_22_____123Graph_DGRAPHIQUE_1A" hidden="1">#REF!</definedName>
    <definedName name="_220___________123Graph_CGRAPHIQUE_1A" hidden="1">#REF!</definedName>
    <definedName name="_221___________123Graph_DGRAPHIQUE_1A" hidden="1">#REF!</definedName>
    <definedName name="_222___________123Graph_EGRAPHIQUE_1A" hidden="1">#REF!</definedName>
    <definedName name="_223___________123Graph_FGRAPHIQUE_1A" hidden="1">#REF!</definedName>
    <definedName name="_224___________123Graph_XGRAPHIQUE_1A" hidden="1">#REF!</definedName>
    <definedName name="_225__________123Graph_AGRAPHIQUE_1A" hidden="1">#REF!</definedName>
    <definedName name="_226__________123Graph_BGRAPHIQUE_1A" hidden="1">#REF!</definedName>
    <definedName name="_227__________123Graph_CGRAPHIQUE_1A" hidden="1">#REF!</definedName>
    <definedName name="_228__________123Graph_DGRAPHIQUE_1A" hidden="1">#REF!</definedName>
    <definedName name="_229__________123Graph_EGRAPHIQUE_1A" hidden="1">#REF!</definedName>
    <definedName name="_23_______________________________________123Graph_BGRAPHIQUE_1A" hidden="1">#REF!</definedName>
    <definedName name="_23___________________123Graph_BGRAPHIQUE_1A" hidden="1">#REF!</definedName>
    <definedName name="_230__________123Graph_FGRAPHIQUE_1A" hidden="1">#REF!</definedName>
    <definedName name="_231__________123Graph_XGRAPHIQUE_1A" hidden="1">#REF!</definedName>
    <definedName name="_232_________123Graph_AGRAPHIQUE_1A" hidden="1">#REF!</definedName>
    <definedName name="_233_________123Graph_BGRAPHIQUE_1A" hidden="1">#REF!</definedName>
    <definedName name="_234_________123Graph_CGRAPHIQUE_1A" hidden="1">#REF!</definedName>
    <definedName name="_235_________123Graph_DGRAPHIQUE_1A" hidden="1">#REF!</definedName>
    <definedName name="_236_________123Graph_EGRAPHIQUE_1A" hidden="1">#REF!</definedName>
    <definedName name="_237_________123Graph_FGRAPHIQUE_1A" hidden="1">#REF!</definedName>
    <definedName name="_238_________123Graph_XGRAPHIQUE_1A" hidden="1">#REF!</definedName>
    <definedName name="_239________123Graph_AGRAPHIQUE_1A" hidden="1">#REF!</definedName>
    <definedName name="_24_______________________________________123Graph_CGRAPHIQUE_1A" hidden="1">#REF!</definedName>
    <definedName name="_24___________________123Graph_CGRAPHIQUE_1A" hidden="1">#REF!</definedName>
    <definedName name="_24_____123Graph_AGRAPHIQUE_1A" hidden="1">#REF!</definedName>
    <definedName name="_24_____123Graph_EGRAPHIQUE_1A" hidden="1">#REF!</definedName>
    <definedName name="_24__123Graph_FGRAPHIQUE_1A" hidden="1">#REF!</definedName>
    <definedName name="_240________123Graph_BGRAPHIQUE_1A" hidden="1">#REF!</definedName>
    <definedName name="_241________123Graph_CGRAPHIQUE_1A" hidden="1">#REF!</definedName>
    <definedName name="_242________123Graph_DGRAPHIQUE_1A" hidden="1">#REF!</definedName>
    <definedName name="_243________123Graph_EGRAPHIQUE_1A" hidden="1">#REF!</definedName>
    <definedName name="_244________123Graph_FGRAPHIQUE_1A" hidden="1">#REF!</definedName>
    <definedName name="_245________123Graph_XGRAPHIQUE_1A" hidden="1">#REF!</definedName>
    <definedName name="_246_______123Graph_AGRAPHIQUE_1A" hidden="1">#REF!</definedName>
    <definedName name="_247_______123Graph_BGRAPHIQUE_1A" hidden="1">#REF!</definedName>
    <definedName name="_248_______123Graph_CGRAPHIQUE_1A" hidden="1">#REF!</definedName>
    <definedName name="_249_______123Graph_DGRAPHIQUE_1A" hidden="1">#REF!</definedName>
    <definedName name="_25_______________________________________123Graph_DGRAPHIQUE_1A" hidden="1">#REF!</definedName>
    <definedName name="_25___________________123Graph_DGRAPHIQUE_1A" hidden="1">#REF!</definedName>
    <definedName name="_25__123Graph_EGRAPHIQUE_1A" hidden="1">#REF!</definedName>
    <definedName name="_250_______123Graph_EGRAPHIQUE_1A" hidden="1">#REF!</definedName>
    <definedName name="_251_______123Graph_FGRAPHIQUE_1A" hidden="1">#REF!</definedName>
    <definedName name="_252_______123Graph_XGRAPHIQUE_1A" hidden="1">#REF!</definedName>
    <definedName name="_253______123Graph_AGRAPHIQUE_1A" hidden="1">#REF!</definedName>
    <definedName name="_254______123Graph_BGRAPHIQUE_1A" hidden="1">#REF!</definedName>
    <definedName name="_255______123Graph_CGRAPHIQUE_1A" hidden="1">#REF!</definedName>
    <definedName name="_256______123Graph_DGRAPHIQUE_1A" hidden="1">#REF!</definedName>
    <definedName name="_257______123Graph_EGRAPHIQUE_1A" hidden="1">#REF!</definedName>
    <definedName name="_258______123Graph_FGRAPHIQUE_1A" hidden="1">#REF!</definedName>
    <definedName name="_259______123Graph_XGRAPHIQUE_1A" hidden="1">#REF!</definedName>
    <definedName name="_26_______________________________________123Graph_EGRAPHIQUE_1A" hidden="1">#REF!</definedName>
    <definedName name="_26___________________123Graph_EGRAPHIQUE_1A" hidden="1">#REF!</definedName>
    <definedName name="_26_____123Graph_FGRAPHIQUE_1A" hidden="1">#REF!</definedName>
    <definedName name="_260_____123Graph_AGRAPHIQUE_1A" hidden="1">#REF!</definedName>
    <definedName name="_261_____123Graph_BGRAPHIQUE_1A" hidden="1">#REF!</definedName>
    <definedName name="_262_____123Graph_CGRAPHIQUE_1A" hidden="1">#REF!</definedName>
    <definedName name="_263_____123Graph_DGRAPHIQUE_1A" hidden="1">#REF!</definedName>
    <definedName name="_264_____123Graph_EGRAPHIQUE_1A" hidden="1">#REF!</definedName>
    <definedName name="_265_____123Graph_FGRAPHIQUE_1A" hidden="1">#REF!</definedName>
    <definedName name="_266_____123Graph_XGRAPHIQUE_1A" hidden="1">#REF!</definedName>
    <definedName name="_267____123Graph_AGRAPHIQUE_1A" hidden="1">#REF!</definedName>
    <definedName name="_268____123Graph_BGRAPHIQUE_1A" hidden="1">#REF!</definedName>
    <definedName name="_269____123Graph_CGRAPHIQUE_1A" hidden="1">#REF!</definedName>
    <definedName name="_27_______________________________________123Graph_FGRAPHIQUE_1A" hidden="1">#REF!</definedName>
    <definedName name="_27___________________123Graph_FGRAPHIQUE_1A" hidden="1">#REF!</definedName>
    <definedName name="_27_____123Graph_BGRAPHIQUE_1A" hidden="1">#REF!</definedName>
    <definedName name="_27__123Graph_CGRAPHIQUE_1A" hidden="1">#REF!</definedName>
    <definedName name="_270____123Graph_DGRAPHIQUE_1A" hidden="1">#REF!</definedName>
    <definedName name="_271____123Graph_EGRAPHIQUE_1A" hidden="1">#REF!</definedName>
    <definedName name="_272____123Graph_FGRAPHIQUE_1A" hidden="1">#REF!</definedName>
    <definedName name="_273____123Graph_XGRAPHIQUE_1A" hidden="1">#REF!</definedName>
    <definedName name="_274___123Graph_AGRAPHIQUE_1A" hidden="1">#REF!</definedName>
    <definedName name="_275___123Graph_BGRAPHIQUE_1A" hidden="1">#REF!</definedName>
    <definedName name="_276___123Graph_CGRAPHIQUE_1A" hidden="1">#REF!</definedName>
    <definedName name="_277___123Graph_DGRAPHIQUE_1A" hidden="1">#REF!</definedName>
    <definedName name="_278___123Graph_EGRAPHIQUE_1A" hidden="1">#REF!</definedName>
    <definedName name="_279___123Graph_FGRAPHIQUE_1A" hidden="1">#REF!</definedName>
    <definedName name="_28_______________________________________123Graph_XGRAPHIQUE_1A" hidden="1">#REF!</definedName>
    <definedName name="_28___________________123Graph_XGRAPHIQUE_1A" hidden="1">#REF!</definedName>
    <definedName name="_28_____123Graph_XGRAPHIQUE_1A" hidden="1">#REF!</definedName>
    <definedName name="_28__123Graph_DGRAPHIQUE_1A" hidden="1">#REF!</definedName>
    <definedName name="_28__123Graph_XGRAPHIQUE_1A" hidden="1">#REF!</definedName>
    <definedName name="_280___123Graph_XGRAPHIQUE_1A" hidden="1">#REF!</definedName>
    <definedName name="_281__123Graph_AGRAPHIQUE_1A" hidden="1">#REF!</definedName>
    <definedName name="_282__123Graph_AGRAPHIQUE_1A" hidden="1">#REF!</definedName>
    <definedName name="_282__123Graph_BGRAPHIQUE_1A" hidden="1">#REF!</definedName>
    <definedName name="_283__123Graph_CGRAPHIQUE_1A" hidden="1">#REF!</definedName>
    <definedName name="_284__123Graph_BGRAPHIQUE_1A" hidden="1">#REF!</definedName>
    <definedName name="_284__123Graph_DGRAPHIQUE_1A" hidden="1">#REF!</definedName>
    <definedName name="_285__123Graph_EGRAPHIQUE_1A" hidden="1">#REF!</definedName>
    <definedName name="_286__123Graph_CGRAPHIQUE_1A" hidden="1">#REF!</definedName>
    <definedName name="_286__123Graph_FGRAPHIQUE_1A" hidden="1">#REF!</definedName>
    <definedName name="_287__123Graph_XGRAPHIQUE_1A" hidden="1">#REF!</definedName>
    <definedName name="_288__123Graph_DGRAPHIQUE_1A" hidden="1">#REF!</definedName>
    <definedName name="_29______________________________________123Graph_AGRAPHIQUE_1A" hidden="1">#REF!</definedName>
    <definedName name="_29__________________123Graph_AGRAPHIQUE_1A" hidden="1">#REF!</definedName>
    <definedName name="_290__123Graph_EGRAPHIQUE_1A" hidden="1">#REF!</definedName>
    <definedName name="_292__123Graph_FGRAPHIQUE_1A" hidden="1">#REF!</definedName>
    <definedName name="_294__123Graph_XGRAPHIQUE_1A" hidden="1">#REF!</definedName>
    <definedName name="_3__________________________________________123Graph_CGRAPHIQUE_1A" hidden="1">#REF!</definedName>
    <definedName name="_3______________________123Graph_CGRAPHIQUE_1A" hidden="1">#REF!</definedName>
    <definedName name="_3______123Graph_AGRAPHIQUE_1A" hidden="1">#REF!</definedName>
    <definedName name="_3__123Graph_ACPI_ER_LOG" hidden="1">#REF!</definedName>
    <definedName name="_3__123Graph_AGRAPHIQUE_1A" hidden="1">#REF!</definedName>
    <definedName name="_3__123Graph_CGRAPHIQUE_1A" hidden="1">#REF!</definedName>
    <definedName name="_30______________________________________123Graph_BGRAPHIQUE_1A" hidden="1">#REF!</definedName>
    <definedName name="_30__________________123Graph_BGRAPHIQUE_1A" hidden="1">#REF!</definedName>
    <definedName name="_30_____123Graph_CGRAPHIQUE_1A" hidden="1">#REF!</definedName>
    <definedName name="_30____123Graph_AGRAPHIQUE_1A" hidden="1">#REF!</definedName>
    <definedName name="_30__123Graph_FGRAPHIQUE_1A" hidden="1">#REF!</definedName>
    <definedName name="_31______________________________________123Graph_CGRAPHIQUE_1A" hidden="1">#REF!</definedName>
    <definedName name="_31__________________123Graph_CGRAPHIQUE_1A" hidden="1">#REF!</definedName>
    <definedName name="_32______________________________________123Graph_DGRAPHIQUE_1A" hidden="1">#REF!</definedName>
    <definedName name="_32__________________123Graph_DGRAPHIQUE_1A" hidden="1">#REF!</definedName>
    <definedName name="_32____123Graph_BGRAPHIQUE_1A" hidden="1">#REF!</definedName>
    <definedName name="_33______________________________________123Graph_EGRAPHIQUE_1A" hidden="1">#REF!</definedName>
    <definedName name="_33__________________123Graph_EGRAPHIQUE_1A" hidden="1">#REF!</definedName>
    <definedName name="_33_____123Graph_DGRAPHIQUE_1A" hidden="1">#REF!</definedName>
    <definedName name="_34______________________________________123Graph_FGRAPHIQUE_1A" hidden="1">#REF!</definedName>
    <definedName name="_34__________________123Graph_FGRAPHIQUE_1A" hidden="1">#REF!</definedName>
    <definedName name="_34____123Graph_CGRAPHIQUE_1A" hidden="1">#REF!</definedName>
    <definedName name="_35______________________________________123Graph_XGRAPHIQUE_1A" hidden="1">#REF!</definedName>
    <definedName name="_35__________________123Graph_XGRAPHIQUE_1A" hidden="1">#REF!</definedName>
    <definedName name="_35__123Graph_EGRAPHIQUE_1A" hidden="1">#REF!</definedName>
    <definedName name="_35__123Graph_XGRAPHIQUE_1A" hidden="1">#REF!</definedName>
    <definedName name="_36_____________________________________123Graph_AGRAPHIQUE_1A" hidden="1">#REF!</definedName>
    <definedName name="_36_________________123Graph_AGRAPHIQUE_1A" hidden="1">#REF!</definedName>
    <definedName name="_36_____123Graph_EGRAPHIQUE_1A" hidden="1">#REF!</definedName>
    <definedName name="_36____123Graph_DGRAPHIQUE_1A" hidden="1">#REF!</definedName>
    <definedName name="_36__123Graph_DGRAPHIQUE_1A" hidden="1">#REF!</definedName>
    <definedName name="_37_____________________________________123Graph_BGRAPHIQUE_1A" hidden="1">#REF!</definedName>
    <definedName name="_37_________________123Graph_BGRAPHIQUE_1A" hidden="1">#REF!</definedName>
    <definedName name="_38_____________________________________123Graph_CGRAPHIQUE_1A" hidden="1">#REF!</definedName>
    <definedName name="_38_________________123Graph_CGRAPHIQUE_1A" hidden="1">#REF!</definedName>
    <definedName name="_38____123Graph_EGRAPHIQUE_1A" hidden="1">#REF!</definedName>
    <definedName name="_39_____________________________________123Graph_DGRAPHIQUE_1A" hidden="1">#REF!</definedName>
    <definedName name="_39_________________123Graph_DGRAPHIQUE_1A" hidden="1">#REF!</definedName>
    <definedName name="_39_____123Graph_FGRAPHIQUE_1A" hidden="1">#REF!</definedName>
    <definedName name="_4__________________________________________123Graph_DGRAPHIQUE_1A" hidden="1">#REF!</definedName>
    <definedName name="_4______________________123Graph_DGRAPHIQUE_1A" hidden="1">#REF!</definedName>
    <definedName name="_4______123Graph_BGRAPHIQUE_1A" hidden="1">#REF!</definedName>
    <definedName name="_4__123Graph_AGRAPHIQUE_1A" hidden="1">#REF!</definedName>
    <definedName name="_4__123Graph_BCPI_ER_LOG" hidden="1">#REF!</definedName>
    <definedName name="_4__123Graph_BGRAPHIQUE_1A" hidden="1">#REF!</definedName>
    <definedName name="_4__123Graph_DGRAPHIQUE_1A" hidden="1">#REF!</definedName>
    <definedName name="_40_____________________________________123Graph_EGRAPHIQUE_1A" hidden="1">#REF!</definedName>
    <definedName name="_40_________________123Graph_EGRAPHIQUE_1A" hidden="1">#REF!</definedName>
    <definedName name="_40____123Graph_FGRAPHIQUE_1A" hidden="1">#REF!</definedName>
    <definedName name="_41_____________________________________123Graph_FGRAPHIQUE_1A" hidden="1">#REF!</definedName>
    <definedName name="_41_________________123Graph_FGRAPHIQUE_1A" hidden="1">#REF!</definedName>
    <definedName name="_42_____________________________________123Graph_XGRAPHIQUE_1A" hidden="1">#REF!</definedName>
    <definedName name="_42_________________123Graph_XGRAPHIQUE_1A" hidden="1">#REF!</definedName>
    <definedName name="_42_____123Graph_XGRAPHIQUE_1A" hidden="1">#REF!</definedName>
    <definedName name="_42____123Graph_XGRAPHIQUE_1A" hidden="1">#REF!</definedName>
    <definedName name="_42__123Graph_FGRAPHIQUE_1A" hidden="1">#REF!</definedName>
    <definedName name="_43____________________________________123Graph_AGRAPHIQUE_1A" hidden="1">#REF!</definedName>
    <definedName name="_43________________123Graph_AGRAPHIQUE_1A" hidden="1">#REF!</definedName>
    <definedName name="_44____________________________________123Graph_BGRAPHIQUE_1A" hidden="1">#REF!</definedName>
    <definedName name="_44________________123Graph_BGRAPHIQUE_1A" hidden="1">#REF!</definedName>
    <definedName name="_44___123Graph_AGRAPHIQUE_1A" hidden="1">#REF!</definedName>
    <definedName name="_45____________________________________123Graph_CGRAPHIQUE_1A" hidden="1">#REF!</definedName>
    <definedName name="_45________________123Graph_CGRAPHIQUE_1A" hidden="1">#REF!</definedName>
    <definedName name="_45____123Graph_AGRAPHIQUE_1A" hidden="1">#REF!</definedName>
    <definedName name="_45__123Graph_EGRAPHIQUE_1A" hidden="1">#REF!</definedName>
    <definedName name="_46____________________________________123Graph_DGRAPHIQUE_1A" hidden="1">#REF!</definedName>
    <definedName name="_46________________123Graph_DGRAPHIQUE_1A" hidden="1">#REF!</definedName>
    <definedName name="_46___123Graph_BGRAPHIQUE_1A" hidden="1">#REF!</definedName>
    <definedName name="_47____________________________________123Graph_EGRAPHIQUE_1A" hidden="1">#REF!</definedName>
    <definedName name="_47________________123Graph_EGRAPHIQUE_1A" hidden="1">#REF!</definedName>
    <definedName name="_48____________________________________123Graph_FGRAPHIQUE_1A" hidden="1">#REF!</definedName>
    <definedName name="_48________________123Graph_FGRAPHIQUE_1A" hidden="1">#REF!</definedName>
    <definedName name="_48____123Graph_BGRAPHIQUE_1A" hidden="1">#REF!</definedName>
    <definedName name="_48___123Graph_CGRAPHIQUE_1A" hidden="1">#REF!</definedName>
    <definedName name="_49____________________________________123Graph_XGRAPHIQUE_1A" hidden="1">#REF!</definedName>
    <definedName name="_49________________123Graph_XGRAPHIQUE_1A" hidden="1">#REF!</definedName>
    <definedName name="_49__123Graph_XGRAPHIQUE_1A" hidden="1">#REF!</definedName>
    <definedName name="_5__________________________________________123Graph_EGRAPHIQUE_1A" hidden="1">#REF!</definedName>
    <definedName name="_5______________________123Graph_EGRAPHIQUE_1A" hidden="1">#REF!</definedName>
    <definedName name="_5__123Graph_AGRAPHIQUE_1A" hidden="1">#REF!</definedName>
    <definedName name="_5__123Graph_BIBA_IBRD" hidden="1">#REF!</definedName>
    <definedName name="_5__123Graph_EGRAPHIQUE_1A" hidden="1">#REF!</definedName>
    <definedName name="_50___________________________________123Graph_AGRAPHIQUE_1A" hidden="1">#REF!</definedName>
    <definedName name="_50_______________123Graph_AGRAPHIQUE_1A" hidden="1">#REF!</definedName>
    <definedName name="_50___123Graph_DGRAPHIQUE_1A" hidden="1">#REF!</definedName>
    <definedName name="_51___________________________________123Graph_BGRAPHIQUE_1A" hidden="1">#REF!</definedName>
    <definedName name="_51_______________123Graph_BGRAPHIQUE_1A" hidden="1">#REF!</definedName>
    <definedName name="_51____123Graph_CGRAPHIQUE_1A" hidden="1">#REF!</definedName>
    <definedName name="_52___________________________________123Graph_CGRAPHIQUE_1A" hidden="1">#REF!</definedName>
    <definedName name="_52_______________123Graph_CGRAPHIQUE_1A" hidden="1">#REF!</definedName>
    <definedName name="_52___123Graph_EGRAPHIQUE_1A" hidden="1">#REF!</definedName>
    <definedName name="_53___________________________________123Graph_DGRAPHIQUE_1A" hidden="1">#REF!</definedName>
    <definedName name="_53_______________123Graph_DGRAPHIQUE_1A" hidden="1">#REF!</definedName>
    <definedName name="_54___________________________________123Graph_EGRAPHIQUE_1A" hidden="1">#REF!</definedName>
    <definedName name="_54_______________123Graph_EGRAPHIQUE_1A" hidden="1">#REF!</definedName>
    <definedName name="_54____123Graph_DGRAPHIQUE_1A" hidden="1">#REF!</definedName>
    <definedName name="_54___123Graph_FGRAPHIQUE_1A" hidden="1">#REF!</definedName>
    <definedName name="_54__123Graph_FGRAPHIQUE_1A" hidden="1">#REF!</definedName>
    <definedName name="_55___________________________________123Graph_FGRAPHIQUE_1A" hidden="1">#REF!</definedName>
    <definedName name="_55_______________123Graph_FGRAPHIQUE_1A" hidden="1">#REF!</definedName>
    <definedName name="_56___________________________________123Graph_XGRAPHIQUE_1A" hidden="1">#REF!</definedName>
    <definedName name="_56_______________123Graph_XGRAPHIQUE_1A" hidden="1">#REF!</definedName>
    <definedName name="_56___123Graph_XGRAPHIQUE_1A" hidden="1">#REF!</definedName>
    <definedName name="_57__________________________________123Graph_AGRAPHIQUE_1A" hidden="1">#REF!</definedName>
    <definedName name="_57______________123Graph_AGRAPHIQUE_1A" hidden="1">#REF!</definedName>
    <definedName name="_57____123Graph_EGRAPHIQUE_1A" hidden="1">#REF!</definedName>
    <definedName name="_58__________________________________123Graph_BGRAPHIQUE_1A" hidden="1">#REF!</definedName>
    <definedName name="_58______________123Graph_BGRAPHIQUE_1A" hidden="1">#REF!</definedName>
    <definedName name="_59__________________________________123Graph_CGRAPHIQUE_1A" hidden="1">#REF!</definedName>
    <definedName name="_59______________123Graph_CGRAPHIQUE_1A" hidden="1">#REF!</definedName>
    <definedName name="_6__________________________________________123Graph_FGRAPHIQUE_1A" hidden="1">#REF!</definedName>
    <definedName name="_6______________________123Graph_FGRAPHIQUE_1A" hidden="1">#REF!</definedName>
    <definedName name="_6______123Graph_BGRAPHIQUE_1A" hidden="1">#REF!</definedName>
    <definedName name="_6______123Graph_CGRAPHIQUE_1A" hidden="1">#REF!</definedName>
    <definedName name="_6__123Graph_AR_M_MARG" hidden="1">#REF!</definedName>
    <definedName name="_6__123Graph_BGRAPHIQUE_1A" hidden="1">#REF!</definedName>
    <definedName name="_6__123Graph_CGRAPHIQUE_1A" hidden="1">#REF!</definedName>
    <definedName name="_6__123Graph_FGRAPHIQUE_1A" hidden="1">#REF!</definedName>
    <definedName name="_60__________________________________123Graph_DGRAPHIQUE_1A" hidden="1">#REF!</definedName>
    <definedName name="_60______________123Graph_DGRAPHIQUE_1A" hidden="1">#REF!</definedName>
    <definedName name="_60____123Graph_FGRAPHIQUE_1A" hidden="1">#REF!</definedName>
    <definedName name="_61__________________________________123Graph_EGRAPHIQUE_1A" hidden="1">#REF!</definedName>
    <definedName name="_61______________123Graph_EGRAPHIQUE_1A" hidden="1">#REF!</definedName>
    <definedName name="_62__________________________________123Graph_FGRAPHIQUE_1A" hidden="1">#REF!</definedName>
    <definedName name="_62______________123Graph_FGRAPHIQUE_1A" hidden="1">#REF!</definedName>
    <definedName name="_63__________________________________123Graph_XGRAPHIQUE_1A" hidden="1">#REF!</definedName>
    <definedName name="_63______________123Graph_XGRAPHIQUE_1A" hidden="1">#REF!</definedName>
    <definedName name="_63____123Graph_XGRAPHIQUE_1A" hidden="1">#REF!</definedName>
    <definedName name="_63__123Graph_XGRAPHIQUE_1A" hidden="1">#REF!</definedName>
    <definedName name="_64_________________________________123Graph_AGRAPHIQUE_1A" hidden="1">#REF!</definedName>
    <definedName name="_64_____________123Graph_AGRAPHIQUE_1A" hidden="1">#REF!</definedName>
    <definedName name="_65_________________________________123Graph_BGRAPHIQUE_1A" hidden="1">#REF!</definedName>
    <definedName name="_65_____________123Graph_BGRAPHIQUE_1A" hidden="1">#REF!</definedName>
    <definedName name="_66_________________________________123Graph_CGRAPHIQUE_1A" hidden="1">#REF!</definedName>
    <definedName name="_66_____________123Graph_CGRAPHIQUE_1A" hidden="1">#REF!</definedName>
    <definedName name="_66___123Graph_AGRAPHIQUE_1A" hidden="1">#REF!</definedName>
    <definedName name="_67_________________________________123Graph_DGRAPHIQUE_1A" hidden="1">#REF!</definedName>
    <definedName name="_67_____________123Graph_DGRAPHIQUE_1A" hidden="1">#REF!</definedName>
    <definedName name="_68_________________________________123Graph_EGRAPHIQUE_1A" hidden="1">#REF!</definedName>
    <definedName name="_68_____________123Graph_EGRAPHIQUE_1A" hidden="1">#REF!</definedName>
    <definedName name="_69_________________________________123Graph_FGRAPHIQUE_1A" hidden="1">#REF!</definedName>
    <definedName name="_69_____________123Graph_FGRAPHIQUE_1A" hidden="1">#REF!</definedName>
    <definedName name="_69___123Graph_BGRAPHIQUE_1A" hidden="1">#REF!</definedName>
    <definedName name="_7__________________________________________123Graph_XGRAPHIQUE_1A" hidden="1">#REF!</definedName>
    <definedName name="_7______________________123Graph_XGRAPHIQUE_1A" hidden="1">#REF!</definedName>
    <definedName name="_7__123Graph_AGRAPHIQUE_1A" hidden="1">#REF!</definedName>
    <definedName name="_7__123Graph_XGRAPHIQUE_1A" hidden="1">#REF!</definedName>
    <definedName name="_70_________________________________123Graph_XGRAPHIQUE_1A" hidden="1">#REF!</definedName>
    <definedName name="_70_____________123Graph_XGRAPHIQUE_1A" hidden="1">#REF!</definedName>
    <definedName name="_71________________________________123Graph_AGRAPHIQUE_1A" hidden="1">#REF!</definedName>
    <definedName name="_71____________123Graph_AGRAPHIQUE_1A" hidden="1">#REF!</definedName>
    <definedName name="_72________________________________123Graph_BGRAPHIQUE_1A" hidden="1">#REF!</definedName>
    <definedName name="_72____________123Graph_BGRAPHIQUE_1A" hidden="1">#REF!</definedName>
    <definedName name="_72___123Graph_CGRAPHIQUE_1A" hidden="1">#REF!</definedName>
    <definedName name="_73________________________________123Graph_CGRAPHIQUE_1A" hidden="1">#REF!</definedName>
    <definedName name="_73____________123Graph_CGRAPHIQUE_1A" hidden="1">#REF!</definedName>
    <definedName name="_74________________________________123Graph_DGRAPHIQUE_1A" hidden="1">#REF!</definedName>
    <definedName name="_74____________123Graph_DGRAPHIQUE_1A" hidden="1">#REF!</definedName>
    <definedName name="_75________________________________123Graph_EGRAPHIQUE_1A" hidden="1">#REF!</definedName>
    <definedName name="_75____________123Graph_EGRAPHIQUE_1A" hidden="1">#REF!</definedName>
    <definedName name="_75___123Graph_DGRAPHIQUE_1A" hidden="1">#REF!</definedName>
    <definedName name="_76________________________________123Graph_FGRAPHIQUE_1A" hidden="1">#REF!</definedName>
    <definedName name="_76____________123Graph_FGRAPHIQUE_1A" hidden="1">#REF!</definedName>
    <definedName name="_77________________________________123Graph_XGRAPHIQUE_1A" hidden="1">#REF!</definedName>
    <definedName name="_77____________123Graph_XGRAPHIQUE_1A" hidden="1">#REF!</definedName>
    <definedName name="_78_______________________________123Graph_AGRAPHIQUE_1A" hidden="1">#REF!</definedName>
    <definedName name="_78___________123Graph_AGRAPHIQUE_1A" hidden="1">#REF!</definedName>
    <definedName name="_78___123Graph_EGRAPHIQUE_1A" hidden="1">#REF!</definedName>
    <definedName name="_79_______________________________123Graph_BGRAPHIQUE_1A" hidden="1">#REF!</definedName>
    <definedName name="_79___________123Graph_BGRAPHIQUE_1A" hidden="1">#REF!</definedName>
    <definedName name="_8_________________________________________123Graph_AGRAPHIQUE_1A" hidden="1">#REF!</definedName>
    <definedName name="_8_____________________123Graph_AGRAPHIQUE_1A" hidden="1">#REF!</definedName>
    <definedName name="_8______123Graph_DGRAPHIQUE_1A" hidden="1">#REF!</definedName>
    <definedName name="_8__123Graph_AR_M_MARGINS" hidden="1">#REF!</definedName>
    <definedName name="_8__123Graph_BGRAPHIQUE_1A" hidden="1">#REF!</definedName>
    <definedName name="_8__123Graph_DGRAPHIQUE_1A" hidden="1">#REF!</definedName>
    <definedName name="_80_______________________________123Graph_CGRAPHIQUE_1A" hidden="1">#REF!</definedName>
    <definedName name="_80___________123Graph_CGRAPHIQUE_1A" hidden="1">#REF!</definedName>
    <definedName name="_81_______________________________123Graph_DGRAPHIQUE_1A" hidden="1">#REF!</definedName>
    <definedName name="_81___________123Graph_DGRAPHIQUE_1A" hidden="1">#REF!</definedName>
    <definedName name="_81___123Graph_FGRAPHIQUE_1A" hidden="1">#REF!</definedName>
    <definedName name="_82_______________________________123Graph_EGRAPHIQUE_1A" hidden="1">#REF!</definedName>
    <definedName name="_82___________123Graph_EGRAPHIQUE_1A" hidden="1">#REF!</definedName>
    <definedName name="_83_______________________________123Graph_FGRAPHIQUE_1A" hidden="1">#REF!</definedName>
    <definedName name="_83___________123Graph_FGRAPHIQUE_1A" hidden="1">#REF!</definedName>
    <definedName name="_84_______________________________123Graph_XGRAPHIQUE_1A" hidden="1">#REF!</definedName>
    <definedName name="_84___________123Graph_XGRAPHIQUE_1A" hidden="1">#REF!</definedName>
    <definedName name="_84___123Graph_XGRAPHIQUE_1A" hidden="1">#REF!</definedName>
    <definedName name="_85______________________________123Graph_AGRAPHIQUE_1A" hidden="1">#REF!</definedName>
    <definedName name="_85__________123Graph_AGRAPHIQUE_1A" hidden="1">#REF!</definedName>
    <definedName name="_86______________________________123Graph_BGRAPHIQUE_1A" hidden="1">#REF!</definedName>
    <definedName name="_86__________123Graph_BGRAPHIQUE_1A" hidden="1">#REF!</definedName>
    <definedName name="_87______________________________123Graph_CGRAPHIQUE_1A" hidden="1">#REF!</definedName>
    <definedName name="_87__________123Graph_CGRAPHIQUE_1A" hidden="1">#REF!</definedName>
    <definedName name="_88______________________________123Graph_DGRAPHIQUE_1A" hidden="1">#REF!</definedName>
    <definedName name="_88__________123Graph_DGRAPHIQUE_1A" hidden="1">#REF!</definedName>
    <definedName name="_89______________________________123Graph_EGRAPHIQUE_1A" hidden="1">#REF!</definedName>
    <definedName name="_89__________123Graph_EGRAPHIQUE_1A" hidden="1">#REF!</definedName>
    <definedName name="_9_________________________________________123Graph_BGRAPHIQUE_1A" hidden="1">#REF!</definedName>
    <definedName name="_9_____________________123Graph_BGRAPHIQUE_1A" hidden="1">#REF!</definedName>
    <definedName name="_9______123Graph_CGRAPHIQUE_1A" hidden="1">#REF!</definedName>
    <definedName name="_9__123Graph_AGRAPHIQUE_1A" hidden="1">#REF!</definedName>
    <definedName name="_9__123Graph_CGRAPHIQUE_1A" hidden="1">#REF!</definedName>
    <definedName name="_90______________________________123Graph_FGRAPHIQUE_1A" hidden="1">#REF!</definedName>
    <definedName name="_90__________123Graph_FGRAPHIQUE_1A" hidden="1">#REF!</definedName>
    <definedName name="_91______________________________123Graph_XGRAPHIQUE_1A" hidden="1">#REF!</definedName>
    <definedName name="_91__________123Graph_XGRAPHIQUE_1A" hidden="1">#REF!</definedName>
    <definedName name="_92_____________________________123Graph_AGRAPHIQUE_1A" hidden="1">#REF!</definedName>
    <definedName name="_92_________123Graph_AGRAPHIQUE_1A" hidden="1">#REF!</definedName>
    <definedName name="_93_____________________________123Graph_BGRAPHIQUE_1A" hidden="1">#REF!</definedName>
    <definedName name="_93_________123Graph_BGRAPHIQUE_1A" hidden="1">#REF!</definedName>
    <definedName name="_94_____________________________123Graph_CGRAPHIQUE_1A" hidden="1">#REF!</definedName>
    <definedName name="_94_________123Graph_CGRAPHIQUE_1A" hidden="1">#REF!</definedName>
    <definedName name="_95_____________________________123Graph_DGRAPHIQUE_1A" hidden="1">#REF!</definedName>
    <definedName name="_95_________123Graph_DGRAPHIQUE_1A" hidden="1">#REF!</definedName>
    <definedName name="_96_____________________________123Graph_EGRAPHIQUE_1A" hidden="1">#REF!</definedName>
    <definedName name="_96_________123Graph_EGRAPHIQUE_1A" hidden="1">#REF!</definedName>
    <definedName name="_97_____________________________123Graph_FGRAPHIQUE_1A" hidden="1">#REF!</definedName>
    <definedName name="_97_________123Graph_FGRAPHIQUE_1A" hidden="1">#REF!</definedName>
    <definedName name="_98_____________________________123Graph_XGRAPHIQUE_1A" hidden="1">#REF!</definedName>
    <definedName name="_98_________123Graph_XGRAPHIQUE_1A" hidden="1">#REF!</definedName>
    <definedName name="_99____________________________123Graph_AGRAPHIQUE_1A" hidden="1">#REF!</definedName>
    <definedName name="_99________123Graph_AGRAPHIQUE_1A" hidden="1">#REF!</definedName>
    <definedName name="_bdm.2332270CC75947EC87FF17480D98FE75.edm" hidden="1">#REF!</definedName>
    <definedName name="_bdm.9A347C09648941E49FE43C7D19C688E9.edm" hidden="1">#REF!</definedName>
    <definedName name="_GSRATES_1" hidden="1">"CT300001Latest          "</definedName>
    <definedName name="_GSRATES_2" hidden="1">"CF3000012001123120010101"</definedName>
    <definedName name="_GSRATES_3" hidden="1">"CF3000012002063020020101"</definedName>
    <definedName name="_GSRATES_4" hidden="1">"CF3000012001063020010101"</definedName>
    <definedName name="_GSRATES_COUNT" hidden="1">1</definedName>
    <definedName name="_GSRATESR_1" hidden="1">#N/A</definedName>
    <definedName name="_Key1" hidden="1">#REF!</definedName>
    <definedName name="_key2" hidden="1">#REF!</definedName>
    <definedName name="_old13" hidden="1">#REF!</definedName>
    <definedName name="_old14" hidden="1">#REF!</definedName>
    <definedName name="_old15" hidden="1">#REF!</definedName>
    <definedName name="_old16" hidden="1">#REF!</definedName>
    <definedName name="_old32" hidden="1">{"quarter",#N/A,FALSE,"MOB"}</definedName>
    <definedName name="_old33" hidden="1">{#N/A,#N/A,FALSE,"YPF"}</definedName>
    <definedName name="_old4" hidden="1">#REF!</definedName>
    <definedName name="_old42" hidden="1">{"a",#N/A,FALSE,"Fact Sheet";"a",#N/A,FALSE,"DCFEVA";"a",#N/A,FALSE,"Statements";"a",#N/A,FALSE,"Quarterly";"a",#N/A,FALSE,"Q Grid";"a",#N/A,FALSE,"Stockval";"a",#N/A,FALSE,"DDM"}</definedName>
    <definedName name="_old5" hidden="1">#REF!</definedName>
    <definedName name="_old6" hidden="1">#REF!</definedName>
    <definedName name="_old7" hidden="1">#REF!</definedName>
    <definedName name="_Order1" hidden="1">0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a" hidden="1">#REF!</definedName>
    <definedName name="aa" hidden="1">#REF!</definedName>
    <definedName name="AAA_DOCTOPS" hidden="1">"AAA_SET"</definedName>
    <definedName name="AAA_duser" hidden="1">"OFF"</definedName>
    <definedName name="aab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#REF!</definedName>
    <definedName name="aad" hidden="1">#REF!</definedName>
    <definedName name="ABBB" hidden="1">{"IS",#N/A,FALSE,"IS";"RPTIS",#N/A,FALSE,"RPTIS";"STATS",#N/A,FALSE,"STATS";"CELL",#N/A,FALSE,"CELL";"BS",#N/A,FALSE,"BS"}</definedName>
    <definedName name="AE" hidden="1">#REF!</definedName>
    <definedName name="aerherh" hidden="1">#REF!</definedName>
    <definedName name="aerhtrha" hidden="1">#REF!</definedName>
    <definedName name="Annee">#REF!</definedName>
    <definedName name="Année1">#REF!</definedName>
    <definedName name="Année2">#REF!</definedName>
    <definedName name="Année3">#REF!</definedName>
    <definedName name="Année4">#REF!</definedName>
    <definedName name="Année5">#REF!</definedName>
    <definedName name="Annexe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ULE" hidden="1">#REF!</definedName>
    <definedName name="anscount" hidden="1">1</definedName>
    <definedName name="arweherh" hidden="1">#REF!</definedName>
    <definedName name="AS2DocOpenMode" hidden="1">"AS2DocumentEdit"</definedName>
    <definedName name="AS2NamedRange" hidden="1">3</definedName>
    <definedName name="AS2ReportLS" hidden="1">2</definedName>
    <definedName name="AS2SyncStepLS" hidden="1">3</definedName>
    <definedName name="AS2VersionLS" hidden="1">220</definedName>
    <definedName name="ashawrhy" hidden="1">#REF!</definedName>
    <definedName name="Autofi">#REF!</definedName>
    <definedName name="awhywerh" hidden="1">#REF!</definedName>
    <definedName name="AZ" hidden="1">#REF!</definedName>
    <definedName name="AZERTY" hidden="1">#REF!</definedName>
    <definedName name="b" hidden="1">#REF!</definedName>
    <definedName name="bbb" hidden="1">#REF!</definedName>
    <definedName name="belnew" hidden="1">{"IS",#N/A,FALSE,"IS";"RPTIS",#N/A,FALSE,"RPTIS";"STATS",#N/A,FALSE,"STATS";"CELL",#N/A,FALSE,"CELL";"BS",#N/A,FALSE,"BS"}</definedName>
    <definedName name="BLPH1" hidden="1">#REF!</definedName>
    <definedName name="BLPH2" hidden="1">#REF!</definedName>
    <definedName name="BLPH3" hidden="1">#REF!</definedName>
    <definedName name="BLPH33" hidden="1">#REF!</definedName>
    <definedName name="BLPH4" hidden="1">#REF!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arryBack">#REF!</definedName>
    <definedName name="ccccc" hidden="1">{"10yp key data",#N/A,FALSE,"Market Data"}</definedName>
    <definedName name="CEX20Plein">#REF!</definedName>
    <definedName name="CEX20Vide">#REF!</definedName>
    <definedName name="CEX40Plein">#REF!</definedName>
    <definedName name="CEX40Vide">#REF!</definedName>
    <definedName name="CIM20Plein">#REF!</definedName>
    <definedName name="CIM20Vide">#REF!</definedName>
    <definedName name="CIM40Plein">#REF!</definedName>
    <definedName name="CIM40Vide">#REF!</definedName>
    <definedName name="CLASSEU">#REF!</definedName>
    <definedName name="Classeur2_000__2__Liste">#REF!</definedName>
    <definedName name="Client_données">#REF!</definedName>
    <definedName name="ConsMask">#REF!</definedName>
    <definedName name="ContribFonciere">#REF!</definedName>
    <definedName name="CTEX20Plein">#REF!</definedName>
    <definedName name="CTEX20Vide">#REF!</definedName>
    <definedName name="CTEX40Plein">#REF!</definedName>
    <definedName name="CTEX40Vide">#REF!</definedName>
    <definedName name="CTIM20Plein">#REF!</definedName>
    <definedName name="CTIM20Vide">#REF!</definedName>
    <definedName name="CTIM40Plein">#REF!</definedName>
    <definedName name="CTIM40Vide">#REF!</definedName>
    <definedName name="CTRS20Plein">#REF!</definedName>
    <definedName name="CTRS20Vide">#REF!</definedName>
    <definedName name="CTRS40Plein">#REF!</definedName>
    <definedName name="CTRS40Vide">#REF!</definedName>
    <definedName name="D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Date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dd" hidden="1">{"10yp tariffs",#N/A,FALSE,"Celtel alternative 6"}</definedName>
    <definedName name="dddddd" hidden="1">{"10yp profit and loss",#N/A,FALSE,"Celtel alternative 6"}</definedName>
    <definedName name="delete" hidden="1">{"STMT OF CASH FLOWS",#N/A,FALSE,"Cash Flows Indirect"}</definedName>
    <definedName name="delete2" hidden="1">{"BALANCE SHEET ACCTS",#N/A,TRUE,"Working Trial Balance";"INCOME STMT ACCTS",#N/A,TRUE,"Working Trial Balance"}</definedName>
    <definedName name="Dépenses_cm">#REF!</definedName>
    <definedName name="DevOutput">#REF!</definedName>
    <definedName name="df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DiscountMask">#REF!</definedName>
    <definedName name="Dividend">#REF!</definedName>
    <definedName name="Dragage">#REF!</definedName>
    <definedName name="dsfhkgfhflhglffgfhghgfhfd" hidden="1">#REF!</definedName>
    <definedName name="eeeee" hidden="1">{"budget992000 tariff and usage",#N/A,FALSE,"Celtel alternative 6"}</definedName>
    <definedName name="EMPRUNTS">#REF!</definedName>
    <definedName name="End_Bal">#REF!</definedName>
    <definedName name="etat_facturation_données">#REF!</definedName>
    <definedName name="etat_facturation_suivi_créance">#REF!</definedName>
    <definedName name="Etat_subvention_donnée">#REF!</definedName>
    <definedName name="Etat_suivi_subv">#REF!</definedName>
    <definedName name="EURFCFA">#REF!</definedName>
    <definedName name="ExplAnnee">#REF!</definedName>
    <definedName name="ExplMask">#REF!</definedName>
    <definedName name="fdf" hidden="1">#REF!</definedName>
    <definedName name="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" hidden="1">{#N/A,#N/A,FALSE,"INPUTS";#N/A,#N/A,FALSE,"PROFORMA BSHEET";#N/A,#N/A,FALSE,"COMBINED";#N/A,#N/A,FALSE,"HIGH YIELD";#N/A,#N/A,FALSE,"COMB_GRAPHS"}</definedName>
    <definedName name="ffff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gh" hidden="1">{#N/A,#N/A,FALSE,"YPF"}</definedName>
    <definedName name="fghj" hidden="1">{"quarter",#N/A,FALSE,"MOB"}</definedName>
    <definedName name="fghjk" hidden="1">{"a",#N/A,FALSE,"Fact Sheet";"a",#N/A,FALSE,"DCFEVA";"a",#N/A,FALSE,"Statements";"a",#N/A,FALSE,"Quarterly";"a",#N/A,FALSE,"Q Grid";"a",#N/A,FALSE,"Stockval";"a",#N/A,FALSE,"DDM"}</definedName>
    <definedName name="fhgkljrhfiuhbgfnkjbniftugbfhgfhhgfhjfoighj" hidden="1">{"quarter",#N/A,FALSE,"MOB"}</definedName>
    <definedName name="Financeurs_données">#REF!</definedName>
    <definedName name="FiscaliteIncitative">#REF!</definedName>
    <definedName name="fjdlkjgfdijhghgrtuhgkjngbgurtluhgkjnjhuglkjjior" hidden="1">{#N/A,#N/A,FALSE,"YPF"}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ull_Print">#REF!</definedName>
    <definedName name="gfhlkjlfdskhdidfuhitr" hidden="1">#REF!</definedName>
    <definedName name="ggggg" hidden="1">{"budget992000_customers",#N/A,FALSE,"Celtel alternative 6"}</definedName>
    <definedName name="ggggggg" hidden="1">{"budget992000 profit and loss",#N/A,FALSE,"Celtel alternative 6"}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raph" hidden="1">#REF!</definedName>
    <definedName name="GRAPH1" hidden="1">#REF!</definedName>
    <definedName name="Header_Row">ROW(#REF!)</definedName>
    <definedName name="hfdkhgfdsklhldsfkj" hidden="1">#REF!</definedName>
    <definedName name="hhftt" hidden="1">{"WEO",#N/A,FALSE,"T"}</definedName>
    <definedName name="hine" hidden="1">#REF!</definedName>
    <definedName name="hine2" hidden="1">#REF!</definedName>
    <definedName name="hjgjfkdsgkdjsgkhdsgkgfkjdsgkurgfhbvyuryvhbjf" hidden="1">{"a",#N/A,FALSE,"Fact Sheet";"a",#N/A,FALSE,"DCFEVA";"a",#N/A,FALSE,"Statements";"a",#N/A,FALSE,"Quarterly";"a",#N/A,FALSE,"Q Grid";"a",#N/A,FALSE,"Stockval";"a",#N/A,FALSE,"DDM"}</definedName>
    <definedName name="hu" hidden="1">#REF!</definedName>
    <definedName name="i" hidden="1">{"Qtr Op Mgd Q3",#N/A,FALSE,"Qtr-Op (Mng)";"Qtr Op Rpt Q3",#N/A,FALSE,"Qtr-Op (Rpt)";"Operating Vs Reported",#N/A,FALSE,"Rpt-Op Inc"}</definedName>
    <definedName name="ik" hidden="1">#REF!</definedName>
    <definedName name="IndexCons">#REF!</definedName>
    <definedName name="IndexCPI">#REF!</definedName>
    <definedName name="IndexEquipmt">#REF!</definedName>
    <definedName name="IndexRedevFixe">#REF!</definedName>
    <definedName name="IndexRedevFixe2">#REF!</definedName>
    <definedName name="IndexRedevVar">#REF!</definedName>
    <definedName name="IndexSalary">#REF!</definedName>
    <definedName name="IndexTarif">#REF!</definedName>
    <definedName name="Interest_Rate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THOM" hidden="1">"c5186"</definedName>
    <definedName name="IQ_EST_FFO_GROWTH_1YR" hidden="1">"c4425"</definedName>
    <definedName name="IQ_EST_FFO_GROWTH_1YR_THOM" hidden="1">"c5170"</definedName>
    <definedName name="IQ_EST_FFO_GROWTH_2YR" hidden="1">"c4426"</definedName>
    <definedName name="IQ_EST_FFO_GROWTH_2YR_THOM" hidden="1">"c5171"</definedName>
    <definedName name="IQ_EST_FFO_GROWTH_Q_1YR" hidden="1">"c4427"</definedName>
    <definedName name="IQ_EST_FFO_GROWTH_Q_1YR_THOM" hidden="1">"c5172"</definedName>
    <definedName name="IQ_EST_FFO_SEQ_GROWTH_Q" hidden="1">"c4428"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"c4448"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THOM" hidden="1">"c4000"</definedName>
    <definedName name="IQ_FFO_NUM_EST" hidden="1">"c4451"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39947.0941898148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j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K" hidden="1">#REF!</definedName>
    <definedName name="kano" hidden="1">#REF!</definedName>
    <definedName name="KKH">#REF!</definedName>
    <definedName name="ko" hidden="1">#REF!</definedName>
    <definedName name="Last_Row">#N/A</definedName>
    <definedName name="LayoutScenario">#REF!</definedName>
    <definedName name="LEGAL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imcount" hidden="1">1</definedName>
    <definedName name="Loan_Amount">#REF!</definedName>
    <definedName name="Loan_Start">#REF!</definedName>
    <definedName name="Loan_Years">#REF!</definedName>
    <definedName name="m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ode_paiement_données">#REF!</definedName>
    <definedName name="Montant_suivi_créance">#REF!</definedName>
    <definedName name="Montant_suivi_subv">#REF!</definedName>
    <definedName name="n">#REF!</definedName>
    <definedName name="nathan">#REF!</definedName>
    <definedName name="nb">#REF!</definedName>
    <definedName name="newbel" hidden="1">{"IS",#N/A,FALSE,"IS";"RPTIS",#N/A,FALSE,"RPTIS";"STATS",#N/A,FALSE,"STATS";"CELL",#N/A,FALSE,"CELL";"BS",#N/A,FALSE,"BS"}</definedName>
    <definedName name="Number_of_Payments">MATCH(0.01,Last_Row,-1)+1</definedName>
    <definedName name="nv" hidden="1">#REF!</definedName>
    <definedName name="P">#REF!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tenteCA">#REF!</definedName>
    <definedName name="PatenteImmo">#REF!</definedName>
    <definedName name="Payment_Date">#N/A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pp" hidden="1">#REF!</definedName>
    <definedName name="Print_Area_Reset">OFFSET(Loan_Start,0,0,Payment_Date)</definedName>
    <definedName name="ProjAnnee">#REF!</definedName>
    <definedName name="ProjMask">#REF!</definedName>
    <definedName name="PUB_FileID" hidden="1">"L10003649.xls"</definedName>
    <definedName name="PUB_UserID" hidden="1">"MAYERX"</definedName>
    <definedName name="q" hidden="1">{"Qtr Op Mgd Q2",#N/A,FALSE,"Qtr-Op (Mng)";"Qtr Op Rpt Q2",#N/A,FALSE,"Qtr-Op (Rpt)";"Operating Vs Reported",#N/A,FALSE,"Rpt-Op Inc"}</definedName>
    <definedName name="qqq" hidden="1">{#N/A,#N/A,FALSE,"EXTRABUDGT"}</definedName>
    <definedName name="qwer" hidden="1">{0,#N/A,FALSE,0;0,#N/A,FALSE,0;0,#N/A,FALSE,0;0,#N/A,FALSE,0;0,#N/A,FALSE,0}</definedName>
    <definedName name="rapprochement_bancaire_cm">#REF!</definedName>
    <definedName name="RbtCCA">#REF!</definedName>
    <definedName name="Recettes_cm">#REF!</definedName>
    <definedName name="redo" hidden="1">{#N/A,#N/A,FALSE,"ACQ_GRAPHS";#N/A,#N/A,FALSE,"T_1 GRAPHS";#N/A,#N/A,FALSE,"T_2 GRAPHS";#N/A,#N/A,FALSE,"COMB_GRAPHS"}</definedName>
    <definedName name="reiofgoophg" hidden="1">#REF!</definedName>
    <definedName name="rep" hidden="1">{#N/A,#N/A,FALSE,"COVER";#N/A,#N/A,FALSE,"VALUATION";#N/A,#N/A,FALSE,"FORECAST";#N/A,#N/A,FALSE,"FY ANALYSIS ";#N/A,#N/A,FALSE," HY ANALYSIS"}</definedName>
    <definedName name="result">#REF!</definedName>
    <definedName name="RESULTATS">#REF!</definedName>
    <definedName name="rhjaethyer" hidden="1">#REF!</definedName>
    <definedName name="rrrrrr" hidden="1">{"cash plan",#N/A,FALSE,"fccashflow"}</definedName>
    <definedName name="RubriqueComptes_10_A6">#REF!</definedName>
    <definedName name="RubriqueComptes_6_A6">#REF!</definedName>
    <definedName name="RubriqueComptes_8_A6">#REF!</definedName>
    <definedName name="RubriqueComptes_9_A6">#REF!</definedName>
    <definedName name="S" hidden="1">#REF!</definedName>
    <definedName name="S1100000">#REF!</definedName>
    <definedName name="S1200000">#REF!</definedName>
    <definedName name="S1500000">#REF!</definedName>
    <definedName name="SalairesData">#REF!</definedName>
    <definedName name="SAPBEXhrIndnt" hidden="1">1</definedName>
    <definedName name="SAPBEXrevision" hidden="1">1</definedName>
    <definedName name="SAPBEXsysID" hidden="1">"HSP"</definedName>
    <definedName name="SAPBEXwbID" hidden="1">"69MQ1FSC8GF2EKDSUF2AD3KRW"</definedName>
    <definedName name="sdfhs" hidden="1">#REF!</definedName>
    <definedName name="sencount" hidden="1">2</definedName>
    <definedName name="SensEquipmt">#REF!</definedName>
    <definedName name="SensInfra">#REF!</definedName>
    <definedName name="SensOpex">#REF!</definedName>
    <definedName name="SensSuper">#REF!</definedName>
    <definedName name="SensTarif">#REF!</definedName>
    <definedName name="SensTrafic">#REF!</definedName>
    <definedName name="SimulIndexees">#REF!</definedName>
    <definedName name="solver_adj" hidden="1">#REF!,#REF!,#REF!,#REF!,#REF!,#REF!,#REF!,#REF!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3" hidden="1">#REF!</definedName>
    <definedName name="solver_lhs4" hidden="1">#REF!</definedName>
    <definedName name="solver_lhs5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3</definedName>
    <definedName name="solver_rel3" hidden="1">1</definedName>
    <definedName name="solver_rel4" hidden="1">3</definedName>
    <definedName name="solver_rel5" hidden="1">1</definedName>
    <definedName name="solver_rhs1" hidden="1">#REF!</definedName>
    <definedName name="solver_rhs2" hidden="1">#REF!</definedName>
    <definedName name="solver_rhs3" hidden="1">#REF!</definedName>
    <definedName name="solver_rhs4" hidden="1">#REF!</definedName>
    <definedName name="solver_rhs5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tatJan" hidden="1">#REF!</definedName>
    <definedName name="t">#REF!</definedName>
    <definedName name="T1300000">#REF!</definedName>
    <definedName name="taux">#REF!</definedName>
    <definedName name="TaxCorp">#REF!</definedName>
    <definedName name="TaxeTSE">#REF!</definedName>
    <definedName name="TaxSalaires">#REF!</definedName>
    <definedName name="Test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TextRefCopyRangeCount" hidden="1">41</definedName>
    <definedName name="Total_Payment">#N/A</definedName>
    <definedName name="TrafficScenario">#REF!</definedName>
    <definedName name="Trafic" hidden="1">#REF!</definedName>
    <definedName name="trsdtststsrudt" hidden="1">#REF!</definedName>
    <definedName name="TxCons">#REF!</definedName>
    <definedName name="TxCPI">#REF!</definedName>
    <definedName name="TxDividend">#REF!</definedName>
    <definedName name="TxEnergy">#REF!</definedName>
    <definedName name="TxEquipmt">#REF!</definedName>
    <definedName name="TxRedevFixe">#REF!</definedName>
    <definedName name="TxRedevFixe2">#REF!</definedName>
    <definedName name="TxRedevVar">#REF!</definedName>
    <definedName name="TxSalary">#REF!</definedName>
    <definedName name="TxTarif">#REF!</definedName>
    <definedName name="uuu" hidden="1">#REF!</definedName>
    <definedName name="V">#REF!</definedName>
    <definedName name="Valos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ues_Entered">IF(Payment_Number*Number_of_Payments*RESULTATS*Print_Area_Reset&gt;0,1,0)</definedName>
    <definedName name="Vo">#REF!</definedName>
    <definedName name="w" hidden="1">{"IS",#N/A,FALSE,"IS";"RPTIS",#N/A,FALSE,"RPTIS";"STATS",#N/A,FALSE,"STATS";"CELL",#N/A,FALSE,"CELL";"BS",#N/A,FALSE,"BS"}</definedName>
    <definedName name="wcom" hidden="1">{"IS",#N/A,FALSE,"IS";"RPTIS",#N/A,FALSE,"RPTIS";"STATS",#N/A,FALSE,"STATS";"BS",#N/A,FALSE,"BS"}</definedName>
    <definedName name="werqwe" hidden="1">{0,#N/A,FALSE,0;0,#N/A,FALSE,0;0,#N/A,FALSE,0;0,#N/A,FALSE,0;0,#N/A,FALSE,0}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pages." hidden="1">{#N/A,#N/A,TRUE,"Historicals";#N/A,#N/A,TRUE,"Charts";#N/A,#N/A,TRUE,"Forecasts"}</definedName>
    <definedName name="wrn.Annual." hidden="1">{#N/A,#N/A,FALSE,"YPF"}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BALANCE._.SHEET." hidden="1">{"BALANCE SHEET",#N/A,FALSE,"Balance Sheet"}</definedName>
    <definedName name="wrn.BANKS." hidden="1">{#N/A,#N/A,FALSE,"BANKS"}</definedName>
    <definedName name="wrn.BEL." hidden="1">{"IS",#N/A,FALSE,"IS";"RPTIS",#N/A,FALSE,"RPTIS";"STATS",#N/A,FALSE,"STATS";"CELL",#N/A,FALSE,"CELL";"BS",#N/A,FALSE,"BS"}</definedName>
    <definedName name="wrn.BidCo." hidden="1">{#N/A,#N/A,FALSE,"BidCo Assumptions";#N/A,#N/A,FALSE,"Credit Stats";#N/A,#N/A,FALSE,"Bidco Summary";#N/A,#N/A,FALSE,"BIDCO Consolidated"}</definedName>
    <definedName name="wrn.BOP." hidden="1">{#N/A,#N/A,FALSE,"BOP"}</definedName>
    <definedName name="wrn.BOP_MIDTERM." hidden="1">{"BOP_TAB",#N/A,FALSE,"N";"MIDTERM_TAB",#N/A,FALSE,"O"}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sh._.Flow._.Statement." hidden="1">{"CashPrintArea",#N/A,FALSE,"Cash (c)"}</definedName>
    <definedName name="wrn.Cash._.Plan." hidden="1">{"cash plan",#N/A,FALSE,"fccashflow"}</definedName>
    <definedName name="wrn.CF._.Statement." hidden="1">{"CashPrintArea",#N/A,FALSE,"Cash (c)"}</definedName>
    <definedName name="wrn.COMBINED." hidden="1">{#N/A,#N/A,FALSE,"INPUTS";#N/A,#N/A,FALSE,"PROFORMA BSHEET";#N/A,#N/A,FALSE,"COMBINED";#N/A,#N/A,FALSE,"HIGH YIELD";#N/A,#N/A,FALSE,"COMB_GRAPHS"}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" hidden="1">{#N/A,#N/A,FALSE,"CREDIT"}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ebt." hidden="1">{"debt summary",#N/A,FALSE,"Debt";"loan details",#N/A,FALSE,"Debt"}</definedName>
    <definedName name="wrn.DEBTSVC." hidden="1">{#N/A,#N/A,FALSE,"DEBTSVC"}</definedName>
    <definedName name="wrn.DEPO." hidden="1">{#N/A,#N/A,FALSE,"DEPO"}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Employee._.Efficiency." hidden="1">{"Employee Efficiency",#N/A,FALSE,"Benchmarking"}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Financials." hidden="1">{#N/A,#N/A,TRUE,"Income Statement";#N/A,#N/A,TRUE,"Balance Sheet";#N/A,#N/A,TRUE,"Cash Flow"}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Report." hidden="1">{#N/A,#N/A,FALSE,"COVER";#N/A,#N/A,FALSE,"VALUATION";#N/A,#N/A,FALSE,"FORECAST";#N/A,#N/A,FALSE,"FY ANALYSIS ";#N/A,#N/A,FALSE," HY ANALYSIS"}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Y97SBP." hidden="1">{#N/A,#N/A,FALSE,"FY97";#N/A,#N/A,FALSE,"FY98";#N/A,#N/A,FALSE,"FY99";#N/A,#N/A,FALSE,"FY00";#N/A,#N/A,FALSE,"FY01"}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GRAPHS." hidden="1">{#N/A,#N/A,FALSE,"ACQ_GRAPHS";#N/A,#N/A,FALSE,"T_1 GRAPHS";#N/A,#N/A,FALSE,"T_2 GRAPHS";#N/A,#N/A,FALSE,"COMB_GRAPHS"}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MOBILISATIONS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NCOME._.STATEMENT." hidden="1">{"INCOME STATEMENT",#N/A,FALSE,"Income Statement"}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ST." hidden="1">{#N/A,#N/A,FALSE,"INTERST"}</definedName>
    <definedName name="wrn.Line._.Efficiency." hidden="1">{"Line Efficiency",#N/A,FALSE,"Benchmarking"}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BIL." hidden="1">{"quarter",#N/A,FALSE,"MOB"}</definedName>
    <definedName name="wrn.MONA." hidden="1">{"MONA",#N/A,FALSE,"S"}</definedName>
    <definedName name="wrn.MS." hidden="1">{#N/A,#N/A,FALSE,"MS"}</definedName>
    <definedName name="wrn.mupdate." hidden="1">{#N/A,#N/A,FALSE,"16";#N/A,#N/A,FALSE,"17";#N/A,#N/A,FALSE,"18";#N/A,#N/A,FALSE,"19";#N/A,#N/A,FALSE,"20";#N/A,#N/A,FALSE,"21";#N/A,#N/A,FALSE,"22";#N/A,#N/A,FALSE,"23";#N/A,#N/A,FALSE,"24";#N/A,#N/A,FALSE,"25"}</definedName>
    <definedName name="wrn.NBG." hidden="1">{#N/A,#N/A,FALSE,"NBG"}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.tables." hidden="1">{#N/A,#N/A,FALSE,"I";#N/A,#N/A,FALSE,"J";#N/A,#N/A,FALSE,"K";#N/A,#N/A,FALSE,"L";#N/A,#N/A,FALSE,"M";#N/A,#N/A,FALSE,"N";#N/A,#N/A,FALSE,"O"}</definedName>
    <definedName name="wrn.PARTNERS._.CAPITAL._.STMT." hidden="1">{"PARTNERS CAPITAL STMT",#N/A,FALSE,"Partners Capital"}</definedName>
    <definedName name="wrn.PCPI." hidden="1">{#N/A,#N/A,FALSE,"PCPI"}</definedName>
    <definedName name="wrn.PENSION." hidden="1">{#N/A,#N/A,FALSE,"PENSION"}</definedName>
    <definedName name="wrn.plbscf." hidden="1">{"p_l",#N/A,FALSE,"Summary Accounts"}</definedName>
    <definedName name="wrn.PrimeCo." hidden="1">{"print 1",#N/A,FALSE,"PrimeCo PCS";"print 2",#N/A,FALSE,"PrimeCo PCS";"valuation",#N/A,FALSE,"PrimeCo PCS"}</definedName>
    <definedName name="wrn.Print." hidden="1">{"vi1",#N/A,FALSE,"Financial Statements";"vi2",#N/A,FALSE,"Financial Statements";#N/A,#N/A,FALSE,"DCF"}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All." hidden="1">{"PA1",#N/A,TRUE,"BORDMW";"pa2",#N/A,TRUE,"BORDMW";"PA3",#N/A,TRUE,"BORDMW";"PA4",#N/A,TRUE,"BORDMW"}</definedName>
    <definedName name="wrn.Profitability._.Indicators." hidden="1">{"ProfPrintArea",#N/A,FALSE,"Prof (c)"}</definedName>
    <definedName name="wrn.Project._.Summary." hidden="1">{"Summary",#N/A,FALSE,"MICMULT";"Income Statement",#N/A,FALSE,"MICMULT";"Cash Flows",#N/A,FALSE,"MICMULT"}</definedName>
    <definedName name="wrn.PRUDENT." hidden="1">{#N/A,#N/A,FALSE,"PRUDENT"}</definedName>
    <definedName name="wrn.PUBLEXP." hidden="1">{#N/A,#N/A,FALSE,"PUBLEXP"}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p." hidden="1">{"test",#N/A,FALSE,"Y";"test2",#N/A,FALSE,"Y"}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VSHARE." hidden="1">{#N/A,#N/A,FALSE,"REVSHARE"}</definedName>
    <definedName name="wrn.sales." hidden="1">{"sales",#N/A,FALSE,"Sales";"sales existing",#N/A,FALSE,"Sales";"sales rd1",#N/A,FALSE,"Sales";"sales rd2",#N/A,FALSE,"Sales"}</definedName>
    <definedName name="wrn.sensitivity." hidden="1">{"sensitivity",#N/A,FALSE,"Sensitivity"}</definedName>
    <definedName name="wrn.STATE." hidden="1">{#N/A,#N/A,FALSE,"STATE"}</definedName>
    <definedName name="wrn.STMT._.OF._.CASH._.FLOWS." hidden="1">{"STMT OF CASH FLOWS",#N/A,FALSE,"Cash Flows Indirect"}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ARREARS." hidden="1">{#N/A,#N/A,FALSE,"TAXARREARS"}</definedName>
    <definedName name="wrn.TAXPAYRS." hidden="1">{#N/A,#N/A,FALSE,"TAXPAYRS"}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st.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Wacc." hidden="1">{"Area1",#N/A,FALSE,"OREWACC";"Area2",#N/A,FALSE,"OREWACC"}</definedName>
    <definedName name="wrn.WAGES." hidden="1">{#N/A,#N/A,FALSE,"WAGES"}</definedName>
    <definedName name="wrn.WEO." hidden="1">{"WEO",#N/A,FALSE,"T"}</definedName>
    <definedName name="xxxxx" hidden="1">{"10yp capex",#N/A,FALSE,"Celtel alternative 6"}</definedName>
    <definedName name="xxxxxx" hidden="1">{"10yp graphs",#N/A,FALSE,"Market Data"}</definedName>
    <definedName name="yuuuuuuu" hidden="1">{"ratios",#N/A,FALSE,"Summary Accounts"}</definedName>
    <definedName name="yyyyyy" hidden="1">{"p_l",#N/A,FALSE,"Summary Accounts"}</definedName>
    <definedName name="z" hidden="1">#REF!</definedName>
    <definedName name="Z_60FA13F0_C7AB_11D5_82BE_0060B0F04987_.wvu.Rows" hidden="1">#N/A</definedName>
    <definedName name="Zone_impres_MI">#REF!</definedName>
    <definedName name="ZONE44">#REF!</definedName>
    <definedName name="zz" hidden="1">{#N/A,#N/A,FALSE,"GGOVT2"}</definedName>
    <definedName name="zzzerff" hidden="1">{#N/A,#N/A,FALSE,"WAGES"}</definedName>
    <definedName name="____1__123Graph_AGRAPHIQUE_1A" localSheetId="1" hidden="1">#REF!</definedName>
    <definedName name="____2__123Graph_BGRAPHIQUE_1A" localSheetId="1" hidden="1">#REF!</definedName>
    <definedName name="____3__123Graph_CGRAPHIQUE_1A" localSheetId="1" hidden="1">#REF!</definedName>
    <definedName name="____4__123Graph_DGRAPHIQUE_1A" localSheetId="1" hidden="1">#REF!</definedName>
    <definedName name="____5__123Graph_EGRAPHIQUE_1A" localSheetId="1" hidden="1">#REF!</definedName>
    <definedName name="____6__123Graph_FGRAPHIQUE_1A" localSheetId="1" hidden="1">#REF!</definedName>
    <definedName name="____7__123Graph_XGRAPHIQUE_1A" localSheetId="1" hidden="1">#REF!</definedName>
    <definedName name="___1__123Graph_AGRAPHIQUE_1A" localSheetId="1" hidden="1">#REF!</definedName>
    <definedName name="___10__123Graph_EGRAPHIQUE_1A" localSheetId="1" hidden="1">#REF!</definedName>
    <definedName name="___12__123Graph_FGRAPHIQUE_1A" localSheetId="1" hidden="1">#REF!</definedName>
    <definedName name="___14__123Graph_XGRAPHIQUE_1A" localSheetId="1" hidden="1">#REF!</definedName>
    <definedName name="___2__123Graph_AGRAPHIQUE_1A" localSheetId="1" hidden="1">#REF!</definedName>
    <definedName name="___2__123Graph_BGRAPHIQUE_1A" localSheetId="1" hidden="1">#REF!</definedName>
    <definedName name="___3__123Graph_CGRAPHIQUE_1A" localSheetId="1" hidden="1">#REF!</definedName>
    <definedName name="___4__123Graph_BGRAPHIQUE_1A" localSheetId="1" hidden="1">#REF!</definedName>
    <definedName name="___4__123Graph_DGRAPHIQUE_1A" localSheetId="1" hidden="1">#REF!</definedName>
    <definedName name="___5__123Graph_EGRAPHIQUE_1A" localSheetId="1" hidden="1">#REF!</definedName>
    <definedName name="___6__123Graph_CGRAPHIQUE_1A" localSheetId="1" hidden="1">#REF!</definedName>
    <definedName name="___6__123Graph_FGRAPHIQUE_1A" localSheetId="1" hidden="1">#REF!</definedName>
    <definedName name="___7__123Graph_XGRAPHIQUE_1A" localSheetId="1" hidden="1">#REF!</definedName>
    <definedName name="___8__123Graph_DGRAPHIQUE_1A" localSheetId="1" hidden="1">#REF!</definedName>
    <definedName name="__1__123Graph_AGRAPHIQUE_1A" localSheetId="1" hidden="1">#REF!</definedName>
    <definedName name="__10__123Graph_EGRAPHIQUE_1A" localSheetId="1" hidden="1">#REF!</definedName>
    <definedName name="__12______123Graph_DGRAPHIQUE_1A" localSheetId="1" hidden="1">#REF!</definedName>
    <definedName name="__12__123Graph_DGRAPHIQUE_1A" localSheetId="1" hidden="1">#REF!</definedName>
    <definedName name="__12__123Graph_FGRAPHIQUE_1A" localSheetId="1" hidden="1">#REF!</definedName>
    <definedName name="__123Graph_A" localSheetId="1" hidden="1">#REF!</definedName>
    <definedName name="__123Graph_AA" localSheetId="1" hidden="1">#REF!</definedName>
    <definedName name="__123Graph_AChart1" localSheetId="1" hidden="1">#REF!</definedName>
    <definedName name="__123Graph_ACurrent" localSheetId="1" hidden="1">#REF!</definedName>
    <definedName name="__123Graph_AREER" localSheetId="1" hidden="1">#REF!</definedName>
    <definedName name="__123Graph_B" localSheetId="1" hidden="1">#REF!</definedName>
    <definedName name="__123Graph_BREER" localSheetId="1" hidden="1">#REF!</definedName>
    <definedName name="__123Graph_C" localSheetId="1" hidden="1">#REF!</definedName>
    <definedName name="__123Graph_CREER" localSheetId="1" hidden="1">#REF!</definedName>
    <definedName name="__123Graph_D" localSheetId="1" hidden="1">#REF!</definedName>
    <definedName name="__123Graph_E" localSheetId="1" hidden="1">#REF!</definedName>
    <definedName name="__123Graph_F" localSheetId="1" hidden="1">#REF!</definedName>
    <definedName name="__123Graph_X" localSheetId="1" hidden="1">#REF!</definedName>
    <definedName name="__123Graph_XGATHERING" localSheetId="1" hidden="1">#REF!</definedName>
    <definedName name="__14__123Graph_BGRAPHIQUE_1A" localSheetId="1" hidden="1">#REF!</definedName>
    <definedName name="__14__123Graph_XGRAPHIQUE_1A" localSheetId="1" hidden="1">#REF!</definedName>
    <definedName name="__15______123Graph_EGRAPHIQUE_1A" localSheetId="1" hidden="1">#REF!</definedName>
    <definedName name="__15__123Graph_EGRAPHIQUE_1A" localSheetId="1" hidden="1">#REF!</definedName>
    <definedName name="__18______123Graph_FGRAPHIQUE_1A" localSheetId="1" hidden="1">#REF!</definedName>
    <definedName name="__18__123Graph_FGRAPHIQUE_1A" localSheetId="1" hidden="1">#REF!</definedName>
    <definedName name="__2__123Graph_AGRAPHIQUE_1A" localSheetId="1" hidden="1">#REF!</definedName>
    <definedName name="__2__123Graph_BGRAPHIQUE_1A" localSheetId="1" hidden="1">#REF!</definedName>
    <definedName name="__21______123Graph_XGRAPHIQUE_1A" localSheetId="1" hidden="1">#REF!</definedName>
    <definedName name="__21__123Graph_CGRAPHIQUE_1A" localSheetId="1" hidden="1">#REF!</definedName>
    <definedName name="__21__123Graph_XGRAPHIQUE_1A" localSheetId="1" hidden="1">#REF!</definedName>
    <definedName name="__24_____123Graph_AGRAPHIQUE_1A" localSheetId="1" hidden="1">#REF!</definedName>
    <definedName name="__27_____123Graph_BGRAPHIQUE_1A" localSheetId="1" hidden="1">#REF!</definedName>
    <definedName name="__28__123Graph_DGRAPHIQUE_1A" localSheetId="1" hidden="1">#REF!</definedName>
    <definedName name="__3______123Graph_AGRAPHIQUE_1A" localSheetId="1" hidden="1">#REF!</definedName>
    <definedName name="__3__123Graph_ACPI_ER_LOG" localSheetId="1" hidden="1">#REF!</definedName>
    <definedName name="__3__123Graph_AGRAPHIQUE_1A" localSheetId="1" hidden="1">#REF!</definedName>
    <definedName name="__3__123Graph_CGRAPHIQUE_1A" localSheetId="1" hidden="1">#REF!</definedName>
    <definedName name="__30_____123Graph_CGRAPHIQUE_1A" localSheetId="1" hidden="1">#REF!</definedName>
    <definedName name="__33_____123Graph_DGRAPHIQUE_1A" localSheetId="1" hidden="1">#REF!</definedName>
    <definedName name="__35__123Graph_EGRAPHIQUE_1A" localSheetId="1" hidden="1">#REF!</definedName>
    <definedName name="__36_____123Graph_EGRAPHIQUE_1A" localSheetId="1" hidden="1">#REF!</definedName>
    <definedName name="__39_____123Graph_FGRAPHIQUE_1A" localSheetId="1" hidden="1">#REF!</definedName>
    <definedName name="__4__123Graph_BCPI_ER_LOG" localSheetId="1" hidden="1">#REF!</definedName>
    <definedName name="__4__123Graph_BGRAPHIQUE_1A" localSheetId="1" hidden="1">#REF!</definedName>
    <definedName name="__4__123Graph_DGRAPHIQUE_1A" localSheetId="1" hidden="1">#REF!</definedName>
    <definedName name="__42_____123Graph_XGRAPHIQUE_1A" localSheetId="1" hidden="1">#REF!</definedName>
    <definedName name="__42__123Graph_FGRAPHIQUE_1A" localSheetId="1" hidden="1">#REF!</definedName>
    <definedName name="__45____123Graph_AGRAPHIQUE_1A" localSheetId="1" hidden="1">#REF!</definedName>
    <definedName name="__48____123Graph_BGRAPHIQUE_1A" localSheetId="1" hidden="1">#REF!</definedName>
    <definedName name="__49__123Graph_XGRAPHIQUE_1A" localSheetId="1" hidden="1">#REF!</definedName>
    <definedName name="__5__123Graph_BIBA_IBRD" localSheetId="1" hidden="1">#REF!</definedName>
    <definedName name="__5__123Graph_EGRAPHIQUE_1A" localSheetId="1" hidden="1">#REF!</definedName>
    <definedName name="__51____123Graph_CGRAPHIQUE_1A" localSheetId="1" hidden="1">#REF!</definedName>
    <definedName name="__54____123Graph_DGRAPHIQUE_1A" localSheetId="1" hidden="1">#REF!</definedName>
    <definedName name="__57____123Graph_EGRAPHIQUE_1A" localSheetId="1" hidden="1">#REF!</definedName>
    <definedName name="__6______123Graph_BGRAPHIQUE_1A" localSheetId="1" hidden="1">#REF!</definedName>
    <definedName name="__6__123Graph_BGRAPHIQUE_1A" localSheetId="1" hidden="1">#REF!</definedName>
    <definedName name="__6__123Graph_CGRAPHIQUE_1A" localSheetId="1" hidden="1">#REF!</definedName>
    <definedName name="__6__123Graph_FGRAPHIQUE_1A" localSheetId="1" hidden="1">#REF!</definedName>
    <definedName name="__60____123Graph_FGRAPHIQUE_1A" localSheetId="1" hidden="1">#REF!</definedName>
    <definedName name="__63____123Graph_XGRAPHIQUE_1A" localSheetId="1" hidden="1">#REF!</definedName>
    <definedName name="__66___123Graph_AGRAPHIQUE_1A" localSheetId="1" hidden="1">#REF!</definedName>
    <definedName name="__69___123Graph_BGRAPHIQUE_1A" localSheetId="1" hidden="1">#REF!</definedName>
    <definedName name="__7__123Graph_AGRAPHIQUE_1A" localSheetId="1" hidden="1">#REF!</definedName>
    <definedName name="__7__123Graph_XGRAPHIQUE_1A" localSheetId="1" hidden="1">#REF!</definedName>
    <definedName name="__72___123Graph_CGRAPHIQUE_1A" localSheetId="1" hidden="1">#REF!</definedName>
    <definedName name="__75___123Graph_DGRAPHIQUE_1A" localSheetId="1" hidden="1">#REF!</definedName>
    <definedName name="__78___123Graph_EGRAPHIQUE_1A" localSheetId="1" hidden="1">#REF!</definedName>
    <definedName name="__8__123Graph_DGRAPHIQUE_1A" localSheetId="1" hidden="1">#REF!</definedName>
    <definedName name="__81___123Graph_FGRAPHIQUE_1A" localSheetId="1" hidden="1">#REF!</definedName>
    <definedName name="__84___123Graph_XGRAPHIQUE_1A" localSheetId="1" hidden="1">#REF!</definedName>
    <definedName name="__9______123Graph_CGRAPHIQUE_1A" localSheetId="1" hidden="1">#REF!</definedName>
    <definedName name="__9__123Graph_CGRAPHIQUE_1A" localSheetId="1" hidden="1">#REF!</definedName>
    <definedName name="_1__________________________________________123Graph_AGRAPHIQUE_1A" localSheetId="1" hidden="1">#REF!</definedName>
    <definedName name="_1______________________123Graph_AGRAPHIQUE_1A" localSheetId="1" hidden="1">#REF!</definedName>
    <definedName name="_1__123Graph_AGRAPHIQUE_1A" localSheetId="1" hidden="1">#REF!</definedName>
    <definedName name="_10_________________________________________123Graph_CGRAPHIQUE_1A" localSheetId="1" hidden="1">#REF!</definedName>
    <definedName name="_10_____________________123Graph_CGRAPHIQUE_1A" localSheetId="1" hidden="1">#REF!</definedName>
    <definedName name="_10______123Graph_EGRAPHIQUE_1A" localSheetId="1" hidden="1">#REF!</definedName>
    <definedName name="_10__123Graph_AR_M_VOLUMES" localSheetId="1" hidden="1">#REF!</definedName>
    <definedName name="_10__123Graph_BGRAPHIQUE_1A" localSheetId="1" hidden="1">#REF!</definedName>
    <definedName name="_10__123Graph_EGRAPHIQUE_1A" localSheetId="1" hidden="1">#REF!</definedName>
    <definedName name="_100____________________________123Graph_BGRAPHIQUE_1A" localSheetId="1" hidden="1">#REF!</definedName>
    <definedName name="_100________123Graph_BGRAPHIQUE_1A" localSheetId="1" hidden="1">#REF!</definedName>
    <definedName name="_101____________________________123Graph_CGRAPHIQUE_1A" localSheetId="1" hidden="1">#REF!</definedName>
    <definedName name="_101________123Graph_CGRAPHIQUE_1A" localSheetId="1" hidden="1">#REF!</definedName>
    <definedName name="_102____________________________123Graph_DGRAPHIQUE_1A" localSheetId="1" hidden="1">#REF!</definedName>
    <definedName name="_102________123Graph_DGRAPHIQUE_1A" localSheetId="1" hidden="1">#REF!</definedName>
    <definedName name="_103____________________________123Graph_EGRAPHIQUE_1A" localSheetId="1" hidden="1">#REF!</definedName>
    <definedName name="_103________123Graph_EGRAPHIQUE_1A" localSheetId="1" hidden="1">#REF!</definedName>
    <definedName name="_104____________________________123Graph_FGRAPHIQUE_1A" localSheetId="1" hidden="1">#REF!</definedName>
    <definedName name="_104________123Graph_FGRAPHIQUE_1A" localSheetId="1" hidden="1">#REF!</definedName>
    <definedName name="_105____________________________123Graph_XGRAPHIQUE_1A" localSheetId="1" hidden="1">#REF!</definedName>
    <definedName name="_105________123Graph_XGRAPHIQUE_1A" localSheetId="1" hidden="1">#REF!</definedName>
    <definedName name="_106___________________________123Graph_AGRAPHIQUE_1A" localSheetId="1" hidden="1">#REF!</definedName>
    <definedName name="_106_______123Graph_AGRAPHIQUE_1A" localSheetId="1" hidden="1">#REF!</definedName>
    <definedName name="_107___________________________123Graph_BGRAPHIQUE_1A" localSheetId="1" hidden="1">#REF!</definedName>
    <definedName name="_107_______123Graph_BGRAPHIQUE_1A" localSheetId="1" hidden="1">#REF!</definedName>
    <definedName name="_108___________________________123Graph_CGRAPHIQUE_1A" localSheetId="1" hidden="1">#REF!</definedName>
    <definedName name="_108_______123Graph_CGRAPHIQUE_1A" localSheetId="1" hidden="1">#REF!</definedName>
    <definedName name="_109___________________________123Graph_DGRAPHIQUE_1A" localSheetId="1" hidden="1">#REF!</definedName>
    <definedName name="_109_______123Graph_DGRAPHIQUE_1A" localSheetId="1" hidden="1">#REF!</definedName>
    <definedName name="_11_________________________________________123Graph_DGRAPHIQUE_1A" localSheetId="1" hidden="1">#REF!</definedName>
    <definedName name="_11_____________________123Graph_DGRAPHIQUE_1A" localSheetId="1" hidden="1">#REF!</definedName>
    <definedName name="_11__123Graph_BR_M_MARGINS" localSheetId="1" hidden="1">#REF!</definedName>
    <definedName name="_110___________________________123Graph_EGRAPHIQUE_1A" localSheetId="1" hidden="1">#REF!</definedName>
    <definedName name="_110_______123Graph_EGRAPHIQUE_1A" localSheetId="1" hidden="1">#REF!</definedName>
    <definedName name="_111___________________________123Graph_FGRAPHIQUE_1A" localSheetId="1" hidden="1">#REF!</definedName>
    <definedName name="_111_______123Graph_FGRAPHIQUE_1A" localSheetId="1" hidden="1">#REF!</definedName>
    <definedName name="_112___________________________123Graph_XGRAPHIQUE_1A" localSheetId="1" hidden="1">#REF!</definedName>
    <definedName name="_112_______123Graph_XGRAPHIQUE_1A" localSheetId="1" hidden="1">#REF!</definedName>
    <definedName name="_113__________________________123Graph_AGRAPHIQUE_1A" localSheetId="1" hidden="1">#REF!</definedName>
    <definedName name="_113______123Graph_AGRAPHIQUE_1A" localSheetId="1" hidden="1">#REF!</definedName>
    <definedName name="_114__________________________123Graph_BGRAPHIQUE_1A" localSheetId="1" hidden="1">#REF!</definedName>
    <definedName name="_114______123Graph_BGRAPHIQUE_1A" localSheetId="1" hidden="1">#REF!</definedName>
    <definedName name="_115__________________________123Graph_CGRAPHIQUE_1A" localSheetId="1" hidden="1">#REF!</definedName>
    <definedName name="_115______123Graph_CGRAPHIQUE_1A" localSheetId="1" hidden="1">#REF!</definedName>
    <definedName name="_116__________________________123Graph_DGRAPHIQUE_1A" localSheetId="1" hidden="1">#REF!</definedName>
    <definedName name="_116______123Graph_DGRAPHIQUE_1A" localSheetId="1" hidden="1">#REF!</definedName>
    <definedName name="_117__________________________123Graph_EGRAPHIQUE_1A" localSheetId="1" hidden="1">#REF!</definedName>
    <definedName name="_117______123Graph_EGRAPHIQUE_1A" localSheetId="1" hidden="1">#REF!</definedName>
    <definedName name="_118__________________________123Graph_FGRAPHIQUE_1A" localSheetId="1" hidden="1">#REF!</definedName>
    <definedName name="_118______123Graph_FGRAPHIQUE_1A" localSheetId="1" hidden="1">#REF!</definedName>
    <definedName name="_119__________________________123Graph_XGRAPHIQUE_1A" localSheetId="1" hidden="1">#REF!</definedName>
    <definedName name="_119______123Graph_XGRAPHIQUE_1A" localSheetId="1" hidden="1">#REF!</definedName>
    <definedName name="_12_________________________________________123Graph_EGRAPHIQUE_1A" localSheetId="1" hidden="1">#REF!</definedName>
    <definedName name="_12_____________________123Graph_EGRAPHIQUE_1A" localSheetId="1" hidden="1">#REF!</definedName>
    <definedName name="_12______123Graph_DGRAPHIQUE_1A" localSheetId="1" hidden="1">#REF!</definedName>
    <definedName name="_12______123Graph_FGRAPHIQUE_1A" localSheetId="1" hidden="1">#REF!</definedName>
    <definedName name="_12__123Graph_BR_M_VOLUMES" localSheetId="1" hidden="1">#REF!</definedName>
    <definedName name="_12__123Graph_CGRAPHIQUE_1A" localSheetId="1" hidden="1">#REF!</definedName>
    <definedName name="_12__123Graph_DGRAPHIQUE_1A" localSheetId="1" hidden="1">#REF!</definedName>
    <definedName name="_12__123Graph_FGRAPHIQUE_1A" localSheetId="1" hidden="1">#REF!</definedName>
    <definedName name="_120_________________________123Graph_AGRAPHIQUE_1A" localSheetId="1" hidden="1">#REF!</definedName>
    <definedName name="_120_____123Graph_AGRAPHIQUE_1A" localSheetId="1" hidden="1">#REF!</definedName>
    <definedName name="_121_________________________123Graph_BGRAPHIQUE_1A" localSheetId="1" hidden="1">#REF!</definedName>
    <definedName name="_121_____123Graph_BGRAPHIQUE_1A" localSheetId="1" hidden="1">#REF!</definedName>
    <definedName name="_122_________________________123Graph_CGRAPHIQUE_1A" localSheetId="1" hidden="1">#REF!</definedName>
    <definedName name="_122_____123Graph_CGRAPHIQUE_1A" localSheetId="1" hidden="1">#REF!</definedName>
    <definedName name="_123_________________________123Graph_DGRAPHIQUE_1A" localSheetId="1" hidden="1">#REF!</definedName>
    <definedName name="_123_____123Graph_DGRAPHIQUE_1A" localSheetId="1" hidden="1">#REF!</definedName>
    <definedName name="_124_________________________123Graph_EGRAPHIQUE_1A" localSheetId="1" hidden="1">#REF!</definedName>
    <definedName name="_124_____123Graph_EGRAPHIQUE_1A" localSheetId="1" hidden="1">#REF!</definedName>
    <definedName name="_125_________________________123Graph_FGRAPHIQUE_1A" localSheetId="1" hidden="1">#REF!</definedName>
    <definedName name="_125_____123Graph_FGRAPHIQUE_1A" localSheetId="1" hidden="1">#REF!</definedName>
    <definedName name="_126_________________________123Graph_XGRAPHIQUE_1A" localSheetId="1" hidden="1">#REF!</definedName>
    <definedName name="_126_____123Graph_XGRAPHIQUE_1A" localSheetId="1" hidden="1">#REF!</definedName>
    <definedName name="_127________________________123Graph_AGRAPHIQUE_1A" localSheetId="1" hidden="1">#REF!</definedName>
    <definedName name="_127____123Graph_AGRAPHIQUE_1A" localSheetId="1" hidden="1">#REF!</definedName>
    <definedName name="_128________________________123Graph_BGRAPHIQUE_1A" localSheetId="1" hidden="1">#REF!</definedName>
    <definedName name="_128____123Graph_BGRAPHIQUE_1A" localSheetId="1" hidden="1">#REF!</definedName>
    <definedName name="_129________________________123Graph_CGRAPHIQUE_1A" localSheetId="1" hidden="1">#REF!</definedName>
    <definedName name="_129____123Graph_CGRAPHIQUE_1A" localSheetId="1" hidden="1">#REF!</definedName>
    <definedName name="_13_________________________________________123Graph_FGRAPHIQUE_1A" localSheetId="1" hidden="1">#REF!</definedName>
    <definedName name="_13_____________________123Graph_FGRAPHIQUE_1A" localSheetId="1" hidden="1">#REF!</definedName>
    <definedName name="_13__123Graph_XR_M_MARGINS" localSheetId="1" hidden="1">#REF!</definedName>
    <definedName name="_130________________________123Graph_DGRAPHIQUE_1A" localSheetId="1" hidden="1">#REF!</definedName>
    <definedName name="_130____123Graph_DGRAPHIQUE_1A" localSheetId="1" hidden="1">#REF!</definedName>
    <definedName name="_131________________________123Graph_EGRAPHIQUE_1A" localSheetId="1" hidden="1">#REF!</definedName>
    <definedName name="_131____123Graph_EGRAPHIQUE_1A" localSheetId="1" hidden="1">#REF!</definedName>
    <definedName name="_132________________________123Graph_FGRAPHIQUE_1A" localSheetId="1" hidden="1">#REF!</definedName>
    <definedName name="_132____123Graph_FGRAPHIQUE_1A" localSheetId="1" hidden="1">#REF!</definedName>
    <definedName name="_133________________________123Graph_XGRAPHIQUE_1A" localSheetId="1" hidden="1">#REF!</definedName>
    <definedName name="_133____123Graph_XGRAPHIQUE_1A" localSheetId="1" hidden="1">#REF!</definedName>
    <definedName name="_134_______________________123Graph_AGRAPHIQUE_1A" localSheetId="1" hidden="1">#REF!</definedName>
    <definedName name="_134___123Graph_AGRAPHIQUE_1A" localSheetId="1" hidden="1">#REF!</definedName>
    <definedName name="_135_______________________123Graph_BGRAPHIQUE_1A" localSheetId="1" hidden="1">#REF!</definedName>
    <definedName name="_135___123Graph_BGRAPHIQUE_1A" localSheetId="1" hidden="1">#REF!</definedName>
    <definedName name="_136_______________________123Graph_CGRAPHIQUE_1A" localSheetId="1" hidden="1">#REF!</definedName>
    <definedName name="_136___123Graph_CGRAPHIQUE_1A" localSheetId="1" hidden="1">#REF!</definedName>
    <definedName name="_137_______________________123Graph_DGRAPHIQUE_1A" localSheetId="1" hidden="1">#REF!</definedName>
    <definedName name="_137___123Graph_DGRAPHIQUE_1A" localSheetId="1" hidden="1">#REF!</definedName>
    <definedName name="_138_______________________123Graph_EGRAPHIQUE_1A" localSheetId="1" hidden="1">#REF!</definedName>
    <definedName name="_138___123Graph_EGRAPHIQUE_1A" localSheetId="1" hidden="1">#REF!</definedName>
    <definedName name="_139_______________________123Graph_FGRAPHIQUE_1A" localSheetId="1" hidden="1">#REF!</definedName>
    <definedName name="_139___123Graph_FGRAPHIQUE_1A" localSheetId="1" hidden="1">#REF!</definedName>
    <definedName name="_14_________________________________________123Graph_XGRAPHIQUE_1A" localSheetId="1" hidden="1">#REF!</definedName>
    <definedName name="_14_____________________123Graph_XGRAPHIQUE_1A" localSheetId="1" hidden="1">#REF!</definedName>
    <definedName name="_14______123Graph_XGRAPHIQUE_1A" localSheetId="1" hidden="1">#REF!</definedName>
    <definedName name="_14__123Graph_BGRAPHIQUE_1A" localSheetId="1" hidden="1">#REF!</definedName>
    <definedName name="_14__123Graph_XGRAPHIQUE_1A" localSheetId="1" hidden="1">#REF!</definedName>
    <definedName name="_14__123Graph_XR_M_VOLUMES" localSheetId="1" hidden="1">#REF!</definedName>
    <definedName name="_140_______________________123Graph_XGRAPHIQUE_1A" localSheetId="1" hidden="1">#REF!</definedName>
    <definedName name="_140___123Graph_XGRAPHIQUE_1A" localSheetId="1" hidden="1">#REF!</definedName>
    <definedName name="_141______________________123Graph_AGRAPHIQUE_1A" localSheetId="1" hidden="1">#REF!</definedName>
    <definedName name="_142______________________123Graph_BGRAPHIQUE_1A" localSheetId="1" hidden="1">#REF!</definedName>
    <definedName name="_143______________________123Graph_CGRAPHIQUE_1A" localSheetId="1" hidden="1">#REF!</definedName>
    <definedName name="_144______________________123Graph_DGRAPHIQUE_1A" localSheetId="1" hidden="1">#REF!</definedName>
    <definedName name="_145______________________123Graph_EGRAPHIQUE_1A" localSheetId="1" hidden="1">#REF!</definedName>
    <definedName name="_146______________________123Graph_FGRAPHIQUE_1A" localSheetId="1" hidden="1">#REF!</definedName>
    <definedName name="_147______________________123Graph_XGRAPHIQUE_1A" localSheetId="1" hidden="1">#REF!</definedName>
    <definedName name="_148_____________________123Graph_AGRAPHIQUE_1A" localSheetId="1" hidden="1">#REF!</definedName>
    <definedName name="_149_____________________123Graph_BGRAPHIQUE_1A" localSheetId="1" hidden="1">#REF!</definedName>
    <definedName name="_15________________________________________123Graph_AGRAPHIQUE_1A" localSheetId="1" hidden="1">#REF!</definedName>
    <definedName name="_15____________________123Graph_AGRAPHIQUE_1A" localSheetId="1" hidden="1">#REF!</definedName>
    <definedName name="_15______123Graph_EGRAPHIQUE_1A" localSheetId="1" hidden="1">#REF!</definedName>
    <definedName name="_15__123Graph_CGRAPHIQUE_1A" localSheetId="1" hidden="1">#REF!</definedName>
    <definedName name="_15__123Graph_EGRAPHIQUE_1A" localSheetId="1" hidden="1">#REF!</definedName>
    <definedName name="_150_____________________123Graph_CGRAPHIQUE_1A" localSheetId="1" hidden="1">#REF!</definedName>
    <definedName name="_151_____________________123Graph_DGRAPHIQUE_1A" localSheetId="1" hidden="1">#REF!</definedName>
    <definedName name="_152_____________________123Graph_EGRAPHIQUE_1A" localSheetId="1" hidden="1">#REF!</definedName>
    <definedName name="_153_____________________123Graph_FGRAPHIQUE_1A" localSheetId="1" hidden="1">#REF!</definedName>
    <definedName name="_154_____________________123Graph_XGRAPHIQUE_1A" localSheetId="1" hidden="1">#REF!</definedName>
    <definedName name="_155____________________123Graph_AGRAPHIQUE_1A" localSheetId="1" hidden="1">#REF!</definedName>
    <definedName name="_156____________________123Graph_BGRAPHIQUE_1A" localSheetId="1" hidden="1">#REF!</definedName>
    <definedName name="_157____________________123Graph_CGRAPHIQUE_1A" localSheetId="1" hidden="1">#REF!</definedName>
    <definedName name="_158____________________123Graph_DGRAPHIQUE_1A" localSheetId="1" hidden="1">#REF!</definedName>
    <definedName name="_159____________________123Graph_EGRAPHIQUE_1A" localSheetId="1" hidden="1">#REF!</definedName>
    <definedName name="_16________________________________________123Graph_BGRAPHIQUE_1A" localSheetId="1" hidden="1">#REF!</definedName>
    <definedName name="_16____________________123Graph_BGRAPHIQUE_1A" localSheetId="1" hidden="1">#REF!</definedName>
    <definedName name="_16_____123Graph_AGRAPHIQUE_1A" localSheetId="1" hidden="1">#REF!</definedName>
    <definedName name="_16__123Graph_DGRAPHIQUE_1A" localSheetId="1" hidden="1">#REF!</definedName>
    <definedName name="_160____________________123Graph_FGRAPHIQUE_1A" localSheetId="1" hidden="1">#REF!</definedName>
    <definedName name="_161____________________123Graph_XGRAPHIQUE_1A" localSheetId="1" hidden="1">#REF!</definedName>
    <definedName name="_162___________________123Graph_AGRAPHIQUE_1A" localSheetId="1" hidden="1">#REF!</definedName>
    <definedName name="_163___________________123Graph_BGRAPHIQUE_1A" localSheetId="1" hidden="1">#REF!</definedName>
    <definedName name="_164___________________123Graph_CGRAPHIQUE_1A" localSheetId="1" hidden="1">#REF!</definedName>
    <definedName name="_165___________________123Graph_DGRAPHIQUE_1A" localSheetId="1" hidden="1">#REF!</definedName>
    <definedName name="_166___________________123Graph_EGRAPHIQUE_1A" localSheetId="1" hidden="1">#REF!</definedName>
    <definedName name="_167___________________123Graph_FGRAPHIQUE_1A" localSheetId="1" hidden="1">#REF!</definedName>
    <definedName name="_168___________________123Graph_XGRAPHIQUE_1A" localSheetId="1" hidden="1">#REF!</definedName>
    <definedName name="_169__________________123Graph_AGRAPHIQUE_1A" localSheetId="1" hidden="1">#REF!</definedName>
    <definedName name="_17________________________________________123Graph_CGRAPHIQUE_1A" localSheetId="1" hidden="1">#REF!</definedName>
    <definedName name="_17____________________123Graph_CGRAPHIQUE_1A" localSheetId="1" hidden="1">#REF!</definedName>
    <definedName name="_170__________________123Graph_BGRAPHIQUE_1A" localSheetId="1" hidden="1">#REF!</definedName>
    <definedName name="_171__________________123Graph_CGRAPHIQUE_1A" localSheetId="1" hidden="1">#REF!</definedName>
    <definedName name="_172__________________123Graph_DGRAPHIQUE_1A" localSheetId="1" hidden="1">#REF!</definedName>
    <definedName name="_173__________________123Graph_EGRAPHIQUE_1A" localSheetId="1" hidden="1">#REF!</definedName>
    <definedName name="_174__________________123Graph_FGRAPHIQUE_1A" localSheetId="1" hidden="1">#REF!</definedName>
    <definedName name="_175__________________123Graph_XGRAPHIQUE_1A" localSheetId="1" hidden="1">#REF!</definedName>
    <definedName name="_176_________________123Graph_AGRAPHIQUE_1A" localSheetId="1" hidden="1">#REF!</definedName>
    <definedName name="_177_________________123Graph_BGRAPHIQUE_1A" localSheetId="1" hidden="1">#REF!</definedName>
    <definedName name="_178_________________123Graph_CGRAPHIQUE_1A" localSheetId="1" hidden="1">#REF!</definedName>
    <definedName name="_179_________________123Graph_DGRAPHIQUE_1A" localSheetId="1" hidden="1">#REF!</definedName>
    <definedName name="_18________________________________________123Graph_DGRAPHIQUE_1A" localSheetId="1" hidden="1">#REF!</definedName>
    <definedName name="_18____________________123Graph_DGRAPHIQUE_1A" localSheetId="1" hidden="1">#REF!</definedName>
    <definedName name="_18______123Graph_FGRAPHIQUE_1A" localSheetId="1" hidden="1">#REF!</definedName>
    <definedName name="_18_____123Graph_BGRAPHIQUE_1A" localSheetId="1" hidden="1">#REF!</definedName>
    <definedName name="_18__123Graph_BGRAPHIQUE_1A" localSheetId="1" hidden="1">#REF!</definedName>
    <definedName name="_18__123Graph_FGRAPHIQUE_1A" localSheetId="1" hidden="1">#REF!</definedName>
    <definedName name="_180_________________123Graph_EGRAPHIQUE_1A" localSheetId="1" hidden="1">#REF!</definedName>
    <definedName name="_181_________________123Graph_FGRAPHIQUE_1A" localSheetId="1" hidden="1">#REF!</definedName>
    <definedName name="_182_________________123Graph_XGRAPHIQUE_1A" localSheetId="1" hidden="1">#REF!</definedName>
    <definedName name="_183________________123Graph_AGRAPHIQUE_1A" localSheetId="1" hidden="1">#REF!</definedName>
    <definedName name="_184________________123Graph_BGRAPHIQUE_1A" localSheetId="1" hidden="1">#REF!</definedName>
    <definedName name="_185________________123Graph_CGRAPHIQUE_1A" localSheetId="1" hidden="1">#REF!</definedName>
    <definedName name="_186________________123Graph_DGRAPHIQUE_1A" localSheetId="1" hidden="1">#REF!</definedName>
    <definedName name="_187________________123Graph_EGRAPHIQUE_1A" localSheetId="1" hidden="1">#REF!</definedName>
    <definedName name="_188________________123Graph_FGRAPHIQUE_1A" localSheetId="1" hidden="1">#REF!</definedName>
    <definedName name="_189________________123Graph_XGRAPHIQUE_1A" localSheetId="1" hidden="1">#REF!</definedName>
    <definedName name="_19________________________________________123Graph_EGRAPHIQUE_1A" localSheetId="1" hidden="1">#REF!</definedName>
    <definedName name="_19____________________123Graph_EGRAPHIQUE_1A" localSheetId="1" hidden="1">#REF!</definedName>
    <definedName name="_190_______________123Graph_AGRAPHIQUE_1A" localSheetId="1" hidden="1">#REF!</definedName>
    <definedName name="_191_______________123Graph_BGRAPHIQUE_1A" localSheetId="1" hidden="1">#REF!</definedName>
    <definedName name="_192_______________123Graph_CGRAPHIQUE_1A" localSheetId="1" hidden="1">#REF!</definedName>
    <definedName name="_193_______________123Graph_DGRAPHIQUE_1A" localSheetId="1" hidden="1">#REF!</definedName>
    <definedName name="_194_______________123Graph_EGRAPHIQUE_1A" localSheetId="1" hidden="1">#REF!</definedName>
    <definedName name="_195_______________123Graph_FGRAPHIQUE_1A" localSheetId="1" hidden="1">#REF!</definedName>
    <definedName name="_196_______________123Graph_XGRAPHIQUE_1A" localSheetId="1" hidden="1">#REF!</definedName>
    <definedName name="_197______________123Graph_AGRAPHIQUE_1A" localSheetId="1" hidden="1">#REF!</definedName>
    <definedName name="_198______________123Graph_BGRAPHIQUE_1A" localSheetId="1" hidden="1">#REF!</definedName>
    <definedName name="_199______________123Graph_CGRAPHIQUE_1A" localSheetId="1" hidden="1">#REF!</definedName>
    <definedName name="_2__________________________________________123Graph_BGRAPHIQUE_1A" localSheetId="1" hidden="1">#REF!</definedName>
    <definedName name="_2______________________123Graph_BGRAPHIQUE_1A" localSheetId="1" hidden="1">#REF!</definedName>
    <definedName name="_2______123Graph_AGRAPHIQUE_1A" localSheetId="1" hidden="1">#REF!</definedName>
    <definedName name="_2__123Graph_AGRAPHIQUE_1A" localSheetId="1" hidden="1">#REF!</definedName>
    <definedName name="_2__123Graph_BGRAPHIQUE_1A" localSheetId="1" hidden="1">#REF!</definedName>
    <definedName name="_20________________________________________123Graph_FGRAPHIQUE_1A" localSheetId="1" hidden="1">#REF!</definedName>
    <definedName name="_20____________________123Graph_FGRAPHIQUE_1A" localSheetId="1" hidden="1">#REF!</definedName>
    <definedName name="_20_____123Graph_CGRAPHIQUE_1A" localSheetId="1" hidden="1">#REF!</definedName>
    <definedName name="_20__123Graph_DGRAPHIQUE_1A" localSheetId="1" hidden="1">#REF!</definedName>
    <definedName name="_20__123Graph_EGRAPHIQUE_1A" localSheetId="1" hidden="1">#REF!</definedName>
    <definedName name="_200______________123Graph_DGRAPHIQUE_1A" localSheetId="1" hidden="1">#REF!</definedName>
    <definedName name="_201______________123Graph_EGRAPHIQUE_1A" localSheetId="1" hidden="1">#REF!</definedName>
    <definedName name="_202______________123Graph_FGRAPHIQUE_1A" localSheetId="1" hidden="1">#REF!</definedName>
    <definedName name="_203______________123Graph_XGRAPHIQUE_1A" localSheetId="1" hidden="1">#REF!</definedName>
    <definedName name="_204_____________123Graph_AGRAPHIQUE_1A" localSheetId="1" hidden="1">#REF!</definedName>
    <definedName name="_205_____________123Graph_BGRAPHIQUE_1A" localSheetId="1" hidden="1">#REF!</definedName>
    <definedName name="_206_____________123Graph_CGRAPHIQUE_1A" localSheetId="1" hidden="1">#REF!</definedName>
    <definedName name="_207_____________123Graph_DGRAPHIQUE_1A" localSheetId="1" hidden="1">#REF!</definedName>
    <definedName name="_208_____________123Graph_EGRAPHIQUE_1A" localSheetId="1" hidden="1">#REF!</definedName>
    <definedName name="_209_____________123Graph_FGRAPHIQUE_1A" localSheetId="1" hidden="1">#REF!</definedName>
    <definedName name="_21________________________________________123Graph_XGRAPHIQUE_1A" localSheetId="1" hidden="1">#REF!</definedName>
    <definedName name="_21____________________123Graph_XGRAPHIQUE_1A" localSheetId="1" hidden="1">#REF!</definedName>
    <definedName name="_21______123Graph_XGRAPHIQUE_1A" localSheetId="1" hidden="1">#REF!</definedName>
    <definedName name="_21__123Graph_CGRAPHIQUE_1A" localSheetId="1" hidden="1">#REF!</definedName>
    <definedName name="_21__123Graph_XGRAPHIQUE_1A" localSheetId="1" hidden="1">#REF!</definedName>
    <definedName name="_210_____________123Graph_XGRAPHIQUE_1A" localSheetId="1" hidden="1">#REF!</definedName>
    <definedName name="_211____________123Graph_AGRAPHIQUE_1A" localSheetId="1" hidden="1">#REF!</definedName>
    <definedName name="_212____________123Graph_BGRAPHIQUE_1A" localSheetId="1" hidden="1">#REF!</definedName>
    <definedName name="_213____________123Graph_CGRAPHIQUE_1A" localSheetId="1" hidden="1">#REF!</definedName>
    <definedName name="_214____________123Graph_DGRAPHIQUE_1A" localSheetId="1" hidden="1">#REF!</definedName>
    <definedName name="_215____________123Graph_EGRAPHIQUE_1A" localSheetId="1" hidden="1">#REF!</definedName>
    <definedName name="_216____________123Graph_FGRAPHIQUE_1A" localSheetId="1" hidden="1">#REF!</definedName>
    <definedName name="_217____________123Graph_XGRAPHIQUE_1A" localSheetId="1" hidden="1">#REF!</definedName>
    <definedName name="_218___________123Graph_AGRAPHIQUE_1A" localSheetId="1" hidden="1">#REF!</definedName>
    <definedName name="_219___________123Graph_BGRAPHIQUE_1A" localSheetId="1" hidden="1">#REF!</definedName>
    <definedName name="_22_______________________________________123Graph_AGRAPHIQUE_1A" localSheetId="1" hidden="1">#REF!</definedName>
    <definedName name="_22___________________123Graph_AGRAPHIQUE_1A" localSheetId="1" hidden="1">#REF!</definedName>
    <definedName name="_22_____123Graph_DGRAPHIQUE_1A" localSheetId="1" hidden="1">#REF!</definedName>
    <definedName name="_220___________123Graph_CGRAPHIQUE_1A" localSheetId="1" hidden="1">#REF!</definedName>
    <definedName name="_221___________123Graph_DGRAPHIQUE_1A" localSheetId="1" hidden="1">#REF!</definedName>
    <definedName name="_222___________123Graph_EGRAPHIQUE_1A" localSheetId="1" hidden="1">#REF!</definedName>
    <definedName name="_223___________123Graph_FGRAPHIQUE_1A" localSheetId="1" hidden="1">#REF!</definedName>
    <definedName name="_224___________123Graph_XGRAPHIQUE_1A" localSheetId="1" hidden="1">#REF!</definedName>
    <definedName name="_225__________123Graph_AGRAPHIQUE_1A" localSheetId="1" hidden="1">#REF!</definedName>
    <definedName name="_226__________123Graph_BGRAPHIQUE_1A" localSheetId="1" hidden="1">#REF!</definedName>
    <definedName name="_227__________123Graph_CGRAPHIQUE_1A" localSheetId="1" hidden="1">#REF!</definedName>
    <definedName name="_228__________123Graph_DGRAPHIQUE_1A" localSheetId="1" hidden="1">#REF!</definedName>
    <definedName name="_229__________123Graph_EGRAPHIQUE_1A" localSheetId="1" hidden="1">#REF!</definedName>
    <definedName name="_23_______________________________________123Graph_BGRAPHIQUE_1A" localSheetId="1" hidden="1">#REF!</definedName>
    <definedName name="_23___________________123Graph_BGRAPHIQUE_1A" localSheetId="1" hidden="1">#REF!</definedName>
    <definedName name="_230__________123Graph_FGRAPHIQUE_1A" localSheetId="1" hidden="1">#REF!</definedName>
    <definedName name="_231__________123Graph_XGRAPHIQUE_1A" localSheetId="1" hidden="1">#REF!</definedName>
    <definedName name="_232_________123Graph_AGRAPHIQUE_1A" localSheetId="1" hidden="1">#REF!</definedName>
    <definedName name="_233_________123Graph_BGRAPHIQUE_1A" localSheetId="1" hidden="1">#REF!</definedName>
    <definedName name="_234_________123Graph_CGRAPHIQUE_1A" localSheetId="1" hidden="1">#REF!</definedName>
    <definedName name="_235_________123Graph_DGRAPHIQUE_1A" localSheetId="1" hidden="1">#REF!</definedName>
    <definedName name="_236_________123Graph_EGRAPHIQUE_1A" localSheetId="1" hidden="1">#REF!</definedName>
    <definedName name="_237_________123Graph_FGRAPHIQUE_1A" localSheetId="1" hidden="1">#REF!</definedName>
    <definedName name="_238_________123Graph_XGRAPHIQUE_1A" localSheetId="1" hidden="1">#REF!</definedName>
    <definedName name="_239________123Graph_AGRAPHIQUE_1A" localSheetId="1" hidden="1">#REF!</definedName>
    <definedName name="_24_______________________________________123Graph_CGRAPHIQUE_1A" localSheetId="1" hidden="1">#REF!</definedName>
    <definedName name="_24___________________123Graph_CGRAPHIQUE_1A" localSheetId="1" hidden="1">#REF!</definedName>
    <definedName name="_24_____123Graph_AGRAPHIQUE_1A" localSheetId="1" hidden="1">#REF!</definedName>
    <definedName name="_24_____123Graph_EGRAPHIQUE_1A" localSheetId="1" hidden="1">#REF!</definedName>
    <definedName name="_24__123Graph_FGRAPHIQUE_1A" localSheetId="1" hidden="1">#REF!</definedName>
    <definedName name="_240________123Graph_BGRAPHIQUE_1A" localSheetId="1" hidden="1">#REF!</definedName>
    <definedName name="_241________123Graph_CGRAPHIQUE_1A" localSheetId="1" hidden="1">#REF!</definedName>
    <definedName name="_242________123Graph_DGRAPHIQUE_1A" localSheetId="1" hidden="1">#REF!</definedName>
    <definedName name="_243________123Graph_EGRAPHIQUE_1A" localSheetId="1" hidden="1">#REF!</definedName>
    <definedName name="_244________123Graph_FGRAPHIQUE_1A" localSheetId="1" hidden="1">#REF!</definedName>
    <definedName name="_245________123Graph_XGRAPHIQUE_1A" localSheetId="1" hidden="1">#REF!</definedName>
    <definedName name="_246_______123Graph_AGRAPHIQUE_1A" localSheetId="1" hidden="1">#REF!</definedName>
    <definedName name="_247_______123Graph_BGRAPHIQUE_1A" localSheetId="1" hidden="1">#REF!</definedName>
    <definedName name="_248_______123Graph_CGRAPHIQUE_1A" localSheetId="1" hidden="1">#REF!</definedName>
    <definedName name="_249_______123Graph_DGRAPHIQUE_1A" localSheetId="1" hidden="1">#REF!</definedName>
    <definedName name="_25_______________________________________123Graph_DGRAPHIQUE_1A" localSheetId="1" hidden="1">#REF!</definedName>
    <definedName name="_25___________________123Graph_DGRAPHIQUE_1A" localSheetId="1" hidden="1">#REF!</definedName>
    <definedName name="_25__123Graph_EGRAPHIQUE_1A" localSheetId="1" hidden="1">#REF!</definedName>
    <definedName name="_250_______123Graph_EGRAPHIQUE_1A" localSheetId="1" hidden="1">#REF!</definedName>
    <definedName name="_251_______123Graph_FGRAPHIQUE_1A" localSheetId="1" hidden="1">#REF!</definedName>
    <definedName name="_252_______123Graph_XGRAPHIQUE_1A" localSheetId="1" hidden="1">#REF!</definedName>
    <definedName name="_253______123Graph_AGRAPHIQUE_1A" localSheetId="1" hidden="1">#REF!</definedName>
    <definedName name="_254______123Graph_BGRAPHIQUE_1A" localSheetId="1" hidden="1">#REF!</definedName>
    <definedName name="_255______123Graph_CGRAPHIQUE_1A" localSheetId="1" hidden="1">#REF!</definedName>
    <definedName name="_256______123Graph_DGRAPHIQUE_1A" localSheetId="1" hidden="1">#REF!</definedName>
    <definedName name="_257______123Graph_EGRAPHIQUE_1A" localSheetId="1" hidden="1">#REF!</definedName>
    <definedName name="_258______123Graph_FGRAPHIQUE_1A" localSheetId="1" hidden="1">#REF!</definedName>
    <definedName name="_259______123Graph_XGRAPHIQUE_1A" localSheetId="1" hidden="1">#REF!</definedName>
    <definedName name="_26_______________________________________123Graph_EGRAPHIQUE_1A" localSheetId="1" hidden="1">#REF!</definedName>
    <definedName name="_26___________________123Graph_EGRAPHIQUE_1A" localSheetId="1" hidden="1">#REF!</definedName>
    <definedName name="_26_____123Graph_FGRAPHIQUE_1A" localSheetId="1" hidden="1">#REF!</definedName>
    <definedName name="_260_____123Graph_AGRAPHIQUE_1A" localSheetId="1" hidden="1">#REF!</definedName>
    <definedName name="_261_____123Graph_BGRAPHIQUE_1A" localSheetId="1" hidden="1">#REF!</definedName>
    <definedName name="_262_____123Graph_CGRAPHIQUE_1A" localSheetId="1" hidden="1">#REF!</definedName>
    <definedName name="_263_____123Graph_DGRAPHIQUE_1A" localSheetId="1" hidden="1">#REF!</definedName>
    <definedName name="_264_____123Graph_EGRAPHIQUE_1A" localSheetId="1" hidden="1">#REF!</definedName>
    <definedName name="_265_____123Graph_FGRAPHIQUE_1A" localSheetId="1" hidden="1">#REF!</definedName>
    <definedName name="_266_____123Graph_XGRAPHIQUE_1A" localSheetId="1" hidden="1">#REF!</definedName>
    <definedName name="_267____123Graph_AGRAPHIQUE_1A" localSheetId="1" hidden="1">#REF!</definedName>
    <definedName name="_268____123Graph_BGRAPHIQUE_1A" localSheetId="1" hidden="1">#REF!</definedName>
    <definedName name="_269____123Graph_CGRAPHIQUE_1A" localSheetId="1" hidden="1">#REF!</definedName>
    <definedName name="_27_______________________________________123Graph_FGRAPHIQUE_1A" localSheetId="1" hidden="1">#REF!</definedName>
    <definedName name="_27___________________123Graph_FGRAPHIQUE_1A" localSheetId="1" hidden="1">#REF!</definedName>
    <definedName name="_27_____123Graph_BGRAPHIQUE_1A" localSheetId="1" hidden="1">#REF!</definedName>
    <definedName name="_27__123Graph_CGRAPHIQUE_1A" localSheetId="1" hidden="1">#REF!</definedName>
    <definedName name="_270____123Graph_DGRAPHIQUE_1A" localSheetId="1" hidden="1">#REF!</definedName>
    <definedName name="_271____123Graph_EGRAPHIQUE_1A" localSheetId="1" hidden="1">#REF!</definedName>
    <definedName name="_272____123Graph_FGRAPHIQUE_1A" localSheetId="1" hidden="1">#REF!</definedName>
    <definedName name="_273____123Graph_XGRAPHIQUE_1A" localSheetId="1" hidden="1">#REF!</definedName>
    <definedName name="_274___123Graph_AGRAPHIQUE_1A" localSheetId="1" hidden="1">#REF!</definedName>
    <definedName name="_275___123Graph_BGRAPHIQUE_1A" localSheetId="1" hidden="1">#REF!</definedName>
    <definedName name="_276___123Graph_CGRAPHIQUE_1A" localSheetId="1" hidden="1">#REF!</definedName>
    <definedName name="_277___123Graph_DGRAPHIQUE_1A" localSheetId="1" hidden="1">#REF!</definedName>
    <definedName name="_278___123Graph_EGRAPHIQUE_1A" localSheetId="1" hidden="1">#REF!</definedName>
    <definedName name="_279___123Graph_FGRAPHIQUE_1A" localSheetId="1" hidden="1">#REF!</definedName>
    <definedName name="_28_______________________________________123Graph_XGRAPHIQUE_1A" localSheetId="1" hidden="1">#REF!</definedName>
    <definedName name="_28___________________123Graph_XGRAPHIQUE_1A" localSheetId="1" hidden="1">#REF!</definedName>
    <definedName name="_28_____123Graph_XGRAPHIQUE_1A" localSheetId="1" hidden="1">#REF!</definedName>
    <definedName name="_28__123Graph_DGRAPHIQUE_1A" localSheetId="1" hidden="1">#REF!</definedName>
    <definedName name="_28__123Graph_XGRAPHIQUE_1A" localSheetId="1" hidden="1">#REF!</definedName>
    <definedName name="_280___123Graph_XGRAPHIQUE_1A" localSheetId="1" hidden="1">#REF!</definedName>
    <definedName name="_281__123Graph_AGRAPHIQUE_1A" localSheetId="1" hidden="1">#REF!</definedName>
    <definedName name="_282__123Graph_AGRAPHIQUE_1A" localSheetId="1" hidden="1">#REF!</definedName>
    <definedName name="_282__123Graph_BGRAPHIQUE_1A" localSheetId="1" hidden="1">#REF!</definedName>
    <definedName name="_283__123Graph_CGRAPHIQUE_1A" localSheetId="1" hidden="1">#REF!</definedName>
    <definedName name="_284__123Graph_BGRAPHIQUE_1A" localSheetId="1" hidden="1">#REF!</definedName>
    <definedName name="_284__123Graph_DGRAPHIQUE_1A" localSheetId="1" hidden="1">#REF!</definedName>
    <definedName name="_285__123Graph_EGRAPHIQUE_1A" localSheetId="1" hidden="1">#REF!</definedName>
    <definedName name="_286__123Graph_CGRAPHIQUE_1A" localSheetId="1" hidden="1">#REF!</definedName>
    <definedName name="_286__123Graph_FGRAPHIQUE_1A" localSheetId="1" hidden="1">#REF!</definedName>
    <definedName name="_287__123Graph_XGRAPHIQUE_1A" localSheetId="1" hidden="1">#REF!</definedName>
    <definedName name="_288__123Graph_DGRAPHIQUE_1A" localSheetId="1" hidden="1">#REF!</definedName>
    <definedName name="_29______________________________________123Graph_AGRAPHIQUE_1A" localSheetId="1" hidden="1">#REF!</definedName>
    <definedName name="_29__________________123Graph_AGRAPHIQUE_1A" localSheetId="1" hidden="1">#REF!</definedName>
    <definedName name="_290__123Graph_EGRAPHIQUE_1A" localSheetId="1" hidden="1">#REF!</definedName>
    <definedName name="_292__123Graph_FGRAPHIQUE_1A" localSheetId="1" hidden="1">#REF!</definedName>
    <definedName name="_294__123Graph_XGRAPHIQUE_1A" localSheetId="1" hidden="1">#REF!</definedName>
    <definedName name="_3__________________________________________123Graph_CGRAPHIQUE_1A" localSheetId="1" hidden="1">#REF!</definedName>
    <definedName name="_3______________________123Graph_CGRAPHIQUE_1A" localSheetId="1" hidden="1">#REF!</definedName>
    <definedName name="_3______123Graph_AGRAPHIQUE_1A" localSheetId="1" hidden="1">#REF!</definedName>
    <definedName name="_3__123Graph_ACPI_ER_LOG" localSheetId="1" hidden="1">#REF!</definedName>
    <definedName name="_3__123Graph_AGRAPHIQUE_1A" localSheetId="1" hidden="1">#REF!</definedName>
    <definedName name="_3__123Graph_CGRAPHIQUE_1A" localSheetId="1" hidden="1">#REF!</definedName>
    <definedName name="_30______________________________________123Graph_BGRAPHIQUE_1A" localSheetId="1" hidden="1">#REF!</definedName>
    <definedName name="_30__________________123Graph_BGRAPHIQUE_1A" localSheetId="1" hidden="1">#REF!</definedName>
    <definedName name="_30_____123Graph_CGRAPHIQUE_1A" localSheetId="1" hidden="1">#REF!</definedName>
    <definedName name="_30____123Graph_AGRAPHIQUE_1A" localSheetId="1" hidden="1">#REF!</definedName>
    <definedName name="_30__123Graph_FGRAPHIQUE_1A" localSheetId="1" hidden="1">#REF!</definedName>
    <definedName name="_31______________________________________123Graph_CGRAPHIQUE_1A" localSheetId="1" hidden="1">#REF!</definedName>
    <definedName name="_31__________________123Graph_CGRAPHIQUE_1A" localSheetId="1" hidden="1">#REF!</definedName>
    <definedName name="_32______________________________________123Graph_DGRAPHIQUE_1A" localSheetId="1" hidden="1">#REF!</definedName>
    <definedName name="_32__________________123Graph_DGRAPHIQUE_1A" localSheetId="1" hidden="1">#REF!</definedName>
    <definedName name="_32____123Graph_BGRAPHIQUE_1A" localSheetId="1" hidden="1">#REF!</definedName>
    <definedName name="_33______________________________________123Graph_EGRAPHIQUE_1A" localSheetId="1" hidden="1">#REF!</definedName>
    <definedName name="_33__________________123Graph_EGRAPHIQUE_1A" localSheetId="1" hidden="1">#REF!</definedName>
    <definedName name="_33_____123Graph_DGRAPHIQUE_1A" localSheetId="1" hidden="1">#REF!</definedName>
    <definedName name="_34______________________________________123Graph_FGRAPHIQUE_1A" localSheetId="1" hidden="1">#REF!</definedName>
    <definedName name="_34__________________123Graph_FGRAPHIQUE_1A" localSheetId="1" hidden="1">#REF!</definedName>
    <definedName name="_34____123Graph_CGRAPHIQUE_1A" localSheetId="1" hidden="1">#REF!</definedName>
    <definedName name="_35______________________________________123Graph_XGRAPHIQUE_1A" localSheetId="1" hidden="1">#REF!</definedName>
    <definedName name="_35__________________123Graph_XGRAPHIQUE_1A" localSheetId="1" hidden="1">#REF!</definedName>
    <definedName name="_35__123Graph_EGRAPHIQUE_1A" localSheetId="1" hidden="1">#REF!</definedName>
    <definedName name="_35__123Graph_XGRAPHIQUE_1A" localSheetId="1" hidden="1">#REF!</definedName>
    <definedName name="_36_____________________________________123Graph_AGRAPHIQUE_1A" localSheetId="1" hidden="1">#REF!</definedName>
    <definedName name="_36_________________123Graph_AGRAPHIQUE_1A" localSheetId="1" hidden="1">#REF!</definedName>
    <definedName name="_36_____123Graph_EGRAPHIQUE_1A" localSheetId="1" hidden="1">#REF!</definedName>
    <definedName name="_36____123Graph_DGRAPHIQUE_1A" localSheetId="1" hidden="1">#REF!</definedName>
    <definedName name="_36__123Graph_DGRAPHIQUE_1A" localSheetId="1" hidden="1">#REF!</definedName>
    <definedName name="_37_____________________________________123Graph_BGRAPHIQUE_1A" localSheetId="1" hidden="1">#REF!</definedName>
    <definedName name="_37_________________123Graph_BGRAPHIQUE_1A" localSheetId="1" hidden="1">#REF!</definedName>
    <definedName name="_38_____________________________________123Graph_CGRAPHIQUE_1A" localSheetId="1" hidden="1">#REF!</definedName>
    <definedName name="_38_________________123Graph_CGRAPHIQUE_1A" localSheetId="1" hidden="1">#REF!</definedName>
    <definedName name="_38____123Graph_EGRAPHIQUE_1A" localSheetId="1" hidden="1">#REF!</definedName>
    <definedName name="_39_____________________________________123Graph_DGRAPHIQUE_1A" localSheetId="1" hidden="1">#REF!</definedName>
    <definedName name="_39_________________123Graph_DGRAPHIQUE_1A" localSheetId="1" hidden="1">#REF!</definedName>
    <definedName name="_39_____123Graph_FGRAPHIQUE_1A" localSheetId="1" hidden="1">#REF!</definedName>
    <definedName name="_4__________________________________________123Graph_DGRAPHIQUE_1A" localSheetId="1" hidden="1">#REF!</definedName>
    <definedName name="_4______________________123Graph_DGRAPHIQUE_1A" localSheetId="1" hidden="1">#REF!</definedName>
    <definedName name="_4______123Graph_BGRAPHIQUE_1A" localSheetId="1" hidden="1">#REF!</definedName>
    <definedName name="_4__123Graph_AGRAPHIQUE_1A" localSheetId="1" hidden="1">#REF!</definedName>
    <definedName name="_4__123Graph_BCPI_ER_LOG" localSheetId="1" hidden="1">#REF!</definedName>
    <definedName name="_4__123Graph_BGRAPHIQUE_1A" localSheetId="1" hidden="1">#REF!</definedName>
    <definedName name="_4__123Graph_DGRAPHIQUE_1A" localSheetId="1" hidden="1">#REF!</definedName>
    <definedName name="_40_____________________________________123Graph_EGRAPHIQUE_1A" localSheetId="1" hidden="1">#REF!</definedName>
    <definedName name="_40_________________123Graph_EGRAPHIQUE_1A" localSheetId="1" hidden="1">#REF!</definedName>
    <definedName name="_40____123Graph_FGRAPHIQUE_1A" localSheetId="1" hidden="1">#REF!</definedName>
    <definedName name="_41_____________________________________123Graph_FGRAPHIQUE_1A" localSheetId="1" hidden="1">#REF!</definedName>
    <definedName name="_41_________________123Graph_FGRAPHIQUE_1A" localSheetId="1" hidden="1">#REF!</definedName>
    <definedName name="_42_____________________________________123Graph_XGRAPHIQUE_1A" localSheetId="1" hidden="1">#REF!</definedName>
    <definedName name="_42_________________123Graph_XGRAPHIQUE_1A" localSheetId="1" hidden="1">#REF!</definedName>
    <definedName name="_42_____123Graph_XGRAPHIQUE_1A" localSheetId="1" hidden="1">#REF!</definedName>
    <definedName name="_42____123Graph_XGRAPHIQUE_1A" localSheetId="1" hidden="1">#REF!</definedName>
    <definedName name="_42__123Graph_FGRAPHIQUE_1A" localSheetId="1" hidden="1">#REF!</definedName>
    <definedName name="_43____________________________________123Graph_AGRAPHIQUE_1A" localSheetId="1" hidden="1">#REF!</definedName>
    <definedName name="_43________________123Graph_AGRAPHIQUE_1A" localSheetId="1" hidden="1">#REF!</definedName>
    <definedName name="_44____________________________________123Graph_BGRAPHIQUE_1A" localSheetId="1" hidden="1">#REF!</definedName>
    <definedName name="_44________________123Graph_BGRAPHIQUE_1A" localSheetId="1" hidden="1">#REF!</definedName>
    <definedName name="_44___123Graph_AGRAPHIQUE_1A" localSheetId="1" hidden="1">#REF!</definedName>
    <definedName name="_45____________________________________123Graph_CGRAPHIQUE_1A" localSheetId="1" hidden="1">#REF!</definedName>
    <definedName name="_45________________123Graph_CGRAPHIQUE_1A" localSheetId="1" hidden="1">#REF!</definedName>
    <definedName name="_45____123Graph_AGRAPHIQUE_1A" localSheetId="1" hidden="1">#REF!</definedName>
    <definedName name="_45__123Graph_EGRAPHIQUE_1A" localSheetId="1" hidden="1">#REF!</definedName>
    <definedName name="_46____________________________________123Graph_DGRAPHIQUE_1A" localSheetId="1" hidden="1">#REF!</definedName>
    <definedName name="_46________________123Graph_DGRAPHIQUE_1A" localSheetId="1" hidden="1">#REF!</definedName>
    <definedName name="_46___123Graph_BGRAPHIQUE_1A" localSheetId="1" hidden="1">#REF!</definedName>
    <definedName name="_47____________________________________123Graph_EGRAPHIQUE_1A" localSheetId="1" hidden="1">#REF!</definedName>
    <definedName name="_47________________123Graph_EGRAPHIQUE_1A" localSheetId="1" hidden="1">#REF!</definedName>
    <definedName name="_48____________________________________123Graph_FGRAPHIQUE_1A" localSheetId="1" hidden="1">#REF!</definedName>
    <definedName name="_48________________123Graph_FGRAPHIQUE_1A" localSheetId="1" hidden="1">#REF!</definedName>
    <definedName name="_48____123Graph_BGRAPHIQUE_1A" localSheetId="1" hidden="1">#REF!</definedName>
    <definedName name="_48___123Graph_CGRAPHIQUE_1A" localSheetId="1" hidden="1">#REF!</definedName>
    <definedName name="_49____________________________________123Graph_XGRAPHIQUE_1A" localSheetId="1" hidden="1">#REF!</definedName>
    <definedName name="_49________________123Graph_XGRAPHIQUE_1A" localSheetId="1" hidden="1">#REF!</definedName>
    <definedName name="_49__123Graph_XGRAPHIQUE_1A" localSheetId="1" hidden="1">#REF!</definedName>
    <definedName name="_5__________________________________________123Graph_EGRAPHIQUE_1A" localSheetId="1" hidden="1">#REF!</definedName>
    <definedName name="_5______________________123Graph_EGRAPHIQUE_1A" localSheetId="1" hidden="1">#REF!</definedName>
    <definedName name="_5__123Graph_AGRAPHIQUE_1A" localSheetId="1" hidden="1">#REF!</definedName>
    <definedName name="_5__123Graph_BIBA_IBRD" localSheetId="1" hidden="1">#REF!</definedName>
    <definedName name="_5__123Graph_EGRAPHIQUE_1A" localSheetId="1" hidden="1">#REF!</definedName>
    <definedName name="_50___________________________________123Graph_AGRAPHIQUE_1A" localSheetId="1" hidden="1">#REF!</definedName>
    <definedName name="_50_______________123Graph_AGRAPHIQUE_1A" localSheetId="1" hidden="1">#REF!</definedName>
    <definedName name="_50___123Graph_DGRAPHIQUE_1A" localSheetId="1" hidden="1">#REF!</definedName>
    <definedName name="_51___________________________________123Graph_BGRAPHIQUE_1A" localSheetId="1" hidden="1">#REF!</definedName>
    <definedName name="_51_______________123Graph_BGRAPHIQUE_1A" localSheetId="1" hidden="1">#REF!</definedName>
    <definedName name="_51____123Graph_CGRAPHIQUE_1A" localSheetId="1" hidden="1">#REF!</definedName>
    <definedName name="_52___________________________________123Graph_CGRAPHIQUE_1A" localSheetId="1" hidden="1">#REF!</definedName>
    <definedName name="_52_______________123Graph_CGRAPHIQUE_1A" localSheetId="1" hidden="1">#REF!</definedName>
    <definedName name="_52___123Graph_EGRAPHIQUE_1A" localSheetId="1" hidden="1">#REF!</definedName>
    <definedName name="_53___________________________________123Graph_DGRAPHIQUE_1A" localSheetId="1" hidden="1">#REF!</definedName>
    <definedName name="_53_______________123Graph_DGRAPHIQUE_1A" localSheetId="1" hidden="1">#REF!</definedName>
    <definedName name="_54___________________________________123Graph_EGRAPHIQUE_1A" localSheetId="1" hidden="1">#REF!</definedName>
    <definedName name="_54_______________123Graph_EGRAPHIQUE_1A" localSheetId="1" hidden="1">#REF!</definedName>
    <definedName name="_54____123Graph_DGRAPHIQUE_1A" localSheetId="1" hidden="1">#REF!</definedName>
    <definedName name="_54___123Graph_FGRAPHIQUE_1A" localSheetId="1" hidden="1">#REF!</definedName>
    <definedName name="_54__123Graph_FGRAPHIQUE_1A" localSheetId="1" hidden="1">#REF!</definedName>
    <definedName name="_55___________________________________123Graph_FGRAPHIQUE_1A" localSheetId="1" hidden="1">#REF!</definedName>
    <definedName name="_55_______________123Graph_FGRAPHIQUE_1A" localSheetId="1" hidden="1">#REF!</definedName>
    <definedName name="_56___________________________________123Graph_XGRAPHIQUE_1A" localSheetId="1" hidden="1">#REF!</definedName>
    <definedName name="_56_______________123Graph_XGRAPHIQUE_1A" localSheetId="1" hidden="1">#REF!</definedName>
    <definedName name="_56___123Graph_XGRAPHIQUE_1A" localSheetId="1" hidden="1">#REF!</definedName>
    <definedName name="_57__________________________________123Graph_AGRAPHIQUE_1A" localSheetId="1" hidden="1">#REF!</definedName>
    <definedName name="_57______________123Graph_AGRAPHIQUE_1A" localSheetId="1" hidden="1">#REF!</definedName>
    <definedName name="_57____123Graph_EGRAPHIQUE_1A" localSheetId="1" hidden="1">#REF!</definedName>
    <definedName name="_58__________________________________123Graph_BGRAPHIQUE_1A" localSheetId="1" hidden="1">#REF!</definedName>
    <definedName name="_58______________123Graph_BGRAPHIQUE_1A" localSheetId="1" hidden="1">#REF!</definedName>
    <definedName name="_59__________________________________123Graph_CGRAPHIQUE_1A" localSheetId="1" hidden="1">#REF!</definedName>
    <definedName name="_59______________123Graph_CGRAPHIQUE_1A" localSheetId="1" hidden="1">#REF!</definedName>
    <definedName name="_6__________________________________________123Graph_FGRAPHIQUE_1A" localSheetId="1" hidden="1">#REF!</definedName>
    <definedName name="_6______________________123Graph_FGRAPHIQUE_1A" localSheetId="1" hidden="1">#REF!</definedName>
    <definedName name="_6______123Graph_BGRAPHIQUE_1A" localSheetId="1" hidden="1">#REF!</definedName>
    <definedName name="_6______123Graph_CGRAPHIQUE_1A" localSheetId="1" hidden="1">#REF!</definedName>
    <definedName name="_6__123Graph_AR_M_MARG" localSheetId="1" hidden="1">#REF!</definedName>
    <definedName name="_6__123Graph_BGRAPHIQUE_1A" localSheetId="1" hidden="1">#REF!</definedName>
    <definedName name="_6__123Graph_CGRAPHIQUE_1A" localSheetId="1" hidden="1">#REF!</definedName>
    <definedName name="_6__123Graph_FGRAPHIQUE_1A" localSheetId="1" hidden="1">#REF!</definedName>
    <definedName name="_60__________________________________123Graph_DGRAPHIQUE_1A" localSheetId="1" hidden="1">#REF!</definedName>
    <definedName name="_60______________123Graph_DGRAPHIQUE_1A" localSheetId="1" hidden="1">#REF!</definedName>
    <definedName name="_60____123Graph_FGRAPHIQUE_1A" localSheetId="1" hidden="1">#REF!</definedName>
    <definedName name="_61__________________________________123Graph_EGRAPHIQUE_1A" localSheetId="1" hidden="1">#REF!</definedName>
    <definedName name="_61______________123Graph_EGRAPHIQUE_1A" localSheetId="1" hidden="1">#REF!</definedName>
    <definedName name="_62__________________________________123Graph_FGRAPHIQUE_1A" localSheetId="1" hidden="1">#REF!</definedName>
    <definedName name="_62______________123Graph_FGRAPHIQUE_1A" localSheetId="1" hidden="1">#REF!</definedName>
    <definedName name="_63__________________________________123Graph_XGRAPHIQUE_1A" localSheetId="1" hidden="1">#REF!</definedName>
    <definedName name="_63______________123Graph_XGRAPHIQUE_1A" localSheetId="1" hidden="1">#REF!</definedName>
    <definedName name="_63____123Graph_XGRAPHIQUE_1A" localSheetId="1" hidden="1">#REF!</definedName>
    <definedName name="_63__123Graph_XGRAPHIQUE_1A" localSheetId="1" hidden="1">#REF!</definedName>
    <definedName name="_64_________________________________123Graph_AGRAPHIQUE_1A" localSheetId="1" hidden="1">#REF!</definedName>
    <definedName name="_64_____________123Graph_AGRAPHIQUE_1A" localSheetId="1" hidden="1">#REF!</definedName>
    <definedName name="_65_________________________________123Graph_BGRAPHIQUE_1A" localSheetId="1" hidden="1">#REF!</definedName>
    <definedName name="_65_____________123Graph_BGRAPHIQUE_1A" localSheetId="1" hidden="1">#REF!</definedName>
    <definedName name="_66_________________________________123Graph_CGRAPHIQUE_1A" localSheetId="1" hidden="1">#REF!</definedName>
    <definedName name="_66_____________123Graph_CGRAPHIQUE_1A" localSheetId="1" hidden="1">#REF!</definedName>
    <definedName name="_66___123Graph_AGRAPHIQUE_1A" localSheetId="1" hidden="1">#REF!</definedName>
    <definedName name="_67_________________________________123Graph_DGRAPHIQUE_1A" localSheetId="1" hidden="1">#REF!</definedName>
    <definedName name="_67_____________123Graph_DGRAPHIQUE_1A" localSheetId="1" hidden="1">#REF!</definedName>
    <definedName name="_68_________________________________123Graph_EGRAPHIQUE_1A" localSheetId="1" hidden="1">#REF!</definedName>
    <definedName name="_68_____________123Graph_EGRAPHIQUE_1A" localSheetId="1" hidden="1">#REF!</definedName>
    <definedName name="_69_________________________________123Graph_FGRAPHIQUE_1A" localSheetId="1" hidden="1">#REF!</definedName>
    <definedName name="_69_____________123Graph_FGRAPHIQUE_1A" localSheetId="1" hidden="1">#REF!</definedName>
    <definedName name="_69___123Graph_BGRAPHIQUE_1A" localSheetId="1" hidden="1">#REF!</definedName>
    <definedName name="_7__________________________________________123Graph_XGRAPHIQUE_1A" localSheetId="1" hidden="1">#REF!</definedName>
    <definedName name="_7______________________123Graph_XGRAPHIQUE_1A" localSheetId="1" hidden="1">#REF!</definedName>
    <definedName name="_7__123Graph_AGRAPHIQUE_1A" localSheetId="1" hidden="1">#REF!</definedName>
    <definedName name="_7__123Graph_XGRAPHIQUE_1A" localSheetId="1" hidden="1">#REF!</definedName>
    <definedName name="_70_________________________________123Graph_XGRAPHIQUE_1A" localSheetId="1" hidden="1">#REF!</definedName>
    <definedName name="_70_____________123Graph_XGRAPHIQUE_1A" localSheetId="1" hidden="1">#REF!</definedName>
    <definedName name="_71________________________________123Graph_AGRAPHIQUE_1A" localSheetId="1" hidden="1">#REF!</definedName>
    <definedName name="_71____________123Graph_AGRAPHIQUE_1A" localSheetId="1" hidden="1">#REF!</definedName>
    <definedName name="_72________________________________123Graph_BGRAPHIQUE_1A" localSheetId="1" hidden="1">#REF!</definedName>
    <definedName name="_72____________123Graph_BGRAPHIQUE_1A" localSheetId="1" hidden="1">#REF!</definedName>
    <definedName name="_72___123Graph_CGRAPHIQUE_1A" localSheetId="1" hidden="1">#REF!</definedName>
    <definedName name="_73________________________________123Graph_CGRAPHIQUE_1A" localSheetId="1" hidden="1">#REF!</definedName>
    <definedName name="_73____________123Graph_CGRAPHIQUE_1A" localSheetId="1" hidden="1">#REF!</definedName>
    <definedName name="_74________________________________123Graph_DGRAPHIQUE_1A" localSheetId="1" hidden="1">#REF!</definedName>
    <definedName name="_74____________123Graph_DGRAPHIQUE_1A" localSheetId="1" hidden="1">#REF!</definedName>
    <definedName name="_75________________________________123Graph_EGRAPHIQUE_1A" localSheetId="1" hidden="1">#REF!</definedName>
    <definedName name="_75____________123Graph_EGRAPHIQUE_1A" localSheetId="1" hidden="1">#REF!</definedName>
    <definedName name="_75___123Graph_DGRAPHIQUE_1A" localSheetId="1" hidden="1">#REF!</definedName>
    <definedName name="_76________________________________123Graph_FGRAPHIQUE_1A" localSheetId="1" hidden="1">#REF!</definedName>
    <definedName name="_76____________123Graph_FGRAPHIQUE_1A" localSheetId="1" hidden="1">#REF!</definedName>
    <definedName name="_77________________________________123Graph_XGRAPHIQUE_1A" localSheetId="1" hidden="1">#REF!</definedName>
    <definedName name="_77____________123Graph_XGRAPHIQUE_1A" localSheetId="1" hidden="1">#REF!</definedName>
    <definedName name="_78_______________________________123Graph_AGRAPHIQUE_1A" localSheetId="1" hidden="1">#REF!</definedName>
    <definedName name="_78___________123Graph_AGRAPHIQUE_1A" localSheetId="1" hidden="1">#REF!</definedName>
    <definedName name="_78___123Graph_EGRAPHIQUE_1A" localSheetId="1" hidden="1">#REF!</definedName>
    <definedName name="_79_______________________________123Graph_BGRAPHIQUE_1A" localSheetId="1" hidden="1">#REF!</definedName>
    <definedName name="_79___________123Graph_BGRAPHIQUE_1A" localSheetId="1" hidden="1">#REF!</definedName>
    <definedName name="_8_________________________________________123Graph_AGRAPHIQUE_1A" localSheetId="1" hidden="1">#REF!</definedName>
    <definedName name="_8_____________________123Graph_AGRAPHIQUE_1A" localSheetId="1" hidden="1">#REF!</definedName>
    <definedName name="_8______123Graph_DGRAPHIQUE_1A" localSheetId="1" hidden="1">#REF!</definedName>
    <definedName name="_8__123Graph_AR_M_MARGINS" localSheetId="1" hidden="1">#REF!</definedName>
    <definedName name="_8__123Graph_BGRAPHIQUE_1A" localSheetId="1" hidden="1">#REF!</definedName>
    <definedName name="_8__123Graph_DGRAPHIQUE_1A" localSheetId="1" hidden="1">#REF!</definedName>
    <definedName name="_80_______________________________123Graph_CGRAPHIQUE_1A" localSheetId="1" hidden="1">#REF!</definedName>
    <definedName name="_80___________123Graph_CGRAPHIQUE_1A" localSheetId="1" hidden="1">#REF!</definedName>
    <definedName name="_81_______________________________123Graph_DGRAPHIQUE_1A" localSheetId="1" hidden="1">#REF!</definedName>
    <definedName name="_81___________123Graph_DGRAPHIQUE_1A" localSheetId="1" hidden="1">#REF!</definedName>
    <definedName name="_81___123Graph_FGRAPHIQUE_1A" localSheetId="1" hidden="1">#REF!</definedName>
    <definedName name="_82_______________________________123Graph_EGRAPHIQUE_1A" localSheetId="1" hidden="1">#REF!</definedName>
    <definedName name="_82___________123Graph_EGRAPHIQUE_1A" localSheetId="1" hidden="1">#REF!</definedName>
    <definedName name="_83_______________________________123Graph_FGRAPHIQUE_1A" localSheetId="1" hidden="1">#REF!</definedName>
    <definedName name="_83___________123Graph_FGRAPHIQUE_1A" localSheetId="1" hidden="1">#REF!</definedName>
    <definedName name="_84_______________________________123Graph_XGRAPHIQUE_1A" localSheetId="1" hidden="1">#REF!</definedName>
    <definedName name="_84___________123Graph_XGRAPHIQUE_1A" localSheetId="1" hidden="1">#REF!</definedName>
    <definedName name="_84___123Graph_XGRAPHIQUE_1A" localSheetId="1" hidden="1">#REF!</definedName>
    <definedName name="_85______________________________123Graph_AGRAPHIQUE_1A" localSheetId="1" hidden="1">#REF!</definedName>
    <definedName name="_85__________123Graph_AGRAPHIQUE_1A" localSheetId="1" hidden="1">#REF!</definedName>
    <definedName name="_86______________________________123Graph_BGRAPHIQUE_1A" localSheetId="1" hidden="1">#REF!</definedName>
    <definedName name="_86__________123Graph_BGRAPHIQUE_1A" localSheetId="1" hidden="1">#REF!</definedName>
    <definedName name="_87______________________________123Graph_CGRAPHIQUE_1A" localSheetId="1" hidden="1">#REF!</definedName>
    <definedName name="_87__________123Graph_CGRAPHIQUE_1A" localSheetId="1" hidden="1">#REF!</definedName>
    <definedName name="_88______________________________123Graph_DGRAPHIQUE_1A" localSheetId="1" hidden="1">#REF!</definedName>
    <definedName name="_88__________123Graph_DGRAPHIQUE_1A" localSheetId="1" hidden="1">#REF!</definedName>
    <definedName name="_89______________________________123Graph_EGRAPHIQUE_1A" localSheetId="1" hidden="1">#REF!</definedName>
    <definedName name="_89__________123Graph_EGRAPHIQUE_1A" localSheetId="1" hidden="1">#REF!</definedName>
    <definedName name="_9_________________________________________123Graph_BGRAPHIQUE_1A" localSheetId="1" hidden="1">#REF!</definedName>
    <definedName name="_9_____________________123Graph_BGRAPHIQUE_1A" localSheetId="1" hidden="1">#REF!</definedName>
    <definedName name="_9______123Graph_CGRAPHIQUE_1A" localSheetId="1" hidden="1">#REF!</definedName>
    <definedName name="_9__123Graph_AGRAPHIQUE_1A" localSheetId="1" hidden="1">#REF!</definedName>
    <definedName name="_9__123Graph_CGRAPHIQUE_1A" localSheetId="1" hidden="1">#REF!</definedName>
    <definedName name="_90______________________________123Graph_FGRAPHIQUE_1A" localSheetId="1" hidden="1">#REF!</definedName>
    <definedName name="_90__________123Graph_FGRAPHIQUE_1A" localSheetId="1" hidden="1">#REF!</definedName>
    <definedName name="_91______________________________123Graph_XGRAPHIQUE_1A" localSheetId="1" hidden="1">#REF!</definedName>
    <definedName name="_91__________123Graph_XGRAPHIQUE_1A" localSheetId="1" hidden="1">#REF!</definedName>
    <definedName name="_92_____________________________123Graph_AGRAPHIQUE_1A" localSheetId="1" hidden="1">#REF!</definedName>
    <definedName name="_92_________123Graph_AGRAPHIQUE_1A" localSheetId="1" hidden="1">#REF!</definedName>
    <definedName name="_93_____________________________123Graph_BGRAPHIQUE_1A" localSheetId="1" hidden="1">#REF!</definedName>
    <definedName name="_93_________123Graph_BGRAPHIQUE_1A" localSheetId="1" hidden="1">#REF!</definedName>
    <definedName name="_94_____________________________123Graph_CGRAPHIQUE_1A" localSheetId="1" hidden="1">#REF!</definedName>
    <definedName name="_94_________123Graph_CGRAPHIQUE_1A" localSheetId="1" hidden="1">#REF!</definedName>
    <definedName name="_95_____________________________123Graph_DGRAPHIQUE_1A" localSheetId="1" hidden="1">#REF!</definedName>
    <definedName name="_95_________123Graph_DGRAPHIQUE_1A" localSheetId="1" hidden="1">#REF!</definedName>
    <definedName name="_96_____________________________123Graph_EGRAPHIQUE_1A" localSheetId="1" hidden="1">#REF!</definedName>
    <definedName name="_96_________123Graph_EGRAPHIQUE_1A" localSheetId="1" hidden="1">#REF!</definedName>
    <definedName name="_97_____________________________123Graph_FGRAPHIQUE_1A" localSheetId="1" hidden="1">#REF!</definedName>
    <definedName name="_97_________123Graph_FGRAPHIQUE_1A" localSheetId="1" hidden="1">#REF!</definedName>
    <definedName name="_98_____________________________123Graph_XGRAPHIQUE_1A" localSheetId="1" hidden="1">#REF!</definedName>
    <definedName name="_98_________123Graph_XGRAPHIQUE_1A" localSheetId="1" hidden="1">#REF!</definedName>
    <definedName name="_99____________________________123Graph_AGRAPHIQUE_1A" localSheetId="1" hidden="1">#REF!</definedName>
    <definedName name="_99________123Graph_AGRAPHIQUE_1A" localSheetId="1" hidden="1">#REF!</definedName>
    <definedName name="_Key1" localSheetId="1" hidden="1">#REF!</definedName>
    <definedName name="_old13" localSheetId="1" hidden="1">#REF!</definedName>
    <definedName name="_old14" localSheetId="1" hidden="1">#REF!</definedName>
    <definedName name="_old15" localSheetId="1" hidden="1">#REF!</definedName>
    <definedName name="_old16" localSheetId="1" hidden="1">#REF!</definedName>
    <definedName name="_old32" localSheetId="1" hidden="1">{"quarter",#N/A,FALSE,"MOB"}</definedName>
    <definedName name="_old33" localSheetId="1" hidden="1">{#N/A,#N/A,FALSE,"YPF"}</definedName>
    <definedName name="_old4" localSheetId="1" hidden="1">#REF!</definedName>
    <definedName name="_old42" localSheetId="1" hidden="1">{"a",#N/A,FALSE,"Fact Sheet";"a",#N/A,FALSE,"DCFEVA";"a",#N/A,FALSE,"Statements";"a",#N/A,FALSE,"Quarterly";"a",#N/A,FALSE,"Q Grid";"a",#N/A,FALSE,"Stockval";"a",#N/A,FALSE,"DDM"}</definedName>
    <definedName name="_old5" localSheetId="1" hidden="1">#REF!</definedName>
    <definedName name="_old6" localSheetId="1" hidden="1">#REF!</definedName>
    <definedName name="_Table2_In1" localSheetId="1" hidden="1">#REF!</definedName>
    <definedName name="a" localSheetId="1" hidden="1">#REF!</definedName>
    <definedName name="aa" localSheetId="1" hidden="1">#REF!</definedName>
    <definedName name="aab" localSheetId="1" hidden="1">#REF!</definedName>
    <definedName name="aac" localSheetId="1" hidden="1">#REF!</definedName>
    <definedName name="aad" localSheetId="1" hidden="1">#REF!</definedName>
    <definedName name="ABBB" localSheetId="1" hidden="1">{"IS",#N/A,FALSE,"IS";"RPTIS",#N/A,FALSE,"RPTIS";"STATS",#N/A,FALSE,"STATS";"CELL",#N/A,FALSE,"CELL";"BS",#N/A,FALSE,"BS"}</definedName>
    <definedName name="AE" localSheetId="1" hidden="1">#REF!</definedName>
    <definedName name="aerherh" localSheetId="1" hidden="1">#REF!</definedName>
    <definedName name="aerhtrha" localSheetId="1" hidden="1">#REF!</definedName>
    <definedName name="Année1" localSheetId="1">#REF!</definedName>
    <definedName name="Année2" localSheetId="1">#REF!</definedName>
    <definedName name="Année3" localSheetId="1">#REF!</definedName>
    <definedName name="Année4" localSheetId="1">#REF!</definedName>
    <definedName name="Année5" localSheetId="1">#REF!</definedName>
    <definedName name="Annexe" localSheetId="1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ULE" localSheetId="1" hidden="1">#REF!</definedName>
    <definedName name="arweherh" localSheetId="1" hidden="1">#REF!</definedName>
    <definedName name="ashawrhy" localSheetId="1" hidden="1">#REF!</definedName>
    <definedName name="awhywerh" localSheetId="1" hidden="1">#REF!</definedName>
    <definedName name="AZ" localSheetId="1" hidden="1">#REF!</definedName>
    <definedName name="AZERTY" localSheetId="1" hidden="1">#REF!</definedName>
    <definedName name="b" localSheetId="1" hidden="1">#REF!</definedName>
    <definedName name="bbb" localSheetId="1" hidden="1">#REF!</definedName>
    <definedName name="belnew" localSheetId="1" hidden="1">{"IS",#N/A,FALSE,"IS";"RPTIS",#N/A,FALSE,"RPTIS";"STATS",#N/A,FALSE,"STATS";"CELL",#N/A,FALSE,"CELL";"BS",#N/A,FALSE,"BS"}</definedName>
    <definedName name="BLPH1" localSheetId="1" hidden="1">#REF!</definedName>
    <definedName name="BLPH2" localSheetId="1" hidden="1">#REF!</definedName>
    <definedName name="BLPH3" localSheetId="1" hidden="1">#REF!</definedName>
    <definedName name="BLPH33" localSheetId="1" hidden="1">#REF!</definedName>
    <definedName name="BLPH4" localSheetId="1" hidden="1">#REF!</definedName>
    <definedName name="cancel" localSheetId="1" hidden="1">{"PARTNERS CAPITAL STMT",#N/A,FALSE,"Partners Capital"}</definedName>
    <definedName name="cancel2" localSheetId="1" hidden="1">{"PNLProjDL",#N/A,FALSE,"PROJCO";"PNLParDL",#N/A,FALSE,"Parent"}</definedName>
    <definedName name="cancel3" localSheetId="1" hidden="1">{"Summary",#N/A,FALSE,"MICMULT";"Income Statement",#N/A,FALSE,"MICMULT";"Cash Flows",#N/A,FALSE,"MICMULT"}</definedName>
    <definedName name="ccccc" localSheetId="1" hidden="1">{"10yp key data",#N/A,FALSE,"Market Data"}</definedName>
    <definedName name="CLASSEU" localSheetId="1">#REF!</definedName>
    <definedName name="Classeur2_000__2__Liste" localSheetId="1">#REF!</definedName>
    <definedName name="Client_données" localSheetId="1">#REF!</definedName>
    <definedName name="D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DCF_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dd" localSheetId="1" hidden="1">{"10yp tariffs",#N/A,FALSE,"Celtel alternative 6"}</definedName>
    <definedName name="dddddd" localSheetId="1" hidden="1">{"10yp profit and loss",#N/A,FALSE,"Celtel alternative 6"}</definedName>
    <definedName name="delete" localSheetId="1" hidden="1">{"STMT OF CASH FLOWS",#N/A,FALSE,"Cash Flows Indirect"}</definedName>
    <definedName name="delete2" localSheetId="1" hidden="1">{"BALANCE SHEET ACCTS",#N/A,TRUE,"Working Trial Balance";"INCOME STMT ACCTS",#N/A,TRUE,"Working Trial Balance"}</definedName>
    <definedName name="Dépenses_cm" localSheetId="1">#REF!</definedName>
    <definedName name="df" localSheetId="1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dsfhkgfhflhglffgfhghgfhfd" localSheetId="1" hidden="1">#REF!</definedName>
    <definedName name="eeeee" localSheetId="1" hidden="1">{"budget992000 tariff and usage",#N/A,FALSE,"Celtel alternative 6"}</definedName>
    <definedName name="etat_facturation_données" localSheetId="1">#REF!</definedName>
    <definedName name="etat_facturation_suivi_créance" localSheetId="1">#REF!</definedName>
    <definedName name="Etat_subvention_donnée" localSheetId="1">#REF!</definedName>
    <definedName name="Etat_suivi_subv" localSheetId="1">#REF!</definedName>
    <definedName name="fdf" localSheetId="1" hidden="1">#REF!</definedName>
    <definedName name="ff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" localSheetId="1" hidden="1">{#N/A,#N/A,FALSE,"INPUTS";#N/A,#N/A,FALSE,"PROFORMA BSHEET";#N/A,#N/A,FALSE,"COMBINED";#N/A,#N/A,FALSE,"HIGH YIELD";#N/A,#N/A,FALSE,"COMB_GRAPHS"}</definedName>
    <definedName name="ffffff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gh" localSheetId="1" hidden="1">{#N/A,#N/A,FALSE,"YPF"}</definedName>
    <definedName name="fghj" localSheetId="1" hidden="1">{"quarter",#N/A,FALSE,"MOB"}</definedName>
    <definedName name="fghjk" localSheetId="1" hidden="1">{"a",#N/A,FALSE,"Fact Sheet";"a",#N/A,FALSE,"DCFEVA";"a",#N/A,FALSE,"Statements";"a",#N/A,FALSE,"Quarterly";"a",#N/A,FALSE,"Q Grid";"a",#N/A,FALSE,"Stockval";"a",#N/A,FALSE,"DDM"}</definedName>
    <definedName name="fhgkljrhfiuhbgfnkjbniftugbfhgfhhgfhjfoighj" localSheetId="1" hidden="1">{"quarter",#N/A,FALSE,"MOB"}</definedName>
    <definedName name="Financeurs_données" localSheetId="1">#REF!</definedName>
    <definedName name="fjdlkjgfdijhghgrtuhgkjngbgurtluhgkjnjhuglkjjior" localSheetId="1" hidden="1">{#N/A,#N/A,FALSE,"YPF"}</definedName>
    <definedName name="forecast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uelco_wrn.test1." localSheetId="1" hidden="1">{"Income Statement",#N/A,FALSE,"CFMODEL";"Balance Sheet",#N/A,FALSE,"CFMODEL"}</definedName>
    <definedName name="fuelco_wrn.test2." localSheetId="1" hidden="1">{"SourcesUses",#N/A,TRUE,"CFMODEL";"TransOverview",#N/A,TRUE,"CFMODEL"}</definedName>
    <definedName name="fuelco_wrn.test3." localSheetId="1" hidden="1">{"SourcesUses",#N/A,TRUE,#N/A;"TransOverview",#N/A,TRUE,"CFMODEL"}</definedName>
    <definedName name="fuelco_wrn.test4." localSheetId="1" hidden="1">{"SourcesUses",#N/A,TRUE,"FundsFlow";"TransOverview",#N/A,TRUE,"FundsFlow"}</definedName>
    <definedName name="gfhlkjlfdskhdidfuhitr" localSheetId="1" hidden="1">#REF!</definedName>
    <definedName name="ggggg" localSheetId="1" hidden="1">{"budget992000_customers",#N/A,FALSE,"Celtel alternative 6"}</definedName>
    <definedName name="ggggggg" localSheetId="1" hidden="1">{"budget992000 profit and loss",#N/A,FALSE,"Celtel alternative 6"}</definedName>
    <definedName name="gilb.wrn.test2." localSheetId="1" hidden="1">{"SourcesUses",#N/A,TRUE,"CFMODEL";"TransOverview",#N/A,TRUE,"CFMODEL"}</definedName>
    <definedName name="gilb.wrn.test3." localSheetId="1" hidden="1">{"SourcesUses",#N/A,TRUE,#N/A;"TransOverview",#N/A,TRUE,"CFMODEL"}</definedName>
    <definedName name="gilb.wrn.test4." localSheetId="1" hidden="1">{"SourcesUses",#N/A,TRUE,"FundsFlow";"TransOverview",#N/A,TRUE,"FundsFlow"}</definedName>
    <definedName name="gilb_wrn.test1" localSheetId="1" hidden="1">{"Income Statement",#N/A,FALSE,"CFMODEL";"Balance Sheet",#N/A,FALSE,"CFMODEL"}</definedName>
    <definedName name="graph" localSheetId="1" hidden="1">#REF!</definedName>
    <definedName name="GRAPH1" localSheetId="1" hidden="1">#REF!</definedName>
    <definedName name="hfdkhgfdsklhldsfkj" localSheetId="1" hidden="1">#REF!</definedName>
    <definedName name="hhftt" localSheetId="1" hidden="1">{"WEO",#N/A,FALSE,"T"}</definedName>
    <definedName name="hine" localSheetId="1" hidden="1">#REF!</definedName>
    <definedName name="hine2" localSheetId="1" hidden="1">#REF!</definedName>
    <definedName name="hjgjfkdsgkdjsgkhdsgkgfkjdsgkurgfhbvyuryvhbjf" localSheetId="1" hidden="1">{"a",#N/A,FALSE,"Fact Sheet";"a",#N/A,FALSE,"DCFEVA";"a",#N/A,FALSE,"Statements";"a",#N/A,FALSE,"Quarterly";"a",#N/A,FALSE,"Q Grid";"a",#N/A,FALSE,"Stockval";"a",#N/A,FALSE,"DDM"}</definedName>
    <definedName name="i" localSheetId="1" hidden="1">{"Qtr Op Mgd Q3",#N/A,FALSE,"Qtr-Op (Mng)";"Qtr Op Rpt Q3",#N/A,FALSE,"Qtr-Op (Rpt)";"Operating Vs Reported",#N/A,FALSE,"Rpt-Op Inc"}</definedName>
    <definedName name="ik" localSheetId="1" hidden="1">#REF!</definedName>
    <definedName name="jj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K" localSheetId="1" hidden="1">#REF!</definedName>
    <definedName name="kano" localSheetId="1" hidden="1">#REF!</definedName>
    <definedName name="ko" localSheetId="1" hidden="1">#REF!</definedName>
    <definedName name="LEGAL2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m." localSheetId="1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ason?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Mode_paiement_données" localSheetId="1">#REF!</definedName>
    <definedName name="Montant_suivi_créance" localSheetId="1">#REF!</definedName>
    <definedName name="Montant_suivi_subv" localSheetId="1">#REF!</definedName>
    <definedName name="n" localSheetId="1">#REF!</definedName>
    <definedName name="nathan" localSheetId="1">#REF!</definedName>
    <definedName name="nb" localSheetId="1">#REF!</definedName>
    <definedName name="newbel" localSheetId="1" hidden="1">{"IS",#N/A,FALSE,"IS";"RPTIS",#N/A,FALSE,"RPTIS";"STATS",#N/A,FALSE,"STATS";"CELL",#N/A,FALSE,"CELL";"BS",#N/A,FALSE,"BS"}</definedName>
    <definedName name="Number_of_Payments" localSheetId="1">MATCH(0.01,Last_Row,-1)+1</definedName>
    <definedName name="nv" localSheetId="1" hidden="1">#REF!</definedName>
    <definedName name="P" localSheetId="1">#REF!</definedName>
    <definedName name="panther_wrn.test1." localSheetId="1" hidden="1">{"Income Statement",#N/A,FALSE,"CFMODEL";"Balance Sheet",#N/A,FALSE,"CFMODEL"}</definedName>
    <definedName name="panther_wrn.test2." localSheetId="1" hidden="1">{"SourcesUses",#N/A,TRUE,"CFMODEL";"TransOverview",#N/A,TRUE,"CFMODEL"}</definedName>
    <definedName name="panther_wrn.test3." localSheetId="1" hidden="1">{"SourcesUses",#N/A,TRUE,#N/A;"TransOverview",#N/A,TRUE,"CFMODEL"}</definedName>
    <definedName name="panther_wrn.test4." localSheetId="1" hidden="1">{"SourcesUses",#N/A,TRUE,"FundsFlow";"TransOverview",#N/A,TRUE,"FundsFlow"}</definedName>
    <definedName name="poso_wrn.test1." localSheetId="1" hidden="1">{"Income Statement",#N/A,FALSE,"CFMODEL";"Balance Sheet",#N/A,FALSE,"CFMODEL"}</definedName>
    <definedName name="poso_wrn.test2." localSheetId="1" hidden="1">{"SourcesUses",#N/A,TRUE,"CFMODEL";"TransOverview",#N/A,TRUE,"CFMODEL"}</definedName>
    <definedName name="poso_wrn.test3." localSheetId="1" hidden="1">{"SourcesUses",#N/A,TRUE,#N/A;"TransOverview",#N/A,TRUE,"CFMODEL"}</definedName>
    <definedName name="poso_wrn.test4." localSheetId="1" hidden="1">{"SourcesUses",#N/A,TRUE,"FundsFlow";"TransOverview",#N/A,TRUE,"FundsFlow"}</definedName>
    <definedName name="Print_Area_Reset" localSheetId="1">OFFSET(Loan_Start,0,0,Payment_Date)</definedName>
    <definedName name="q" localSheetId="1" hidden="1">{"Qtr Op Mgd Q2",#N/A,FALSE,"Qtr-Op (Mng)";"Qtr Op Rpt Q2",#N/A,FALSE,"Qtr-Op (Rpt)";"Operating Vs Reported",#N/A,FALSE,"Rpt-Op Inc"}</definedName>
    <definedName name="qqq" localSheetId="1" hidden="1">{#N/A,#N/A,FALSE,"EXTRABUDGT"}</definedName>
    <definedName name="qwer" localSheetId="1" hidden="1">{0,#N/A,FALSE,0;0,#N/A,FALSE,0;0,#N/A,FALSE,0;0,#N/A,FALSE,0;0,#N/A,FALSE,0}</definedName>
    <definedName name="rapprochement_bancaire_cm" localSheetId="1">#REF!</definedName>
    <definedName name="Recettes_cm" localSheetId="1">#REF!</definedName>
    <definedName name="redo" localSheetId="1" hidden="1">{#N/A,#N/A,FALSE,"ACQ_GRAPHS";#N/A,#N/A,FALSE,"T_1 GRAPHS";#N/A,#N/A,FALSE,"T_2 GRAPHS";#N/A,#N/A,FALSE,"COMB_GRAPHS"}</definedName>
    <definedName name="reiofgoophg" localSheetId="1" hidden="1">#REF!</definedName>
    <definedName name="rep" localSheetId="1" hidden="1">{#N/A,#N/A,FALSE,"COVER";#N/A,#N/A,FALSE,"VALUATION";#N/A,#N/A,FALSE,"FORECAST";#N/A,#N/A,FALSE,"FY ANALYSIS ";#N/A,#N/A,FALSE," HY ANALYSIS"}</definedName>
    <definedName name="rhjaethyer" localSheetId="1" hidden="1">#REF!</definedName>
    <definedName name="rrrrrr" localSheetId="1" hidden="1">{"cash plan",#N/A,FALSE,"fccashflow"}</definedName>
    <definedName name="S" localSheetId="1" hidden="1">#REF!</definedName>
    <definedName name="sdfhs" localSheetId="1" hidden="1">#REF!</definedName>
    <definedName name="solver_adj" localSheetId="1" hidden="1">#REF!,#REF!,#REF!,#REF!,#REF!,#REF!,#REF!,#REF!</definedName>
    <definedName name="StatJan" localSheetId="1" hidden="1">#REF!</definedName>
    <definedName name="t" localSheetId="1">#REF!</definedName>
    <definedName name="T1300000" localSheetId="1">#REF!</definedName>
    <definedName name="taux" localSheetId="1">#REF!</definedName>
    <definedName name="Test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Trafic" localSheetId="1" hidden="1">#REF!</definedName>
    <definedName name="trsdtststsrudt" localSheetId="1" hidden="1">#REF!</definedName>
    <definedName name="uuu" localSheetId="1" hidden="1">#REF!</definedName>
    <definedName name="V" localSheetId="1">#REF!</definedName>
    <definedName name="Valos" localSheetId="1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ues_Entered" localSheetId="1">IF(Payment_Number*COEFFICIENTS_SAISONNIERS_2026!Number_of_Payments*RESULTATS*COEFFICIENTS_SAISONNIERS_2026!Print_Area_Reset&gt;0,1,0)</definedName>
    <definedName name="Vo" localSheetId="1">#REF!</definedName>
    <definedName name="w" localSheetId="1" hidden="1">{"IS",#N/A,FALSE,"IS";"RPTIS",#N/A,FALSE,"RPTIS";"STATS",#N/A,FALSE,"STATS";"CELL",#N/A,FALSE,"CELL";"BS",#N/A,FALSE,"BS"}</definedName>
    <definedName name="wcom" localSheetId="1" hidden="1">{"IS",#N/A,FALSE,"IS";"RPTIS",#N/A,FALSE,"RPTIS";"STATS",#N/A,FALSE,"STATS";"BS",#N/A,FALSE,"BS"}</definedName>
    <definedName name="werqwe" localSheetId="1" hidden="1">{0,#N/A,FALSE,0;0,#N/A,FALSE,0;0,#N/A,FALSE,0;0,#N/A,FALSE,0;0,#N/A,FALSE,0}</definedName>
    <definedName name="wrn.10yp._.balance._.sheet." localSheetId="1" hidden="1">{"10yp balance sheet",#N/A,FALSE,"Celtel alternative 6"}</definedName>
    <definedName name="wrn.10yp._.capex." localSheetId="1" hidden="1">{"10yp capex",#N/A,FALSE,"Celtel alternative 6"}</definedName>
    <definedName name="wrn.10yp._.customers." localSheetId="1" hidden="1">{"10yp customers",#N/A,FALSE,"Celtel alternative 6"}</definedName>
    <definedName name="wrn.10yp._.graphs." localSheetId="1" hidden="1">{"10yp graphs",#N/A,FALSE,"Market Data"}</definedName>
    <definedName name="wrn.10yp._.key._.data." localSheetId="1" hidden="1">{"10yp key data",#N/A,FALSE,"Market Data"}</definedName>
    <definedName name="wrn.10yp._.profit._.and._.loss." localSheetId="1" hidden="1">{"10yp profit and loss",#N/A,FALSE,"Celtel alternative 6"}</definedName>
    <definedName name="wrn.10yp._.tariffs." localSheetId="1" hidden="1">{"10yp tariffs",#N/A,FALSE,"Celtel alternative 6"}</definedName>
    <definedName name="wrn.Aging._.and._.Trend._.Analysis." localSheetId="1" hidden="1">{#N/A,#N/A,FALSE,"Aging Summary";#N/A,#N/A,FALSE,"Ratio Analysis";#N/A,#N/A,FALSE,"Test 120 Day Accts";#N/A,#N/A,FALSE,"Tickmarks"}</definedName>
    <definedName name="wrn.ALL.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ATEMENTS." localSheetId="1" hidden="1">{"BALANCE SHEET",#N/A,FALSE,"Balance Sheet";"INCOME STATEMENT",#N/A,FALSE,"Income Statement";"STMT OF CASH FLOWS",#N/A,FALSE,"Cash Flows Indirect";"PARTNERS CAPITAL STMT",#N/A,FALSE,"Partners Capital"}</definedName>
    <definedName name="wrn.All._.Worksheets." localSheetId="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pages." localSheetId="1" hidden="1">{#N/A,#N/A,TRUE,"Historicals";#N/A,#N/A,TRUE,"Charts";#N/A,#N/A,TRUE,"Forecasts"}</definedName>
    <definedName name="wrn.Annual." localSheetId="1" hidden="1">{#N/A,#N/A,FALSE,"YPF"}</definedName>
    <definedName name="wrn.Annual._.Operating._.Earnings." localSheetId="1" hidden="1">{"Annual 1996",#N/A,FALSE,"Ann-Op (Mng)";"Annual 1996",#N/A,FALSE,"Ann-Op (Rep)";"Operating Vs. Reported Earnings",#N/A,FALSE,"Rpt-Op Inc"}</definedName>
    <definedName name="wrn.Annual._.Operating._.Earnings1." localSheetId="1" hidden="1">{"Annual 1996",#N/A,FALSE,"Ann-Op (Mng)";"Annual 1996",#N/A,FALSE,"Ann-Op (Rep)";"Operating Vs. Reported Earnings",#N/A,FALSE,"Rpt-Op Inc"}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localSheetId="1" hidden="1">{#N/A,#N/A,FALSE,"Sheet1"}</definedName>
    <definedName name="wrn.BALANCE._.SHEET." localSheetId="1" hidden="1">{"BALANCE SHEET",#N/A,FALSE,"Balance Sheet"}</definedName>
    <definedName name="wrn.BANKS." localSheetId="1" hidden="1">{#N/A,#N/A,FALSE,"BANKS"}</definedName>
    <definedName name="wrn.BEL." localSheetId="1" hidden="1">{"IS",#N/A,FALSE,"IS";"RPTIS",#N/A,FALSE,"RPTIS";"STATS",#N/A,FALSE,"STATS";"CELL",#N/A,FALSE,"CELL";"BS",#N/A,FALSE,"BS"}</definedName>
    <definedName name="wrn.BidCo." localSheetId="1" hidden="1">{#N/A,#N/A,FALSE,"BidCo Assumptions";#N/A,#N/A,FALSE,"Credit Stats";#N/A,#N/A,FALSE,"Bidco Summary";#N/A,#N/A,FALSE,"BIDCO Consolidated"}</definedName>
    <definedName name="wrn.BOP." localSheetId="1" hidden="1">{#N/A,#N/A,FALSE,"BOP"}</definedName>
    <definedName name="wrn.BOP_MIDTERM." localSheetId="1" hidden="1">{"BOP_TAB",#N/A,FALSE,"N";"MIDTERM_TAB",#N/A,FALSE,"O"}</definedName>
    <definedName name="wrn.budget._.balance._.sheet." localSheetId="1" hidden="1">{"bugdet992000 balance sheet",#N/A,FALSE,"Celtel alternative 6"}</definedName>
    <definedName name="wrn.budget._.capex." localSheetId="1" hidden="1">{"budget992000 capex",#N/A,FALSE,"Celtel alternative 6"}</definedName>
    <definedName name="wrn.budget._.customers." localSheetId="1" hidden="1">{"budget992000_customers",#N/A,FALSE,"Celtel alternative 6"}</definedName>
    <definedName name="wrn.budget._.profit._.and._.loss." localSheetId="1" hidden="1">{"budget992000 profit and loss",#N/A,FALSE,"Celtel alternative 6"}</definedName>
    <definedName name="wrn.budget._.tariffs._.and._.usage." localSheetId="1" hidden="1">{"budget992000 tariff and usage",#N/A,FALSE,"Celtel alternative 6"}</definedName>
    <definedName name="wrn.calc_all." localSheetId="1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sh._.Flow._.Statement." localSheetId="1" hidden="1">{"CashPrintArea",#N/A,FALSE,"Cash (c)"}</definedName>
    <definedName name="wrn.Cash._.Plan." localSheetId="1" hidden="1">{"cash plan",#N/A,FALSE,"fccashflow"}</definedName>
    <definedName name="wrn.CF._.Statement." localSheetId="1" hidden="1">{"CashPrintArea",#N/A,FALSE,"Cash (c)"}</definedName>
    <definedName name="wrn.COMBINED." localSheetId="1" hidden="1">{#N/A,#N/A,FALSE,"INPUTS";#N/A,#N/A,FALSE,"PROFORMA BSHEET";#N/A,#N/A,FALSE,"COMBINED";#N/A,#N/A,FALSE,"HIGH YIELD";#N/A,#N/A,FALSE,"COMB_GRAPHS"}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" localSheetId="1" hidden="1">{#N/A,#N/A,FALSE,"CREDIT"}</definedName>
    <definedName name="wrn.database." localSheetId="1" hidden="1">{"subs",#N/A,FALSE,"database ";"proportional",#N/A,FALSE,"database 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localSheetId="1" hidden="1">{"value box",#N/A,TRUE,"DPL Inc. Fin Statements";"unlevered free cash flows",#N/A,TRUE,"DPL Inc. Fin Statements"}</definedName>
    <definedName name="wrn.Debt." localSheetId="1" hidden="1">{"debt summary",#N/A,FALSE,"Debt";"loan details",#N/A,FALSE,"Debt"}</definedName>
    <definedName name="wrn.DEBTSVC." localSheetId="1" hidden="1">{#N/A,#N/A,FALSE,"DEBTSVC"}</definedName>
    <definedName name="wrn.DEPO." localSheetId="1" hidden="1">{#N/A,#N/A,FALSE,"DEPO"}</definedName>
    <definedName name="wrn.DetailThru2007." localSheetId="1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localSheetId="1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Employee._.Efficiency." localSheetId="1" hidden="1">{"Employee Efficiency",#N/A,FALSE,"Benchmarking"}</definedName>
    <definedName name="wrn.EXCISE." localSheetId="1" hidden="1">{#N/A,#N/A,FALSE,"EXCISE"}</definedName>
    <definedName name="wrn.EXRATE." localSheetId="1" hidden="1">{#N/A,#N/A,FALSE,"EXRATE"}</definedName>
    <definedName name="wrn.EXTDEBT." localSheetId="1" hidden="1">{#N/A,#N/A,FALSE,"EXTDEBT"}</definedName>
    <definedName name="wrn.EXTRABUDGT." localSheetId="1" hidden="1">{#N/A,#N/A,FALSE,"EXTRABUDGT"}</definedName>
    <definedName name="wrn.EXTRABUDGT2." localSheetId="1" hidden="1">{#N/A,#N/A,FALSE,"EXTRABUDGT2"}</definedName>
    <definedName name="wrn.Financials." localSheetId="1" hidden="1">{#N/A,#N/A,TRUE,"Income Statement";#N/A,#N/A,TRUE,"Balance Sheet";#N/A,#N/A,TRUE,"Cash Flow"}</definedName>
    <definedName name="wrn.Forecast._.Q1.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Report." localSheetId="1" hidden="1">{#N/A,#N/A,FALSE,"COVER";#N/A,#N/A,FALSE,"VALUATION";#N/A,#N/A,FALSE,"FORECAST";#N/A,#N/A,FALSE,"FY ANALYSIS ";#N/A,#N/A,FALSE," HY ANALYSIS"}</definedName>
    <definedName name="wrn.Full._.without._.data.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Y97SBP." localSheetId="1" hidden="1">{#N/A,#N/A,FALSE,"FY97";#N/A,#N/A,FALSE,"FY98";#N/A,#N/A,FALSE,"FY99";#N/A,#N/A,FALSE,"FY00";#N/A,#N/A,FALSE,"FY01"}</definedName>
    <definedName name="wrn.GDP." localSheetId="1" hidden="1">{#N/A,#N/A,FALSE,"GDP_ORIGIN";#N/A,#N/A,FALSE,"EMP_POP"}</definedName>
    <definedName name="wrn.GGOVT." localSheetId="1" hidden="1">{#N/A,#N/A,FALSE,"GGOVT"}</definedName>
    <definedName name="wrn.GGOVT2." localSheetId="1" hidden="1">{#N/A,#N/A,FALSE,"GGOVT2"}</definedName>
    <definedName name="wrn.GGOVTPC." localSheetId="1" hidden="1">{#N/A,#N/A,FALSE,"GGOVT%"}</definedName>
    <definedName name="wrn.GRAPHS." localSheetId="1" hidden="1">{#N/A,#N/A,FALSE,"ACQ_GRAPHS";#N/A,#N/A,FALSE,"T_1 GRAPHS";#N/A,#N/A,FALSE,"T_2 GRAPHS";#N/A,#N/A,FALSE,"COMB_GRAPHS"}</definedName>
    <definedName name="wrn.Ilijan._.Print." localSheetId="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MOBILISATIONS." localSheetId="1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NCOME._.STATEMENT." localSheetId="1" hidden="1">{"INCOME STATEMENT",#N/A,FALSE,"Income Statement"}</definedName>
    <definedName name="wrn.INCOMETX." localSheetId="1" hidden="1">{#N/A,#N/A,FALSE,"INCOMETX"}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ST." localSheetId="1" hidden="1">{#N/A,#N/A,FALSE,"INTERST"}</definedName>
    <definedName name="wrn.Line._.Efficiency." localSheetId="1" hidden="1">{"Line Efficiency",#N/A,FALSE,"Benchmarking"}</definedName>
    <definedName name="wrn.Mason._.Deliverables." localSheetId="1" hidden="1">{#N/A,#N/A,FALSE,"Data &amp; Key Results";#N/A,#N/A,FALSE,"Summary Template";#N/A,#N/A,FALSE,"Budget";#N/A,#N/A,FALSE,"Present Value Comparison";#N/A,#N/A,FALSE,"Cashflow";#N/A,#N/A,FALSE,"Income";#N/A,#N/A,FALSE,"Inputs"}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OBIL." localSheetId="1" hidden="1">{"quarter",#N/A,FALSE,"MOB"}</definedName>
    <definedName name="wrn.MONA." localSheetId="1" hidden="1">{"MONA",#N/A,FALSE,"S"}</definedName>
    <definedName name="wrn.MS." localSheetId="1" hidden="1">{#N/A,#N/A,FALSE,"MS"}</definedName>
    <definedName name="wrn.mupdate." localSheetId="1" hidden="1">{#N/A,#N/A,FALSE,"16";#N/A,#N/A,FALSE,"17";#N/A,#N/A,FALSE,"18";#N/A,#N/A,FALSE,"19";#N/A,#N/A,FALSE,"20";#N/A,#N/A,FALSE,"21";#N/A,#N/A,FALSE,"22";#N/A,#N/A,FALSE,"23";#N/A,#N/A,FALSE,"24";#N/A,#N/A,FALSE,"25"}</definedName>
    <definedName name="wrn.NBG." localSheetId="1" hidden="1">{#N/A,#N/A,FALSE,"NBG"}</definedName>
    <definedName name="wrn.ops._.costs." localSheetId="1" hidden="1">{"page1",#N/A,FALSE,"APCI Operations Detail  ";"page2",#N/A,FALSE,"APCI Operations Detail  ";"page3",#N/A,FALSE,"APCI Operations Detail  ";"page4",#N/A,FALSE,"APCI Operations Detail  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.tables." localSheetId="1" hidden="1">{#N/A,#N/A,FALSE,"I";#N/A,#N/A,FALSE,"J";#N/A,#N/A,FALSE,"K";#N/A,#N/A,FALSE,"L";#N/A,#N/A,FALSE,"M";#N/A,#N/A,FALSE,"N";#N/A,#N/A,FALSE,"O"}</definedName>
    <definedName name="wrn.PARTNERS._.CAPITAL._.STMT." localSheetId="1" hidden="1">{"PARTNERS CAPITAL STMT",#N/A,FALSE,"Partners Capital"}</definedName>
    <definedName name="wrn.PCPI." localSheetId="1" hidden="1">{#N/A,#N/A,FALSE,"PCPI"}</definedName>
    <definedName name="wrn.PENSION." localSheetId="1" hidden="1">{#N/A,#N/A,FALSE,"PENSION"}</definedName>
    <definedName name="wrn.plbscf." localSheetId="1" hidden="1">{"p_l",#N/A,FALSE,"Summary Accounts"}</definedName>
    <definedName name="wrn.PrimeCo." localSheetId="1" hidden="1">{"print 1",#N/A,FALSE,"PrimeCo PCS";"print 2",#N/A,FALSE,"PrimeCo PCS";"valuation",#N/A,FALSE,"PrimeCo PCS"}</definedName>
    <definedName name="wrn.Print." localSheetId="1" hidden="1">{"vi1",#N/A,FALSE,"Financial Statements";"vi2",#N/A,FALSE,"Financial Statements";#N/A,#N/A,FALSE,"DCF"}</definedName>
    <definedName name="wrn.print._.all." localSheetId="1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pages." localSheetId="1" hidden="1">{#N/A,#N/A,FALSE,"Spain MKT";#N/A,#N/A,FALSE,"Assumptions";#N/A,#N/A,FALSE,"Adve";#N/A,#N/A,FALSE,"E-Commerce";#N/A,#N/A,FALSE,"Opex";#N/A,#N/A,FALSE,"P&amp;L";#N/A,#N/A,FALSE,"FCF &amp; DCF"}</definedName>
    <definedName name="wrn.Print._.PNL._.Download." localSheetId="1" hidden="1">{"PNLProjDL",#N/A,FALSE,"PROJCO";"PNLParDL",#N/A,FALSE,"Parent"}</definedName>
    <definedName name="wrn.Print_Earnings_template." localSheetId="1" hidden="1">{"by_month",#N/A,TRUE,"template";"destec_month",#N/A,TRUE,"template";"by_quarter",#N/A,TRUE,"template";"destec_quarter",#N/A,TRUE,"template";"by_year",#N/A,TRUE,"template";"destec_annual",#N/A,TRUE,"template"}</definedName>
    <definedName name="wrn.Print_Var_page." localSheetId="1" hidden="1">{"var_page",#N/A,FALSE,"template"}</definedName>
    <definedName name="wrn.print_variance." localSheetId="1" hidden="1">{"var_report",#N/A,FALSE,"template"}</definedName>
    <definedName name="wrn.Print_Variance_Page." localSheetId="1" hidden="1">{"variance_page",#N/A,FALSE,"template"}</definedName>
    <definedName name="wrn.PrintAll." localSheetId="1" hidden="1">{"PA1",#N/A,TRUE,"BORDMW";"pa2",#N/A,TRUE,"BORDMW";"PA3",#N/A,TRUE,"BORDMW";"PA4",#N/A,TRUE,"BORDMW"}</definedName>
    <definedName name="wrn.Profitability._.Indicators." localSheetId="1" hidden="1">{"ProfPrintArea",#N/A,FALSE,"Prof (c)"}</definedName>
    <definedName name="wrn.Project._.Summary." localSheetId="1" hidden="1">{"Summary",#N/A,FALSE,"MICMULT";"Income Statement",#N/A,FALSE,"MICMULT";"Cash Flows",#N/A,FALSE,"MICMULT"}</definedName>
    <definedName name="wrn.PRUDENT." localSheetId="1" hidden="1">{#N/A,#N/A,FALSE,"PRUDENT"}</definedName>
    <definedName name="wrn.PUBLEXP." localSheetId="1" hidden="1">{#N/A,#N/A,FALSE,"PUBLEXP"}</definedName>
    <definedName name="wrn.Qtr._.Op._.Q1." localSheetId="1" hidden="1">{"Qtr Op Mgd Q1",#N/A,FALSE,"Qtr-Op (Mng)";"Qtr Op Rpt Q1",#N/A,FALSE,"Qtr-Op (Rpt)";"Operating Vs Reported",#N/A,FALSE,"Rpt-Op Inc"}</definedName>
    <definedName name="wrn.Qtr._.Op._.Q2." localSheetId="1" hidden="1">{"Qtr Op Mgd Q2",#N/A,FALSE,"Qtr-Op (Mng)";"Qtr Op Rpt Q2",#N/A,FALSE,"Qtr-Op (Rpt)";"Operating Vs Reported",#N/A,FALSE,"Rpt-Op Inc"}</definedName>
    <definedName name="wrn.Qtr._.Op._.Q3." localSheetId="1" hidden="1">{"Qtr Op Mgd Q3",#N/A,FALSE,"Qtr-Op (Mng)";"Qtr Op Rpt Q3",#N/A,FALSE,"Qtr-Op (Rpt)";"Operating Vs Reported",#N/A,FALSE,"Rpt-Op Inc"}</definedName>
    <definedName name="wrn.Qtr._.Op._.Q4." localSheetId="1" hidden="1">{"Qtr Op Mgd Q3",#N/A,FALSE,"Qtr-Op (Mng)";"Qtr Op Rpt Q4",#N/A,FALSE,"Qtr-Op (Rpt)";"Operating Vs Reported",#N/A,FALSE,"Rpt-Op Inc"}</definedName>
    <definedName name="wrn.Qtr._.Op._Q2a." localSheetId="1" hidden="1">{"Qtr Op Mgd Q2",#N/A,FALSE,"Qtr-Op (Mng)";"Qtr Op Rpt Q2",#N/A,FALSE,"Qtr-Op (Rpt)";"Operating Vs Reported",#N/A,FALSE,"Rpt-Op Inc"}</definedName>
    <definedName name="wrn.Qtr_.Op._.Q4." localSheetId="1" hidden="1">{"Qtr Op Mgd Q3",#N/A,FALSE,"Qtr-Op (Mng)";"Qtr Op Rpt Q4",#N/A,FALSE,"Qtr-Op (Rpt)";"Operating Vs Reported",#N/A,FALSE,"Rpt-Op Inc"}</definedName>
    <definedName name="wrn.rapport._.1." localSheetId="1" hidden="1">{#N/A,#N/A,TRUE,"Forecast &amp; Analysis";#N/A,#N/A,TRUE,"Market Values";#N/A,#N/A,TRUE,"Ratios";#N/A,#N/A,TRUE,"Regressions";#N/A,#N/A,TRUE,"Market Values";#N/A,#N/A,TRUE,"Parameters &amp; Results"}</definedName>
    <definedName name="wrn.ratios." localSheetId="1" hidden="1">{"ratios",#N/A,FALSE,"Summary Accounts"}</definedName>
    <definedName name="wrn.red_take." localSheetId="1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TABS." localSheetId="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p." localSheetId="1" hidden="1">{"test",#N/A,FALSE,"Y";"test2",#N/A,FALSE,"Y"}</definedName>
    <definedName name="wrn.report." localSheetId="1" hidden="1">{"a",#N/A,FALSE,"Fact Sheet";"a",#N/A,FALSE,"DCFEVA";"a",#N/A,FALSE,"Statements";"a",#N/A,FALSE,"Quarterly";"a",#N/A,FALSE,"Q Grid";"a",#N/A,FALSE,"Stockval";"a",#N/A,FALSE,"DDM"}</definedName>
    <definedName name="wrn.REVSHARE." localSheetId="1" hidden="1">{#N/A,#N/A,FALSE,"REVSHARE"}</definedName>
    <definedName name="wrn.sales." localSheetId="1" hidden="1">{"sales",#N/A,FALSE,"Sales";"sales existing",#N/A,FALSE,"Sales";"sales rd1",#N/A,FALSE,"Sales";"sales rd2",#N/A,FALSE,"Sales"}</definedName>
    <definedName name="wrn.sensitivity." localSheetId="1" hidden="1">{"sensitivity",#N/A,FALSE,"Sensitivity"}</definedName>
    <definedName name="wrn.STATE." localSheetId="1" hidden="1">{#N/A,#N/A,FALSE,"STATE"}</definedName>
    <definedName name="wrn.STMT._.OF._.CASH._.FLOWS." localSheetId="1" hidden="1">{"STMT OF CASH FLOWS",#N/A,FALSE,"Cash Flows Indirect"}</definedName>
    <definedName name="wrn.Tariff._.Analysis." localSheetId="1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1" hidden="1">{"Tariff Comparison",#N/A,FALSE,"Benchmarking";"Tariff Comparison 2",#N/A,FALSE,"Benchmarking";"Tariff Comparison 3",#N/A,FALSE,"Benchmarking"}</definedName>
    <definedName name="wrn.TAXARREARS." localSheetId="1" hidden="1">{#N/A,#N/A,FALSE,"TAXARREARS"}</definedName>
    <definedName name="wrn.TAXPAYRS." localSheetId="1" hidden="1">{#N/A,#N/A,FALSE,"TAXPAYRS"}</definedName>
    <definedName name="wrn.TB._.ALL._.ACCTS." localSheetId="1" hidden="1">{"BALANCE SHEET ACCTS",#N/A,TRUE,"Working Trial Balance";"INCOME STMT ACCTS",#N/A,TRUE,"Working Trial Balance"}</definedName>
    <definedName name="wrn.TB._.BALANCE._.SHEET." localSheetId="1" hidden="1">{"BALANCE SHEET ACCTS",#N/A,FALSE,"Working Trial Balance"}</definedName>
    <definedName name="wrn.TB._.EXPLANATIONS." localSheetId="1" hidden="1">{"EXPLANATIONS",#N/A,FALSE,"Working Trial Balance"}</definedName>
    <definedName name="wrn.TB._.INCOME._.STMT." localSheetId="1" hidden="1">{"INCOME STMT ACCTS",#N/A,FALSE,"Working Trial Balance"}</definedName>
    <definedName name="wrn.test." localSheetId="1" hidden="1">{"test2",#N/A,TRUE,"Prices"}</definedName>
    <definedName name="wrn.test1." localSheetId="1" hidden="1">{"Income Statement",#N/A,FALSE,"CFMODEL";"Balance Sheet",#N/A,FALSE,"CFMODEL"}</definedName>
    <definedName name="wrn.test2." localSheetId="1" hidden="1">{"SourcesUses",#N/A,TRUE,"CFMODEL";"TransOverview",#N/A,TRUE,"CFMODEL"}</definedName>
    <definedName name="wrn.test3." localSheetId="1" hidden="1">{"SourcesUses",#N/A,TRUE,#N/A;"TransOverview",#N/A,TRUE,"CFMODEL"}</definedName>
    <definedName name="wrn.test4." localSheetId="1" hidden="1">{"SourcesUses",#N/A,TRUE,"FundsFlow";"TransOverview",#N/A,TRUE,"FundsFlow"}</definedName>
    <definedName name="wrn.TRADE." localSheetId="1" hidden="1">{#N/A,#N/A,FALSE,"TRADE"}</definedName>
    <definedName name="wrn.TRANSPORT." localSheetId="1" hidden="1">{#N/A,#N/A,FALSE,"TRANPORT"}</definedName>
    <definedName name="wrn.UNEMPL." localSheetId="1" hidden="1">{#N/A,#N/A,FALSE,"EMP_POP";#N/A,#N/A,FALSE,"UNEMPL"}</definedName>
    <definedName name="wrn.USW." localSheetId="1" hidden="1">{"IS",#N/A,FALSE,"IS";"RPTIS",#N/A,FALSE,"RPTIS";"STATS",#N/A,FALSE,"STATS";"BS",#N/A,FALSE,"BS"}</definedName>
    <definedName name="wrn.UTL._.Position." localSheetId="1" hidden="1">{"UTL effect",#N/A,FALSE,"Sensitivity"}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riance._.3." localSheetId="1" hidden="1">{"Variance Q3",#N/A,FALSE,"Var"}</definedName>
    <definedName name="wrn.Variance._.Q1." localSheetId="1" hidden="1">{"Variance Q1",#N/A,FALSE,"Var"}</definedName>
    <definedName name="wrn.Variance._.Q2." localSheetId="1" hidden="1">{"Variance Q2",#N/A,FALSE,"Var"}</definedName>
    <definedName name="wrn.Variance._.Q3." localSheetId="1" hidden="1">{"Variance Q3",#N/A,FALSE,"Var"}</definedName>
    <definedName name="wrn.Variance._.Q4" localSheetId="1" hidden="1">{"Variance Q4",#N/A,FALSE,"Var"}</definedName>
    <definedName name="wrn.Variance._.Q4." localSheetId="1" hidden="1">{"Variance Q4",#N/A,FALSE,"Var"}</definedName>
    <definedName name="wrn.Wacc." localSheetId="1" hidden="1">{"Area1",#N/A,FALSE,"OREWACC";"Area2",#N/A,FALSE,"OREWACC"}</definedName>
    <definedName name="wrn.WAGES." localSheetId="1" hidden="1">{#N/A,#N/A,FALSE,"WAGES"}</definedName>
    <definedName name="wrn.WEO." localSheetId="1" hidden="1">{"WEO",#N/A,FALSE,"T"}</definedName>
    <definedName name="xxxxx" localSheetId="1" hidden="1">{"10yp capex",#N/A,FALSE,"Celtel alternative 6"}</definedName>
    <definedName name="xxxxxx" localSheetId="1" hidden="1">{"10yp graphs",#N/A,FALSE,"Market Data"}</definedName>
    <definedName name="yuuuuuuu" localSheetId="1" hidden="1">{"ratios",#N/A,FALSE,"Summary Accounts"}</definedName>
    <definedName name="yyyyyy" localSheetId="1" hidden="1">{"p_l",#N/A,FALSE,"Summary Accounts"}</definedName>
    <definedName name="z" localSheetId="1" hidden="1">#REF!</definedName>
    <definedName name="Zone_impres_MI" localSheetId="1">#REF!</definedName>
    <definedName name="ZONE44" localSheetId="1">#REF!</definedName>
    <definedName name="zz" localSheetId="1" hidden="1">{#N/A,#N/A,FALSE,"GGOVT2"}</definedName>
    <definedName name="zzzerff" localSheetId="1" hidden="1">{#N/A,#N/A,FALSE,"WAGES"}</definedName>
    <definedName name="_xlnm.Print_Area" localSheetId="1">'COEFFICIENTS_SAISONNIERS_2026'!$B$2:$P$207,'COEFFICIENTS_SAISONNIERS_2026'!$B$210:$P$235</definedName>
    <definedName name="__123Graph_A" localSheetId="2" hidden="1">#REF!</definedName>
    <definedName name="__123Graph_B" localSheetId="2" hidden="1">#REF!</definedName>
    <definedName name="__123Graph_C" localSheetId="2" hidden="1">#REF!</definedName>
    <definedName name="__123Graph_D" localSheetId="2" hidden="1">#REF!</definedName>
    <definedName name="__123Graph_E" localSheetId="2" hidden="1">#REF!</definedName>
    <definedName name="__123Graph_F" localSheetId="2" hidden="1">#REF!</definedName>
    <definedName name="__123Graph_X" localSheetId="2" hidden="1">#REF!</definedName>
    <definedName name="__14__123Graph_BGRAPHIQUE_1A" localSheetId="2" hidden="1">#REF!</definedName>
    <definedName name="__21__123Graph_CGRAPHIQUE_1A" localSheetId="2" hidden="1">#REF!</definedName>
    <definedName name="__28__123Graph_DGRAPHIQUE_1A" localSheetId="2" hidden="1">#REF!</definedName>
    <definedName name="__35__123Graph_EGRAPHIQUE_1A" localSheetId="2" hidden="1">#REF!</definedName>
    <definedName name="__42__123Graph_FGRAPHIQUE_1A" localSheetId="2" hidden="1">#REF!</definedName>
    <definedName name="__49__123Graph_XGRAPHIQUE_1A" localSheetId="2" hidden="1">#REF!</definedName>
    <definedName name="__7__123Graph_AGRAPHIQUE_1A" localSheetId="2" hidden="1">#REF!</definedName>
    <definedName name="_1__123Graph_AGRAPHIQUE_1A" localSheetId="2" hidden="1">#REF!</definedName>
    <definedName name="_10__123Graph_BGRAPHIQUE_1A" localSheetId="2" hidden="1">#REF!</definedName>
    <definedName name="_10__123Graph_DGRAPHIQUE_1A" localSheetId="2" hidden="1">#REF!</definedName>
    <definedName name="_10__123Graph_EGRAPHIQUE_1A" localSheetId="2" hidden="1">#REF!</definedName>
    <definedName name="_11__123Graph_BGRAPHIQUE_1A" localSheetId="2" hidden="1">#REF!</definedName>
    <definedName name="_12__123Graph_DGRAPHIQUE_1A" localSheetId="2" hidden="1">#REF!</definedName>
    <definedName name="_12__123Graph_FGRAPHIQUE_1A" localSheetId="2" hidden="1">#REF!</definedName>
    <definedName name="_13__123Graph_EGRAPHIQUE_1A" localSheetId="2" hidden="1">#REF!</definedName>
    <definedName name="_14__123Graph_BGRAPHIQUE_1A" localSheetId="2" hidden="1">#REF!</definedName>
    <definedName name="_14__123Graph_XGRAPHIQUE_1A" localSheetId="2" hidden="1">#REF!</definedName>
    <definedName name="_15__123Graph_CGRAPHIQUE_1A" localSheetId="2" hidden="1">#REF!</definedName>
    <definedName name="_15__123Graph_EGRAPHIQUE_1A" localSheetId="2" hidden="1">#REF!</definedName>
    <definedName name="_16__123Graph_FGRAPHIQUE_1A" localSheetId="2" hidden="1">#REF!</definedName>
    <definedName name="_18__123Graph_CGRAPHIQUE_1A" localSheetId="2" hidden="1">#REF!</definedName>
    <definedName name="_18__123Graph_FGRAPHIQUE_1A" localSheetId="2" hidden="1">#REF!</definedName>
    <definedName name="_19__123Graph_XGRAPHIQUE_1A" localSheetId="2" hidden="1">#REF!</definedName>
    <definedName name="_2__123Graph_AGRAPHIQUE_1A" localSheetId="2" hidden="1">#REF!</definedName>
    <definedName name="_20__123Graph_DGRAPHIQUE_1A" localSheetId="2" hidden="1">#REF!</definedName>
    <definedName name="_21__123Graph_CGRAPHIQUE_1A" localSheetId="2" hidden="1">#REF!</definedName>
    <definedName name="_21__123Graph_XGRAPHIQUE_1A" localSheetId="2" hidden="1">#REF!</definedName>
    <definedName name="_25__123Graph_DGRAPHIQUE_1A" localSheetId="2" hidden="1">#REF!</definedName>
    <definedName name="_25__123Graph_EGRAPHIQUE_1A" localSheetId="2" hidden="1">#REF!</definedName>
    <definedName name="_28__123Graph_DGRAPHIQUE_1A" localSheetId="2" hidden="1">#REF!</definedName>
    <definedName name="_3__123Graph_AGRAPHIQUE_1A" localSheetId="2" hidden="1">#REF!</definedName>
    <definedName name="_30__123Graph_FGRAPHIQUE_1A" localSheetId="2" hidden="1">#REF!</definedName>
    <definedName name="_32__123Graph_EGRAPHIQUE_1A" localSheetId="2" hidden="1">#REF!</definedName>
    <definedName name="_35__123Graph_EGRAPHIQUE_1A" localSheetId="2" hidden="1">#REF!</definedName>
    <definedName name="_35__123Graph_XGRAPHIQUE_1A" localSheetId="2" hidden="1">#REF!</definedName>
    <definedName name="_39__123Graph_FGRAPHIQUE_1A" localSheetId="2" hidden="1">#REF!</definedName>
    <definedName name="_4__123Graph_AGRAPHIQUE_1A" localSheetId="2" hidden="1">#REF!</definedName>
    <definedName name="_4__123Graph_BGRAPHIQUE_1A" localSheetId="2" hidden="1">#REF!</definedName>
    <definedName name="_42__123Graph_FGRAPHIQUE_1A" localSheetId="2" hidden="1">#REF!</definedName>
    <definedName name="_46__123Graph_XGRAPHIQUE_1A" localSheetId="2" hidden="1">#REF!</definedName>
    <definedName name="_49__123Graph_XGRAPHIQUE_1A" localSheetId="2" hidden="1">#REF!</definedName>
    <definedName name="_5__123Graph_AGRAPHIQUE_1A" localSheetId="2" hidden="1">#REF!</definedName>
    <definedName name="_6__123Graph_BGRAPHIQUE_1A" localSheetId="2" hidden="1">#REF!</definedName>
    <definedName name="_6__123Graph_CGRAPHIQUE_1A" localSheetId="2" hidden="1">#REF!</definedName>
    <definedName name="_7__123Graph_AGRAPHIQUE_1A" localSheetId="2" hidden="1">#REF!</definedName>
    <definedName name="_7__123Graph_CGRAPHIQUE_1A" localSheetId="2" hidden="1">#REF!</definedName>
    <definedName name="_8__123Graph_DGRAPHIQUE_1A" localSheetId="2" hidden="1">#REF!</definedName>
    <definedName name="_9__123Graph_CGRAPHIQUE_1A" localSheetId="2" hidden="1">#REF!</definedName>
    <definedName name="_Key1" localSheetId="2" hidden="1">#REF!</definedName>
    <definedName name="a" localSheetId="2" hidden="1">#REF!</definedName>
    <definedName name="ANNULE" localSheetId="2" hidden="1">#REF!</definedName>
    <definedName name="graph" localSheetId="2" hidden="1">#REF!</definedName>
    <definedName name="hine" localSheetId="2" hidden="1">#REF!</definedName>
    <definedName name="hine2" localSheetId="2" hidden="1">#REF!</definedName>
    <definedName name="ik" localSheetId="2" hidden="1">#REF!</definedName>
    <definedName name="kano" localSheetId="2" hidden="1">#REF!</definedName>
    <definedName name="ko" localSheetId="2" hidden="1">#REF!</definedName>
    <definedName name="nv" localSheetId="2" hidden="1">#REF!</definedName>
    <definedName name="StatJan" localSheetId="2" hidden="1">#REF!</definedName>
    <definedName name="Trafic" localSheetId="2" hidden="1">#REF!</definedName>
    <definedName name="_xlnm.Print_Area" localSheetId="2">'Stats exo 2025brute'!$B$2:$G$19,'Stats exo 2025brute'!$B$21:$G$43,'Stats exo 2025brute'!$B$45:$G$134,'Stats exo 2025brute'!$B$136:$G$230,'Stats exo 2025brute'!$B$232:$G$309,'Stats exo 2025brute'!$B$311:$G$350,'Stats exo 2025brute'!$B$352:$G$397,'Stats exo 2025brute'!$B$399:$G$435,'Stats exo 2025brute'!$B$437:$G$510,'Stats exo 2025brute'!$B$512:$G$585,'Stats exo 2025brute'!$B$587:$G$660,'Stats exo 2025brute'!$B$662:$G$693,'Stats exo 2025brute'!$B$695:$G$728,'Stats exo 2025brute'!$B$730:$G$785,'Stats exo 2025brute'!$B$787:$G$816,'Stats exo 2025brute'!$B$818:$G$867,'Stats exo 2025brute'!$B$869:$G$995,'Stats exo 2025brute'!$B$997:$G$1039,'Stats exo 2025brute'!$B$1041:$G$1082,'Stats exo 2025brute'!$B$1084:$G$1112,'Stats exo 2025brute'!$B$1114:$G$1197,'Stats exo 2025brute'!$B$1199:$G$1220,'Stats exo 2025brute'!$B$1222:$G$1304,'Stats exo 2025brute'!$B$1305:$H$1328,'Stats exo 2025brute'!$B$1330:$H$1370,'Stats exo 2025brute'!$B$1372:$G$1448</definedName>
  </definedNames>
  <calcPr calcId="191029" fullCalcOnLoad="1"/>
</workbook>
</file>

<file path=xl/styles.xml><?xml version="1.0" encoding="utf-8"?>
<styleSheet xmlns="http://schemas.openxmlformats.org/spreadsheetml/2006/main">
  <numFmts count="25">
    <numFmt numFmtId="164" formatCode="_-* #,##0\ _€_-;\-* #,##0\ _€_-;_-* &quot;-&quot;??\ _€_-;_-@_-"/>
    <numFmt numFmtId="165" formatCode="0.0%"/>
    <numFmt numFmtId="166" formatCode="0.0"/>
    <numFmt numFmtId="167" formatCode="0.00_)"/>
    <numFmt numFmtId="168" formatCode="General_)"/>
    <numFmt numFmtId="169" formatCode="0_)"/>
    <numFmt numFmtId="170" formatCode="_-* #,##0.00\ _€_-;\-* #,##0.00\ _€_-;_-* &quot;-&quot;??\ _€_-;_-@_-"/>
    <numFmt numFmtId="171" formatCode="#,##0.0"/>
    <numFmt numFmtId="172" formatCode="0.000"/>
    <numFmt numFmtId="173" formatCode="#,##0.000"/>
    <numFmt numFmtId="174" formatCode="0.0000000%"/>
    <numFmt numFmtId="175" formatCode="0.000000%"/>
    <numFmt numFmtId="176" formatCode="_-* #,##0.00\ [$€]_-;\-* #,##0.00\ [$€]_-;_-* &quot;-&quot;??\ [$€]_-;_-@_-"/>
    <numFmt numFmtId="177" formatCode="_-* #,##0\ [$€]_-;\-* #,##0\ [$€]_-;_-* &quot;-&quot;??\ [$€]_-;_-@_-"/>
    <numFmt numFmtId="178" formatCode="#,##0.000_ ;\-#,##0.000\ "/>
    <numFmt numFmtId="179" formatCode="#,##0.00_ ;\-#,##0.00\ "/>
    <numFmt numFmtId="180" formatCode="#,##0_ ;\-#,##0\ "/>
    <numFmt numFmtId="181" formatCode="_-* #,##0_-;\-* #,##0_-;_-* &quot;-&quot;_-;_-@_-"/>
    <numFmt numFmtId="182" formatCode="_-* #,##0.0000000_-;\-* #,##0.0000000_-;_-* &quot;-&quot;_-;_-@_-"/>
    <numFmt numFmtId="183" formatCode="_ * #,##0_)\ _€_ ;_ * \(#,##0\)\ _€_ ;_ * &quot;-&quot;??_)\ _€_ ;_ @_ "/>
    <numFmt numFmtId="184" formatCode="_-* #,##0.000\ _€_-;\-* #,##0.000\ _€_-;_-* &quot;-&quot;??\ _€_-;_-@_-"/>
    <numFmt numFmtId="185" formatCode="[$-1040C]#,##0;\-#,##0"/>
    <numFmt numFmtId="186" formatCode="_ * #,##0.00_)_ ;_ * \(#,##0.00\)_ ;_ * &quot;-&quot;??_)_ ;_ @_ "/>
    <numFmt numFmtId="187" formatCode="_-* #,##0.00\ _F_-;\-* #,##0.00\ _F_-;_-* &quot;-&quot;??\ _F_-;_-@_-"/>
    <numFmt numFmtId="188" formatCode="_-* #,##0.00_-;\-* #,##0.00_-;_-* &quot;-&quot;??_-;_-@_-"/>
  </numFmts>
  <fonts count="1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b val="1"/>
      <sz val="12"/>
    </font>
    <font>
      <name val="Helv"/>
      <sz val="12"/>
    </font>
    <font>
      <name val="Times New Roman"/>
      <family val="1"/>
      <b val="1"/>
      <sz val="12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Calibri"/>
      <family val="2"/>
      <color rgb="FF000000"/>
      <sz val="11"/>
      <scheme val="minor"/>
    </font>
    <font>
      <name val="Times New Roman"/>
      <family val="1"/>
      <sz val="10"/>
    </font>
    <font>
      <name val="Times New Roman"/>
      <family val="1"/>
      <b val="1"/>
      <color theme="1"/>
      <sz val="12"/>
    </font>
    <font>
      <name val="Arial"/>
      <family val="2"/>
      <b val="1"/>
      <color theme="1"/>
      <sz val="12"/>
    </font>
    <font>
      <name val="Times New Roman"/>
      <family val="1"/>
      <color rgb="FF00B0F0"/>
      <sz val="12"/>
    </font>
    <font>
      <name val="Arial"/>
      <family val="2"/>
      <i val="1"/>
      <color theme="1"/>
      <sz val="12"/>
    </font>
    <font>
      <name val="Arial"/>
      <family val="2"/>
      <i val="1"/>
      <sz val="12"/>
    </font>
    <font>
      <name val="Arial"/>
      <family val="2"/>
      <i val="1"/>
      <color rgb="FFFF0000"/>
      <sz val="12"/>
    </font>
    <font>
      <name val="Times New Roman"/>
      <family val="1"/>
      <color theme="1"/>
      <sz val="12"/>
    </font>
    <font>
      <name val="Arial"/>
      <family val="2"/>
      <b val="1"/>
      <i val="1"/>
      <sz val="12"/>
    </font>
    <font>
      <name val="Times New Roman"/>
      <family val="1"/>
      <b val="1"/>
      <color indexed="8"/>
      <sz val="12"/>
    </font>
    <font>
      <name val="Times New Roman"/>
      <family val="1"/>
      <b val="1"/>
      <color indexed="8"/>
      <sz val="12"/>
      <u val="single"/>
    </font>
    <font>
      <name val="Arial"/>
      <family val="2"/>
      <b val="1"/>
      <i val="1"/>
      <color theme="1"/>
      <sz val="12"/>
    </font>
    <font>
      <name val="Times New Roman"/>
      <family val="1"/>
      <color theme="4"/>
      <sz val="12"/>
    </font>
    <font>
      <name val="Times New Roman"/>
      <family val="1"/>
      <i val="1"/>
      <color rgb="FF00B0F0"/>
      <sz val="12"/>
    </font>
    <font>
      <name val="Arial"/>
      <family val="2"/>
      <i val="1"/>
      <color rgb="FF00B050"/>
      <sz val="12"/>
    </font>
    <font>
      <name val="Times New Roman"/>
      <family val="1"/>
      <i val="1"/>
      <sz val="12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b val="1"/>
      <sz val="14"/>
    </font>
    <font>
      <name val="Calibri"/>
      <family val="2"/>
      <sz val="11"/>
      <scheme val="minor"/>
    </font>
    <font>
      <name val="Trebuchet MS"/>
      <family val="2"/>
      <b val="1"/>
      <color rgb="FF000000"/>
      <sz val="14"/>
    </font>
    <font>
      <name val="Trebuchet MS"/>
      <family val="2"/>
      <color rgb="FF000000"/>
      <sz val="14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4"/>
    </font>
    <font>
      <name val="Times New Roman"/>
      <family val="1"/>
      <b val="1"/>
      <color rgb="FFFF0000"/>
      <sz val="14"/>
    </font>
    <font>
      <name val="Calibri"/>
      <family val="2"/>
      <sz val="11"/>
    </font>
    <font>
      <name val="Calibri"/>
      <family val="2"/>
      <b val="1"/>
      <color rgb="FFFF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595959"/>
      <sz val="11"/>
    </font>
    <font>
      <name val="Tahoma"/>
      <family val="2"/>
      <color rgb="FF000000"/>
      <sz val="9"/>
    </font>
    <font>
      <name val="Calibri"/>
      <family val="2"/>
      <b val="1"/>
      <sz val="11"/>
      <scheme val="minor"/>
    </font>
    <font>
      <name val="Times New Roman"/>
      <family val="2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rgb="FFFF0000"/>
      <sz val="12"/>
    </font>
    <font>
      <name val="Times New Roman"/>
      <family val="1"/>
      <b val="1"/>
      <sz val="12"/>
      <u val="single"/>
    </font>
    <font>
      <name val="Times New Roman"/>
      <family val="1"/>
      <color indexed="8"/>
      <sz val="12"/>
    </font>
    <font>
      <name val="Times New Roman"/>
      <family val="1"/>
      <color theme="8"/>
      <sz val="12"/>
    </font>
    <font>
      <name val="Times New Roman"/>
      <family val="1"/>
      <color rgb="FF00B050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rgb="FF00B050"/>
      <sz val="12"/>
      <u val="single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sz val="12"/>
    </font>
    <font>
      <name val="Times New Roman"/>
      <family val="1"/>
      <i val="1"/>
      <color theme="4"/>
      <sz val="12"/>
    </font>
    <font>
      <name val="Times New Roman"/>
      <family val="1"/>
      <b val="1"/>
      <color rgb="FF00B0F0"/>
      <sz val="12"/>
    </font>
    <font>
      <name val="Times New Roman"/>
      <family val="1"/>
      <b val="1"/>
      <color theme="8"/>
      <sz val="12"/>
    </font>
    <font>
      <name val="Times New Roman"/>
      <family val="1"/>
      <i val="1"/>
      <color rgb="FF00B050"/>
      <sz val="12"/>
    </font>
    <font>
      <name val="Times New Roman"/>
      <family val="1"/>
      <b val="1"/>
      <color theme="4"/>
      <sz val="12"/>
    </font>
    <font>
      <name val="Times New Roman"/>
      <family val="1"/>
      <b val="1"/>
      <color rgb="FF00B0F0"/>
      <sz val="12"/>
      <u val="single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theme="4" tint="-0.249977111117893"/>
      <sz val="12"/>
    </font>
    <font>
      <name val="Times New Roman"/>
      <family val="1"/>
      <b val="1"/>
      <i val="1"/>
      <color theme="1"/>
      <sz val="12"/>
      <u val="single"/>
    </font>
    <font>
      <name val="Times New Roman"/>
      <family val="1"/>
      <color theme="1"/>
      <sz val="12"/>
      <u val="single"/>
    </font>
    <font>
      <name val="Arial"/>
      <family val="2"/>
      <b val="1"/>
      <color indexed="8"/>
      <sz val="12"/>
    </font>
    <font>
      <name val="Calibri"/>
      <family val="2"/>
      <sz val="8"/>
      <scheme val="minor"/>
    </font>
    <font>
      <name val="Calibri"/>
      <family val="2"/>
      <b val="1"/>
      <color theme="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C000"/>
      <sz val="11"/>
      <scheme val="minor"/>
    </font>
    <font>
      <name val="Arial"/>
      <family val="2"/>
      <b val="1"/>
      <color rgb="FF595959"/>
      <sz val="14"/>
    </font>
    <font>
      <name val="Arial"/>
      <family val="2"/>
      <b val="1"/>
      <color rgb="FFFF0000"/>
      <sz val="10"/>
    </font>
    <font>
      <name val="Arial"/>
      <family val="2"/>
      <b val="1"/>
      <sz val="9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Arial"/>
      <family val="2"/>
      <b val="1"/>
      <sz val="8"/>
    </font>
    <font>
      <name val="Arial"/>
      <family val="2"/>
      <b val="1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rgb="FFFF0000"/>
      <sz val="12"/>
    </font>
    <font>
      <name val="Trebuchet MS"/>
      <family val="2"/>
      <color rgb="FF222222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theme="0" tint="-0.3499862666707358"/>
      <sz val="12"/>
    </font>
    <font>
      <name val="Times New Roman"/>
      <family val="1"/>
      <b val="1"/>
      <color rgb="FF0070C0"/>
      <sz val="12"/>
    </font>
    <font>
      <name val="Times New Roman"/>
      <family val="1"/>
      <b val="1"/>
      <sz val="11"/>
    </font>
    <font>
      <name val="Calibri"/>
      <family val="2"/>
      <b val="1"/>
      <color theme="1"/>
      <sz val="14"/>
      <scheme val="minor"/>
    </font>
    <font>
      <name val="Trebuchet MS"/>
      <family val="2"/>
      <b val="1"/>
      <color rgb="FFFF0000"/>
      <sz val="14"/>
    </font>
    <font>
      <name val="Calibri"/>
      <family val="2"/>
      <b val="1"/>
      <color theme="5"/>
      <sz val="14"/>
      <scheme val="minor"/>
    </font>
    <font>
      <name val="Arial"/>
      <family val="2"/>
      <b val="1"/>
      <color theme="5"/>
      <sz val="12"/>
    </font>
    <font>
      <name val="Calibri"/>
      <family val="2"/>
      <color theme="1"/>
      <sz val="12"/>
      <scheme val="minor"/>
    </font>
    <font>
      <name val="Trebuchet MS"/>
      <family val="2"/>
      <b val="1"/>
      <color rgb="FF00B050"/>
      <sz val="14"/>
    </font>
    <font>
      <name val="Calibri"/>
      <family val="2"/>
      <color theme="5"/>
      <sz val="11"/>
      <scheme val="minor"/>
    </font>
    <font>
      <name val="Times New Roman"/>
      <family val="1"/>
      <color theme="0"/>
      <sz val="11"/>
    </font>
    <font>
      <name val="Calibri"/>
      <family val="2"/>
      <color theme="0" tint="-0.0499893185216834"/>
      <sz val="11"/>
      <scheme val="minor"/>
    </font>
    <font>
      <name val="Times New Roman"/>
      <family val="1"/>
      <color theme="9"/>
      <sz val="12"/>
    </font>
    <font>
      <name val="Times New Roman"/>
      <family val="1"/>
      <color rgb="FFC00000"/>
      <sz val="12"/>
    </font>
    <font>
      <name val="Times New Roman"/>
      <family val="1"/>
      <b val="1"/>
      <i val="1"/>
      <color rgb="FFC00000"/>
      <sz val="12"/>
    </font>
    <font>
      <name val="Times New Roman"/>
      <family val="1"/>
      <i val="1"/>
      <color rgb="FFFF0000"/>
      <sz val="12"/>
    </font>
    <font>
      <name val="Times New Roman"/>
      <family val="1"/>
      <b val="1"/>
      <i val="1"/>
      <color rgb="FF00B0F0"/>
      <sz val="12"/>
    </font>
    <font>
      <name val="Times New Roman"/>
      <family val="1"/>
      <color rgb="FF7030A0"/>
      <sz val="12"/>
    </font>
    <font>
      <name val="Times New Roman"/>
      <family val="1"/>
      <b val="1"/>
      <color rgb="FF7030A0"/>
      <sz val="12"/>
    </font>
    <font>
      <name val="Times New Roman"/>
      <family val="1"/>
      <i val="1"/>
      <color rgb="FFC00000"/>
      <sz val="12"/>
    </font>
    <font>
      <name val="Times New Roman"/>
      <family val="1"/>
      <b val="1"/>
      <color rgb="FFC00000"/>
      <sz val="12"/>
    </font>
    <font>
      <b val="1"/>
      <sz val="12"/>
    </font>
    <font>
      <b val="1"/>
    </font>
    <font>
      <b val="1"/>
      <sz val="14"/>
    </font>
    <font>
      <sz val="11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F6CC"/>
        <bgColor rgb="00FFF6CC"/>
      </patternFill>
    </fill>
  </fills>
  <borders count="1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1" fillId="0" borderId="0"/>
    <xf numFmtId="170" fontId="1" fillId="0" borderId="0"/>
    <xf numFmtId="0" fontId="3" fillId="0" borderId="0"/>
    <xf numFmtId="176" fontId="3" fillId="0" borderId="0"/>
    <xf numFmtId="0" fontId="1" fillId="0" borderId="0"/>
    <xf numFmtId="43" fontId="1" fillId="0" borderId="0"/>
    <xf numFmtId="41" fontId="1" fillId="0" borderId="0"/>
    <xf numFmtId="43" fontId="1" fillId="0" borderId="0"/>
    <xf numFmtId="168" fontId="7" fillId="0" borderId="0"/>
    <xf numFmtId="0" fontId="11" fillId="0" borderId="0"/>
    <xf numFmtId="0" fontId="12" fillId="0" borderId="0"/>
    <xf numFmtId="0" fontId="1" fillId="0" borderId="0"/>
    <xf numFmtId="168" fontId="7" fillId="0" borderId="0"/>
    <xf numFmtId="0" fontId="3" fillId="0" borderId="0"/>
    <xf numFmtId="0" fontId="12" fillId="0" borderId="0"/>
    <xf numFmtId="0" fontId="7" fillId="0" borderId="0"/>
    <xf numFmtId="9" fontId="1" fillId="0" borderId="0"/>
    <xf numFmtId="186" fontId="1" fillId="0" borderId="0"/>
    <xf numFmtId="186" fontId="1" fillId="0" borderId="0"/>
    <xf numFmtId="0" fontId="3" fillId="0" borderId="0"/>
    <xf numFmtId="187" fontId="3" fillId="0" borderId="0"/>
    <xf numFmtId="186" fontId="1" fillId="0" borderId="0"/>
    <xf numFmtId="0" fontId="49" fillId="0" borderId="0"/>
    <xf numFmtId="188" fontId="49" fillId="0" borderId="0"/>
    <xf numFmtId="188" fontId="1" fillId="0" borderId="0"/>
    <xf numFmtId="188" fontId="1" fillId="0" borderId="0"/>
    <xf numFmtId="176" fontId="3" fillId="0" borderId="0"/>
    <xf numFmtId="43" fontId="1" fillId="0" borderId="0"/>
    <xf numFmtId="0" fontId="1" fillId="0" borderId="0"/>
    <xf numFmtId="170" fontId="1" fillId="0" borderId="0"/>
    <xf numFmtId="181" fontId="1" fillId="0" borderId="0"/>
  </cellStyleXfs>
  <cellXfs count="1578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2">
      <alignment horizontal="right"/>
    </xf>
    <xf numFmtId="0" fontId="10" fillId="0" borderId="0" pivotButton="0" quotePrefix="0" xfId="2"/>
    <xf numFmtId="3" fontId="5" fillId="3" borderId="3" applyAlignment="1" pivotButton="0" quotePrefix="0" xfId="10">
      <alignment horizontal="right"/>
    </xf>
    <xf numFmtId="0" fontId="20" fillId="0" borderId="0" pivotButton="0" quotePrefix="0" xfId="2"/>
    <xf numFmtId="0" fontId="27" fillId="0" borderId="0" pivotButton="0" quotePrefix="0" xfId="2"/>
    <xf numFmtId="0" fontId="5" fillId="0" borderId="0" applyAlignment="1" pivotButton="0" quotePrefix="0" xfId="2">
      <alignment horizontal="center"/>
    </xf>
    <xf numFmtId="0" fontId="5" fillId="0" borderId="0" pivotButton="0" quotePrefix="0" xfId="2"/>
    <xf numFmtId="0" fontId="5" fillId="0" borderId="0" applyAlignment="1" pivotButton="0" quotePrefix="0" xfId="2">
      <alignment vertical="center"/>
    </xf>
    <xf numFmtId="15" fontId="8" fillId="0" borderId="1" applyAlignment="1" pivotButton="0" quotePrefix="0" xfId="12">
      <alignment horizontal="center" vertical="center" wrapText="1"/>
    </xf>
    <xf numFmtId="3" fontId="5" fillId="0" borderId="0" pivotButton="0" quotePrefix="0" xfId="2"/>
    <xf numFmtId="0" fontId="19" fillId="0" borderId="0" pivotButton="0" quotePrefix="0" xfId="2"/>
    <xf numFmtId="0" fontId="8" fillId="0" borderId="0" pivotButton="0" quotePrefix="0" xfId="2"/>
    <xf numFmtId="0" fontId="30" fillId="0" borderId="7" pivotButton="0" quotePrefix="0" xfId="0"/>
    <xf numFmtId="164" fontId="0" fillId="0" borderId="0" pivotButton="0" quotePrefix="0" xfId="1"/>
    <xf numFmtId="3" fontId="0" fillId="0" borderId="7" pivotButton="0" quotePrefix="0" xfId="0"/>
    <xf numFmtId="0" fontId="31" fillId="0" borderId="0" pivotButton="0" quotePrefix="0" xfId="0"/>
    <xf numFmtId="3" fontId="4" fillId="0" borderId="0" applyAlignment="1" pivotButton="0" quotePrefix="0" xfId="12">
      <alignment horizontal="center"/>
    </xf>
    <xf numFmtId="0" fontId="28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16"/>
    <xf numFmtId="165" fontId="10" fillId="0" borderId="0" pivotButton="0" quotePrefix="0" xfId="16"/>
    <xf numFmtId="165" fontId="18" fillId="0" borderId="0" pivotButton="0" quotePrefix="0" xfId="16"/>
    <xf numFmtId="164" fontId="4" fillId="0" borderId="0" pivotButton="0" quotePrefix="0" xfId="1"/>
    <xf numFmtId="3" fontId="33" fillId="0" borderId="7" pivotButton="0" quotePrefix="0" xfId="0"/>
    <xf numFmtId="165" fontId="4" fillId="0" borderId="0" pivotButton="0" quotePrefix="0" xfId="16"/>
    <xf numFmtId="165" fontId="4" fillId="0" borderId="0" pivotButton="0" quotePrefix="0" xfId="16"/>
    <xf numFmtId="3" fontId="5" fillId="0" borderId="2" applyAlignment="1" pivotButton="0" quotePrefix="0" xfId="8">
      <alignment horizontal="right"/>
    </xf>
    <xf numFmtId="0" fontId="34" fillId="8" borderId="14" applyAlignment="1" pivotButton="0" quotePrefix="0" xfId="0">
      <alignment horizontal="left" wrapText="1" readingOrder="1"/>
    </xf>
    <xf numFmtId="3" fontId="34" fillId="8" borderId="15" applyAlignment="1" pivotButton="0" quotePrefix="0" xfId="0">
      <alignment horizontal="right" vertical="center" wrapText="1" readingOrder="1"/>
    </xf>
    <xf numFmtId="166" fontId="34" fillId="8" borderId="15" applyAlignment="1" pivotButton="0" quotePrefix="0" xfId="0">
      <alignment horizontal="right" vertical="center" wrapText="1" readingOrder="1"/>
    </xf>
    <xf numFmtId="3" fontId="35" fillId="0" borderId="18" applyAlignment="1" pivotButton="0" quotePrefix="0" xfId="0">
      <alignment horizontal="right" vertical="center" wrapText="1" readingOrder="1"/>
    </xf>
    <xf numFmtId="166" fontId="35" fillId="0" borderId="18" applyAlignment="1" pivotButton="0" quotePrefix="0" xfId="0">
      <alignment horizontal="right" vertical="center" wrapText="1" readingOrder="1"/>
    </xf>
    <xf numFmtId="3" fontId="35" fillId="0" borderId="20" applyAlignment="1" pivotButton="0" quotePrefix="0" xfId="0">
      <alignment horizontal="right" vertical="center" wrapText="1" readingOrder="1"/>
    </xf>
    <xf numFmtId="3" fontId="35" fillId="0" borderId="22" applyAlignment="1" pivotButton="0" quotePrefix="0" xfId="0">
      <alignment horizontal="right" vertical="center" wrapText="1" readingOrder="1"/>
    </xf>
    <xf numFmtId="0" fontId="34" fillId="8" borderId="23" applyAlignment="1" pivotButton="0" quotePrefix="0" xfId="0">
      <alignment horizontal="left" vertical="center" wrapText="1" readingOrder="1"/>
    </xf>
    <xf numFmtId="3" fontId="35" fillId="0" borderId="25" applyAlignment="1" pivotButton="0" quotePrefix="0" xfId="0">
      <alignment horizontal="right" vertical="center" wrapText="1" readingOrder="1"/>
    </xf>
    <xf numFmtId="0" fontId="16" fillId="0" borderId="0" pivotButton="0" quotePrefix="0" xfId="2"/>
    <xf numFmtId="0" fontId="18" fillId="0" borderId="0" pivotButton="0" quotePrefix="0" xfId="2"/>
    <xf numFmtId="0" fontId="4" fillId="0" borderId="0" applyAlignment="1" pivotButton="0" quotePrefix="0" xfId="2">
      <alignment vertical="center"/>
    </xf>
    <xf numFmtId="0" fontId="6" fillId="0" borderId="0" pivotButton="0" quotePrefix="0" xfId="2"/>
    <xf numFmtId="167" fontId="5" fillId="0" borderId="2" pivotButton="0" quotePrefix="0" xfId="15"/>
    <xf numFmtId="0" fontId="5" fillId="0" borderId="2" pivotButton="0" quotePrefix="0" xfId="15"/>
    <xf numFmtId="0" fontId="26" fillId="0" borderId="0" pivotButton="0" quotePrefix="0" xfId="2"/>
    <xf numFmtId="0" fontId="4" fillId="0" borderId="0" applyAlignment="1" pivotButton="0" quotePrefix="0" xfId="2">
      <alignment horizontal="left" vertical="center"/>
    </xf>
    <xf numFmtId="0" fontId="23" fillId="0" borderId="0" pivotButton="0" quotePrefix="0" xfId="2"/>
    <xf numFmtId="0" fontId="36" fillId="0" borderId="0" pivotButton="0" quotePrefix="0" xfId="0"/>
    <xf numFmtId="0" fontId="37" fillId="0" borderId="0" pivotButton="0" quotePrefix="0" xfId="0"/>
    <xf numFmtId="0" fontId="32" fillId="0" borderId="7" applyAlignment="1" pivotButton="0" quotePrefix="0" xfId="0">
      <alignment horizontal="center" vertical="center"/>
    </xf>
    <xf numFmtId="0" fontId="39" fillId="0" borderId="7" applyAlignment="1" pivotButton="0" quotePrefix="0" xfId="0">
      <alignment horizontal="center" vertical="center"/>
    </xf>
    <xf numFmtId="0" fontId="38" fillId="0" borderId="10" pivotButton="0" quotePrefix="0" xfId="0"/>
    <xf numFmtId="3" fontId="36" fillId="0" borderId="7" pivotButton="0" quotePrefix="0" xfId="0"/>
    <xf numFmtId="3" fontId="40" fillId="0" borderId="7" pivotButton="0" quotePrefix="0" xfId="0"/>
    <xf numFmtId="3" fontId="41" fillId="0" borderId="7" pivotButton="0" quotePrefix="0" xfId="0"/>
    <xf numFmtId="1" fontId="40" fillId="0" borderId="7" pivotButton="0" quotePrefix="0" xfId="16"/>
    <xf numFmtId="1" fontId="40" fillId="0" borderId="7" pivotButton="0" quotePrefix="0" xfId="0"/>
    <xf numFmtId="0" fontId="38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right"/>
    </xf>
    <xf numFmtId="0" fontId="38" fillId="0" borderId="0" pivotButton="0" quotePrefix="0" xfId="0"/>
    <xf numFmtId="10" fontId="42" fillId="0" borderId="0" pivotButton="0" quotePrefix="0" xfId="0"/>
    <xf numFmtId="0" fontId="43" fillId="0" borderId="0" pivotButton="0" quotePrefix="0" xfId="0"/>
    <xf numFmtId="10" fontId="43" fillId="0" borderId="0" pivotButton="0" quotePrefix="0" xfId="0"/>
    <xf numFmtId="10" fontId="40" fillId="0" borderId="7" pivotButton="0" quotePrefix="0" xfId="16"/>
    <xf numFmtId="10" fontId="46" fillId="2" borderId="7" pivotButton="0" quotePrefix="0" xfId="16"/>
    <xf numFmtId="10" fontId="42" fillId="2" borderId="0" pivotButton="0" quotePrefix="0" xfId="16"/>
    <xf numFmtId="10" fontId="42" fillId="0" borderId="0" pivotButton="0" quotePrefix="0" xfId="16"/>
    <xf numFmtId="1" fontId="40" fillId="0" borderId="0" pivotButton="0" quotePrefix="0" xfId="16"/>
    <xf numFmtId="0" fontId="44" fillId="0" borderId="0" applyAlignment="1" pivotButton="0" quotePrefix="0" xfId="0">
      <alignment horizontal="center" vertical="center"/>
    </xf>
    <xf numFmtId="3" fontId="29" fillId="0" borderId="7" pivotButton="0" quotePrefix="0" xfId="0"/>
    <xf numFmtId="10" fontId="0" fillId="4" borderId="0" pivotButton="0" quotePrefix="0" xfId="16"/>
    <xf numFmtId="164" fontId="29" fillId="0" borderId="7" applyAlignment="1" pivotButton="0" quotePrefix="0" xfId="0">
      <alignment vertical="center"/>
    </xf>
    <xf numFmtId="3" fontId="29" fillId="0" borderId="7" applyAlignment="1" pivotButton="0" quotePrefix="0" xfId="0">
      <alignment vertical="center"/>
    </xf>
    <xf numFmtId="3" fontId="33" fillId="0" borderId="7" applyAlignment="1" pivotButton="0" quotePrefix="0" xfId="0">
      <alignment vertical="center"/>
    </xf>
    <xf numFmtId="164" fontId="33" fillId="0" borderId="7" applyAlignment="1" pivotButton="0" quotePrefix="0" xfId="1">
      <alignment vertical="center"/>
    </xf>
    <xf numFmtId="164" fontId="33" fillId="0" borderId="7" applyAlignment="1" pivotButton="0" quotePrefix="0" xfId="0">
      <alignment vertical="center"/>
    </xf>
    <xf numFmtId="3" fontId="19" fillId="0" borderId="7" pivotButton="0" quotePrefix="0" xfId="19"/>
    <xf numFmtId="0" fontId="19" fillId="0" borderId="7" pivotButton="0" quotePrefix="0" xfId="19"/>
    <xf numFmtId="0" fontId="13" fillId="0" borderId="0" pivotButton="0" quotePrefix="0" xfId="19"/>
    <xf numFmtId="9" fontId="0" fillId="0" borderId="0" pivotButton="0" quotePrefix="0" xfId="16"/>
    <xf numFmtId="3" fontId="9" fillId="0" borderId="0" applyAlignment="1" pivotButton="0" quotePrefix="0" xfId="2">
      <alignment horizontal="right"/>
    </xf>
    <xf numFmtId="0" fontId="0" fillId="0" borderId="7" pivotButton="0" quotePrefix="0" xfId="0"/>
    <xf numFmtId="9" fontId="0" fillId="0" borderId="0" pivotButton="0" quotePrefix="0" xfId="16"/>
    <xf numFmtId="165" fontId="0" fillId="0" borderId="0" pivotButton="0" quotePrefix="0" xfId="16"/>
    <xf numFmtId="9" fontId="0" fillId="0" borderId="0" pivotButton="0" quotePrefix="0" xfId="16"/>
    <xf numFmtId="0" fontId="0" fillId="0" borderId="1" pivotButton="0" quotePrefix="0" xfId="0"/>
    <xf numFmtId="3" fontId="0" fillId="0" borderId="1" pivotButton="0" quotePrefix="0" xfId="0"/>
    <xf numFmtId="3" fontId="29" fillId="0" borderId="1" pivotButton="0" quotePrefix="0" xfId="0"/>
    <xf numFmtId="165" fontId="0" fillId="0" borderId="29" pivotButton="0" quotePrefix="0" xfId="16"/>
    <xf numFmtId="165" fontId="0" fillId="0" borderId="30" pivotButton="0" quotePrefix="0" xfId="16"/>
    <xf numFmtId="165" fontId="0" fillId="0" borderId="32" pivotButton="0" quotePrefix="0" xfId="16"/>
    <xf numFmtId="9" fontId="0" fillId="0" borderId="32" pivotButton="0" quotePrefix="0" xfId="16"/>
    <xf numFmtId="9" fontId="0" fillId="0" borderId="34" pivotButton="0" quotePrefix="0" xfId="16"/>
    <xf numFmtId="9" fontId="0" fillId="0" borderId="35" pivotButton="0" quotePrefix="0" xfId="16"/>
    <xf numFmtId="0" fontId="48" fillId="0" borderId="0" pivotButton="0" quotePrefix="0" xfId="0"/>
    <xf numFmtId="3" fontId="34" fillId="8" borderId="36" applyAlignment="1" pivotButton="0" quotePrefix="0" xfId="0">
      <alignment horizontal="right" vertical="center" wrapText="1" readingOrder="1"/>
    </xf>
    <xf numFmtId="0" fontId="34" fillId="7" borderId="27" applyAlignment="1" pivotButton="0" quotePrefix="0" xfId="0">
      <alignment horizontal="center" vertical="center" wrapText="1" readingOrder="1"/>
    </xf>
    <xf numFmtId="1" fontId="45" fillId="0" borderId="0" pivotButton="0" quotePrefix="0" xfId="16"/>
    <xf numFmtId="9" fontId="2" fillId="0" borderId="0" pivotButton="0" quotePrefix="0" xfId="16"/>
    <xf numFmtId="9" fontId="2" fillId="0" borderId="0" pivotButton="0" quotePrefix="0" xfId="16"/>
    <xf numFmtId="166" fontId="34" fillId="8" borderId="36" applyAlignment="1" pivotButton="0" quotePrefix="0" xfId="0">
      <alignment horizontal="right" vertical="center" wrapText="1" readingOrder="1"/>
    </xf>
    <xf numFmtId="0" fontId="34" fillId="7" borderId="0" applyAlignment="1" pivotButton="0" quotePrefix="0" xfId="0">
      <alignment horizontal="center" vertical="center" wrapText="1" readingOrder="1"/>
    </xf>
    <xf numFmtId="0" fontId="50" fillId="0" borderId="0" applyAlignment="1" pivotButton="0" quotePrefix="0" xfId="0">
      <alignment horizontal="left" vertical="center"/>
    </xf>
    <xf numFmtId="1" fontId="44" fillId="0" borderId="0" applyAlignment="1" pivotButton="0" quotePrefix="0" xfId="1">
      <alignment horizontal="center" vertical="center"/>
    </xf>
    <xf numFmtId="0" fontId="21" fillId="0" borderId="0" applyAlignment="1" pivotButton="0" quotePrefix="0" xfId="2">
      <alignment vertical="center"/>
    </xf>
    <xf numFmtId="3" fontId="5" fillId="0" borderId="0" applyAlignment="1" pivotButton="0" quotePrefix="0" xfId="2">
      <alignment horizontal="right"/>
    </xf>
    <xf numFmtId="0" fontId="5" fillId="0" borderId="1" pivotButton="0" quotePrefix="0" xfId="2"/>
    <xf numFmtId="3" fontId="5" fillId="0" borderId="1" applyAlignment="1" pivotButton="0" quotePrefix="0" xfId="2">
      <alignment horizontal="right"/>
    </xf>
    <xf numFmtId="3" fontId="5" fillId="0" borderId="1" pivotButton="0" quotePrefix="0" xfId="2"/>
    <xf numFmtId="168" fontId="8" fillId="0" borderId="2" applyAlignment="1" pivotButton="0" quotePrefix="0" xfId="8">
      <alignment horizontal="left"/>
    </xf>
    <xf numFmtId="3" fontId="52" fillId="0" borderId="2" applyAlignment="1" pivotButton="0" quotePrefix="0" xfId="8">
      <alignment horizontal="right"/>
    </xf>
    <xf numFmtId="3" fontId="52" fillId="0" borderId="2" pivotButton="0" quotePrefix="0" xfId="8"/>
    <xf numFmtId="168" fontId="5" fillId="0" borderId="2" applyAlignment="1" pivotButton="0" quotePrefix="0" xfId="8">
      <alignment horizontal="left"/>
    </xf>
    <xf numFmtId="168" fontId="52" fillId="0" borderId="2" applyAlignment="1" pivotButton="0" quotePrefix="0" xfId="8">
      <alignment horizontal="left"/>
    </xf>
    <xf numFmtId="168" fontId="5" fillId="0" borderId="3" applyAlignment="1" pivotButton="0" quotePrefix="0" xfId="8">
      <alignment horizontal="left"/>
    </xf>
    <xf numFmtId="3" fontId="5" fillId="0" borderId="3" applyAlignment="1" pivotButton="0" quotePrefix="0" xfId="8">
      <alignment horizontal="right"/>
    </xf>
    <xf numFmtId="168" fontId="5" fillId="0" borderId="0" applyAlignment="1" pivotButton="0" quotePrefix="0" xfId="8">
      <alignment horizontal="left"/>
    </xf>
    <xf numFmtId="3" fontId="5" fillId="0" borderId="0" applyAlignment="1" pivotButton="0" quotePrefix="0" xfId="8">
      <alignment horizontal="right"/>
    </xf>
    <xf numFmtId="37" fontId="5" fillId="0" borderId="0" pivotButton="0" quotePrefix="0" xfId="8"/>
    <xf numFmtId="168" fontId="53" fillId="0" borderId="0" applyAlignment="1" pivotButton="0" quotePrefix="0" xfId="8">
      <alignment horizontal="left" indent="1"/>
    </xf>
    <xf numFmtId="3" fontId="54" fillId="0" borderId="0" applyAlignment="1" pivotButton="0" quotePrefix="0" xfId="8">
      <alignment horizontal="right"/>
    </xf>
    <xf numFmtId="0" fontId="5" fillId="0" borderId="0" applyAlignment="1" pivotButton="0" quotePrefix="0" xfId="2">
      <alignment horizontal="left" vertical="center" wrapText="1"/>
    </xf>
    <xf numFmtId="3" fontId="5" fillId="0" borderId="0" applyAlignment="1" pivotButton="0" quotePrefix="0" xfId="2">
      <alignment horizontal="right" vertical="center"/>
    </xf>
    <xf numFmtId="3" fontId="5" fillId="0" borderId="4" applyAlignment="1" pivotButton="0" quotePrefix="0" xfId="2">
      <alignment horizontal="right"/>
    </xf>
    <xf numFmtId="0" fontId="8" fillId="0" borderId="0" applyAlignment="1" pivotButton="0" quotePrefix="0" xfId="2">
      <alignment vertical="center"/>
    </xf>
    <xf numFmtId="3" fontId="52" fillId="0" borderId="2" applyAlignment="1" pivotButton="0" quotePrefix="0" xfId="2">
      <alignment horizontal="right"/>
    </xf>
    <xf numFmtId="3" fontId="52" fillId="0" borderId="2" pivotButton="0" quotePrefix="0" xfId="2"/>
    <xf numFmtId="3" fontId="56" fillId="0" borderId="2" applyAlignment="1" pivotButton="0" quotePrefix="0" xfId="2">
      <alignment horizontal="right"/>
    </xf>
    <xf numFmtId="3" fontId="15" fillId="0" borderId="2" applyAlignment="1" pivotButton="0" quotePrefix="0" xfId="0">
      <alignment horizontal="right"/>
    </xf>
    <xf numFmtId="3" fontId="5" fillId="0" borderId="2" pivotButton="0" quotePrefix="0" xfId="2"/>
    <xf numFmtId="3" fontId="5" fillId="0" borderId="2" applyAlignment="1" pivotButton="0" quotePrefix="0" xfId="2">
      <alignment horizontal="right"/>
    </xf>
    <xf numFmtId="168" fontId="51" fillId="0" borderId="0" applyAlignment="1" pivotButton="0" quotePrefix="0" xfId="8">
      <alignment horizontal="left"/>
    </xf>
    <xf numFmtId="3" fontId="51" fillId="0" borderId="0" applyAlignment="1" pivotButton="0" quotePrefix="0" xfId="8">
      <alignment horizontal="right" vertical="center"/>
    </xf>
    <xf numFmtId="3" fontId="5" fillId="0" borderId="0" pivotButton="0" quotePrefix="0" xfId="14"/>
    <xf numFmtId="0" fontId="51" fillId="0" borderId="0" pivotButton="0" quotePrefix="0" xfId="2"/>
    <xf numFmtId="3" fontId="8" fillId="0" borderId="2" pivotButton="0" quotePrefix="0" xfId="8"/>
    <xf numFmtId="3" fontId="27" fillId="0" borderId="2" applyAlignment="1" pivotButton="0" quotePrefix="0" xfId="8">
      <alignment horizontal="right"/>
    </xf>
    <xf numFmtId="3" fontId="5" fillId="0" borderId="2" pivotButton="0" quotePrefix="0" xfId="8"/>
    <xf numFmtId="3" fontId="5" fillId="0" borderId="2" applyAlignment="1" pivotButton="0" quotePrefix="0" xfId="0">
      <alignment horizontal="right"/>
    </xf>
    <xf numFmtId="3" fontId="8" fillId="6" borderId="2" applyAlignment="1" pivotButton="0" quotePrefix="0" xfId="8">
      <alignment horizontal="right" vertical="center"/>
    </xf>
    <xf numFmtId="3" fontId="8" fillId="6" borderId="2" applyAlignment="1" pivotButton="0" quotePrefix="0" xfId="8">
      <alignment vertical="center"/>
    </xf>
    <xf numFmtId="3" fontId="8" fillId="0" borderId="2" applyAlignment="1" pivotButton="0" quotePrefix="0" xfId="8">
      <alignment vertical="center"/>
    </xf>
    <xf numFmtId="3" fontId="8" fillId="0" borderId="2" applyAlignment="1" pivotButton="0" quotePrefix="0" xfId="8">
      <alignment horizontal="right" vertical="center"/>
    </xf>
    <xf numFmtId="168" fontId="8" fillId="0" borderId="1" applyAlignment="1" pivotButton="0" quotePrefix="0" xfId="8">
      <alignment vertical="center" wrapText="1"/>
    </xf>
    <xf numFmtId="0" fontId="51" fillId="0" borderId="2" pivotButton="0" quotePrefix="0" xfId="2"/>
    <xf numFmtId="37" fontId="5" fillId="0" borderId="2" applyAlignment="1" pivotButton="0" quotePrefix="0" xfId="10">
      <alignment vertical="center"/>
    </xf>
    <xf numFmtId="3" fontId="5" fillId="0" borderId="2" applyAlignment="1" pivotButton="0" quotePrefix="0" xfId="10">
      <alignment horizontal="right"/>
    </xf>
    <xf numFmtId="37" fontId="5" fillId="0" borderId="2" pivotButton="0" quotePrefix="0" xfId="10"/>
    <xf numFmtId="0" fontId="8" fillId="0" borderId="2" pivotButton="0" quotePrefix="0" xfId="10"/>
    <xf numFmtId="37" fontId="5" fillId="0" borderId="2" applyAlignment="1" pivotButton="0" quotePrefix="0" xfId="10">
      <alignment horizontal="right" vertical="center"/>
    </xf>
    <xf numFmtId="3" fontId="8" fillId="0" borderId="0" applyAlignment="1" pivotButton="0" quotePrefix="0" xfId="2">
      <alignment horizontal="right"/>
    </xf>
    <xf numFmtId="0" fontId="8" fillId="0" borderId="1" applyAlignment="1" pivotButton="0" quotePrefix="0" xfId="10">
      <alignment horizontal="center" vertical="center" wrapText="1"/>
    </xf>
    <xf numFmtId="0" fontId="8" fillId="0" borderId="1" applyAlignment="1" pivotButton="0" quotePrefix="0" xfId="10">
      <alignment vertical="center" wrapText="1"/>
    </xf>
    <xf numFmtId="37" fontId="8" fillId="0" borderId="2" pivotButton="0" quotePrefix="0" xfId="10"/>
    <xf numFmtId="3" fontId="21" fillId="0" borderId="0" applyAlignment="1" pivotButton="0" quotePrefix="0" xfId="10">
      <alignment horizontal="right"/>
    </xf>
    <xf numFmtId="0" fontId="8" fillId="0" borderId="0" pivotButton="0" quotePrefix="0" xfId="10"/>
    <xf numFmtId="0" fontId="8" fillId="0" borderId="1" applyAlignment="1" pivotButton="0" quotePrefix="0" xfId="14">
      <alignment vertical="center" wrapText="1"/>
    </xf>
    <xf numFmtId="3" fontId="5" fillId="0" borderId="0" applyAlignment="1" pivotButton="0" quotePrefix="0" xfId="8">
      <alignment horizontal="left"/>
    </xf>
    <xf numFmtId="3" fontId="5" fillId="3" borderId="0" applyAlignment="1" pivotButton="0" quotePrefix="0" xfId="8">
      <alignment horizontal="right"/>
    </xf>
    <xf numFmtId="3" fontId="5" fillId="0" borderId="0" pivotButton="0" quotePrefix="0" xfId="8"/>
    <xf numFmtId="0" fontId="19" fillId="0" borderId="1" pivotButton="0" quotePrefix="0" xfId="2"/>
    <xf numFmtId="3" fontId="56" fillId="0" borderId="2" applyAlignment="1" pivotButton="0" quotePrefix="0" xfId="12">
      <alignment horizontal="right"/>
    </xf>
    <xf numFmtId="3" fontId="52" fillId="0" borderId="2" pivotButton="0" quotePrefix="0" xfId="12"/>
    <xf numFmtId="3" fontId="5" fillId="0" borderId="2" pivotButton="0" quotePrefix="0" xfId="12"/>
    <xf numFmtId="3" fontId="27" fillId="0" borderId="2" pivotButton="0" quotePrefix="0" xfId="12"/>
    <xf numFmtId="3" fontId="27" fillId="0" borderId="2" applyAlignment="1" pivotButton="0" quotePrefix="0" xfId="0">
      <alignment horizontal="right"/>
    </xf>
    <xf numFmtId="3" fontId="58" fillId="0" borderId="2" applyAlignment="1" pivotButton="0" quotePrefix="0" xfId="12">
      <alignment horizontal="right"/>
    </xf>
    <xf numFmtId="3" fontId="19" fillId="0" borderId="2" applyAlignment="1" pivotButton="0" quotePrefix="0" xfId="12">
      <alignment horizontal="right"/>
    </xf>
    <xf numFmtId="3" fontId="19" fillId="0" borderId="2" applyAlignment="1" pivotButton="0" quotePrefix="0" xfId="2">
      <alignment horizontal="right"/>
    </xf>
    <xf numFmtId="0" fontId="5" fillId="0" borderId="3" pivotButton="0" quotePrefix="0" xfId="2"/>
    <xf numFmtId="3" fontId="51" fillId="0" borderId="0" applyAlignment="1" pivotButton="0" quotePrefix="0" xfId="8">
      <alignment horizontal="right"/>
    </xf>
    <xf numFmtId="168" fontId="51" fillId="0" borderId="0" pivotButton="0" quotePrefix="0" xfId="8"/>
    <xf numFmtId="0" fontId="13" fillId="0" borderId="0" applyAlignment="1" pivotButton="0" quotePrefix="0" xfId="2">
      <alignment vertical="center"/>
    </xf>
    <xf numFmtId="3" fontId="13" fillId="3" borderId="0" applyAlignment="1" pivotButton="0" quotePrefix="0" xfId="2">
      <alignment horizontal="right" vertical="center"/>
    </xf>
    <xf numFmtId="3" fontId="56" fillId="3" borderId="2" applyAlignment="1" pivotButton="0" quotePrefix="0" xfId="12">
      <alignment horizontal="right"/>
    </xf>
    <xf numFmtId="3" fontId="19" fillId="3" borderId="2" applyAlignment="1" pivotButton="0" quotePrefix="0" xfId="0">
      <alignment horizontal="right"/>
    </xf>
    <xf numFmtId="3" fontId="19" fillId="3" borderId="2" applyAlignment="1" pivotButton="0" quotePrefix="0" xfId="12">
      <alignment horizontal="right"/>
    </xf>
    <xf numFmtId="3" fontId="13" fillId="6" borderId="2" applyAlignment="1" pivotButton="0" quotePrefix="0" xfId="12">
      <alignment horizontal="right" vertical="center"/>
    </xf>
    <xf numFmtId="3" fontId="8" fillId="6" borderId="2" applyAlignment="1" pivotButton="0" quotePrefix="0" xfId="12">
      <alignment vertical="center"/>
    </xf>
    <xf numFmtId="3" fontId="19" fillId="3" borderId="0" applyAlignment="1" pivotButton="0" quotePrefix="0" xfId="2">
      <alignment horizontal="right"/>
    </xf>
    <xf numFmtId="0" fontId="5" fillId="0" borderId="0" pivotButton="0" quotePrefix="0" xfId="10"/>
    <xf numFmtId="3" fontId="19" fillId="0" borderId="0" applyAlignment="1" pivotButton="0" quotePrefix="0" xfId="0">
      <alignment horizontal="right"/>
    </xf>
    <xf numFmtId="3" fontId="8" fillId="0" borderId="0" applyAlignment="1" pivotButton="0" quotePrefix="0" xfId="10">
      <alignment horizontal="right"/>
    </xf>
    <xf numFmtId="3" fontId="8" fillId="0" borderId="2" applyAlignment="1" pivotButton="0" quotePrefix="0" xfId="10">
      <alignment horizontal="right"/>
    </xf>
    <xf numFmtId="3" fontId="61" fillId="0" borderId="2" applyAlignment="1" pivotButton="0" quotePrefix="0" xfId="10">
      <alignment horizontal="right"/>
    </xf>
    <xf numFmtId="0" fontId="8" fillId="0" borderId="0" applyAlignment="1" pivotButton="0" quotePrefix="1" xfId="10">
      <alignment horizontal="left"/>
    </xf>
    <xf numFmtId="3" fontId="8" fillId="0" borderId="0" pivotButton="0" quotePrefix="0" xfId="10"/>
    <xf numFmtId="3" fontId="8" fillId="0" borderId="0" applyAlignment="1" pivotButton="0" quotePrefix="1" xfId="10">
      <alignment horizontal="left"/>
    </xf>
    <xf numFmtId="3" fontId="13" fillId="0" borderId="0" applyAlignment="1" pivotButton="0" quotePrefix="0" xfId="10">
      <alignment horizontal="right"/>
    </xf>
    <xf numFmtId="3" fontId="8" fillId="0" borderId="0" applyAlignment="1" pivotButton="0" quotePrefix="0" xfId="10">
      <alignment horizontal="center"/>
    </xf>
    <xf numFmtId="3" fontId="8" fillId="0" borderId="4" applyAlignment="1" pivotButton="0" quotePrefix="0" xfId="10">
      <alignment horizontal="right"/>
    </xf>
    <xf numFmtId="3" fontId="5" fillId="0" borderId="4" pivotButton="0" quotePrefix="0" xfId="10"/>
    <xf numFmtId="168" fontId="52" fillId="0" borderId="1" pivotButton="0" quotePrefix="0" xfId="8"/>
    <xf numFmtId="0" fontId="63" fillId="0" borderId="2" pivotButton="0" quotePrefix="0" xfId="10"/>
    <xf numFmtId="0" fontId="27" fillId="0" borderId="3" applyAlignment="1" pivotButton="0" quotePrefix="0" xfId="10">
      <alignment horizontal="left"/>
    </xf>
    <xf numFmtId="37" fontId="27" fillId="0" borderId="3" pivotButton="0" quotePrefix="0" xfId="10"/>
    <xf numFmtId="0" fontId="27" fillId="0" borderId="0" applyAlignment="1" pivotButton="0" quotePrefix="0" xfId="10">
      <alignment horizontal="left"/>
    </xf>
    <xf numFmtId="3" fontId="27" fillId="0" borderId="0" applyAlignment="1" pivotButton="0" quotePrefix="0" xfId="10">
      <alignment horizontal="right"/>
    </xf>
    <xf numFmtId="37" fontId="27" fillId="0" borderId="0" pivotButton="0" quotePrefix="0" xfId="10"/>
    <xf numFmtId="3" fontId="8" fillId="3" borderId="4" applyAlignment="1" pivotButton="0" quotePrefix="0" xfId="10">
      <alignment horizontal="right"/>
    </xf>
    <xf numFmtId="0" fontId="27" fillId="0" borderId="6" applyAlignment="1" pivotButton="0" quotePrefix="0" xfId="10">
      <alignment horizontal="left"/>
    </xf>
    <xf numFmtId="0" fontId="27" fillId="0" borderId="1" pivotButton="0" quotePrefix="0" xfId="10"/>
    <xf numFmtId="3" fontId="8" fillId="3" borderId="2" applyAlignment="1" pivotButton="0" quotePrefix="0" xfId="10">
      <alignment horizontal="right"/>
    </xf>
    <xf numFmtId="37" fontId="8" fillId="0" borderId="2" applyAlignment="1" pivotButton="0" quotePrefix="0" xfId="10">
      <alignment vertical="center" wrapText="1"/>
    </xf>
    <xf numFmtId="3" fontId="8" fillId="3" borderId="2" applyAlignment="1" pivotButton="0" quotePrefix="0" xfId="10">
      <alignment horizontal="right" vertical="center" wrapText="1"/>
    </xf>
    <xf numFmtId="37" fontId="5" fillId="0" borderId="2" applyAlignment="1" pivotButton="0" quotePrefix="0" xfId="10">
      <alignment vertical="center" wrapText="1"/>
    </xf>
    <xf numFmtId="37" fontId="5" fillId="0" borderId="3" applyAlignment="1" pivotButton="0" quotePrefix="0" xfId="10">
      <alignment vertical="center" wrapText="1"/>
    </xf>
    <xf numFmtId="0" fontId="5" fillId="0" borderId="2" applyAlignment="1" pivotButton="0" quotePrefix="1" xfId="10">
      <alignment horizontal="left"/>
    </xf>
    <xf numFmtId="0" fontId="27" fillId="0" borderId="2" applyAlignment="1" pivotButton="0" quotePrefix="0" xfId="10">
      <alignment horizontal="left"/>
    </xf>
    <xf numFmtId="3" fontId="64" fillId="0" borderId="2" applyAlignment="1" pivotButton="0" quotePrefix="0" xfId="10">
      <alignment horizontal="right"/>
    </xf>
    <xf numFmtId="168" fontId="5" fillId="0" borderId="2" applyAlignment="1" pivotButton="0" quotePrefix="0" xfId="8">
      <alignment horizontal="left" vertical="center"/>
    </xf>
    <xf numFmtId="3" fontId="5" fillId="0" borderId="2" applyAlignment="1" pivotButton="0" quotePrefix="0" xfId="10">
      <alignment horizontal="right" vertical="center"/>
    </xf>
    <xf numFmtId="3" fontId="8" fillId="6" borderId="2" applyAlignment="1" pivotButton="0" quotePrefix="0" xfId="10">
      <alignment horizontal="right" vertical="center" wrapText="1"/>
    </xf>
    <xf numFmtId="0" fontId="8" fillId="0" borderId="2" applyAlignment="1" pivotButton="0" quotePrefix="0" xfId="10">
      <alignment vertical="center" wrapText="1"/>
    </xf>
    <xf numFmtId="3" fontId="8" fillId="0" borderId="2" applyAlignment="1" pivotButton="0" quotePrefix="0" xfId="10">
      <alignment horizontal="right" vertical="center" wrapText="1"/>
    </xf>
    <xf numFmtId="3" fontId="27" fillId="0" borderId="2" applyAlignment="1" pivotButton="0" quotePrefix="0" xfId="10">
      <alignment horizontal="right"/>
    </xf>
    <xf numFmtId="0" fontId="27" fillId="0" borderId="2" pivotButton="0" quotePrefix="0" xfId="10"/>
    <xf numFmtId="3" fontId="63" fillId="0" borderId="3" applyAlignment="1" pivotButton="0" quotePrefix="0" xfId="10">
      <alignment horizontal="right"/>
    </xf>
    <xf numFmtId="3" fontId="63" fillId="0" borderId="0" applyAlignment="1" pivotButton="0" quotePrefix="0" xfId="10">
      <alignment horizontal="right"/>
    </xf>
    <xf numFmtId="3" fontId="5" fillId="3" borderId="2" applyAlignment="1" pivotButton="0" quotePrefix="0" xfId="2">
      <alignment horizontal="right"/>
    </xf>
    <xf numFmtId="168" fontId="8" fillId="0" borderId="2" applyAlignment="1" pivotButton="0" quotePrefix="0" xfId="12">
      <alignment horizontal="left" vertical="center" wrapText="1"/>
    </xf>
    <xf numFmtId="3" fontId="13" fillId="3" borderId="2" applyAlignment="1" pivotButton="0" quotePrefix="0" xfId="12">
      <alignment horizontal="right" vertical="center"/>
    </xf>
    <xf numFmtId="3" fontId="8" fillId="0" borderId="2" applyAlignment="1" pivotButton="0" quotePrefix="0" xfId="12">
      <alignment vertical="center"/>
    </xf>
    <xf numFmtId="3" fontId="19" fillId="3" borderId="3" applyAlignment="1" pivotButton="0" quotePrefix="0" xfId="12">
      <alignment horizontal="right"/>
    </xf>
    <xf numFmtId="3" fontId="5" fillId="0" borderId="3" pivotButton="0" quotePrefix="0" xfId="12"/>
    <xf numFmtId="0" fontId="8" fillId="0" borderId="0" pivotButton="0" quotePrefix="0" xfId="13"/>
    <xf numFmtId="3" fontId="5" fillId="0" borderId="0" applyAlignment="1" pivotButton="0" quotePrefix="0" xfId="13">
      <alignment horizontal="right"/>
    </xf>
    <xf numFmtId="0" fontId="5" fillId="0" borderId="0" pivotButton="0" quotePrefix="0" xfId="13"/>
    <xf numFmtId="0" fontId="5" fillId="0" borderId="1" applyAlignment="1" pivotButton="0" quotePrefix="0" xfId="13">
      <alignment horizontal="center"/>
    </xf>
    <xf numFmtId="0" fontId="5" fillId="0" borderId="1" pivotButton="0" quotePrefix="0" xfId="13"/>
    <xf numFmtId="3" fontId="65" fillId="0" borderId="2" applyAlignment="1" pivotButton="0" quotePrefix="0" xfId="8">
      <alignment horizontal="right"/>
    </xf>
    <xf numFmtId="3" fontId="27" fillId="0" borderId="2" applyAlignment="1" pivotButton="0" quotePrefix="0" xfId="8">
      <alignment horizontal="right" vertical="center"/>
    </xf>
    <xf numFmtId="3" fontId="5" fillId="0" borderId="3" pivotButton="0" quotePrefix="0" xfId="8"/>
    <xf numFmtId="3" fontId="8" fillId="0" borderId="2" applyAlignment="1" pivotButton="0" quotePrefix="0" xfId="8">
      <alignment horizontal="right"/>
    </xf>
    <xf numFmtId="3" fontId="5" fillId="0" borderId="2" applyAlignment="1" pivotButton="0" quotePrefix="0" xfId="8">
      <alignment horizontal="left"/>
    </xf>
    <xf numFmtId="3" fontId="5" fillId="0" borderId="2" applyAlignment="1" pivotButton="0" quotePrefix="0" xfId="2">
      <alignment horizontal="left"/>
    </xf>
    <xf numFmtId="3" fontId="8" fillId="0" borderId="2" applyAlignment="1" pivotButton="0" quotePrefix="0" xfId="8">
      <alignment horizontal="left" vertical="center"/>
    </xf>
    <xf numFmtId="3" fontId="5" fillId="0" borderId="3" applyAlignment="1" pivotButton="0" quotePrefix="0" xfId="2">
      <alignment horizontal="left"/>
    </xf>
    <xf numFmtId="3" fontId="5" fillId="0" borderId="3" applyAlignment="1" pivotButton="0" quotePrefix="0" xfId="2">
      <alignment horizontal="right"/>
    </xf>
    <xf numFmtId="3" fontId="5" fillId="0" borderId="3" pivotButton="0" quotePrefix="0" xfId="2"/>
    <xf numFmtId="0" fontId="21" fillId="0" borderId="0" applyAlignment="1" pivotButton="0" quotePrefix="0" xfId="2">
      <alignment horizontal="right" vertical="center"/>
    </xf>
    <xf numFmtId="167" fontId="5" fillId="0" borderId="1" pivotButton="0" quotePrefix="0" xfId="15"/>
    <xf numFmtId="3" fontId="5" fillId="0" borderId="1" pivotButton="0" quotePrefix="0" xfId="8"/>
    <xf numFmtId="3" fontId="22" fillId="0" borderId="2" applyAlignment="1" pivotButton="0" quotePrefix="0" xfId="8">
      <alignment horizontal="right"/>
    </xf>
    <xf numFmtId="3" fontId="21" fillId="0" borderId="2" applyAlignment="1" pivotButton="0" quotePrefix="0" xfId="8">
      <alignment horizontal="right"/>
    </xf>
    <xf numFmtId="3" fontId="15" fillId="0" borderId="2" applyAlignment="1" pivotButton="0" quotePrefix="0" xfId="15">
      <alignment horizontal="right"/>
    </xf>
    <xf numFmtId="3" fontId="5" fillId="0" borderId="2" applyAlignment="1" pivotButton="0" quotePrefix="0" xfId="15">
      <alignment horizontal="right"/>
    </xf>
    <xf numFmtId="3" fontId="5" fillId="0" borderId="2" pivotButton="0" quotePrefix="0" xfId="15"/>
    <xf numFmtId="169" fontId="5" fillId="0" borderId="2" applyAlignment="1" pivotButton="0" quotePrefix="0" xfId="15">
      <alignment horizontal="right"/>
    </xf>
    <xf numFmtId="3" fontId="8" fillId="6" borderId="3" applyAlignment="1" pivotButton="0" quotePrefix="0" xfId="15">
      <alignment horizontal="right" vertical="center"/>
    </xf>
    <xf numFmtId="3" fontId="5" fillId="0" borderId="0" applyAlignment="1" pivotButton="0" quotePrefix="0" xfId="8">
      <alignment horizontal="center"/>
    </xf>
    <xf numFmtId="167" fontId="8" fillId="0" borderId="0" applyAlignment="1" pivotButton="0" quotePrefix="0" xfId="15">
      <alignment horizontal="center"/>
    </xf>
    <xf numFmtId="3" fontId="8" fillId="0" borderId="0" applyAlignment="1" pivotButton="0" quotePrefix="0" xfId="15">
      <alignment horizontal="right"/>
    </xf>
    <xf numFmtId="3" fontId="5" fillId="0" borderId="0" applyAlignment="1" pivotButton="0" quotePrefix="0" xfId="15">
      <alignment horizontal="right"/>
    </xf>
    <xf numFmtId="0" fontId="5" fillId="0" borderId="0" pivotButton="0" quotePrefix="0" xfId="8"/>
    <xf numFmtId="3" fontId="24" fillId="0" borderId="2" applyAlignment="1" pivotButton="0" quotePrefix="0" xfId="15">
      <alignment horizontal="right"/>
    </xf>
    <xf numFmtId="3" fontId="24" fillId="0" borderId="2" applyAlignment="1" pivotButton="0" quotePrefix="0" xfId="8">
      <alignment horizontal="right"/>
    </xf>
    <xf numFmtId="167" fontId="5" fillId="0" borderId="2" applyAlignment="1" pivotButton="0" quotePrefix="0" xfId="15">
      <alignment horizontal="right"/>
    </xf>
    <xf numFmtId="0" fontId="24" fillId="0" borderId="2" applyAlignment="1" pivotButton="0" quotePrefix="0" xfId="15">
      <alignment horizontal="right"/>
    </xf>
    <xf numFmtId="3" fontId="8" fillId="0" borderId="0" applyAlignment="1" pivotButton="0" quotePrefix="0" xfId="15">
      <alignment horizontal="center" vertical="center"/>
    </xf>
    <xf numFmtId="3" fontId="8" fillId="0" borderId="0" applyAlignment="1" pivotButton="0" quotePrefix="0" xfId="15">
      <alignment horizontal="right" vertical="center"/>
    </xf>
    <xf numFmtId="3" fontId="8" fillId="0" borderId="0" applyAlignment="1" pivotButton="0" quotePrefix="0" xfId="15">
      <alignment vertical="center"/>
    </xf>
    <xf numFmtId="167" fontId="27" fillId="0" borderId="2" pivotButton="0" quotePrefix="0" xfId="15"/>
    <xf numFmtId="3" fontId="25" fillId="0" borderId="2" applyAlignment="1" pivotButton="0" quotePrefix="0" xfId="15">
      <alignment horizontal="right"/>
    </xf>
    <xf numFmtId="3" fontId="5" fillId="0" borderId="0" applyAlignment="1" pivotButton="0" quotePrefix="0" xfId="14">
      <alignment horizontal="center"/>
    </xf>
    <xf numFmtId="3" fontId="5" fillId="0" borderId="0" applyAlignment="1" pivotButton="0" quotePrefix="0" xfId="14">
      <alignment horizontal="right"/>
    </xf>
    <xf numFmtId="3" fontId="21" fillId="0" borderId="0" applyAlignment="1" pivotButton="0" quotePrefix="0" xfId="2">
      <alignment horizontal="right" vertical="center"/>
    </xf>
    <xf numFmtId="3" fontId="52" fillId="0" borderId="2" applyAlignment="1" pivotButton="0" quotePrefix="0" xfId="8">
      <alignment vertical="center"/>
    </xf>
    <xf numFmtId="0" fontId="5" fillId="0" borderId="2" pivotButton="0" quotePrefix="0" xfId="2"/>
    <xf numFmtId="3" fontId="5" fillId="0" borderId="2" pivotButton="0" quotePrefix="0" xfId="0"/>
    <xf numFmtId="3" fontId="21" fillId="6" borderId="2" applyAlignment="1" pivotButton="0" quotePrefix="0" xfId="8">
      <alignment horizontal="right"/>
    </xf>
    <xf numFmtId="3" fontId="5" fillId="0" borderId="3" pivotButton="0" quotePrefix="0" xfId="15"/>
    <xf numFmtId="3" fontId="5" fillId="0" borderId="0" pivotButton="0" quotePrefix="0" xfId="15"/>
    <xf numFmtId="3" fontId="13" fillId="0" borderId="0" applyAlignment="1" pivotButton="0" quotePrefix="0" xfId="2">
      <alignment horizontal="right"/>
    </xf>
    <xf numFmtId="3" fontId="13" fillId="0" borderId="2" applyAlignment="1" pivotButton="0" quotePrefix="0" xfId="12">
      <alignment horizontal="right"/>
    </xf>
    <xf numFmtId="3" fontId="8" fillId="0" borderId="2" pivotButton="0" quotePrefix="0" xfId="12"/>
    <xf numFmtId="3" fontId="27" fillId="0" borderId="2" pivotButton="0" quotePrefix="0" xfId="0"/>
    <xf numFmtId="3" fontId="58" fillId="3" borderId="2" applyAlignment="1" pivotButton="0" quotePrefix="0" xfId="12">
      <alignment horizontal="right"/>
    </xf>
    <xf numFmtId="3" fontId="66" fillId="0" borderId="2" applyAlignment="1" pivotButton="0" quotePrefix="0" xfId="12">
      <alignment horizontal="right"/>
    </xf>
    <xf numFmtId="3" fontId="59" fillId="0" borderId="2" pivotButton="0" quotePrefix="0" xfId="0"/>
    <xf numFmtId="3" fontId="59" fillId="0" borderId="2" pivotButton="0" quotePrefix="0" xfId="12"/>
    <xf numFmtId="3" fontId="13" fillId="0" borderId="2" applyAlignment="1" pivotButton="0" quotePrefix="0" xfId="12">
      <alignment horizontal="right" vertical="center"/>
    </xf>
    <xf numFmtId="3" fontId="8" fillId="0" borderId="2" pivotButton="0" quotePrefix="0" xfId="0"/>
    <xf numFmtId="0" fontId="27" fillId="0" borderId="2" pivotButton="0" quotePrefix="0" xfId="2"/>
    <xf numFmtId="3" fontId="66" fillId="0" borderId="3" applyAlignment="1" pivotButton="0" quotePrefix="0" xfId="12">
      <alignment horizontal="right"/>
    </xf>
    <xf numFmtId="3" fontId="59" fillId="0" borderId="3" pivotButton="0" quotePrefix="0" xfId="0"/>
    <xf numFmtId="3" fontId="27" fillId="0" borderId="0" applyAlignment="1" pivotButton="0" quotePrefix="0" xfId="2">
      <alignment horizontal="right"/>
    </xf>
    <xf numFmtId="3" fontId="66" fillId="0" borderId="0" applyAlignment="1" pivotButton="0" quotePrefix="0" xfId="2">
      <alignment horizontal="right"/>
    </xf>
    <xf numFmtId="0" fontId="59" fillId="0" borderId="0" pivotButton="0" quotePrefix="0" xfId="2"/>
    <xf numFmtId="3" fontId="5" fillId="0" borderId="0" applyAlignment="1" pivotButton="0" quotePrefix="0" xfId="2">
      <alignment horizontal="center"/>
    </xf>
    <xf numFmtId="3" fontId="8" fillId="0" borderId="2" applyAlignment="1" pivotButton="0" quotePrefix="0" xfId="2">
      <alignment vertical="center"/>
    </xf>
    <xf numFmtId="3" fontId="56" fillId="0" borderId="2" applyAlignment="1" pivotButton="0" quotePrefix="0" xfId="8">
      <alignment horizontal="right" vertical="center"/>
    </xf>
    <xf numFmtId="3" fontId="52" fillId="0" borderId="2" applyAlignment="1" pivotButton="0" quotePrefix="0" xfId="12">
      <alignment horizontal="right" vertical="center"/>
    </xf>
    <xf numFmtId="3" fontId="5" fillId="0" borderId="2" applyAlignment="1" pivotButton="0" quotePrefix="0" xfId="12">
      <alignment horizontal="right"/>
    </xf>
    <xf numFmtId="3" fontId="13" fillId="6" borderId="2" applyAlignment="1" pivotButton="0" quotePrefix="0" xfId="8">
      <alignment horizontal="right"/>
    </xf>
    <xf numFmtId="3" fontId="8" fillId="6" borderId="2" applyAlignment="1" pivotButton="0" quotePrefix="0" xfId="12">
      <alignment horizontal="right" vertical="center"/>
    </xf>
    <xf numFmtId="3" fontId="19" fillId="0" borderId="2" applyAlignment="1" pivotButton="0" quotePrefix="0" xfId="8">
      <alignment horizontal="right"/>
    </xf>
    <xf numFmtId="3" fontId="58" fillId="0" borderId="3" applyAlignment="1" pivotButton="0" quotePrefix="0" xfId="8">
      <alignment horizontal="center"/>
    </xf>
    <xf numFmtId="3" fontId="27" fillId="0" borderId="3" applyAlignment="1" pivotButton="0" quotePrefix="0" xfId="12">
      <alignment horizontal="center"/>
    </xf>
    <xf numFmtId="3" fontId="66" fillId="0" borderId="0" applyAlignment="1" pivotButton="0" quotePrefix="0" xfId="2">
      <alignment horizontal="center"/>
    </xf>
    <xf numFmtId="0" fontId="59" fillId="0" borderId="0" applyAlignment="1" pivotButton="0" quotePrefix="0" xfId="2">
      <alignment horizontal="center"/>
    </xf>
    <xf numFmtId="3" fontId="13" fillId="0" borderId="0" applyAlignment="1" pivotButton="0" quotePrefix="0" xfId="2">
      <alignment horizontal="center"/>
    </xf>
    <xf numFmtId="3" fontId="28" fillId="0" borderId="1" applyAlignment="1" pivotButton="0" quotePrefix="0" xfId="8">
      <alignment horizontal="center" vertical="center" wrapText="1"/>
    </xf>
    <xf numFmtId="168" fontId="28" fillId="0" borderId="1" applyAlignment="1" pivotButton="0" quotePrefix="0" xfId="8">
      <alignment horizontal="center" vertical="center" wrapText="1"/>
    </xf>
    <xf numFmtId="3" fontId="8" fillId="0" borderId="2" applyAlignment="1" pivotButton="0" quotePrefix="0" xfId="12">
      <alignment horizontal="right"/>
    </xf>
    <xf numFmtId="3" fontId="52" fillId="0" borderId="2" applyAlignment="1" pivotButton="0" quotePrefix="0" xfId="12">
      <alignment horizontal="right"/>
    </xf>
    <xf numFmtId="3" fontId="59" fillId="0" borderId="2" applyAlignment="1" pivotButton="0" quotePrefix="0" xfId="0">
      <alignment horizontal="right"/>
    </xf>
    <xf numFmtId="3" fontId="59" fillId="0" borderId="2" applyAlignment="1" pivotButton="0" quotePrefix="0" xfId="12">
      <alignment horizontal="right"/>
    </xf>
    <xf numFmtId="3" fontId="8" fillId="0" borderId="2" applyAlignment="1" pivotButton="0" quotePrefix="0" xfId="0">
      <alignment horizontal="right"/>
    </xf>
    <xf numFmtId="0" fontId="27" fillId="0" borderId="2" applyAlignment="1" pivotButton="0" quotePrefix="0" xfId="2">
      <alignment horizontal="right"/>
    </xf>
    <xf numFmtId="3" fontId="66" fillId="0" borderId="3" applyAlignment="1" pivotButton="0" quotePrefix="0" xfId="12">
      <alignment horizontal="center"/>
    </xf>
    <xf numFmtId="3" fontId="59" fillId="0" borderId="3" applyAlignment="1" pivotButton="0" quotePrefix="0" xfId="0">
      <alignment horizontal="center"/>
    </xf>
    <xf numFmtId="3" fontId="27" fillId="0" borderId="0" applyAlignment="1" pivotButton="0" quotePrefix="0" xfId="2">
      <alignment horizontal="center"/>
    </xf>
    <xf numFmtId="0" fontId="27" fillId="0" borderId="0" applyAlignment="1" pivotButton="0" quotePrefix="0" xfId="2">
      <alignment horizontal="center"/>
    </xf>
    <xf numFmtId="168" fontId="8" fillId="0" borderId="2" applyAlignment="1" pivotButton="0" quotePrefix="0" xfId="8">
      <alignment horizontal="center" vertical="center" wrapText="1"/>
    </xf>
    <xf numFmtId="168" fontId="8" fillId="0" borderId="2" applyAlignment="1" pivotButton="0" quotePrefix="0" xfId="12">
      <alignment horizontal="center" vertical="center" wrapText="1"/>
    </xf>
    <xf numFmtId="3" fontId="8" fillId="0" borderId="2" pivotButton="0" quotePrefix="0" xfId="2"/>
    <xf numFmtId="3" fontId="5" fillId="0" borderId="2" applyAlignment="1" pivotButton="0" quotePrefix="0" xfId="2">
      <alignment horizontal="center"/>
    </xf>
    <xf numFmtId="3" fontId="5" fillId="0" borderId="3" applyAlignment="1" pivotButton="0" quotePrefix="0" xfId="12">
      <alignment horizontal="center"/>
    </xf>
    <xf numFmtId="3" fontId="5" fillId="0" borderId="3" applyAlignment="1" pivotButton="0" quotePrefix="0" xfId="8">
      <alignment horizontal="center"/>
    </xf>
    <xf numFmtId="3" fontId="27" fillId="3" borderId="2" applyAlignment="1" pivotButton="0" quotePrefix="0" xfId="12">
      <alignment horizontal="right"/>
    </xf>
    <xf numFmtId="3" fontId="5" fillId="0" borderId="3" applyAlignment="1" pivotButton="0" quotePrefix="0" xfId="2">
      <alignment horizontal="center"/>
    </xf>
    <xf numFmtId="0" fontId="5" fillId="0" borderId="8" applyAlignment="1" pivotButton="0" quotePrefix="0" xfId="2">
      <alignment horizontal="center"/>
    </xf>
    <xf numFmtId="0" fontId="4" fillId="0" borderId="0" pivotButton="0" quotePrefix="0" xfId="2"/>
    <xf numFmtId="0" fontId="9" fillId="0" borderId="0" pivotButton="0" quotePrefix="0" xfId="2"/>
    <xf numFmtId="0" fontId="4" fillId="0" borderId="0" applyAlignment="1" pivotButton="0" quotePrefix="0" xfId="2">
      <alignment horizontal="center"/>
    </xf>
    <xf numFmtId="0" fontId="17" fillId="0" borderId="0" pivotButton="0" quotePrefix="0" xfId="2"/>
    <xf numFmtId="3" fontId="10" fillId="0" borderId="0" pivotButton="0" quotePrefix="0" xfId="2"/>
    <xf numFmtId="165" fontId="10" fillId="0" borderId="0" pivotButton="0" quotePrefix="0" xfId="16"/>
    <xf numFmtId="3" fontId="23" fillId="0" borderId="0" pivotButton="0" quotePrefix="0" xfId="2"/>
    <xf numFmtId="164" fontId="4" fillId="0" borderId="0" applyAlignment="1" pivotButton="0" quotePrefix="0" xfId="1">
      <alignment vertical="center"/>
    </xf>
    <xf numFmtId="0" fontId="34" fillId="0" borderId="21" applyAlignment="1" pivotButton="0" quotePrefix="0" xfId="0">
      <alignment vertical="center" wrapText="1" readingOrder="1"/>
    </xf>
    <xf numFmtId="3" fontId="17" fillId="0" borderId="0" pivotButton="0" quotePrefix="0" xfId="2"/>
    <xf numFmtId="164" fontId="17" fillId="0" borderId="0" pivotButton="0" quotePrefix="0" xfId="1"/>
    <xf numFmtId="164" fontId="6" fillId="0" borderId="0" pivotButton="0" quotePrefix="0" xfId="1"/>
    <xf numFmtId="164" fontId="14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18" fillId="0" borderId="0" pivotButton="0" quotePrefix="0" xfId="16"/>
    <xf numFmtId="1" fontId="2" fillId="0" borderId="0" pivotButton="0" quotePrefix="0" xfId="1"/>
    <xf numFmtId="1" fontId="2" fillId="0" borderId="0" pivotButton="0" quotePrefix="0" xfId="16"/>
    <xf numFmtId="166" fontId="13" fillId="0" borderId="7" applyAlignment="1" pivotButton="0" quotePrefix="0" xfId="12">
      <alignment horizontal="center" vertical="center" wrapText="1"/>
    </xf>
    <xf numFmtId="0" fontId="9" fillId="0" borderId="0" applyAlignment="1" pivotButton="0" quotePrefix="0" xfId="2">
      <alignment horizontal="center" vertical="center"/>
    </xf>
    <xf numFmtId="3" fontId="8" fillId="0" borderId="0" applyAlignment="1" pivotButton="0" quotePrefix="0" xfId="12">
      <alignment horizontal="right" vertical="center"/>
    </xf>
    <xf numFmtId="3" fontId="8" fillId="0" borderId="1" applyAlignment="1" pivotButton="0" quotePrefix="0" xfId="12">
      <alignment horizontal="right" vertical="center" wrapText="1"/>
    </xf>
    <xf numFmtId="3" fontId="4" fillId="0" borderId="0" applyAlignment="1" pivotButton="0" quotePrefix="0" xfId="2">
      <alignment horizontal="center"/>
    </xf>
    <xf numFmtId="9" fontId="4" fillId="0" borderId="0" pivotButton="0" quotePrefix="0" xfId="16"/>
    <xf numFmtId="0" fontId="6" fillId="0" borderId="0" applyAlignment="1" pivotButton="0" quotePrefix="0" xfId="2">
      <alignment vertical="center"/>
    </xf>
    <xf numFmtId="3" fontId="59" fillId="0" borderId="0" applyAlignment="1" pivotButton="0" quotePrefix="0" xfId="12">
      <alignment horizontal="right"/>
    </xf>
    <xf numFmtId="168" fontId="8" fillId="0" borderId="6" applyAlignment="1" pivotButton="0" quotePrefix="0" xfId="8">
      <alignment horizontal="center" vertical="center" wrapText="1"/>
    </xf>
    <xf numFmtId="0" fontId="14" fillId="0" borderId="0" applyAlignment="1" pivotButton="0" quotePrefix="0" xfId="2">
      <alignment vertical="center"/>
    </xf>
    <xf numFmtId="0" fontId="9" fillId="0" borderId="4" pivotButton="0" quotePrefix="0" xfId="2"/>
    <xf numFmtId="3" fontId="14" fillId="0" borderId="0" applyAlignment="1" pivotButton="0" quotePrefix="0" xfId="2">
      <alignment vertical="center"/>
    </xf>
    <xf numFmtId="0" fontId="6" fillId="0" borderId="0" applyAlignment="1" pivotButton="0" quotePrefix="0" xfId="13">
      <alignment vertical="center" wrapText="1"/>
    </xf>
    <xf numFmtId="0" fontId="70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center"/>
    </xf>
    <xf numFmtId="0" fontId="14" fillId="0" borderId="0" applyAlignment="1" pivotButton="0" quotePrefix="0" xfId="2">
      <alignment horizontal="center"/>
    </xf>
    <xf numFmtId="3" fontId="35" fillId="0" borderId="43" applyAlignment="1" pivotButton="0" quotePrefix="0" xfId="0">
      <alignment horizontal="right" vertical="center" wrapText="1" readingOrder="1"/>
    </xf>
    <xf numFmtId="0" fontId="34" fillId="8" borderId="44" applyAlignment="1" pivotButton="0" quotePrefix="0" xfId="0">
      <alignment horizontal="left" wrapText="1" readingOrder="1"/>
    </xf>
    <xf numFmtId="3" fontId="4" fillId="0" borderId="0" pivotButton="0" quotePrefix="0" xfId="2"/>
    <xf numFmtId="3" fontId="34" fillId="8" borderId="47" applyAlignment="1" pivotButton="0" quotePrefix="0" xfId="0">
      <alignment horizontal="right" vertical="center" wrapText="1" readingOrder="1"/>
    </xf>
    <xf numFmtId="166" fontId="34" fillId="8" borderId="48" applyAlignment="1" pivotButton="0" quotePrefix="0" xfId="0">
      <alignment horizontal="right" vertical="center" wrapText="1" readingOrder="1"/>
    </xf>
    <xf numFmtId="3" fontId="35" fillId="0" borderId="50" applyAlignment="1" pivotButton="0" quotePrefix="0" xfId="0">
      <alignment horizontal="right" vertical="center" wrapText="1" readingOrder="1"/>
    </xf>
    <xf numFmtId="166" fontId="35" fillId="0" borderId="50" applyAlignment="1" pivotButton="0" quotePrefix="0" xfId="0">
      <alignment horizontal="right" vertical="center" wrapText="1" readingOrder="1"/>
    </xf>
    <xf numFmtId="0" fontId="35" fillId="0" borderId="53" applyAlignment="1" pivotButton="0" quotePrefix="0" xfId="0">
      <alignment horizontal="left" vertical="center" wrapText="1" readingOrder="1"/>
    </xf>
    <xf numFmtId="3" fontId="35" fillId="0" borderId="54" applyAlignment="1" pivotButton="0" quotePrefix="0" xfId="0">
      <alignment horizontal="right" vertical="center" wrapText="1" readingOrder="1"/>
    </xf>
    <xf numFmtId="166" fontId="35" fillId="0" borderId="55" applyAlignment="1" pivotButton="0" quotePrefix="0" xfId="0">
      <alignment horizontal="right" vertical="center" wrapText="1" readingOrder="1"/>
    </xf>
    <xf numFmtId="0" fontId="35" fillId="0" borderId="56" applyAlignment="1" pivotButton="0" quotePrefix="0" xfId="0">
      <alignment horizontal="left" vertical="center" wrapText="1" readingOrder="1"/>
    </xf>
    <xf numFmtId="3" fontId="35" fillId="0" borderId="48" applyAlignment="1" pivotButton="0" quotePrefix="0" xfId="0">
      <alignment horizontal="right" vertical="center" wrapText="1" readingOrder="1"/>
    </xf>
    <xf numFmtId="166" fontId="35" fillId="0" borderId="48" applyAlignment="1" pivotButton="0" quotePrefix="0" xfId="0">
      <alignment horizontal="right" vertical="center" wrapText="1" readingOrder="1"/>
    </xf>
    <xf numFmtId="0" fontId="35" fillId="0" borderId="57" applyAlignment="1" pivotButton="0" quotePrefix="0" xfId="0">
      <alignment horizontal="left" vertical="center" wrapText="1" readingOrder="1"/>
    </xf>
    <xf numFmtId="3" fontId="35" fillId="0" borderId="58" applyAlignment="1" pivotButton="0" quotePrefix="0" xfId="0">
      <alignment horizontal="right" vertical="center" wrapText="1" readingOrder="1"/>
    </xf>
    <xf numFmtId="166" fontId="35" fillId="0" borderId="58" applyAlignment="1" pivotButton="0" quotePrefix="0" xfId="0">
      <alignment horizontal="right" vertical="center" wrapText="1" readingOrder="1"/>
    </xf>
    <xf numFmtId="0" fontId="34" fillId="8" borderId="37" applyAlignment="1" pivotButton="0" quotePrefix="0" xfId="0">
      <alignment horizontal="left" vertical="center" wrapText="1" readingOrder="1"/>
    </xf>
    <xf numFmtId="3" fontId="35" fillId="0" borderId="46" applyAlignment="1" pivotButton="0" quotePrefix="0" xfId="0">
      <alignment horizontal="right" vertical="center" wrapText="1" readingOrder="1"/>
    </xf>
    <xf numFmtId="0" fontId="50" fillId="0" borderId="0" applyAlignment="1" pivotButton="0" quotePrefix="0" xfId="0">
      <alignment vertical="center"/>
    </xf>
    <xf numFmtId="0" fontId="35" fillId="0" borderId="61" applyAlignment="1" pivotButton="0" quotePrefix="0" xfId="0">
      <alignment horizontal="left" vertical="center" wrapText="1" readingOrder="1"/>
    </xf>
    <xf numFmtId="0" fontId="35" fillId="0" borderId="52" applyAlignment="1" pivotButton="0" quotePrefix="0" xfId="0">
      <alignment horizontal="left" vertical="center" wrapText="1" readingOrder="1"/>
    </xf>
    <xf numFmtId="3" fontId="35" fillId="0" borderId="60" applyAlignment="1" pivotButton="0" quotePrefix="0" xfId="0">
      <alignment horizontal="right" vertical="center" wrapText="1" readingOrder="1"/>
    </xf>
    <xf numFmtId="166" fontId="35" fillId="0" borderId="46" applyAlignment="1" pivotButton="0" quotePrefix="0" xfId="0">
      <alignment horizontal="right" vertical="center" wrapText="1" readingOrder="1"/>
    </xf>
    <xf numFmtId="3" fontId="35" fillId="0" borderId="55" applyAlignment="1" pivotButton="0" quotePrefix="0" xfId="0">
      <alignment horizontal="right" vertical="center" wrapText="1" readingOrder="1"/>
    </xf>
    <xf numFmtId="165" fontId="17" fillId="0" borderId="0" pivotButton="0" quotePrefix="0" xfId="16"/>
    <xf numFmtId="170" fontId="35" fillId="0" borderId="43" applyAlignment="1" pivotButton="0" quotePrefix="0" xfId="1">
      <alignment horizontal="right" vertical="center" wrapText="1" readingOrder="1"/>
    </xf>
    <xf numFmtId="166" fontId="35" fillId="0" borderId="36" applyAlignment="1" pivotButton="0" quotePrefix="0" xfId="0">
      <alignment horizontal="right" vertical="center" wrapText="1" readingOrder="1"/>
    </xf>
    <xf numFmtId="9" fontId="0" fillId="0" borderId="0" pivotButton="0" quotePrefix="0" xfId="0"/>
    <xf numFmtId="171" fontId="34" fillId="8" borderId="36" applyAlignment="1" pivotButton="0" quotePrefix="0" xfId="0">
      <alignment horizontal="right" vertical="center" wrapText="1" readingOrder="1"/>
    </xf>
    <xf numFmtId="171" fontId="35" fillId="0" borderId="18" applyAlignment="1" pivotButton="0" quotePrefix="0" xfId="0">
      <alignment horizontal="right" vertical="center" wrapText="1" readingOrder="1"/>
    </xf>
    <xf numFmtId="171" fontId="35" fillId="0" borderId="50" applyAlignment="1" pivotButton="0" quotePrefix="0" xfId="0">
      <alignment horizontal="right" vertical="center" wrapText="1" readingOrder="1"/>
    </xf>
    <xf numFmtId="171" fontId="35" fillId="0" borderId="48" applyAlignment="1" pivotButton="0" quotePrefix="0" xfId="0">
      <alignment horizontal="right" vertical="center" wrapText="1" readingOrder="1"/>
    </xf>
    <xf numFmtId="171" fontId="35" fillId="0" borderId="54" applyAlignment="1" pivotButton="0" quotePrefix="0" xfId="0">
      <alignment horizontal="right" vertical="center" wrapText="1" readingOrder="1"/>
    </xf>
    <xf numFmtId="171" fontId="35" fillId="0" borderId="58" applyAlignment="1" pivotButton="0" quotePrefix="0" xfId="0">
      <alignment horizontal="right" vertical="center" wrapText="1" readingOrder="1"/>
    </xf>
    <xf numFmtId="171" fontId="35" fillId="0" borderId="46" applyAlignment="1" pivotButton="0" quotePrefix="0" xfId="0">
      <alignment horizontal="right" vertical="center" wrapText="1" readingOrder="1"/>
    </xf>
    <xf numFmtId="170" fontId="35" fillId="0" borderId="60" applyAlignment="1" pivotButton="0" quotePrefix="0" xfId="1">
      <alignment horizontal="right" vertical="center" wrapText="1" readingOrder="1"/>
    </xf>
    <xf numFmtId="0" fontId="35" fillId="0" borderId="26" applyAlignment="1" pivotButton="0" quotePrefix="0" xfId="0">
      <alignment horizontal="left" vertical="center" wrapText="1" indent="3" readingOrder="1"/>
    </xf>
    <xf numFmtId="0" fontId="35" fillId="0" borderId="59" applyAlignment="1" pivotButton="0" quotePrefix="0" xfId="0">
      <alignment horizontal="left" vertical="center" wrapText="1" indent="3" readingOrder="1"/>
    </xf>
    <xf numFmtId="0" fontId="13" fillId="0" borderId="0" applyAlignment="1" pivotButton="0" quotePrefix="0" xfId="2">
      <alignment horizontal="center"/>
    </xf>
    <xf numFmtId="171" fontId="35" fillId="0" borderId="55" applyAlignment="1" pivotButton="0" quotePrefix="0" xfId="0">
      <alignment horizontal="right" vertical="center" wrapText="1" readingOrder="1"/>
    </xf>
    <xf numFmtId="0" fontId="34" fillId="8" borderId="67" applyAlignment="1" pivotButton="0" quotePrefix="0" xfId="0">
      <alignment horizontal="left" wrapText="1" readingOrder="1"/>
    </xf>
    <xf numFmtId="3" fontId="34" fillId="8" borderId="68" applyAlignment="1" pivotButton="0" quotePrefix="0" xfId="0">
      <alignment horizontal="right" vertical="center" wrapText="1" readingOrder="1"/>
    </xf>
    <xf numFmtId="166" fontId="34" fillId="8" borderId="68" applyAlignment="1" pivotButton="0" quotePrefix="0" xfId="0">
      <alignment horizontal="right" vertical="center" wrapText="1" readingOrder="1"/>
    </xf>
    <xf numFmtId="171" fontId="34" fillId="8" borderId="68" applyAlignment="1" pivotButton="0" quotePrefix="0" xfId="0">
      <alignment horizontal="right" vertical="center" wrapText="1" readingOrder="1"/>
    </xf>
    <xf numFmtId="166" fontId="35" fillId="0" borderId="22" applyAlignment="1" pivotButton="0" quotePrefix="0" xfId="0">
      <alignment horizontal="right" vertical="center" wrapText="1" readingOrder="1"/>
    </xf>
    <xf numFmtId="171" fontId="35" fillId="0" borderId="22" applyAlignment="1" pivotButton="0" quotePrefix="0" xfId="0">
      <alignment horizontal="right" vertical="center" wrapText="1" readingOrder="1"/>
    </xf>
    <xf numFmtId="0" fontId="34" fillId="8" borderId="53" applyAlignment="1" pivotButton="0" quotePrefix="0" xfId="0">
      <alignment horizontal="left" vertical="center" wrapText="1" readingOrder="1"/>
    </xf>
    <xf numFmtId="3" fontId="34" fillId="8" borderId="54" applyAlignment="1" pivotButton="0" quotePrefix="0" xfId="0">
      <alignment horizontal="right" vertical="center" wrapText="1" readingOrder="1"/>
    </xf>
    <xf numFmtId="166" fontId="34" fillId="8" borderId="55" applyAlignment="1" pivotButton="0" quotePrefix="0" xfId="0">
      <alignment horizontal="right" vertical="center" wrapText="1" readingOrder="1"/>
    </xf>
    <xf numFmtId="171" fontId="34" fillId="8" borderId="54" applyAlignment="1" pivotButton="0" quotePrefix="0" xfId="0">
      <alignment horizontal="right" vertical="center" wrapText="1" readingOrder="1"/>
    </xf>
    <xf numFmtId="0" fontId="34" fillId="8" borderId="56" applyAlignment="1" pivotButton="0" quotePrefix="0" xfId="0">
      <alignment horizontal="left" vertical="center" wrapText="1" readingOrder="1"/>
    </xf>
    <xf numFmtId="3" fontId="34" fillId="8" borderId="48" applyAlignment="1" pivotButton="0" quotePrefix="0" xfId="0">
      <alignment horizontal="right" vertical="center" wrapText="1" readingOrder="1"/>
    </xf>
    <xf numFmtId="171" fontId="34" fillId="8" borderId="48" applyAlignment="1" pivotButton="0" quotePrefix="0" xfId="0">
      <alignment horizontal="right" vertical="center" wrapText="1" readingOrder="1"/>
    </xf>
    <xf numFmtId="0" fontId="34" fillId="9" borderId="61" applyAlignment="1" pivotButton="0" quotePrefix="0" xfId="0">
      <alignment horizontal="left" vertical="center" wrapText="1" readingOrder="1"/>
    </xf>
    <xf numFmtId="171" fontId="35" fillId="9" borderId="36" applyAlignment="1" pivotButton="0" quotePrefix="0" xfId="0">
      <alignment horizontal="right" vertical="center" wrapText="1" readingOrder="1"/>
    </xf>
    <xf numFmtId="0" fontId="34" fillId="8" borderId="70" applyAlignment="1" pivotButton="0" quotePrefix="0" xfId="0">
      <alignment horizontal="left" wrapText="1" readingOrder="1"/>
    </xf>
    <xf numFmtId="3" fontId="34" fillId="8" borderId="55" applyAlignment="1" pivotButton="0" quotePrefix="0" xfId="0">
      <alignment horizontal="right" vertical="center" wrapText="1" readingOrder="1"/>
    </xf>
    <xf numFmtId="0" fontId="35" fillId="0" borderId="24" applyAlignment="1" pivotButton="0" quotePrefix="0" xfId="0">
      <alignment horizontal="left" vertical="center" wrapText="1" readingOrder="1"/>
    </xf>
    <xf numFmtId="0" fontId="35" fillId="0" borderId="69" applyAlignment="1" pivotButton="0" quotePrefix="0" xfId="0">
      <alignment horizontal="left" vertical="center" wrapText="1" readingOrder="1"/>
    </xf>
    <xf numFmtId="0" fontId="35" fillId="0" borderId="71" applyAlignment="1" pivotButton="0" quotePrefix="0" xfId="0">
      <alignment horizontal="left" vertical="center" wrapText="1" indent="3" readingOrder="1"/>
    </xf>
    <xf numFmtId="0" fontId="35" fillId="0" borderId="72" applyAlignment="1" pivotButton="0" quotePrefix="0" xfId="0">
      <alignment horizontal="left" vertical="center" wrapText="1" indent="3" readingOrder="1"/>
    </xf>
    <xf numFmtId="0" fontId="35" fillId="0" borderId="17" applyAlignment="1" pivotButton="0" quotePrefix="0" xfId="0">
      <alignment horizontal="left" vertical="center" wrapText="1" readingOrder="1"/>
    </xf>
    <xf numFmtId="0" fontId="35" fillId="0" borderId="19" applyAlignment="1" pivotButton="0" quotePrefix="0" xfId="0">
      <alignment horizontal="left" vertical="center" wrapText="1" readingOrder="1"/>
    </xf>
    <xf numFmtId="0" fontId="35" fillId="0" borderId="49" applyAlignment="1" pivotButton="0" quotePrefix="0" xfId="0">
      <alignment horizontal="left" vertical="center" wrapText="1" readingOrder="1"/>
    </xf>
    <xf numFmtId="0" fontId="35" fillId="0" borderId="51" applyAlignment="1" pivotButton="0" quotePrefix="0" xfId="0">
      <alignment horizontal="left" vertical="center" wrapText="1" readingOrder="1"/>
    </xf>
    <xf numFmtId="37" fontId="27" fillId="0" borderId="2" pivotButton="0" quotePrefix="0" xfId="10"/>
    <xf numFmtId="3" fontId="8" fillId="6" borderId="2" applyAlignment="1" pivotButton="0" quotePrefix="0" xfId="10">
      <alignment horizontal="right"/>
    </xf>
    <xf numFmtId="3" fontId="5" fillId="3" borderId="2" applyAlignment="1" pivotButton="0" quotePrefix="0" xfId="10">
      <alignment horizontal="right"/>
    </xf>
    <xf numFmtId="3" fontId="34" fillId="9" borderId="55" applyAlignment="1" pivotButton="0" quotePrefix="0" xfId="0">
      <alignment horizontal="right" vertical="center" wrapText="1" readingOrder="1"/>
    </xf>
    <xf numFmtId="3" fontId="34" fillId="9" borderId="36" applyAlignment="1" pivotButton="0" quotePrefix="0" xfId="0">
      <alignment horizontal="right" vertical="center" wrapText="1" readingOrder="1"/>
    </xf>
    <xf numFmtId="0" fontId="10" fillId="4" borderId="0" pivotButton="0" quotePrefix="0" xfId="2"/>
    <xf numFmtId="165" fontId="4" fillId="4" borderId="0" applyAlignment="1" pivotButton="0" quotePrefix="0" xfId="16">
      <alignment horizontal="center"/>
    </xf>
    <xf numFmtId="3" fontId="59" fillId="10" borderId="2" pivotButton="0" quotePrefix="0" xfId="8"/>
    <xf numFmtId="3" fontId="8" fillId="10" borderId="2" pivotButton="0" quotePrefix="0" xfId="15"/>
    <xf numFmtId="3" fontId="8" fillId="11" borderId="2" applyAlignment="1" pivotButton="0" quotePrefix="1" xfId="10">
      <alignment horizontal="left"/>
    </xf>
    <xf numFmtId="3" fontId="8" fillId="11" borderId="3" applyAlignment="1" pivotButton="0" quotePrefix="1" xfId="10">
      <alignment horizontal="left"/>
    </xf>
    <xf numFmtId="3" fontId="8" fillId="11" borderId="2" applyAlignment="1" pivotButton="0" quotePrefix="1" xfId="10">
      <alignment horizontal="left" vertical="center"/>
    </xf>
    <xf numFmtId="9" fontId="2" fillId="0" borderId="9" pivotButton="0" quotePrefix="0" xfId="16"/>
    <xf numFmtId="1" fontId="0" fillId="0" borderId="0" pivotButton="0" quotePrefix="0" xfId="0"/>
    <xf numFmtId="1" fontId="72" fillId="0" borderId="0" applyAlignment="1" pivotButton="0" quotePrefix="0" xfId="1">
      <alignment horizontal="center" vertical="center"/>
    </xf>
    <xf numFmtId="168" fontId="51" fillId="0" borderId="77" applyAlignment="1" pivotButton="0" quotePrefix="0" xfId="8">
      <alignment horizontal="left"/>
    </xf>
    <xf numFmtId="3" fontId="5" fillId="0" borderId="77" applyAlignment="1" pivotButton="0" quotePrefix="0" xfId="8">
      <alignment horizontal="left"/>
    </xf>
    <xf numFmtId="0" fontId="8" fillId="0" borderId="79" pivotButton="0" quotePrefix="0" xfId="10"/>
    <xf numFmtId="3" fontId="8" fillId="0" borderId="78" applyAlignment="1" pivotButton="0" quotePrefix="0" xfId="10">
      <alignment horizontal="right"/>
    </xf>
    <xf numFmtId="3" fontId="5" fillId="0" borderId="78" applyAlignment="1" pivotButton="0" quotePrefix="0" xfId="10">
      <alignment horizontal="right"/>
    </xf>
    <xf numFmtId="0" fontId="5" fillId="0" borderId="79" applyAlignment="1" pivotButton="0" quotePrefix="1" xfId="10">
      <alignment horizontal="left" vertical="center"/>
    </xf>
    <xf numFmtId="3" fontId="27" fillId="0" borderId="78" applyAlignment="1" pivotButton="0" quotePrefix="0" xfId="10">
      <alignment horizontal="right"/>
    </xf>
    <xf numFmtId="3" fontId="5" fillId="0" borderId="78" applyAlignment="1" pivotButton="0" quotePrefix="0" xfId="10">
      <alignment horizontal="right" vertical="center"/>
    </xf>
    <xf numFmtId="3" fontId="8" fillId="11" borderId="79" applyAlignment="1" pivotButton="0" quotePrefix="1" xfId="10">
      <alignment horizontal="left"/>
    </xf>
    <xf numFmtId="3" fontId="8" fillId="0" borderId="78" applyAlignment="1" pivotButton="0" quotePrefix="0" xfId="10">
      <alignment horizontal="right" vertical="center" wrapText="1"/>
    </xf>
    <xf numFmtId="168" fontId="8" fillId="0" borderId="1" applyAlignment="1" pivotButton="0" quotePrefix="0" xfId="8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37" fontId="10" fillId="0" borderId="0" pivotButton="0" quotePrefix="0" xfId="2"/>
    <xf numFmtId="3" fontId="35" fillId="0" borderId="25" applyAlignment="1" pivotButton="0" quotePrefix="1" xfId="0">
      <alignment horizontal="right" vertical="center" wrapText="1" readingOrder="1"/>
    </xf>
    <xf numFmtId="10" fontId="0" fillId="0" borderId="0" pivotButton="0" quotePrefix="0" xfId="0"/>
    <xf numFmtId="0" fontId="0" fillId="0" borderId="0" applyAlignment="1" pivotButton="0" quotePrefix="0" xfId="0">
      <alignment vertical="center"/>
    </xf>
    <xf numFmtId="0" fontId="30" fillId="0" borderId="7" applyAlignment="1" pivotButton="0" quotePrefix="0" xfId="0">
      <alignment horizontal="center" vertical="center"/>
    </xf>
    <xf numFmtId="0" fontId="30" fillId="0" borderId="10" pivotButton="0" quotePrefix="0" xfId="0"/>
    <xf numFmtId="3" fontId="0" fillId="0" borderId="7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172" fontId="0" fillId="0" borderId="7" applyAlignment="1" pivotButton="0" quotePrefix="0" xfId="0">
      <alignment horizontal="center" vertical="center"/>
    </xf>
    <xf numFmtId="173" fontId="0" fillId="0" borderId="7" applyAlignment="1" pivotButton="0" quotePrefix="0" xfId="0">
      <alignment horizontal="center" vertical="center"/>
    </xf>
    <xf numFmtId="1" fontId="2" fillId="4" borderId="9" applyAlignment="1" pivotButton="0" quotePrefix="0" xfId="0">
      <alignment horizontal="center" vertical="center"/>
    </xf>
    <xf numFmtId="3" fontId="29" fillId="0" borderId="0" applyAlignment="1" pivotButton="0" quotePrefix="0" xfId="0">
      <alignment vertical="center"/>
    </xf>
    <xf numFmtId="1" fontId="2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/>
    </xf>
    <xf numFmtId="1" fontId="2" fillId="2" borderId="0" applyAlignment="1" pivotButton="0" quotePrefix="0" xfId="0">
      <alignment horizontal="center" vertical="center"/>
    </xf>
    <xf numFmtId="164" fontId="0" fillId="3" borderId="0" pivotButton="0" quotePrefix="0" xfId="1"/>
    <xf numFmtId="164" fontId="2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73" fontId="0" fillId="0" borderId="7" pivotButton="0" quotePrefix="0" xfId="0"/>
    <xf numFmtId="164" fontId="2" fillId="0" borderId="7" pivotButton="0" quotePrefix="0" xfId="1"/>
    <xf numFmtId="0" fontId="2" fillId="0" borderId="7" pivotButton="0" quotePrefix="0" xfId="0"/>
    <xf numFmtId="164" fontId="29" fillId="0" borderId="0" applyAlignment="1" pivotButton="0" quotePrefix="0" xfId="0">
      <alignment vertical="center"/>
    </xf>
    <xf numFmtId="164" fontId="0" fillId="4" borderId="7" pivotButton="0" quotePrefix="0" xfId="1"/>
    <xf numFmtId="164" fontId="0" fillId="0" borderId="7" pivotButton="0" quotePrefix="0" xfId="0"/>
    <xf numFmtId="164" fontId="0" fillId="2" borderId="7" pivotButton="0" quotePrefix="0" xfId="0"/>
    <xf numFmtId="164" fontId="0" fillId="0" borderId="0" pivotButton="0" quotePrefix="0" xfId="1"/>
    <xf numFmtId="3" fontId="6" fillId="0" borderId="0" applyAlignment="1" pivotButton="0" quotePrefix="0" xfId="2">
      <alignment horizontal="center" vertical="center"/>
    </xf>
    <xf numFmtId="3" fontId="14" fillId="0" borderId="0" applyAlignment="1" pivotButton="0" quotePrefix="0" xfId="12">
      <alignment horizontal="center" vertical="center"/>
    </xf>
    <xf numFmtId="0" fontId="33" fillId="0" borderId="0" pivotButton="0" quotePrefix="0" xfId="0"/>
    <xf numFmtId="0" fontId="2" fillId="0" borderId="0" applyAlignment="1" pivotButton="0" quotePrefix="0" xfId="0">
      <alignment horizontal="left"/>
    </xf>
    <xf numFmtId="3" fontId="6" fillId="0" borderId="0" applyAlignment="1" pivotButton="0" quotePrefix="0" xfId="12">
      <alignment horizontal="center" vertical="center"/>
    </xf>
    <xf numFmtId="0" fontId="73" fillId="0" borderId="0" pivotButton="0" quotePrefix="0" xfId="0"/>
    <xf numFmtId="3" fontId="73" fillId="0" borderId="0" pivotButton="0" quotePrefix="0" xfId="0"/>
    <xf numFmtId="0" fontId="0" fillId="4" borderId="0" pivotButton="0" quotePrefix="0" xfId="0"/>
    <xf numFmtId="0" fontId="74" fillId="0" borderId="0" pivotButton="0" quotePrefix="0" xfId="0"/>
    <xf numFmtId="164" fontId="0" fillId="0" borderId="0" pivotButton="0" quotePrefix="0" xfId="1"/>
    <xf numFmtId="10" fontId="0" fillId="0" borderId="7" applyAlignment="1" pivotButton="0" quotePrefix="0" xfId="16">
      <alignment horizontal="center" vertical="center"/>
    </xf>
    <xf numFmtId="10" fontId="0" fillId="0" borderId="2" applyAlignment="1" pivotButton="0" quotePrefix="0" xfId="16">
      <alignment horizontal="center" vertical="center"/>
    </xf>
    <xf numFmtId="10" fontId="2" fillId="0" borderId="7" applyAlignment="1" pivotButton="0" quotePrefix="0" xfId="16">
      <alignment horizontal="center" vertical="center"/>
    </xf>
    <xf numFmtId="3" fontId="0" fillId="3" borderId="7" applyAlignment="1" pivotButton="0" quotePrefix="0" xfId="0">
      <alignment horizontal="center"/>
    </xf>
    <xf numFmtId="10" fontId="0" fillId="0" borderId="0" pivotButton="0" quotePrefix="0" xfId="16"/>
    <xf numFmtId="174" fontId="0" fillId="0" borderId="0" pivotButton="0" quotePrefix="0" xfId="16"/>
    <xf numFmtId="10" fontId="0" fillId="0" borderId="0" pivotButton="0" quotePrefix="0" xfId="16"/>
    <xf numFmtId="175" fontId="0" fillId="0" borderId="0" pivotButton="0" quotePrefix="0" xfId="16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0" fontId="0" fillId="0" borderId="7" pivotButton="0" quotePrefix="0" xfId="16"/>
    <xf numFmtId="10" fontId="1" fillId="0" borderId="7" pivotButton="0" quotePrefix="0" xfId="16"/>
    <xf numFmtId="10" fontId="1" fillId="0" borderId="7" applyAlignment="1" pivotButton="0" quotePrefix="0" xfId="16">
      <alignment horizontal="center" vertical="center"/>
    </xf>
    <xf numFmtId="3" fontId="0" fillId="0" borderId="7" applyAlignment="1" pivotButton="0" quotePrefix="0" xfId="0">
      <alignment horizontal="center"/>
    </xf>
    <xf numFmtId="164" fontId="73" fillId="0" borderId="0" pivotButton="0" quotePrefix="0" xfId="1"/>
    <xf numFmtId="10" fontId="1" fillId="0" borderId="7" applyAlignment="1" pivotButton="0" quotePrefix="0" xfId="16">
      <alignment horizontal="center"/>
    </xf>
    <xf numFmtId="3" fontId="27" fillId="0" borderId="75" applyAlignment="1" pivotButton="0" quotePrefix="0" xfId="10">
      <alignment horizontal="right"/>
    </xf>
    <xf numFmtId="3" fontId="5" fillId="0" borderId="79" pivotButton="0" quotePrefix="0" xfId="10"/>
    <xf numFmtId="3" fontId="8" fillId="0" borderId="79" pivotButton="0" quotePrefix="0" xfId="10"/>
    <xf numFmtId="176" fontId="3" fillId="0" borderId="0" pivotButton="0" quotePrefix="0" xfId="26"/>
    <xf numFmtId="164" fontId="3" fillId="0" borderId="0" applyAlignment="1" pivotButton="0" quotePrefix="0" xfId="27">
      <alignment vertical="center"/>
    </xf>
    <xf numFmtId="176" fontId="3" fillId="0" borderId="0" applyAlignment="1" pivotButton="0" quotePrefix="0" xfId="26">
      <alignment horizontal="left"/>
    </xf>
    <xf numFmtId="176" fontId="75" fillId="0" borderId="0" applyAlignment="1" pivotButton="0" quotePrefix="0" xfId="26">
      <alignment vertical="center"/>
    </xf>
    <xf numFmtId="176" fontId="75" fillId="0" borderId="0" applyAlignment="1" pivotButton="0" quotePrefix="0" xfId="26">
      <alignment horizontal="center" vertical="center"/>
    </xf>
    <xf numFmtId="164" fontId="77" fillId="13" borderId="0" applyAlignment="1" pivotButton="0" quotePrefix="0" xfId="27">
      <alignment horizontal="center" vertical="center" wrapText="1"/>
    </xf>
    <xf numFmtId="0" fontId="78" fillId="0" borderId="81" applyAlignment="1" pivotButton="0" quotePrefix="0" xfId="28">
      <alignment horizontal="left" vertical="center"/>
    </xf>
    <xf numFmtId="0" fontId="78" fillId="0" borderId="81" applyAlignment="1" pivotButton="0" quotePrefix="0" xfId="28">
      <alignment horizontal="right" vertical="center"/>
    </xf>
    <xf numFmtId="0" fontId="78" fillId="3" borderId="81" applyAlignment="1" pivotButton="0" quotePrefix="0" xfId="28">
      <alignment horizontal="right" vertical="center"/>
    </xf>
    <xf numFmtId="0" fontId="78" fillId="14" borderId="81" applyAlignment="1" pivotButton="0" quotePrefix="0" xfId="28">
      <alignment horizontal="right" vertical="center" wrapText="1"/>
    </xf>
    <xf numFmtId="0" fontId="79" fillId="0" borderId="81" applyAlignment="1" pivotButton="0" quotePrefix="0" xfId="28">
      <alignment horizontal="left" vertical="center"/>
    </xf>
    <xf numFmtId="3" fontId="80" fillId="0" borderId="81" pivotButton="0" quotePrefix="0" xfId="28"/>
    <xf numFmtId="0" fontId="79" fillId="15" borderId="81" applyAlignment="1" pivotButton="0" quotePrefix="0" xfId="28">
      <alignment horizontal="left" vertical="center"/>
    </xf>
    <xf numFmtId="3" fontId="80" fillId="15" borderId="81" pivotButton="0" quotePrefix="0" xfId="28"/>
    <xf numFmtId="3" fontId="81" fillId="0" borderId="81" pivotButton="0" quotePrefix="0" xfId="28"/>
    <xf numFmtId="177" fontId="3" fillId="0" borderId="0" applyAlignment="1" pivotButton="0" quotePrefix="0" xfId="26">
      <alignment horizontal="left"/>
    </xf>
    <xf numFmtId="0" fontId="3" fillId="0" borderId="0" pivotButton="0" quotePrefix="0" xfId="26"/>
    <xf numFmtId="0" fontId="82" fillId="0" borderId="81" applyAlignment="1" pivotButton="0" quotePrefix="0" xfId="28">
      <alignment vertical="center"/>
    </xf>
    <xf numFmtId="3" fontId="81" fillId="0" borderId="81" applyAlignment="1" pivotButton="0" quotePrefix="0" xfId="28">
      <alignment vertical="center"/>
    </xf>
    <xf numFmtId="176" fontId="83" fillId="16" borderId="0" applyAlignment="1" pivotButton="0" quotePrefix="0" xfId="26">
      <alignment horizontal="left" wrapText="1"/>
    </xf>
    <xf numFmtId="178" fontId="76" fillId="2" borderId="0" applyAlignment="1" pivotButton="0" quotePrefix="0" xfId="26">
      <alignment vertical="center"/>
    </xf>
    <xf numFmtId="179" fontId="76" fillId="2" borderId="0" pivotButton="0" quotePrefix="0" xfId="26"/>
    <xf numFmtId="3" fontId="81" fillId="17" borderId="0" pivotButton="0" quotePrefix="0" xfId="28"/>
    <xf numFmtId="3" fontId="84" fillId="18" borderId="0" pivotButton="0" quotePrefix="0" xfId="28"/>
    <xf numFmtId="3" fontId="81" fillId="18" borderId="0" pivotButton="0" quotePrefix="0" xfId="28"/>
    <xf numFmtId="3" fontId="85" fillId="19" borderId="0" pivotButton="0" quotePrefix="0" xfId="28"/>
    <xf numFmtId="164" fontId="77" fillId="19" borderId="0" applyAlignment="1" pivotButton="0" quotePrefix="0" xfId="27">
      <alignment horizontal="center" vertical="center" wrapText="1"/>
    </xf>
    <xf numFmtId="3" fontId="85" fillId="19" borderId="81" pivotButton="0" quotePrefix="0" xfId="28"/>
    <xf numFmtId="176" fontId="84" fillId="0" borderId="0" applyAlignment="1" pivotButton="0" quotePrefix="0" xfId="26">
      <alignment horizontal="left" wrapText="1"/>
    </xf>
    <xf numFmtId="176" fontId="76" fillId="0" borderId="0" pivotButton="0" quotePrefix="0" xfId="26"/>
    <xf numFmtId="0" fontId="2" fillId="0" borderId="0" applyAlignment="1" pivotButton="0" quotePrefix="0" xfId="28">
      <alignment vertical="center"/>
    </xf>
    <xf numFmtId="180" fontId="3" fillId="0" borderId="0" applyAlignment="1" pivotButton="0" quotePrefix="0" xfId="26">
      <alignment horizontal="center"/>
    </xf>
    <xf numFmtId="176" fontId="3" fillId="4" borderId="0" pivotButton="0" quotePrefix="0" xfId="26"/>
    <xf numFmtId="176" fontId="3" fillId="0" borderId="0" applyAlignment="1" pivotButton="0" quotePrefix="0" xfId="26">
      <alignment vertical="center"/>
    </xf>
    <xf numFmtId="3" fontId="5" fillId="0" borderId="79" applyAlignment="1" pivotButton="0" quotePrefix="0" xfId="10">
      <alignment horizontal="right"/>
    </xf>
    <xf numFmtId="166" fontId="34" fillId="9" borderId="36" applyAlignment="1" pivotButton="0" quotePrefix="0" xfId="0">
      <alignment horizontal="right" vertical="center" wrapText="1" readingOrder="1"/>
    </xf>
    <xf numFmtId="9" fontId="5" fillId="0" borderId="0" pivotButton="0" quotePrefix="0" xfId="16"/>
    <xf numFmtId="3" fontId="0" fillId="0" borderId="0" applyAlignment="1" pivotButton="0" quotePrefix="0" xfId="16">
      <alignment horizontal="right" vertical="center"/>
    </xf>
    <xf numFmtId="9" fontId="0" fillId="4" borderId="0" pivotButton="0" quotePrefix="0" xfId="16"/>
    <xf numFmtId="0" fontId="34" fillId="9" borderId="83" applyAlignment="1" pivotButton="0" quotePrefix="0" xfId="0">
      <alignment horizontal="left" vertical="center" wrapText="1" readingOrder="1"/>
    </xf>
    <xf numFmtId="3" fontId="34" fillId="9" borderId="84" applyAlignment="1" pivotButton="0" quotePrefix="0" xfId="0">
      <alignment horizontal="right" vertical="center" wrapText="1" readingOrder="1"/>
    </xf>
    <xf numFmtId="3" fontId="34" fillId="9" borderId="85" applyAlignment="1" pivotButton="0" quotePrefix="0" xfId="0">
      <alignment horizontal="right" vertical="center" wrapText="1" readingOrder="1"/>
    </xf>
    <xf numFmtId="166" fontId="34" fillId="9" borderId="85" applyAlignment="1" pivotButton="0" quotePrefix="0" xfId="0">
      <alignment horizontal="right" vertical="center" wrapText="1" readingOrder="1"/>
    </xf>
    <xf numFmtId="166" fontId="34" fillId="9" borderId="86" applyAlignment="1" pivotButton="0" quotePrefix="0" xfId="0">
      <alignment horizontal="right" vertical="center" wrapText="1" readingOrder="1"/>
    </xf>
    <xf numFmtId="0" fontId="87" fillId="0" borderId="0" pivotButton="0" quotePrefix="0" xfId="0"/>
    <xf numFmtId="165" fontId="0" fillId="0" borderId="0" pivotButton="0" quotePrefix="0" xfId="16"/>
    <xf numFmtId="10" fontId="2" fillId="0" borderId="0" pivotButton="0" quotePrefix="0" xfId="0"/>
    <xf numFmtId="3" fontId="2" fillId="0" borderId="0" pivotButton="0" quotePrefix="0" xfId="16"/>
    <xf numFmtId="0" fontId="5" fillId="0" borderId="87" pivotButton="0" quotePrefix="0" xfId="2"/>
    <xf numFmtId="0" fontId="8" fillId="0" borderId="0" applyAlignment="1" pivotButton="0" quotePrefix="0" xfId="2">
      <alignment horizontal="center"/>
    </xf>
    <xf numFmtId="0" fontId="5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left" vertical="center"/>
    </xf>
    <xf numFmtId="173" fontId="90" fillId="0" borderId="1" applyAlignment="1" pivotButton="0" quotePrefix="0" xfId="12">
      <alignment horizontal="center" vertical="center" wrapText="1"/>
    </xf>
    <xf numFmtId="168" fontId="8" fillId="0" borderId="79" applyAlignment="1" pivotButton="0" quotePrefix="0" xfId="8">
      <alignment horizontal="left"/>
    </xf>
    <xf numFmtId="3" fontId="52" fillId="0" borderId="79" applyAlignment="1" pivotButton="0" quotePrefix="0" xfId="8">
      <alignment horizontal="right"/>
    </xf>
    <xf numFmtId="3" fontId="52" fillId="0" borderId="79" pivotButton="0" quotePrefix="0" xfId="8"/>
    <xf numFmtId="168" fontId="5" fillId="0" borderId="79" applyAlignment="1" pivotButton="0" quotePrefix="0" xfId="8">
      <alignment horizontal="left"/>
    </xf>
    <xf numFmtId="3" fontId="51" fillId="0" borderId="79" applyAlignment="1" pivotButton="0" quotePrefix="0" xfId="8">
      <alignment horizontal="right"/>
    </xf>
    <xf numFmtId="168" fontId="5" fillId="0" borderId="79" pivotButton="0" quotePrefix="0" xfId="8"/>
    <xf numFmtId="168" fontId="52" fillId="0" borderId="79" applyAlignment="1" pivotButton="0" quotePrefix="0" xfId="8">
      <alignment horizontal="left"/>
    </xf>
    <xf numFmtId="3" fontId="5" fillId="0" borderId="79" applyAlignment="1" pivotButton="0" quotePrefix="0" xfId="8">
      <alignment horizontal="right"/>
    </xf>
    <xf numFmtId="1" fontId="5" fillId="0" borderId="0" applyAlignment="1" pivotButton="0" quotePrefix="0" xfId="8">
      <alignment horizontal="right"/>
    </xf>
    <xf numFmtId="15" fontId="5" fillId="0" borderId="0" applyAlignment="1" pivotButton="0" quotePrefix="0" xfId="2">
      <alignment horizontal="right"/>
    </xf>
    <xf numFmtId="3" fontId="54" fillId="0" borderId="79" applyAlignment="1" pivotButton="0" quotePrefix="0" xfId="8">
      <alignment horizontal="right"/>
    </xf>
    <xf numFmtId="168" fontId="5" fillId="0" borderId="0" applyAlignment="1" pivotButton="0" quotePrefix="0" xfId="8">
      <alignment horizontal="left" indent="1"/>
    </xf>
    <xf numFmtId="1" fontId="54" fillId="0" borderId="0" applyAlignment="1" pivotButton="0" quotePrefix="0" xfId="8">
      <alignment horizontal="right"/>
    </xf>
    <xf numFmtId="0" fontId="5" fillId="0" borderId="0" applyAlignment="1" pivotButton="0" quotePrefix="0" xfId="2">
      <alignment horizontal="right" vertical="center"/>
    </xf>
    <xf numFmtId="3" fontId="52" fillId="0" borderId="79" applyAlignment="1" pivotButton="0" quotePrefix="0" xfId="2">
      <alignment horizontal="right"/>
    </xf>
    <xf numFmtId="3" fontId="52" fillId="0" borderId="79" pivotButton="0" quotePrefix="0" xfId="2"/>
    <xf numFmtId="3" fontId="55" fillId="0" borderId="79" applyAlignment="1" pivotButton="0" quotePrefix="0" xfId="0">
      <alignment horizontal="right"/>
    </xf>
    <xf numFmtId="3" fontId="19" fillId="0" borderId="79" applyAlignment="1" pivotButton="0" quotePrefix="0" xfId="0">
      <alignment horizontal="right"/>
    </xf>
    <xf numFmtId="3" fontId="56" fillId="0" borderId="79" applyAlignment="1" pivotButton="0" quotePrefix="0" xfId="2">
      <alignment horizontal="right"/>
    </xf>
    <xf numFmtId="3" fontId="57" fillId="0" borderId="79" applyAlignment="1" pivotButton="0" quotePrefix="0" xfId="2">
      <alignment horizontal="right"/>
    </xf>
    <xf numFmtId="3" fontId="5" fillId="0" borderId="79" applyAlignment="1" pivotButton="0" quotePrefix="0" xfId="2">
      <alignment horizontal="right"/>
    </xf>
    <xf numFmtId="3" fontId="5" fillId="0" borderId="79" pivotButton="0" quotePrefix="0" xfId="2"/>
    <xf numFmtId="3" fontId="15" fillId="0" borderId="79" applyAlignment="1" pivotButton="0" quotePrefix="0" xfId="2">
      <alignment horizontal="right"/>
    </xf>
    <xf numFmtId="3" fontId="58" fillId="0" borderId="79" applyAlignment="1" pivotButton="0" quotePrefix="0" xfId="0">
      <alignment horizontal="right"/>
    </xf>
    <xf numFmtId="3" fontId="27" fillId="0" borderId="79" pivotButton="0" quotePrefix="0" xfId="2"/>
    <xf numFmtId="168" fontId="5" fillId="0" borderId="77" applyAlignment="1" pivotButton="0" quotePrefix="0" xfId="8">
      <alignment horizontal="left"/>
    </xf>
    <xf numFmtId="3" fontId="8" fillId="0" borderId="79" pivotButton="0" quotePrefix="0" xfId="8"/>
    <xf numFmtId="3" fontId="27" fillId="0" borderId="79" applyAlignment="1" pivotButton="0" quotePrefix="0" xfId="8">
      <alignment horizontal="right"/>
    </xf>
    <xf numFmtId="3" fontId="5" fillId="0" borderId="79" pivotButton="0" quotePrefix="0" xfId="8"/>
    <xf numFmtId="3" fontId="5" fillId="0" borderId="79" applyAlignment="1" pivotButton="0" quotePrefix="0" xfId="0">
      <alignment horizontal="right"/>
    </xf>
    <xf numFmtId="3" fontId="8" fillId="0" borderId="79" applyAlignment="1" pivotButton="0" quotePrefix="0" xfId="8">
      <alignment vertical="center"/>
    </xf>
    <xf numFmtId="3" fontId="8" fillId="0" borderId="79" applyAlignment="1" pivotButton="0" quotePrefix="0" xfId="8">
      <alignment horizontal="right" vertical="center"/>
    </xf>
    <xf numFmtId="0" fontId="52" fillId="0" borderId="79" pivotButton="0" quotePrefix="0" xfId="10"/>
    <xf numFmtId="3" fontId="51" fillId="0" borderId="79" applyAlignment="1" pivotButton="0" quotePrefix="0" xfId="2">
      <alignment horizontal="right"/>
    </xf>
    <xf numFmtId="0" fontId="51" fillId="0" borderId="79" pivotButton="0" quotePrefix="0" xfId="2"/>
    <xf numFmtId="0" fontId="59" fillId="0" borderId="79" pivotButton="0" quotePrefix="0" xfId="10"/>
    <xf numFmtId="0" fontId="5" fillId="0" borderId="79" pivotButton="0" quotePrefix="0" xfId="10"/>
    <xf numFmtId="3" fontId="8" fillId="0" borderId="79" applyAlignment="1" pivotButton="0" quotePrefix="0" xfId="10">
      <alignment horizontal="right"/>
    </xf>
    <xf numFmtId="3" fontId="59" fillId="0" borderId="79" applyAlignment="1" pivotButton="0" quotePrefix="0" xfId="10">
      <alignment horizontal="right" vertical="center"/>
    </xf>
    <xf numFmtId="3" fontId="52" fillId="0" borderId="79" applyAlignment="1" pivotButton="0" quotePrefix="0" xfId="10">
      <alignment horizontal="right"/>
    </xf>
    <xf numFmtId="0" fontId="21" fillId="0" borderId="0" applyAlignment="1" pivotButton="0" quotePrefix="0" xfId="10">
      <alignment horizontal="right"/>
    </xf>
    <xf numFmtId="3" fontId="22" fillId="0" borderId="79" applyAlignment="1" pivotButton="0" quotePrefix="0" xfId="10">
      <alignment horizontal="right"/>
    </xf>
    <xf numFmtId="3" fontId="21" fillId="0" borderId="79" applyAlignment="1" pivotButton="0" quotePrefix="0" xfId="10">
      <alignment horizontal="right"/>
    </xf>
    <xf numFmtId="3" fontId="53" fillId="0" borderId="79" applyAlignment="1" pivotButton="0" quotePrefix="0" xfId="10">
      <alignment horizontal="right"/>
    </xf>
    <xf numFmtId="3" fontId="56" fillId="0" borderId="79" applyAlignment="1" pivotButton="0" quotePrefix="0" xfId="12">
      <alignment horizontal="right"/>
    </xf>
    <xf numFmtId="3" fontId="52" fillId="0" borderId="79" pivotButton="0" quotePrefix="0" xfId="12"/>
    <xf numFmtId="3" fontId="55" fillId="0" borderId="79" applyAlignment="1" pivotButton="0" quotePrefix="0" xfId="12">
      <alignment horizontal="right"/>
    </xf>
    <xf numFmtId="3" fontId="60" fillId="0" borderId="79" applyAlignment="1" pivotButton="0" quotePrefix="0" xfId="12">
      <alignment horizontal="right"/>
    </xf>
    <xf numFmtId="3" fontId="5" fillId="0" borderId="79" pivotButton="0" quotePrefix="0" xfId="12"/>
    <xf numFmtId="3" fontId="27" fillId="0" borderId="79" pivotButton="0" quotePrefix="0" xfId="12"/>
    <xf numFmtId="3" fontId="27" fillId="0" borderId="79" applyAlignment="1" pivotButton="0" quotePrefix="0" xfId="0">
      <alignment horizontal="right"/>
    </xf>
    <xf numFmtId="3" fontId="58" fillId="0" borderId="79" pivotButton="0" quotePrefix="0" xfId="12"/>
    <xf numFmtId="3" fontId="19" fillId="0" borderId="79" applyAlignment="1" pivotButton="0" quotePrefix="0" xfId="12">
      <alignment horizontal="right"/>
    </xf>
    <xf numFmtId="3" fontId="19" fillId="0" borderId="79" applyAlignment="1" pivotButton="0" quotePrefix="0" xfId="2">
      <alignment horizontal="right"/>
    </xf>
    <xf numFmtId="0" fontId="13" fillId="3" borderId="0" applyAlignment="1" pivotButton="0" quotePrefix="0" xfId="2">
      <alignment horizontal="right" vertical="center"/>
    </xf>
    <xf numFmtId="0" fontId="19" fillId="3" borderId="0" applyAlignment="1" pivotButton="0" quotePrefix="0" xfId="2">
      <alignment horizontal="right"/>
    </xf>
    <xf numFmtId="3" fontId="56" fillId="3" borderId="79" applyAlignment="1" pivotButton="0" quotePrefix="0" xfId="12">
      <alignment horizontal="right"/>
    </xf>
    <xf numFmtId="3" fontId="55" fillId="3" borderId="79" applyAlignment="1" pivotButton="0" quotePrefix="0" xfId="12">
      <alignment horizontal="right"/>
    </xf>
    <xf numFmtId="3" fontId="19" fillId="3" borderId="79" applyAlignment="1" pivotButton="0" quotePrefix="0" xfId="12">
      <alignment horizontal="right"/>
    </xf>
    <xf numFmtId="3" fontId="19" fillId="3" borderId="79" applyAlignment="1" pivotButton="0" quotePrefix="0" xfId="2">
      <alignment horizontal="right"/>
    </xf>
    <xf numFmtId="0" fontId="5" fillId="3" borderId="0" pivotButton="0" quotePrefix="0" xfId="10"/>
    <xf numFmtId="4" fontId="8" fillId="0" borderId="0" applyAlignment="1" pivotButton="0" quotePrefix="0" xfId="10">
      <alignment horizontal="right"/>
    </xf>
    <xf numFmtId="3" fontId="19" fillId="0" borderId="79" applyAlignment="1" pivotButton="0" quotePrefix="0" xfId="0">
      <alignment vertical="center" wrapText="1"/>
    </xf>
    <xf numFmtId="3" fontId="8" fillId="0" borderId="79" pivotButton="0" quotePrefix="0" xfId="14"/>
    <xf numFmtId="3" fontId="19" fillId="0" borderId="79" applyAlignment="1" pivotButton="0" quotePrefix="0" xfId="0">
      <alignment horizontal="right" vertical="center" wrapText="1"/>
    </xf>
    <xf numFmtId="3" fontId="5" fillId="0" borderId="79" pivotButton="0" quotePrefix="0" xfId="14"/>
    <xf numFmtId="3" fontId="5" fillId="0" borderId="79" applyAlignment="1" pivotButton="0" quotePrefix="0" xfId="10">
      <alignment horizontal="left"/>
    </xf>
    <xf numFmtId="3" fontId="8" fillId="3" borderId="79" pivotButton="0" quotePrefix="0" xfId="10"/>
    <xf numFmtId="3" fontId="61" fillId="0" borderId="79" applyAlignment="1" pivotButton="0" quotePrefix="0" xfId="10">
      <alignment horizontal="right"/>
    </xf>
    <xf numFmtId="3" fontId="62" fillId="0" borderId="79" applyAlignment="1" pivotButton="0" quotePrefix="0" xfId="10">
      <alignment horizontal="right"/>
    </xf>
    <xf numFmtId="3" fontId="62" fillId="0" borderId="79" pivotButton="0" quotePrefix="0" xfId="10"/>
    <xf numFmtId="3" fontId="5" fillId="0" borderId="79" applyAlignment="1" pivotButton="0" quotePrefix="1" xfId="10">
      <alignment horizontal="left"/>
    </xf>
    <xf numFmtId="37" fontId="27" fillId="0" borderId="75" applyAlignment="1" pivotButton="0" quotePrefix="0" xfId="10">
      <alignment horizontal="right"/>
    </xf>
    <xf numFmtId="37" fontId="5" fillId="0" borderId="75" applyAlignment="1" pivotButton="0" quotePrefix="0" xfId="10">
      <alignment horizontal="right"/>
    </xf>
    <xf numFmtId="37" fontId="27" fillId="0" borderId="0" applyAlignment="1" pivotButton="0" quotePrefix="0" xfId="10">
      <alignment horizontal="right"/>
    </xf>
    <xf numFmtId="173" fontId="90" fillId="0" borderId="2" applyAlignment="1" pivotButton="0" quotePrefix="0" xfId="12">
      <alignment horizontal="center" vertical="center" wrapText="1"/>
    </xf>
    <xf numFmtId="37" fontId="8" fillId="3" borderId="2" applyAlignment="1" pivotButton="0" quotePrefix="0" xfId="10">
      <alignment horizontal="right" vertical="center" wrapText="1"/>
    </xf>
    <xf numFmtId="37" fontId="5" fillId="3" borderId="2" applyAlignment="1" pivotButton="0" quotePrefix="0" xfId="10">
      <alignment horizontal="right"/>
    </xf>
    <xf numFmtId="0" fontId="19" fillId="0" borderId="2" pivotButton="0" quotePrefix="0" xfId="0"/>
    <xf numFmtId="0" fontId="19" fillId="3" borderId="2" applyAlignment="1" pivotButton="0" quotePrefix="0" xfId="0">
      <alignment horizontal="right"/>
    </xf>
    <xf numFmtId="37" fontId="8" fillId="6" borderId="2" applyAlignment="1" pivotButton="0" quotePrefix="0" xfId="10">
      <alignment horizontal="right"/>
    </xf>
    <xf numFmtId="37" fontId="8" fillId="6" borderId="2" applyAlignment="1" pivotButton="0" quotePrefix="0" xfId="10">
      <alignment vertical="center" wrapText="1"/>
    </xf>
    <xf numFmtId="37" fontId="5" fillId="0" borderId="2" applyAlignment="1" pivotButton="0" quotePrefix="0" xfId="10">
      <alignment horizontal="right"/>
    </xf>
    <xf numFmtId="37" fontId="8" fillId="0" borderId="2" applyAlignment="1" pivotButton="0" quotePrefix="0" xfId="10">
      <alignment horizontal="right"/>
    </xf>
    <xf numFmtId="37" fontId="8" fillId="6" borderId="2" applyAlignment="1" pivotButton="0" quotePrefix="0" xfId="10">
      <alignment horizontal="right" vertical="center" wrapText="1"/>
    </xf>
    <xf numFmtId="37" fontId="8" fillId="0" borderId="2" applyAlignment="1" pivotButton="0" quotePrefix="0" xfId="10">
      <alignment horizontal="right" vertical="center" wrapText="1"/>
    </xf>
    <xf numFmtId="0" fontId="27" fillId="0" borderId="2" applyAlignment="1" pivotButton="0" quotePrefix="0" xfId="10">
      <alignment horizontal="right"/>
    </xf>
    <xf numFmtId="37" fontId="63" fillId="0" borderId="3" applyAlignment="1" pivotButton="0" quotePrefix="0" xfId="10">
      <alignment horizontal="right"/>
    </xf>
    <xf numFmtId="37" fontId="63" fillId="0" borderId="0" applyAlignment="1" pivotButton="0" quotePrefix="0" xfId="10">
      <alignment horizontal="right"/>
    </xf>
    <xf numFmtId="0" fontId="8" fillId="3" borderId="0" applyAlignment="1" pivotButton="0" quotePrefix="0" xfId="2">
      <alignment vertical="center"/>
    </xf>
    <xf numFmtId="168" fontId="52" fillId="0" borderId="2" applyAlignment="1" pivotButton="0" quotePrefix="0" xfId="12">
      <alignment horizontal="left"/>
    </xf>
    <xf numFmtId="171" fontId="52" fillId="0" borderId="2" applyAlignment="1" pivotButton="0" quotePrefix="0" xfId="12">
      <alignment horizontal="center"/>
    </xf>
    <xf numFmtId="171" fontId="56" fillId="3" borderId="2" applyAlignment="1" pivotButton="0" quotePrefix="0" xfId="12">
      <alignment horizontal="right"/>
    </xf>
    <xf numFmtId="168" fontId="5" fillId="0" borderId="2" applyAlignment="1" pivotButton="0" quotePrefix="0" xfId="12">
      <alignment horizontal="left"/>
    </xf>
    <xf numFmtId="168" fontId="19" fillId="3" borderId="2" applyAlignment="1" pivotButton="0" quotePrefix="0" xfId="12">
      <alignment horizontal="right"/>
    </xf>
    <xf numFmtId="168" fontId="5" fillId="0" borderId="3" applyAlignment="1" pivotButton="0" quotePrefix="0" xfId="12">
      <alignment horizontal="left"/>
    </xf>
    <xf numFmtId="3" fontId="27" fillId="0" borderId="2" applyAlignment="1" pivotButton="0" quotePrefix="0" xfId="12">
      <alignment horizontal="left"/>
    </xf>
    <xf numFmtId="168" fontId="8" fillId="0" borderId="2" applyAlignment="1" pivotButton="0" quotePrefix="0" xfId="8">
      <alignment horizontal="right"/>
    </xf>
    <xf numFmtId="3" fontId="8" fillId="0" borderId="2" applyAlignment="1" pivotButton="0" quotePrefix="0" xfId="8">
      <alignment horizontal="left"/>
    </xf>
    <xf numFmtId="167" fontId="59" fillId="12" borderId="2" pivotButton="0" quotePrefix="0" xfId="15"/>
    <xf numFmtId="3" fontId="59" fillId="10" borderId="2" applyAlignment="1" pivotButton="0" quotePrefix="0" xfId="15">
      <alignment horizontal="right"/>
    </xf>
    <xf numFmtId="3" fontId="59" fillId="10" borderId="2" applyAlignment="1" pivotButton="0" quotePrefix="0" xfId="0">
      <alignment horizontal="right"/>
    </xf>
    <xf numFmtId="3" fontId="8" fillId="6" borderId="3" applyAlignment="1" pivotButton="0" quotePrefix="0" xfId="15">
      <alignment vertical="center"/>
    </xf>
    <xf numFmtId="0" fontId="5" fillId="0" borderId="0" applyAlignment="1" pivotButton="0" quotePrefix="0" xfId="15">
      <alignment horizontal="right"/>
    </xf>
    <xf numFmtId="0" fontId="5" fillId="0" borderId="2" applyAlignment="1" pivotButton="0" quotePrefix="0" xfId="0">
      <alignment horizontal="left" indent="1"/>
    </xf>
    <xf numFmtId="0" fontId="5" fillId="0" borderId="2" applyAlignment="1" pivotButton="0" quotePrefix="0" xfId="2">
      <alignment horizontal="right"/>
    </xf>
    <xf numFmtId="166" fontId="64" fillId="0" borderId="2" applyAlignment="1" pivotButton="0" quotePrefix="0" xfId="15">
      <alignment horizontal="right"/>
    </xf>
    <xf numFmtId="0" fontId="13" fillId="0" borderId="0" applyAlignment="1" pivotButton="0" quotePrefix="0" xfId="2">
      <alignment horizontal="right"/>
    </xf>
    <xf numFmtId="0" fontId="19" fillId="0" borderId="0" applyAlignment="1" pivotButton="0" quotePrefix="0" xfId="2">
      <alignment horizontal="right"/>
    </xf>
    <xf numFmtId="3" fontId="8" fillId="0" borderId="2" applyAlignment="1" pivotButton="0" quotePrefix="0" xfId="12">
      <alignment horizontal="left"/>
    </xf>
    <xf numFmtId="0" fontId="19" fillId="0" borderId="2" applyAlignment="1" pivotButton="0" quotePrefix="0" xfId="2">
      <alignment horizontal="right"/>
    </xf>
    <xf numFmtId="3" fontId="59" fillId="0" borderId="2" applyAlignment="1" pivotButton="0" quotePrefix="0" xfId="12">
      <alignment horizontal="left"/>
    </xf>
    <xf numFmtId="3" fontId="8" fillId="0" borderId="2" applyAlignment="1" pivotButton="0" quotePrefix="0" xfId="12">
      <alignment horizontal="center" vertical="center"/>
    </xf>
    <xf numFmtId="3" fontId="59" fillId="0" borderId="3" applyAlignment="1" pivotButton="0" quotePrefix="0" xfId="12">
      <alignment horizontal="left"/>
    </xf>
    <xf numFmtId="0" fontId="27" fillId="0" borderId="0" applyAlignment="1" pivotButton="0" quotePrefix="0" xfId="2">
      <alignment horizontal="right"/>
    </xf>
    <xf numFmtId="0" fontId="66" fillId="0" borderId="0" applyAlignment="1" pivotButton="0" quotePrefix="0" xfId="2">
      <alignment horizontal="right"/>
    </xf>
    <xf numFmtId="0" fontId="66" fillId="0" borderId="0" applyAlignment="1" pivotButton="0" quotePrefix="0" xfId="2">
      <alignment horizontal="center"/>
    </xf>
    <xf numFmtId="0" fontId="19" fillId="0" borderId="0" applyAlignment="1" pivotButton="0" quotePrefix="0" xfId="2">
      <alignment horizontal="center"/>
    </xf>
    <xf numFmtId="0" fontId="5" fillId="0" borderId="3" applyAlignment="1" pivotButton="0" quotePrefix="0" xfId="2">
      <alignment horizontal="center"/>
    </xf>
    <xf numFmtId="168" fontId="8" fillId="0" borderId="2" applyAlignment="1" pivotButton="0" quotePrefix="0" xfId="12">
      <alignment horizontal="left"/>
    </xf>
    <xf numFmtId="3" fontId="5" fillId="0" borderId="2" applyAlignment="1" pivotButton="0" quotePrefix="0" xfId="12">
      <alignment horizontal="left"/>
    </xf>
    <xf numFmtId="3" fontId="8" fillId="0" borderId="74" applyAlignment="1" pivotButton="0" quotePrefix="0" xfId="12">
      <alignment horizontal="right"/>
    </xf>
    <xf numFmtId="0" fontId="35" fillId="0" borderId="13" applyAlignment="1" pivotButton="0" quotePrefix="0" xfId="0">
      <alignment horizontal="left" vertical="center" wrapText="1" indent="3" readingOrder="1"/>
    </xf>
    <xf numFmtId="166" fontId="19" fillId="0" borderId="0" applyAlignment="1" pivotButton="0" quotePrefix="0" xfId="2">
      <alignment horizontal="center"/>
    </xf>
    <xf numFmtId="166" fontId="5" fillId="0" borderId="0" applyAlignment="1" pivotButton="0" quotePrefix="0" xfId="2">
      <alignment horizontal="center"/>
    </xf>
    <xf numFmtId="3" fontId="8" fillId="0" borderId="7" applyAlignment="1" pivotButton="0" quotePrefix="0" xfId="12">
      <alignment horizontal="center" vertical="center" wrapText="1"/>
    </xf>
    <xf numFmtId="166" fontId="28" fillId="0" borderId="1" applyAlignment="1" pivotButton="0" quotePrefix="0" xfId="8">
      <alignment horizontal="center" vertical="center" wrapText="1"/>
    </xf>
    <xf numFmtId="166" fontId="13" fillId="0" borderId="0" applyAlignment="1" pivotButton="0" quotePrefix="0" xfId="12">
      <alignment horizontal="center" vertical="center"/>
    </xf>
    <xf numFmtId="166" fontId="13" fillId="0" borderId="1" applyAlignment="1" pivotButton="0" quotePrefix="0" xfId="12">
      <alignment horizontal="center" vertical="center" wrapText="1"/>
    </xf>
    <xf numFmtId="166" fontId="19" fillId="0" borderId="0" applyAlignment="1" pivotButton="0" quotePrefix="0" xfId="12">
      <alignment horizontal="center"/>
    </xf>
    <xf numFmtId="0" fontId="8" fillId="0" borderId="0" applyAlignment="1" pivotButton="0" quotePrefix="0" xfId="2">
      <alignment vertical="center" wrapText="1"/>
    </xf>
    <xf numFmtId="166" fontId="5" fillId="0" borderId="1" applyAlignment="1" pivotButton="0" quotePrefix="0" xfId="2">
      <alignment horizontal="center"/>
    </xf>
    <xf numFmtId="171" fontId="59" fillId="0" borderId="88" applyAlignment="1" pivotButton="0" quotePrefix="0" xfId="12">
      <alignment horizontal="right"/>
    </xf>
    <xf numFmtId="166" fontId="66" fillId="0" borderId="0" applyAlignment="1" pivotButton="0" quotePrefix="0" xfId="12">
      <alignment horizontal="center"/>
    </xf>
    <xf numFmtId="0" fontId="13" fillId="0" borderId="0" pivotButton="0" quotePrefix="0" xfId="2"/>
    <xf numFmtId="166" fontId="19" fillId="0" borderId="1" applyAlignment="1" pivotButton="0" quotePrefix="0" xfId="2">
      <alignment horizontal="center"/>
    </xf>
    <xf numFmtId="166" fontId="5" fillId="0" borderId="89" applyAlignment="1" pivotButton="0" quotePrefix="0" xfId="2">
      <alignment horizontal="center"/>
    </xf>
    <xf numFmtId="166" fontId="27" fillId="0" borderId="0" applyAlignment="1" pivotButton="0" quotePrefix="0" xfId="2">
      <alignment horizontal="center"/>
    </xf>
    <xf numFmtId="0" fontId="5" fillId="0" borderId="2" applyAlignment="1" pivotButton="0" quotePrefix="1" xfId="10">
      <alignment horizontal="left" vertical="center"/>
    </xf>
    <xf numFmtId="168" fontId="27" fillId="0" borderId="2" applyAlignment="1" pivotButton="0" quotePrefix="0" xfId="12">
      <alignment horizontal="left"/>
    </xf>
    <xf numFmtId="3" fontId="2" fillId="4" borderId="9" pivotButton="0" quotePrefix="0" xfId="0"/>
    <xf numFmtId="3" fontId="2" fillId="0" borderId="0" pivotButton="0" quotePrefix="0" xfId="0"/>
    <xf numFmtId="3" fontId="2" fillId="2" borderId="0" pivotButton="0" quotePrefix="0" xfId="0"/>
    <xf numFmtId="3" fontId="93" fillId="4" borderId="9" pivotButton="0" quotePrefix="0" xfId="0"/>
    <xf numFmtId="3" fontId="93" fillId="2" borderId="0" pivotButton="0" quotePrefix="0" xfId="0"/>
    <xf numFmtId="3" fontId="93" fillId="0" borderId="0" pivotButton="0" quotePrefix="0" xfId="0"/>
    <xf numFmtId="1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/>
    </xf>
    <xf numFmtId="3" fontId="73" fillId="0" borderId="7" applyAlignment="1" pivotButton="0" quotePrefix="0" xfId="0">
      <alignment vertical="center"/>
    </xf>
    <xf numFmtId="164" fontId="73" fillId="0" borderId="7" applyAlignment="1" pivotButton="0" quotePrefix="0" xfId="0">
      <alignment vertical="center"/>
    </xf>
    <xf numFmtId="3" fontId="42" fillId="0" borderId="7" pivotButton="0" quotePrefix="0" xfId="0"/>
    <xf numFmtId="1" fontId="42" fillId="0" borderId="7" pivotButton="0" quotePrefix="0" xfId="16"/>
    <xf numFmtId="1" fontId="42" fillId="0" borderId="7" pivotButton="0" quotePrefix="0" xfId="0"/>
    <xf numFmtId="181" fontId="0" fillId="0" borderId="0" pivotButton="0" quotePrefix="0" xfId="30"/>
    <xf numFmtId="166" fontId="35" fillId="0" borderId="20" applyAlignment="1" pivotButton="0" quotePrefix="0" xfId="0">
      <alignment horizontal="right" vertical="center" wrapText="1" readingOrder="1"/>
    </xf>
    <xf numFmtId="0" fontId="10" fillId="0" borderId="0" applyAlignment="1" pivotButton="0" quotePrefix="0" xfId="2">
      <alignment horizontal="right"/>
    </xf>
    <xf numFmtId="181" fontId="16" fillId="0" borderId="0" pivotButton="0" quotePrefix="0" xfId="30"/>
    <xf numFmtId="165" fontId="23" fillId="0" borderId="0" pivotButton="0" quotePrefix="0" xfId="16"/>
    <xf numFmtId="181" fontId="10" fillId="0" borderId="0" pivotButton="0" quotePrefix="0" xfId="30"/>
    <xf numFmtId="0" fontId="35" fillId="0" borderId="66" applyAlignment="1" pivotButton="0" quotePrefix="0" xfId="0">
      <alignment horizontal="left" vertical="center" wrapText="1" readingOrder="1"/>
    </xf>
    <xf numFmtId="166" fontId="35" fillId="0" borderId="25" applyAlignment="1" pivotButton="0" quotePrefix="0" xfId="0">
      <alignment horizontal="right" vertical="center" wrapText="1" readingOrder="1"/>
    </xf>
    <xf numFmtId="0" fontId="0" fillId="0" borderId="0" applyAlignment="1" pivotButton="0" quotePrefix="0" xfId="0">
      <alignment horizontal="right"/>
    </xf>
    <xf numFmtId="181" fontId="0" fillId="0" borderId="7" pivotButton="0" quotePrefix="0" xfId="30"/>
    <xf numFmtId="0" fontId="2" fillId="0" borderId="7" applyAlignment="1" pivotButton="0" quotePrefix="0" xfId="0">
      <alignment horizontal="center"/>
    </xf>
    <xf numFmtId="166" fontId="35" fillId="0" borderId="91" applyAlignment="1" pivotButton="0" quotePrefix="0" xfId="0">
      <alignment horizontal="right" vertical="center" wrapText="1" readingOrder="1"/>
    </xf>
    <xf numFmtId="166" fontId="35" fillId="0" borderId="90" applyAlignment="1" pivotButton="0" quotePrefix="0" xfId="0">
      <alignment horizontal="right" vertical="center" wrapText="1" readingOrder="1"/>
    </xf>
    <xf numFmtId="3" fontId="35" fillId="0" borderId="93" applyAlignment="1" pivotButton="0" quotePrefix="0" xfId="0">
      <alignment horizontal="right" vertical="center" wrapText="1" readingOrder="1"/>
    </xf>
    <xf numFmtId="3" fontId="35" fillId="0" borderId="92" applyAlignment="1" pivotButton="0" quotePrefix="0" xfId="0">
      <alignment horizontal="right" vertical="center" wrapText="1" readingOrder="1"/>
    </xf>
    <xf numFmtId="3" fontId="35" fillId="0" borderId="20" applyAlignment="1" pivotButton="0" quotePrefix="1" xfId="0">
      <alignment vertical="center" wrapText="1" readingOrder="1"/>
    </xf>
    <xf numFmtId="171" fontId="35" fillId="0" borderId="20" applyAlignment="1" pivotButton="0" quotePrefix="0" xfId="0">
      <alignment vertical="center" wrapText="1" readingOrder="1"/>
    </xf>
    <xf numFmtId="3" fontId="35" fillId="0" borderId="25" applyAlignment="1" pivotButton="0" quotePrefix="1" xfId="0">
      <alignment vertical="center" wrapText="1" readingOrder="1"/>
    </xf>
    <xf numFmtId="171" fontId="35" fillId="0" borderId="25" applyAlignment="1" pivotButton="0" quotePrefix="0" xfId="0">
      <alignment vertical="center" wrapText="1" readingOrder="1"/>
    </xf>
    <xf numFmtId="166" fontId="35" fillId="0" borderId="94" applyAlignment="1" pivotButton="0" quotePrefix="0" xfId="0">
      <alignment horizontal="right" vertical="center" wrapText="1" readingOrder="1"/>
    </xf>
    <xf numFmtId="166" fontId="35" fillId="0" borderId="95" applyAlignment="1" pivotButton="0" quotePrefix="0" xfId="0">
      <alignment horizontal="right" vertical="center" wrapText="1" readingOrder="1"/>
    </xf>
    <xf numFmtId="9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3" fontId="0" fillId="0" borderId="7" applyAlignment="1" pivotButton="0" quotePrefix="0" xfId="16">
      <alignment horizontal="right" vertical="center"/>
    </xf>
    <xf numFmtId="9" fontId="0" fillId="4" borderId="0" applyAlignment="1" pivotButton="0" quotePrefix="0" xfId="16">
      <alignment horizontal="right"/>
    </xf>
    <xf numFmtId="0" fontId="96" fillId="20" borderId="0" pivotButton="0" quotePrefix="0" xfId="2"/>
    <xf numFmtId="3" fontId="95" fillId="20" borderId="0" pivotButton="0" quotePrefix="0" xfId="0"/>
    <xf numFmtId="9" fontId="0" fillId="0" borderId="34" pivotButton="0" quotePrefix="0" xfId="16"/>
    <xf numFmtId="1" fontId="97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1" fontId="0" fillId="0" borderId="0" pivotButton="0" quotePrefix="0" xfId="16"/>
    <xf numFmtId="0" fontId="96" fillId="0" borderId="0" pivotButton="0" quotePrefix="0" xfId="2"/>
    <xf numFmtId="9" fontId="0" fillId="0" borderId="0" applyAlignment="1" pivotButton="0" quotePrefix="0" xfId="16">
      <alignment horizontal="right" vertical="center"/>
    </xf>
    <xf numFmtId="181" fontId="42" fillId="2" borderId="0" pivotButton="0" quotePrefix="0" xfId="30"/>
    <xf numFmtId="10" fontId="45" fillId="21" borderId="5" pivotButton="0" quotePrefix="0" xfId="16"/>
    <xf numFmtId="10" fontId="2" fillId="21" borderId="0" pivotButton="0" quotePrefix="0" xfId="0"/>
    <xf numFmtId="183" fontId="2" fillId="21" borderId="0" pivotButton="0" quotePrefix="0" xfId="0"/>
    <xf numFmtId="164" fontId="2" fillId="21" borderId="0" pivotButton="0" quotePrefix="0" xfId="0"/>
    <xf numFmtId="9" fontId="42" fillId="2" borderId="0" pivotButton="0" quotePrefix="0" xfId="16"/>
    <xf numFmtId="9" fontId="2" fillId="21" borderId="0" pivotButton="0" quotePrefix="0" xfId="16"/>
    <xf numFmtId="3" fontId="94" fillId="14" borderId="48" applyAlignment="1" pivotButton="0" quotePrefix="0" xfId="0">
      <alignment horizontal="right" vertical="center" wrapText="1" readingOrder="1"/>
    </xf>
    <xf numFmtId="3" fontId="94" fillId="14" borderId="18" applyAlignment="1" pivotButton="0" quotePrefix="0" xfId="0">
      <alignment horizontal="right" vertical="center" wrapText="1" readingOrder="1"/>
    </xf>
    <xf numFmtId="0" fontId="8" fillId="0" borderId="0" applyAlignment="1" pivotButton="0" quotePrefix="0" xfId="2">
      <alignment horizontal="right"/>
    </xf>
    <xf numFmtId="10" fontId="5" fillId="0" borderId="0" applyAlignment="1" pivotButton="0" quotePrefix="0" xfId="16">
      <alignment horizontal="right"/>
    </xf>
    <xf numFmtId="10" fontId="8" fillId="0" borderId="0" applyAlignment="1" pivotButton="0" quotePrefix="0" xfId="16">
      <alignment horizontal="right"/>
    </xf>
    <xf numFmtId="9" fontId="10" fillId="0" borderId="0" pivotButton="0" quotePrefix="0" xfId="16"/>
    <xf numFmtId="3" fontId="98" fillId="14" borderId="48" applyAlignment="1" pivotButton="0" quotePrefix="0" xfId="0">
      <alignment horizontal="right" vertical="center" wrapText="1" readingOrder="1"/>
    </xf>
    <xf numFmtId="3" fontId="98" fillId="14" borderId="20" applyAlignment="1" pivotButton="0" quotePrefix="0" xfId="0">
      <alignment horizontal="right" vertical="center" wrapText="1" readingOrder="1"/>
    </xf>
    <xf numFmtId="3" fontId="98" fillId="14" borderId="18" applyAlignment="1" pivotButton="0" quotePrefix="0" xfId="0">
      <alignment horizontal="right" vertical="center" wrapText="1" readingOrder="1"/>
    </xf>
    <xf numFmtId="3" fontId="0" fillId="4" borderId="7" pivotButton="0" quotePrefix="0" xfId="0"/>
    <xf numFmtId="3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/>
    </xf>
    <xf numFmtId="3" fontId="99" fillId="0" borderId="7" applyAlignment="1" pivotButton="0" quotePrefix="0" xfId="0">
      <alignment horizontal="center" vertical="center"/>
    </xf>
    <xf numFmtId="3" fontId="99" fillId="0" borderId="7" pivotButton="0" quotePrefix="0" xfId="0"/>
    <xf numFmtId="3" fontId="5" fillId="0" borderId="87" applyAlignment="1" pivotButton="0" quotePrefix="0" xfId="2">
      <alignment horizontal="center"/>
    </xf>
    <xf numFmtId="166" fontId="5" fillId="0" borderId="87" applyAlignment="1" pivotButton="0" quotePrefix="0" xfId="2">
      <alignment horizontal="center"/>
    </xf>
    <xf numFmtId="3" fontId="5" fillId="0" borderId="87" applyAlignment="1" pivotButton="0" quotePrefix="0" xfId="2">
      <alignment horizontal="right"/>
    </xf>
    <xf numFmtId="166" fontId="19" fillId="0" borderId="87" applyAlignment="1" pivotButton="0" quotePrefix="0" xfId="12">
      <alignment horizontal="center"/>
    </xf>
    <xf numFmtId="168" fontId="51" fillId="0" borderId="87" applyAlignment="1" pivotButton="0" quotePrefix="0" xfId="8">
      <alignment horizontal="left"/>
    </xf>
    <xf numFmtId="168" fontId="19" fillId="0" borderId="87" applyAlignment="1" pivotButton="0" quotePrefix="0" xfId="12">
      <alignment horizontal="left"/>
    </xf>
    <xf numFmtId="3" fontId="19" fillId="0" borderId="87" applyAlignment="1" pivotButton="0" quotePrefix="0" xfId="10">
      <alignment horizontal="right"/>
    </xf>
    <xf numFmtId="171" fontId="19" fillId="0" borderId="87" applyAlignment="1" pivotButton="0" quotePrefix="0" xfId="10">
      <alignment horizontal="right"/>
    </xf>
    <xf numFmtId="3" fontId="5" fillId="0" borderId="87" applyAlignment="1" pivotButton="0" quotePrefix="0" xfId="2">
      <alignment horizontal="left"/>
    </xf>
    <xf numFmtId="3" fontId="5" fillId="0" borderId="87" applyAlignment="1" pivotButton="0" quotePrefix="0" xfId="12">
      <alignment horizontal="right"/>
    </xf>
    <xf numFmtId="3" fontId="66" fillId="0" borderId="87" applyAlignment="1" pivotButton="0" quotePrefix="0" xfId="12">
      <alignment horizontal="left"/>
    </xf>
    <xf numFmtId="3" fontId="59" fillId="0" borderId="87" applyAlignment="1" pivotButton="0" quotePrefix="0" xfId="12">
      <alignment horizontal="right"/>
    </xf>
    <xf numFmtId="3" fontId="5" fillId="0" borderId="87" pivotButton="0" quotePrefix="0" xfId="2"/>
    <xf numFmtId="3" fontId="27" fillId="0" borderId="87" applyAlignment="1" pivotButton="0" quotePrefix="0" xfId="8">
      <alignment horizontal="center"/>
    </xf>
    <xf numFmtId="166" fontId="66" fillId="0" borderId="87" applyAlignment="1" pivotButton="0" quotePrefix="0" xfId="12">
      <alignment horizontal="center"/>
    </xf>
    <xf numFmtId="3" fontId="13" fillId="0" borderId="87" applyAlignment="1" pivotButton="0" quotePrefix="0" xfId="12">
      <alignment horizontal="left"/>
    </xf>
    <xf numFmtId="3" fontId="8" fillId="0" borderId="87" pivotButton="0" quotePrefix="0" xfId="12"/>
    <xf numFmtId="166" fontId="8" fillId="0" borderId="87" applyAlignment="1" pivotButton="0" quotePrefix="0" xfId="8">
      <alignment horizontal="center" vertical="center"/>
    </xf>
    <xf numFmtId="164" fontId="17" fillId="0" borderId="0" applyAlignment="1" pivotButton="0" quotePrefix="0" xfId="1">
      <alignment horizontal="center" vertical="center"/>
    </xf>
    <xf numFmtId="0" fontId="4" fillId="0" borderId="0" pivotButton="0" quotePrefix="0" xfId="16"/>
    <xf numFmtId="184" fontId="0" fillId="0" borderId="0" pivotButton="0" quotePrefix="0" xfId="1"/>
    <xf numFmtId="0" fontId="100" fillId="0" borderId="0" applyAlignment="1" pivotButton="0" quotePrefix="0" xfId="0">
      <alignment horizontal="left" vertical="center"/>
    </xf>
    <xf numFmtId="1" fontId="100" fillId="0" borderId="0" applyAlignment="1" pivotButton="0" quotePrefix="0" xfId="16">
      <alignment horizontal="left" vertical="center"/>
    </xf>
    <xf numFmtId="1" fontId="100" fillId="4" borderId="0" pivotButton="0" quotePrefix="0" xfId="16"/>
    <xf numFmtId="1" fontId="100" fillId="0" borderId="0" pivotButton="0" quotePrefix="0" xfId="16"/>
    <xf numFmtId="0" fontId="100" fillId="4" borderId="0" applyAlignment="1" pivotButton="0" quotePrefix="0" xfId="0">
      <alignment horizontal="left" vertical="center"/>
    </xf>
    <xf numFmtId="0" fontId="8" fillId="0" borderId="96" pivotButton="0" quotePrefix="0" xfId="10"/>
    <xf numFmtId="0" fontId="8" fillId="0" borderId="96" applyAlignment="1" pivotButton="0" quotePrefix="0" xfId="10">
      <alignment vertical="center" wrapText="1"/>
    </xf>
    <xf numFmtId="0" fontId="5" fillId="0" borderId="96" pivotButton="0" quotePrefix="0" xfId="10"/>
    <xf numFmtId="3" fontId="5" fillId="0" borderId="96" applyAlignment="1" pivotButton="0" quotePrefix="0" xfId="8">
      <alignment horizontal="left"/>
    </xf>
    <xf numFmtId="0" fontId="5" fillId="0" borderId="96" pivotButton="0" quotePrefix="0" xfId="0"/>
    <xf numFmtId="167" fontId="5" fillId="0" borderId="96" pivotButton="0" quotePrefix="0" xfId="15"/>
    <xf numFmtId="168" fontId="8" fillId="0" borderId="96" applyAlignment="1" pivotButton="0" quotePrefix="0" xfId="8">
      <alignment horizontal="left"/>
    </xf>
    <xf numFmtId="167" fontId="59" fillId="12" borderId="96" pivotButton="0" quotePrefix="0" xfId="15"/>
    <xf numFmtId="0" fontId="5" fillId="0" borderId="96" pivotButton="0" quotePrefix="0" xfId="15"/>
    <xf numFmtId="168" fontId="52" fillId="0" borderId="96" applyAlignment="1" pivotButton="0" quotePrefix="0" xfId="8">
      <alignment horizontal="left"/>
    </xf>
    <xf numFmtId="167" fontId="5" fillId="0" borderId="96" applyAlignment="1" pivotButton="0" quotePrefix="0" xfId="15">
      <alignment horizontal="left"/>
    </xf>
    <xf numFmtId="168" fontId="8" fillId="0" borderId="96" applyAlignment="1" pivotButton="0" quotePrefix="0" xfId="8">
      <alignment horizontal="center" vertical="center" wrapText="1"/>
    </xf>
    <xf numFmtId="0" fontId="52" fillId="0" borderId="96" pivotButton="0" quotePrefix="0" xfId="2"/>
    <xf numFmtId="0" fontId="5" fillId="0" borderId="96" pivotButton="0" quotePrefix="0" xfId="2"/>
    <xf numFmtId="0" fontId="27" fillId="0" borderId="96" pivotButton="0" quotePrefix="0" xfId="13"/>
    <xf numFmtId="9" fontId="101" fillId="0" borderId="0" pivotButton="0" quotePrefix="0" xfId="16"/>
    <xf numFmtId="3" fontId="101" fillId="0" borderId="0" pivotButton="0" quotePrefix="0" xfId="0"/>
    <xf numFmtId="165" fontId="101" fillId="0" borderId="0" pivotButton="0" quotePrefix="0" xfId="16"/>
    <xf numFmtId="1" fontId="52" fillId="0" borderId="2" applyAlignment="1" pivotButton="0" quotePrefix="0" xfId="8">
      <alignment horizontal="right"/>
    </xf>
    <xf numFmtId="3" fontId="51" fillId="0" borderId="2" applyAlignment="1" pivotButton="0" quotePrefix="0" xfId="8">
      <alignment horizontal="right"/>
    </xf>
    <xf numFmtId="1" fontId="51" fillId="0" borderId="2" applyAlignment="1" pivotButton="0" quotePrefix="0" xfId="8">
      <alignment horizontal="right"/>
    </xf>
    <xf numFmtId="1" fontId="19" fillId="0" borderId="2" applyAlignment="1" pivotButton="0" quotePrefix="0" xfId="8">
      <alignment horizontal="right"/>
    </xf>
    <xf numFmtId="37" fontId="5" fillId="0" borderId="2" pivotButton="0" quotePrefix="0" xfId="8"/>
    <xf numFmtId="3" fontId="5" fillId="0" borderId="2" applyAlignment="1" pivotButton="0" quotePrefix="0" xfId="9">
      <alignment horizontal="right" vertical="top" wrapText="1"/>
    </xf>
    <xf numFmtId="168" fontId="5" fillId="0" borderId="2" pivotButton="0" quotePrefix="0" xfId="8"/>
    <xf numFmtId="1" fontId="5" fillId="0" borderId="2" applyAlignment="1" pivotButton="0" quotePrefix="0" xfId="8">
      <alignment horizontal="right"/>
    </xf>
    <xf numFmtId="185" fontId="5" fillId="0" borderId="2" applyAlignment="1" pivotButton="0" quotePrefix="0" xfId="0">
      <alignment horizontal="right" vertical="top" wrapText="1"/>
    </xf>
    <xf numFmtId="3" fontId="8" fillId="6" borderId="2" applyAlignment="1" pivotButton="0" quotePrefix="0" xfId="8">
      <alignment horizontal="right"/>
    </xf>
    <xf numFmtId="37" fontId="8" fillId="6" borderId="2" pivotButton="0" quotePrefix="0" xfId="8"/>
    <xf numFmtId="1" fontId="5" fillId="0" borderId="3" applyAlignment="1" pivotButton="0" quotePrefix="0" xfId="8">
      <alignment horizontal="right"/>
    </xf>
    <xf numFmtId="37" fontId="5" fillId="0" borderId="3" pivotButton="0" quotePrefix="0" xfId="8"/>
    <xf numFmtId="168" fontId="5" fillId="0" borderId="2" applyAlignment="1" pivotButton="0" quotePrefix="0" xfId="8">
      <alignment horizontal="left" indent="1"/>
    </xf>
    <xf numFmtId="3" fontId="54" fillId="0" borderId="2" applyAlignment="1" pivotButton="0" quotePrefix="0" xfId="8">
      <alignment horizontal="right"/>
    </xf>
    <xf numFmtId="1" fontId="54" fillId="0" borderId="2" applyAlignment="1" pivotButton="0" quotePrefix="0" xfId="8">
      <alignment horizontal="right"/>
    </xf>
    <xf numFmtId="3" fontId="13" fillId="6" borderId="3" applyAlignment="1" pivotButton="0" quotePrefix="0" xfId="12">
      <alignment horizontal="right" vertical="center"/>
    </xf>
    <xf numFmtId="168" fontId="13" fillId="6" borderId="3" applyAlignment="1" pivotButton="0" quotePrefix="0" xfId="12">
      <alignment horizontal="right" vertical="center"/>
    </xf>
    <xf numFmtId="37" fontId="8" fillId="6" borderId="3" pivotButton="0" quotePrefix="0" xfId="8"/>
    <xf numFmtId="168" fontId="8" fillId="0" borderId="2" applyAlignment="1" pivotButton="0" quotePrefix="0" xfId="8">
      <alignment vertical="center" wrapText="1"/>
    </xf>
    <xf numFmtId="3" fontId="55" fillId="0" borderId="2" applyAlignment="1" pivotButton="0" quotePrefix="0" xfId="0">
      <alignment horizontal="right"/>
    </xf>
    <xf numFmtId="3" fontId="19" fillId="0" borderId="2" applyAlignment="1" pivotButton="0" quotePrefix="0" xfId="0">
      <alignment horizontal="right"/>
    </xf>
    <xf numFmtId="3" fontId="57" fillId="0" borderId="2" applyAlignment="1" pivotButton="0" quotePrefix="0" xfId="2">
      <alignment horizontal="right"/>
    </xf>
    <xf numFmtId="3" fontId="15" fillId="0" borderId="2" applyAlignment="1" pivotButton="0" quotePrefix="0" xfId="2">
      <alignment horizontal="right"/>
    </xf>
    <xf numFmtId="3" fontId="58" fillId="0" borderId="2" applyAlignment="1" pivotButton="0" quotePrefix="0" xfId="0">
      <alignment horizontal="right"/>
    </xf>
    <xf numFmtId="3" fontId="27" fillId="0" borderId="2" pivotButton="0" quotePrefix="0" xfId="2"/>
    <xf numFmtId="3" fontId="8" fillId="6" borderId="2" applyAlignment="1" pivotButton="0" quotePrefix="0" xfId="2">
      <alignment horizontal="right" vertical="center"/>
    </xf>
    <xf numFmtId="3" fontId="8" fillId="6" borderId="2" applyAlignment="1" pivotButton="0" quotePrefix="0" xfId="2">
      <alignment vertical="center"/>
    </xf>
    <xf numFmtId="3" fontId="51" fillId="0" borderId="3" applyAlignment="1" pivotButton="0" quotePrefix="0" xfId="8">
      <alignment horizontal="right" vertical="center"/>
    </xf>
    <xf numFmtId="3" fontId="5" fillId="0" borderId="3" pivotButton="0" quotePrefix="0" xfId="14"/>
    <xf numFmtId="168" fontId="5" fillId="0" borderId="2" applyAlignment="1" pivotButton="0" quotePrefix="0" xfId="8">
      <alignment horizontal="right"/>
    </xf>
    <xf numFmtId="3" fontId="8" fillId="0" borderId="3" applyAlignment="1" pivotButton="0" quotePrefix="0" xfId="8">
      <alignment horizontal="left" vertical="center"/>
    </xf>
    <xf numFmtId="3" fontId="8" fillId="0" borderId="3" applyAlignment="1" pivotButton="0" quotePrefix="0" xfId="8">
      <alignment horizontal="right" vertical="center"/>
    </xf>
    <xf numFmtId="3" fontId="59" fillId="0" borderId="3" applyAlignment="1" pivotButton="0" quotePrefix="0" xfId="8">
      <alignment horizontal="right" vertical="center"/>
    </xf>
    <xf numFmtId="3" fontId="8" fillId="0" borderId="3" pivotButton="0" quotePrefix="0" xfId="14"/>
    <xf numFmtId="0" fontId="52" fillId="0" borderId="2" pivotButton="0" quotePrefix="0" xfId="10"/>
    <xf numFmtId="37" fontId="52" fillId="0" borderId="2" applyAlignment="1" pivotButton="0" quotePrefix="0" xfId="10">
      <alignment horizontal="right"/>
    </xf>
    <xf numFmtId="37" fontId="52" fillId="0" borderId="2" pivotButton="0" quotePrefix="0" xfId="10"/>
    <xf numFmtId="3" fontId="51" fillId="0" borderId="2" applyAlignment="1" pivotButton="0" quotePrefix="0" xfId="2">
      <alignment horizontal="right"/>
    </xf>
    <xf numFmtId="0" fontId="51" fillId="0" borderId="2" applyAlignment="1" pivotButton="0" quotePrefix="0" xfId="2">
      <alignment horizontal="right"/>
    </xf>
    <xf numFmtId="0" fontId="59" fillId="0" borderId="2" pivotButton="0" quotePrefix="0" xfId="10"/>
    <xf numFmtId="3" fontId="59" fillId="0" borderId="2" applyAlignment="1" pivotButton="0" quotePrefix="0" xfId="10">
      <alignment horizontal="right"/>
    </xf>
    <xf numFmtId="37" fontId="59" fillId="0" borderId="2" applyAlignment="1" pivotButton="0" quotePrefix="0" xfId="10">
      <alignment vertical="center"/>
    </xf>
    <xf numFmtId="0" fontId="5" fillId="0" borderId="2" pivotButton="0" quotePrefix="0" xfId="10"/>
    <xf numFmtId="0" fontId="5" fillId="0" borderId="2" applyAlignment="1" pivotButton="0" quotePrefix="0" xfId="10">
      <alignment horizontal="right"/>
    </xf>
    <xf numFmtId="37" fontId="8" fillId="6" borderId="2" applyAlignment="1" pivotButton="0" quotePrefix="0" xfId="10">
      <alignment horizontal="right" vertical="center"/>
    </xf>
    <xf numFmtId="37" fontId="8" fillId="6" borderId="2" applyAlignment="1" pivotButton="0" quotePrefix="0" xfId="10">
      <alignment vertical="center"/>
    </xf>
    <xf numFmtId="37" fontId="59" fillId="0" borderId="2" applyAlignment="1" pivotButton="0" quotePrefix="0" xfId="10">
      <alignment horizontal="right" vertical="center"/>
    </xf>
    <xf numFmtId="3" fontId="59" fillId="0" borderId="2" applyAlignment="1" pivotButton="0" quotePrefix="0" xfId="10">
      <alignment horizontal="right" vertical="center"/>
    </xf>
    <xf numFmtId="0" fontId="5" fillId="0" borderId="3" pivotButton="0" quotePrefix="0" xfId="10"/>
    <xf numFmtId="37" fontId="5" fillId="0" borderId="3" applyAlignment="1" pivotButton="0" quotePrefix="0" xfId="10">
      <alignment horizontal="right" vertical="center"/>
    </xf>
    <xf numFmtId="3" fontId="5" fillId="0" borderId="3" applyAlignment="1" pivotButton="0" quotePrefix="0" xfId="10">
      <alignment horizontal="right" vertical="center"/>
    </xf>
    <xf numFmtId="37" fontId="5" fillId="0" borderId="3" pivotButton="0" quotePrefix="0" xfId="10"/>
    <xf numFmtId="3" fontId="52" fillId="0" borderId="2" applyAlignment="1" pivotButton="0" quotePrefix="0" xfId="10">
      <alignment horizontal="right"/>
    </xf>
    <xf numFmtId="3" fontId="15" fillId="5" borderId="2" applyAlignment="1" pivotButton="0" quotePrefix="0" xfId="10">
      <alignment horizontal="right"/>
    </xf>
    <xf numFmtId="37" fontId="8" fillId="0" borderId="2" applyAlignment="1" pivotButton="0" quotePrefix="0" xfId="10">
      <alignment vertical="center"/>
    </xf>
    <xf numFmtId="3" fontId="8" fillId="6" borderId="2" applyAlignment="1" pivotButton="0" quotePrefix="0" xfId="10">
      <alignment horizontal="right" vertical="center"/>
    </xf>
    <xf numFmtId="3" fontId="5" fillId="0" borderId="3" applyAlignment="1" pivotButton="0" quotePrefix="0" xfId="10">
      <alignment horizontal="right"/>
    </xf>
    <xf numFmtId="37" fontId="5" fillId="0" borderId="3" applyAlignment="1" pivotButton="0" quotePrefix="0" xfId="10">
      <alignment horizontal="right"/>
    </xf>
    <xf numFmtId="3" fontId="22" fillId="0" borderId="2" applyAlignment="1" pivotButton="0" quotePrefix="0" xfId="10">
      <alignment horizontal="right"/>
    </xf>
    <xf numFmtId="37" fontId="22" fillId="0" borderId="2" applyAlignment="1" pivotButton="0" quotePrefix="0" xfId="10">
      <alignment horizontal="right"/>
    </xf>
    <xf numFmtId="0" fontId="22" fillId="0" borderId="2" applyAlignment="1" pivotButton="0" quotePrefix="0" xfId="10">
      <alignment horizontal="right"/>
    </xf>
    <xf numFmtId="3" fontId="21" fillId="0" borderId="2" applyAlignment="1" pivotButton="0" quotePrefix="0" xfId="10">
      <alignment horizontal="right"/>
    </xf>
    <xf numFmtId="37" fontId="21" fillId="0" borderId="2" applyAlignment="1" pivotButton="0" quotePrefix="0" xfId="10">
      <alignment horizontal="right"/>
    </xf>
    <xf numFmtId="0" fontId="5" fillId="0" borderId="2" applyAlignment="1" pivotButton="0" quotePrefix="0" xfId="10">
      <alignment horizontal="left" indent="2"/>
    </xf>
    <xf numFmtId="37" fontId="53" fillId="0" borderId="2" applyAlignment="1" pivotButton="0" quotePrefix="0" xfId="10">
      <alignment horizontal="right"/>
    </xf>
    <xf numFmtId="3" fontId="5" fillId="0" borderId="2" pivotButton="0" quotePrefix="0" xfId="10"/>
    <xf numFmtId="3" fontId="53" fillId="0" borderId="2" applyAlignment="1" pivotButton="0" quotePrefix="0" xfId="10">
      <alignment horizontal="right"/>
    </xf>
    <xf numFmtId="0" fontId="53" fillId="0" borderId="2" applyAlignment="1" pivotButton="0" quotePrefix="0" xfId="10">
      <alignment horizontal="right"/>
    </xf>
    <xf numFmtId="3" fontId="21" fillId="6" borderId="2" applyAlignment="1" pivotButton="0" quotePrefix="0" xfId="10">
      <alignment horizontal="right" vertical="center"/>
    </xf>
    <xf numFmtId="3" fontId="53" fillId="0" borderId="3" applyAlignment="1" pivotButton="0" quotePrefix="0" xfId="10">
      <alignment horizontal="right"/>
    </xf>
    <xf numFmtId="37" fontId="53" fillId="0" borderId="3" applyAlignment="1" pivotButton="0" quotePrefix="0" xfId="10">
      <alignment horizontal="right"/>
    </xf>
    <xf numFmtId="3" fontId="55" fillId="0" borderId="2" applyAlignment="1" pivotButton="0" quotePrefix="0" xfId="12">
      <alignment horizontal="right"/>
    </xf>
    <xf numFmtId="3" fontId="60" fillId="0" borderId="2" applyAlignment="1" pivotButton="0" quotePrefix="0" xfId="12">
      <alignment horizontal="right"/>
    </xf>
    <xf numFmtId="3" fontId="58" fillId="0" borderId="2" applyAlignment="1" pivotButton="0" quotePrefix="0" xfId="10">
      <alignment horizontal="right"/>
    </xf>
    <xf numFmtId="3" fontId="58" fillId="0" borderId="2" pivotButton="0" quotePrefix="0" xfId="12"/>
    <xf numFmtId="3" fontId="19" fillId="0" borderId="3" applyAlignment="1" pivotButton="0" quotePrefix="0" xfId="2">
      <alignment horizontal="right"/>
    </xf>
    <xf numFmtId="0" fontId="19" fillId="0" borderId="3" applyAlignment="1" pivotButton="0" quotePrefix="0" xfId="2">
      <alignment horizontal="right"/>
    </xf>
    <xf numFmtId="3" fontId="55" fillId="3" borderId="2" applyAlignment="1" pivotButton="0" quotePrefix="0" xfId="12">
      <alignment horizontal="right"/>
    </xf>
    <xf numFmtId="171" fontId="60" fillId="3" borderId="2" applyAlignment="1" pivotButton="0" quotePrefix="0" xfId="12">
      <alignment horizontal="right"/>
    </xf>
    <xf numFmtId="3" fontId="5" fillId="3" borderId="2" applyAlignment="1" pivotButton="0" quotePrefix="0" xfId="0">
      <alignment horizontal="right"/>
    </xf>
    <xf numFmtId="3" fontId="19" fillId="3" borderId="2" applyAlignment="1" pivotButton="0" quotePrefix="0" xfId="2">
      <alignment horizontal="right"/>
    </xf>
    <xf numFmtId="3" fontId="19" fillId="3" borderId="3" applyAlignment="1" pivotButton="0" quotePrefix="0" xfId="2">
      <alignment horizontal="right"/>
    </xf>
    <xf numFmtId="0" fontId="19" fillId="3" borderId="3" applyAlignment="1" pivotButton="0" quotePrefix="0" xfId="2">
      <alignment horizontal="right"/>
    </xf>
    <xf numFmtId="3" fontId="5" fillId="0" borderId="2" applyAlignment="1" pivotButton="0" quotePrefix="0" xfId="0">
      <alignment vertical="center" wrapText="1"/>
    </xf>
    <xf numFmtId="3" fontId="19" fillId="0" borderId="2" applyAlignment="1" pivotButton="0" quotePrefix="0" xfId="0">
      <alignment vertical="center" wrapText="1"/>
    </xf>
    <xf numFmtId="3" fontId="52" fillId="0" borderId="2" applyAlignment="1" pivotButton="0" quotePrefix="0" xfId="12">
      <alignment horizontal="left"/>
    </xf>
    <xf numFmtId="3" fontId="8" fillId="0" borderId="2" pivotButton="0" quotePrefix="0" xfId="14"/>
    <xf numFmtId="3" fontId="19" fillId="0" borderId="2" applyAlignment="1" pivotButton="0" quotePrefix="0" xfId="0">
      <alignment horizontal="right" vertical="center" wrapText="1"/>
    </xf>
    <xf numFmtId="3" fontId="5" fillId="0" borderId="2" pivotButton="0" quotePrefix="0" xfId="14"/>
    <xf numFmtId="3" fontId="5" fillId="0" borderId="2" applyAlignment="1" pivotButton="0" quotePrefix="0" xfId="10">
      <alignment horizontal="left"/>
    </xf>
    <xf numFmtId="3" fontId="8" fillId="3" borderId="2" pivotButton="0" quotePrefix="0" xfId="10"/>
    <xf numFmtId="3" fontId="8" fillId="0" borderId="2" pivotButton="0" quotePrefix="0" xfId="10"/>
    <xf numFmtId="3" fontId="62" fillId="0" borderId="2" applyAlignment="1" pivotButton="0" quotePrefix="0" xfId="10">
      <alignment horizontal="right"/>
    </xf>
    <xf numFmtId="3" fontId="62" fillId="0" borderId="2" pivotButton="0" quotePrefix="0" xfId="10"/>
    <xf numFmtId="3" fontId="5" fillId="0" borderId="2" applyAlignment="1" pivotButton="0" quotePrefix="1" xfId="10">
      <alignment horizontal="left"/>
    </xf>
    <xf numFmtId="3" fontId="5" fillId="0" borderId="2" applyAlignment="1" pivotButton="0" quotePrefix="0" xfId="14">
      <alignment horizontal="right"/>
    </xf>
    <xf numFmtId="3" fontId="13" fillId="6" borderId="3" applyAlignment="1" pivotButton="0" quotePrefix="0" xfId="10">
      <alignment horizontal="right"/>
    </xf>
    <xf numFmtId="3" fontId="13" fillId="6" borderId="3" pivotButton="0" quotePrefix="0" xfId="10"/>
    <xf numFmtId="3" fontId="8" fillId="6" borderId="3" pivotButton="0" quotePrefix="0" xfId="10"/>
    <xf numFmtId="3" fontId="5" fillId="0" borderId="2" applyAlignment="1" pivotButton="0" quotePrefix="0" xfId="0">
      <alignment vertical="center"/>
    </xf>
    <xf numFmtId="37" fontId="52" fillId="0" borderId="2" applyAlignment="1" pivotButton="0" quotePrefix="0" xfId="14">
      <alignment vertical="center" wrapText="1"/>
    </xf>
    <xf numFmtId="3" fontId="8" fillId="0" borderId="97" applyAlignment="1" pivotButton="0" quotePrefix="0" xfId="10">
      <alignment horizontal="right"/>
    </xf>
    <xf numFmtId="37" fontId="8" fillId="0" borderId="97" applyAlignment="1" pivotButton="0" quotePrefix="0" xfId="10">
      <alignment horizontal="right"/>
    </xf>
    <xf numFmtId="3" fontId="5" fillId="0" borderId="97" applyAlignment="1" pivotButton="0" quotePrefix="0" xfId="10">
      <alignment horizontal="right"/>
    </xf>
    <xf numFmtId="37" fontId="5" fillId="0" borderId="97" applyAlignment="1" pivotButton="0" quotePrefix="0" xfId="10">
      <alignment horizontal="right"/>
    </xf>
    <xf numFmtId="37" fontId="27" fillId="0" borderId="97" applyAlignment="1" pivotButton="0" quotePrefix="0" xfId="10">
      <alignment horizontal="right" vertical="center"/>
    </xf>
    <xf numFmtId="37" fontId="5" fillId="0" borderId="97" applyAlignment="1" pivotButton="0" quotePrefix="0" xfId="10">
      <alignment horizontal="right" vertical="center"/>
    </xf>
    <xf numFmtId="3" fontId="5" fillId="0" borderId="97" applyAlignment="1" pivotButton="0" quotePrefix="0" xfId="10">
      <alignment horizontal="right" vertical="center"/>
    </xf>
    <xf numFmtId="3" fontId="8" fillId="0" borderId="97" applyAlignment="1" pivotButton="0" quotePrefix="0" xfId="10">
      <alignment horizontal="right" vertical="center" wrapText="1"/>
    </xf>
    <xf numFmtId="37" fontId="8" fillId="0" borderId="97" applyAlignment="1" pivotButton="0" quotePrefix="0" xfId="10">
      <alignment horizontal="right" vertical="center" wrapText="1"/>
    </xf>
    <xf numFmtId="37" fontId="8" fillId="0" borderId="98" applyAlignment="1" pivotButton="0" quotePrefix="0" xfId="10">
      <alignment vertical="center" wrapText="1"/>
    </xf>
    <xf numFmtId="0" fontId="5" fillId="0" borderId="98" applyAlignment="1" pivotButton="0" quotePrefix="1" xfId="10">
      <alignment horizontal="left" vertical="center"/>
    </xf>
    <xf numFmtId="3" fontId="27" fillId="0" borderId="97" applyAlignment="1" pivotButton="0" quotePrefix="0" xfId="10">
      <alignment horizontal="right"/>
    </xf>
    <xf numFmtId="37" fontId="27" fillId="0" borderId="97" applyAlignment="1" pivotButton="0" quotePrefix="0" xfId="10">
      <alignment horizontal="right"/>
    </xf>
    <xf numFmtId="168" fontId="22" fillId="0" borderId="98" applyAlignment="1" pivotButton="0" quotePrefix="0" xfId="12">
      <alignment horizontal="left"/>
    </xf>
    <xf numFmtId="3" fontId="56" fillId="0" borderId="98" applyAlignment="1" pivotButton="0" quotePrefix="0" xfId="12">
      <alignment horizontal="right"/>
    </xf>
    <xf numFmtId="171" fontId="52" fillId="0" borderId="98" applyAlignment="1" pivotButton="0" quotePrefix="0" xfId="12">
      <alignment horizontal="right"/>
    </xf>
    <xf numFmtId="3" fontId="52" fillId="0" borderId="98" applyAlignment="1" pivotButton="0" quotePrefix="0" xfId="12">
      <alignment horizontal="right"/>
    </xf>
    <xf numFmtId="171" fontId="5" fillId="0" borderId="98" applyAlignment="1" pivotButton="0" quotePrefix="0" xfId="12">
      <alignment horizontal="right"/>
    </xf>
    <xf numFmtId="3" fontId="13" fillId="0" borderId="98" applyAlignment="1" pivotButton="0" quotePrefix="0" xfId="12">
      <alignment horizontal="left"/>
    </xf>
    <xf numFmtId="3" fontId="8" fillId="0" borderId="98" applyAlignment="1" pivotButton="0" quotePrefix="0" xfId="0">
      <alignment horizontal="right"/>
    </xf>
    <xf numFmtId="171" fontId="8" fillId="0" borderId="98" applyAlignment="1" pivotButton="0" quotePrefix="0" xfId="0">
      <alignment horizontal="right"/>
    </xf>
    <xf numFmtId="3" fontId="8" fillId="0" borderId="98" applyAlignment="1" pivotButton="0" quotePrefix="0" xfId="12">
      <alignment horizontal="right"/>
    </xf>
    <xf numFmtId="3" fontId="58" fillId="0" borderId="98" applyAlignment="1" pivotButton="0" quotePrefix="0" xfId="12">
      <alignment horizontal="left"/>
    </xf>
    <xf numFmtId="3" fontId="5" fillId="0" borderId="98" applyAlignment="1" pivotButton="0" quotePrefix="0" xfId="0">
      <alignment horizontal="right"/>
    </xf>
    <xf numFmtId="171" fontId="5" fillId="0" borderId="98" applyAlignment="1" pivotButton="0" quotePrefix="0" xfId="0">
      <alignment horizontal="right"/>
    </xf>
    <xf numFmtId="3" fontId="66" fillId="0" borderId="98" applyAlignment="1" pivotButton="0" quotePrefix="0" xfId="12">
      <alignment horizontal="left"/>
    </xf>
    <xf numFmtId="3" fontId="59" fillId="0" borderId="98" applyAlignment="1" pivotButton="0" quotePrefix="0" xfId="12">
      <alignment horizontal="right"/>
    </xf>
    <xf numFmtId="166" fontId="67" fillId="0" borderId="98" applyAlignment="1" pivotButton="0" quotePrefix="0" xfId="12">
      <alignment horizontal="center"/>
    </xf>
    <xf numFmtId="3" fontId="66" fillId="0" borderId="98" applyAlignment="1" pivotButton="0" quotePrefix="0" xfId="12">
      <alignment horizontal="right"/>
    </xf>
    <xf numFmtId="166" fontId="66" fillId="0" borderId="98" applyAlignment="1" pivotButton="0" quotePrefix="0" xfId="12">
      <alignment horizontal="center"/>
    </xf>
    <xf numFmtId="3" fontId="8" fillId="6" borderId="98" applyAlignment="1" pivotButton="0" quotePrefix="1" xfId="10">
      <alignment horizontal="left"/>
    </xf>
    <xf numFmtId="3" fontId="13" fillId="6" borderId="98" applyAlignment="1" pivotButton="0" quotePrefix="0" xfId="12">
      <alignment horizontal="right" vertical="center"/>
    </xf>
    <xf numFmtId="171" fontId="13" fillId="6" borderId="98" applyAlignment="1" pivotButton="0" quotePrefix="0" xfId="12">
      <alignment horizontal="right" vertical="center"/>
    </xf>
    <xf numFmtId="3" fontId="13" fillId="0" borderId="98" applyAlignment="1" pivotButton="0" quotePrefix="0" xfId="12">
      <alignment horizontal="center" vertical="center"/>
    </xf>
    <xf numFmtId="3" fontId="13" fillId="0" borderId="98" applyAlignment="1" pivotButton="0" quotePrefix="0" xfId="12">
      <alignment horizontal="right" vertical="center"/>
    </xf>
    <xf numFmtId="3" fontId="27" fillId="3" borderId="98" applyAlignment="1" pivotButton="0" quotePrefix="0" xfId="12">
      <alignment horizontal="right"/>
    </xf>
    <xf numFmtId="168" fontId="8" fillId="0" borderId="99" applyAlignment="1" pivotButton="0" quotePrefix="0" xfId="8">
      <alignment horizontal="center" vertical="center" wrapText="1"/>
    </xf>
    <xf numFmtId="0" fontId="52" fillId="0" borderId="99" pivotButton="0" quotePrefix="0" xfId="2"/>
    <xf numFmtId="3" fontId="52" fillId="0" borderId="98" applyAlignment="1" pivotButton="0" quotePrefix="0" xfId="2">
      <alignment horizontal="right"/>
    </xf>
    <xf numFmtId="0" fontId="5" fillId="0" borderId="99" pivotButton="0" quotePrefix="0" xfId="2"/>
    <xf numFmtId="3" fontId="5" fillId="0" borderId="98" applyAlignment="1" pivotButton="0" quotePrefix="0" xfId="2">
      <alignment horizontal="right"/>
    </xf>
    <xf numFmtId="166" fontId="19" fillId="0" borderId="98" applyAlignment="1" pivotButton="0" quotePrefix="0" xfId="12">
      <alignment horizontal="center"/>
    </xf>
    <xf numFmtId="3" fontId="8" fillId="12" borderId="98" applyAlignment="1" pivotButton="0" quotePrefix="1" xfId="10">
      <alignment horizontal="left"/>
    </xf>
    <xf numFmtId="3" fontId="8" fillId="12" borderId="98" applyAlignment="1" pivotButton="0" quotePrefix="0" xfId="2">
      <alignment horizontal="right" vertical="center"/>
    </xf>
    <xf numFmtId="171" fontId="8" fillId="12" borderId="98" applyAlignment="1" pivotButton="0" quotePrefix="0" xfId="2">
      <alignment horizontal="right" vertical="center"/>
    </xf>
    <xf numFmtId="3" fontId="19" fillId="0" borderId="98" applyAlignment="1" pivotButton="0" quotePrefix="0" xfId="12">
      <alignment horizontal="left"/>
    </xf>
    <xf numFmtId="3" fontId="5" fillId="0" borderId="98" applyAlignment="1" pivotButton="0" quotePrefix="0" xfId="12">
      <alignment horizontal="right"/>
    </xf>
    <xf numFmtId="168" fontId="51" fillId="0" borderId="98" applyAlignment="1" pivotButton="0" quotePrefix="0" xfId="8">
      <alignment horizontal="left"/>
    </xf>
    <xf numFmtId="3" fontId="8" fillId="12" borderId="98" applyAlignment="1" pivotButton="0" quotePrefix="0" xfId="10">
      <alignment horizontal="right"/>
    </xf>
    <xf numFmtId="171" fontId="8" fillId="12" borderId="98" applyAlignment="1" pivotButton="0" quotePrefix="0" xfId="10">
      <alignment horizontal="right"/>
    </xf>
    <xf numFmtId="168" fontId="56" fillId="0" borderId="98" applyAlignment="1" pivotButton="0" quotePrefix="0" xfId="12">
      <alignment horizontal="left"/>
    </xf>
    <xf numFmtId="3" fontId="56" fillId="0" borderId="98" applyAlignment="1" pivotButton="0" quotePrefix="0" xfId="10">
      <alignment horizontal="right"/>
    </xf>
    <xf numFmtId="171" fontId="68" fillId="0" borderId="98" applyAlignment="1" pivotButton="0" quotePrefix="0" xfId="12">
      <alignment horizontal="left"/>
    </xf>
    <xf numFmtId="3" fontId="68" fillId="0" borderId="98" applyAlignment="1" pivotButton="0" quotePrefix="0" xfId="12">
      <alignment horizontal="right"/>
    </xf>
    <xf numFmtId="171" fontId="56" fillId="0" borderId="98" applyAlignment="1" pivotButton="0" quotePrefix="0" xfId="12">
      <alignment horizontal="left"/>
    </xf>
    <xf numFmtId="168" fontId="19" fillId="0" borderId="98" applyAlignment="1" pivotButton="0" quotePrefix="0" xfId="12">
      <alignment horizontal="left"/>
    </xf>
    <xf numFmtId="3" fontId="19" fillId="0" borderId="98" applyAlignment="1" pivotButton="0" quotePrefix="0" xfId="10">
      <alignment horizontal="right"/>
    </xf>
    <xf numFmtId="3" fontId="69" fillId="0" borderId="98" applyAlignment="1" pivotButton="0" quotePrefix="0" xfId="12">
      <alignment horizontal="right"/>
    </xf>
    <xf numFmtId="166" fontId="69" fillId="0" borderId="98" applyAlignment="1" pivotButton="0" quotePrefix="0" xfId="12">
      <alignment horizontal="center"/>
    </xf>
    <xf numFmtId="3" fontId="19" fillId="0" borderId="98" applyAlignment="1" pivotButton="0" quotePrefix="0" xfId="12">
      <alignment horizontal="right"/>
    </xf>
    <xf numFmtId="3" fontId="8" fillId="12" borderId="98" applyAlignment="1" pivotButton="0" quotePrefix="1" xfId="10">
      <alignment horizontal="left" vertical="center"/>
    </xf>
    <xf numFmtId="3" fontId="8" fillId="12" borderId="98" applyAlignment="1" pivotButton="0" quotePrefix="1" xfId="10">
      <alignment horizontal="right" vertical="center"/>
    </xf>
    <xf numFmtId="171" fontId="8" fillId="12" borderId="98" applyAlignment="1" pivotButton="0" quotePrefix="1" xfId="10">
      <alignment horizontal="right" vertical="center"/>
    </xf>
    <xf numFmtId="3" fontId="59" fillId="12" borderId="98" applyAlignment="1" pivotButton="0" quotePrefix="1" xfId="10">
      <alignment horizontal="left" vertical="center"/>
    </xf>
    <xf numFmtId="3" fontId="59" fillId="12" borderId="98" applyAlignment="1" pivotButton="0" quotePrefix="1" xfId="10">
      <alignment horizontal="right" vertical="center"/>
    </xf>
    <xf numFmtId="171" fontId="59" fillId="12" borderId="98" applyAlignment="1" pivotButton="0" quotePrefix="1" xfId="10">
      <alignment horizontal="right" vertical="center"/>
    </xf>
    <xf numFmtId="168" fontId="8" fillId="0" borderId="98" applyAlignment="1" pivotButton="0" quotePrefix="0" xfId="12">
      <alignment horizontal="left" vertical="center" wrapText="1"/>
    </xf>
    <xf numFmtId="171" fontId="13" fillId="0" borderId="98" applyAlignment="1" pivotButton="0" quotePrefix="0" xfId="12">
      <alignment horizontal="right" vertical="center"/>
    </xf>
    <xf numFmtId="171" fontId="19" fillId="0" borderId="98" applyAlignment="1" pivotButton="0" quotePrefix="0" xfId="10">
      <alignment horizontal="right"/>
    </xf>
    <xf numFmtId="168" fontId="8" fillId="0" borderId="98" applyAlignment="1" pivotButton="0" quotePrefix="0" xfId="8">
      <alignment horizontal="left"/>
    </xf>
    <xf numFmtId="3" fontId="52" fillId="0" borderId="98" applyAlignment="1" pivotButton="0" quotePrefix="0" xfId="10">
      <alignment horizontal="right"/>
    </xf>
    <xf numFmtId="3" fontId="5" fillId="0" borderId="98" applyAlignment="1" pivotButton="0" quotePrefix="0" xfId="8">
      <alignment horizontal="left"/>
    </xf>
    <xf numFmtId="3" fontId="5" fillId="0" borderId="98" applyAlignment="1" pivotButton="0" quotePrefix="0" xfId="2">
      <alignment horizontal="left"/>
    </xf>
    <xf numFmtId="166" fontId="19" fillId="0" borderId="98" applyAlignment="1" pivotButton="0" quotePrefix="0" xfId="2">
      <alignment horizontal="center"/>
    </xf>
    <xf numFmtId="3" fontId="8" fillId="0" borderId="98" applyAlignment="1" pivotButton="0" quotePrefix="0" xfId="8">
      <alignment horizontal="left" vertical="center"/>
    </xf>
    <xf numFmtId="3" fontId="5" fillId="0" borderId="98" applyAlignment="1" pivotButton="0" quotePrefix="0" xfId="10">
      <alignment horizontal="right"/>
    </xf>
    <xf numFmtId="3" fontId="8" fillId="0" borderId="98" applyAlignment="1" pivotButton="0" quotePrefix="0" xfId="12">
      <alignment horizontal="right" vertical="center" wrapText="1"/>
    </xf>
    <xf numFmtId="166" fontId="13" fillId="0" borderId="98" applyAlignment="1" pivotButton="0" quotePrefix="0" xfId="12">
      <alignment horizontal="center" vertical="center" wrapText="1"/>
    </xf>
    <xf numFmtId="171" fontId="8" fillId="0" borderId="98" applyAlignment="1" pivotButton="0" quotePrefix="0" xfId="12">
      <alignment horizontal="right"/>
    </xf>
    <xf numFmtId="171" fontId="59" fillId="0" borderId="98" applyAlignment="1" pivotButton="0" quotePrefix="0" xfId="12">
      <alignment horizontal="right"/>
    </xf>
    <xf numFmtId="0" fontId="19" fillId="0" borderId="98" pivotButton="0" quotePrefix="0" xfId="2"/>
    <xf numFmtId="171" fontId="5" fillId="0" borderId="98" applyAlignment="1" pivotButton="0" quotePrefix="0" xfId="2">
      <alignment horizontal="right"/>
    </xf>
    <xf numFmtId="171" fontId="27" fillId="3" borderId="98" applyAlignment="1" pivotButton="0" quotePrefix="0" xfId="12">
      <alignment horizontal="right"/>
    </xf>
    <xf numFmtId="3" fontId="19" fillId="0" borderId="98" applyAlignment="1" pivotButton="0" quotePrefix="0" xfId="2">
      <alignment horizontal="left"/>
    </xf>
    <xf numFmtId="166" fontId="58" fillId="0" borderId="98" applyAlignment="1" pivotButton="0" quotePrefix="0" xfId="12">
      <alignment horizontal="center"/>
    </xf>
    <xf numFmtId="3" fontId="8" fillId="6" borderId="98" applyAlignment="1" pivotButton="0" quotePrefix="0" xfId="12">
      <alignment horizontal="right" vertical="center"/>
    </xf>
    <xf numFmtId="171" fontId="8" fillId="6" borderId="98" applyAlignment="1" pivotButton="0" quotePrefix="0" xfId="12">
      <alignment horizontal="right" vertical="center"/>
    </xf>
    <xf numFmtId="3" fontId="8" fillId="0" borderId="98" applyAlignment="1" pivotButton="0" quotePrefix="0" xfId="12">
      <alignment horizontal="right" vertical="center"/>
    </xf>
    <xf numFmtId="3" fontId="27" fillId="0" borderId="98" applyAlignment="1" pivotButton="0" quotePrefix="0" xfId="12">
      <alignment horizontal="right"/>
    </xf>
    <xf numFmtId="3" fontId="8" fillId="0" borderId="98" applyAlignment="1" pivotButton="0" quotePrefix="0" xfId="2">
      <alignment vertical="center"/>
    </xf>
    <xf numFmtId="3" fontId="52" fillId="0" borderId="98" applyAlignment="1" pivotButton="0" quotePrefix="0" xfId="8">
      <alignment horizontal="right" vertical="center"/>
    </xf>
    <xf numFmtId="3" fontId="52" fillId="0" borderId="98" pivotButton="0" quotePrefix="0" xfId="2"/>
    <xf numFmtId="3" fontId="5" fillId="0" borderId="98" pivotButton="0" quotePrefix="0" xfId="2"/>
    <xf numFmtId="3" fontId="8" fillId="6" borderId="98" applyAlignment="1" pivotButton="0" quotePrefix="0" xfId="8">
      <alignment horizontal="right"/>
    </xf>
    <xf numFmtId="171" fontId="8" fillId="6" borderId="98" applyAlignment="1" pivotButton="0" quotePrefix="0" xfId="8">
      <alignment horizontal="right"/>
    </xf>
    <xf numFmtId="3" fontId="5" fillId="0" borderId="98" applyAlignment="1" pivotButton="0" quotePrefix="0" xfId="8">
      <alignment horizontal="right"/>
    </xf>
    <xf numFmtId="3" fontId="52" fillId="0" borderId="98" pivotButton="0" quotePrefix="0" xfId="12"/>
    <xf numFmtId="3" fontId="8" fillId="0" borderId="98" pivotButton="0" quotePrefix="0" xfId="12"/>
    <xf numFmtId="3" fontId="27" fillId="0" borderId="98" pivotButton="0" quotePrefix="0" xfId="0"/>
    <xf numFmtId="3" fontId="59" fillId="0" borderId="98" pivotButton="0" quotePrefix="0" xfId="0"/>
    <xf numFmtId="3" fontId="8" fillId="0" borderId="98" pivotButton="0" quotePrefix="0" xfId="0"/>
    <xf numFmtId="3" fontId="59" fillId="0" borderId="98" pivotButton="0" quotePrefix="0" xfId="12"/>
    <xf numFmtId="166" fontId="5" fillId="0" borderId="98" applyAlignment="1" pivotButton="0" quotePrefix="0" xfId="2">
      <alignment horizontal="center"/>
    </xf>
    <xf numFmtId="3" fontId="8" fillId="6" borderId="98" applyAlignment="1" pivotButton="0" quotePrefix="0" xfId="12">
      <alignment vertical="center"/>
    </xf>
    <xf numFmtId="171" fontId="8" fillId="6" borderId="98" applyAlignment="1" pivotButton="0" quotePrefix="0" xfId="12">
      <alignment vertical="center"/>
    </xf>
    <xf numFmtId="3" fontId="8" fillId="0" borderId="98" applyAlignment="1" pivotButton="0" quotePrefix="0" xfId="12">
      <alignment vertical="center"/>
    </xf>
    <xf numFmtId="3" fontId="27" fillId="0" borderId="98" pivotButton="0" quotePrefix="0" xfId="12"/>
    <xf numFmtId="168" fontId="8" fillId="0" borderId="1" applyAlignment="1" pivotButton="0" quotePrefix="0" xfId="8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0" fontId="13" fillId="0" borderId="0" applyAlignment="1" pivotButton="0" quotePrefix="0" xfId="2">
      <alignment horizontal="center"/>
    </xf>
    <xf numFmtId="0" fontId="35" fillId="0" borderId="16" applyAlignment="1" pivotButton="0" quotePrefix="0" xfId="0">
      <alignment horizontal="left" vertical="center" wrapText="1" indent="3" readingOrder="1"/>
    </xf>
    <xf numFmtId="0" fontId="35" fillId="0" borderId="26" applyAlignment="1" pivotButton="0" quotePrefix="0" xfId="0">
      <alignment horizontal="left" vertical="center" wrapText="1" indent="3" readingOrder="1"/>
    </xf>
    <xf numFmtId="0" fontId="34" fillId="0" borderId="13" applyAlignment="1" pivotButton="0" quotePrefix="0" xfId="0">
      <alignment horizontal="left" vertical="center" wrapText="1" readingOrder="1"/>
    </xf>
    <xf numFmtId="0" fontId="34" fillId="0" borderId="59" applyAlignment="1" pivotButton="0" quotePrefix="0" xfId="0">
      <alignment horizontal="left" vertical="center" wrapText="1" readingOrder="1"/>
    </xf>
    <xf numFmtId="0" fontId="35" fillId="0" borderId="45" applyAlignment="1" pivotButton="0" quotePrefix="0" xfId="0">
      <alignment horizontal="left" vertical="center" wrapText="1" indent="3" readingOrder="1"/>
    </xf>
    <xf numFmtId="0" fontId="35" fillId="0" borderId="73" applyAlignment="1" pivotButton="0" quotePrefix="0" xfId="0">
      <alignment horizontal="left" vertical="center" wrapText="1" indent="3" readingOrder="1"/>
    </xf>
    <xf numFmtId="0" fontId="34" fillId="0" borderId="38" applyAlignment="1" pivotButton="0" quotePrefix="0" xfId="0">
      <alignment horizontal="left" vertical="center" wrapText="1" readingOrder="1"/>
    </xf>
    <xf numFmtId="0" fontId="34" fillId="0" borderId="39" applyAlignment="1" pivotButton="0" quotePrefix="0" xfId="0">
      <alignment horizontal="left" vertical="center" wrapText="1" readingOrder="1"/>
    </xf>
    <xf numFmtId="0" fontId="34" fillId="0" borderId="40" applyAlignment="1" pivotButton="0" quotePrefix="0" xfId="0">
      <alignment horizontal="left" vertical="center" wrapText="1" readingOrder="1"/>
    </xf>
    <xf numFmtId="0" fontId="34" fillId="7" borderId="64" applyAlignment="1" pivotButton="0" quotePrefix="0" xfId="0">
      <alignment horizontal="center" vertical="center" wrapText="1" readingOrder="1"/>
    </xf>
    <xf numFmtId="0" fontId="34" fillId="7" borderId="65" applyAlignment="1" pivotButton="0" quotePrefix="0" xfId="0">
      <alignment horizontal="center" vertical="center" wrapText="1" readingOrder="1"/>
    </xf>
    <xf numFmtId="0" fontId="34" fillId="0" borderId="31" applyAlignment="1" pivotButton="0" quotePrefix="0" xfId="0">
      <alignment horizontal="left" vertical="center" wrapText="1" readingOrder="1"/>
    </xf>
    <xf numFmtId="0" fontId="34" fillId="0" borderId="33" applyAlignment="1" pivotButton="0" quotePrefix="0" xfId="0">
      <alignment horizontal="left" vertical="center" wrapText="1" readingOrder="1"/>
    </xf>
    <xf numFmtId="0" fontId="34" fillId="0" borderId="28" applyAlignment="1" pivotButton="0" quotePrefix="0" xfId="0">
      <alignment horizontal="left" vertical="center" wrapText="1" readingOrder="1"/>
    </xf>
    <xf numFmtId="0" fontId="34" fillId="0" borderId="26" applyAlignment="1" pivotButton="0" quotePrefix="0" xfId="0">
      <alignment horizontal="left" vertical="center" wrapText="1" readingOrder="1"/>
    </xf>
    <xf numFmtId="0" fontId="34" fillId="0" borderId="45" applyAlignment="1" pivotButton="0" quotePrefix="0" xfId="0">
      <alignment horizontal="left" vertical="center" wrapText="1" readingOrder="1"/>
    </xf>
    <xf numFmtId="0" fontId="35" fillId="0" borderId="13" applyAlignment="1" pivotButton="0" quotePrefix="0" xfId="0">
      <alignment horizontal="left" vertical="center" wrapText="1" indent="3" readingOrder="1"/>
    </xf>
    <xf numFmtId="0" fontId="34" fillId="7" borderId="28" applyAlignment="1" pivotButton="0" quotePrefix="0" xfId="0">
      <alignment horizontal="center" vertical="center" wrapText="1" readingOrder="1"/>
    </xf>
    <xf numFmtId="0" fontId="34" fillId="7" borderId="30" applyAlignment="1" pivotButton="0" quotePrefix="0" xfId="0">
      <alignment horizontal="center" vertical="center" wrapText="1" readingOrder="1"/>
    </xf>
    <xf numFmtId="0" fontId="34" fillId="7" borderId="33" applyAlignment="1" pivotButton="0" quotePrefix="0" xfId="0">
      <alignment horizontal="center" vertical="center" wrapText="1" readingOrder="1"/>
    </xf>
    <xf numFmtId="0" fontId="34" fillId="7" borderId="35" applyAlignment="1" pivotButton="0" quotePrefix="0" xfId="0">
      <alignment horizontal="center" vertical="center" wrapText="1" readingOrder="1"/>
    </xf>
    <xf numFmtId="0" fontId="34" fillId="7" borderId="12" applyAlignment="1" pivotButton="0" quotePrefix="0" xfId="0">
      <alignment horizontal="center" vertical="center" wrapText="1" readingOrder="1"/>
    </xf>
    <xf numFmtId="0" fontId="34" fillId="7" borderId="66" applyAlignment="1" pivotButton="0" quotePrefix="0" xfId="0">
      <alignment horizontal="center" vertical="center" wrapText="1" readingOrder="1"/>
    </xf>
    <xf numFmtId="0" fontId="34" fillId="7" borderId="62" applyAlignment="1" pivotButton="0" quotePrefix="0" xfId="0">
      <alignment horizontal="center" vertical="center" wrapText="1" readingOrder="1"/>
    </xf>
    <xf numFmtId="0" fontId="34" fillId="7" borderId="54" applyAlignment="1" pivotButton="0" quotePrefix="0" xfId="0">
      <alignment horizontal="center" vertical="center" wrapText="1" readingOrder="1"/>
    </xf>
    <xf numFmtId="0" fontId="34" fillId="7" borderId="11" applyAlignment="1" pivotButton="0" quotePrefix="0" xfId="0">
      <alignment horizontal="center" vertical="center" wrapText="1" readingOrder="1"/>
    </xf>
    <xf numFmtId="0" fontId="34" fillId="7" borderId="63" applyAlignment="1" pivotButton="0" quotePrefix="0" xfId="0">
      <alignment horizontal="center" vertical="center" wrapText="1" readingOrder="1"/>
    </xf>
    <xf numFmtId="0" fontId="34" fillId="7" borderId="31" applyAlignment="1" pivotButton="0" quotePrefix="0" xfId="0">
      <alignment horizontal="center" vertical="center" wrapText="1" readingOrder="1"/>
    </xf>
    <xf numFmtId="0" fontId="34" fillId="0" borderId="16" applyAlignment="1" pivotButton="0" quotePrefix="0" xfId="0">
      <alignment horizontal="left" vertical="center" wrapText="1" readingOrder="1"/>
    </xf>
    <xf numFmtId="0" fontId="34" fillId="7" borderId="76" applyAlignment="1" pivotButton="0" quotePrefix="0" xfId="0">
      <alignment horizontal="center" vertical="center" wrapText="1" readingOrder="1"/>
    </xf>
    <xf numFmtId="0" fontId="34" fillId="7" borderId="82" applyAlignment="1" pivotButton="0" quotePrefix="0" xfId="0">
      <alignment horizontal="center" vertical="center" wrapText="1" readingOrder="1"/>
    </xf>
    <xf numFmtId="0" fontId="34" fillId="0" borderId="38" applyAlignment="1" pivotButton="0" quotePrefix="0" xfId="0">
      <alignment horizontal="center" vertical="center" wrapText="1" readingOrder="1"/>
    </xf>
    <xf numFmtId="0" fontId="34" fillId="0" borderId="39" applyAlignment="1" pivotButton="0" quotePrefix="0" xfId="0">
      <alignment horizontal="center" vertical="center" wrapText="1" readingOrder="1"/>
    </xf>
    <xf numFmtId="0" fontId="34" fillId="0" borderId="40" applyAlignment="1" pivotButton="0" quotePrefix="0" xfId="0">
      <alignment horizontal="center" vertical="center" wrapText="1" readingOrder="1"/>
    </xf>
    <xf numFmtId="0" fontId="29" fillId="0" borderId="0" applyAlignment="1" pivotButton="0" quotePrefix="0" xfId="0">
      <alignment horizontal="center" vertical="center"/>
    </xf>
    <xf numFmtId="0" fontId="2" fillId="14" borderId="7" applyAlignment="1" pivotButton="0" quotePrefix="0" xfId="0">
      <alignment horizontal="center"/>
    </xf>
    <xf numFmtId="3" fontId="29" fillId="0" borderId="1" applyAlignment="1" pivotButton="0" quotePrefix="0" xfId="0">
      <alignment horizontal="right" vertical="center"/>
    </xf>
    <xf numFmtId="3" fontId="29" fillId="0" borderId="3" applyAlignment="1" pivotButton="0" quotePrefix="0" xfId="0">
      <alignment horizontal="right" vertical="center"/>
    </xf>
    <xf numFmtId="0" fontId="0" fillId="0" borderId="2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8" fillId="3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168" fontId="8" fillId="5" borderId="1" applyAlignment="1" pivotButton="0" quotePrefix="0" xfId="8">
      <alignment horizontal="right" vertical="center" wrapText="1"/>
    </xf>
    <xf numFmtId="168" fontId="8" fillId="5" borderId="3" applyAlignment="1" pivotButton="0" quotePrefix="0" xfId="8">
      <alignment horizontal="right" vertical="center" wrapText="1"/>
    </xf>
    <xf numFmtId="168" fontId="8" fillId="5" borderId="1" applyAlignment="1" pivotButton="0" quotePrefix="0" xfId="8">
      <alignment horizontal="center" vertical="center" wrapText="1"/>
    </xf>
    <xf numFmtId="168" fontId="8" fillId="5" borderId="3" applyAlignment="1" pivotButton="0" quotePrefix="0" xfId="8">
      <alignment horizontal="center" vertical="center" wrapText="1"/>
    </xf>
    <xf numFmtId="168" fontId="8" fillId="0" borderId="1" applyAlignment="1" pivotButton="0" quotePrefix="0" xfId="8">
      <alignment horizontal="center" vertical="center" wrapText="1"/>
    </xf>
    <xf numFmtId="0" fontId="21" fillId="0" borderId="0" applyAlignment="1" pivotButton="0" quotePrefix="0" xfId="2">
      <alignment horizontal="center" vertical="center"/>
    </xf>
    <xf numFmtId="0" fontId="19" fillId="0" borderId="87" applyAlignment="1" pivotButton="0" quotePrefix="0" xfId="0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0" fontId="19" fillId="0" borderId="3" applyAlignment="1" pivotButton="0" quotePrefix="0" xfId="0">
      <alignment horizontal="right" vertical="center" wrapText="1"/>
    </xf>
    <xf numFmtId="0" fontId="19" fillId="0" borderId="3" applyAlignment="1" pivotButton="0" quotePrefix="0" xfId="0">
      <alignment horizontal="center" vertical="center" wrapText="1"/>
    </xf>
    <xf numFmtId="168" fontId="8" fillId="0" borderId="3" applyAlignment="1" pivotButton="0" quotePrefix="0" xfId="8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2" fillId="0" borderId="80" applyAlignment="1" pivotButton="0" quotePrefix="0" xfId="28">
      <alignment horizontal="left"/>
    </xf>
    <xf numFmtId="176" fontId="86" fillId="0" borderId="80" applyAlignment="1" pivotButton="0" quotePrefix="0" xfId="26">
      <alignment horizontal="center"/>
    </xf>
    <xf numFmtId="176" fontId="76" fillId="0" borderId="80" applyAlignment="1" pivotButton="0" quotePrefix="0" xfId="26">
      <alignment horizontal="center"/>
    </xf>
    <xf numFmtId="0" fontId="2" fillId="0" borderId="80" pivotButton="0" quotePrefix="0" xfId="28"/>
    <xf numFmtId="176" fontId="75" fillId="0" borderId="0" applyAlignment="1" pivotButton="0" quotePrefix="0" xfId="26">
      <alignment horizontal="center" vertical="center"/>
    </xf>
    <xf numFmtId="0" fontId="48" fillId="0" borderId="80" applyAlignment="1" pivotButton="0" quotePrefix="0" xfId="28">
      <alignment horizontal="left"/>
    </xf>
    <xf numFmtId="3" fontId="8" fillId="0" borderId="3" applyAlignment="1" pivotButton="0" quotePrefix="0" xfId="8">
      <alignment horizontal="center" vertical="center" wrapText="1"/>
    </xf>
    <xf numFmtId="0" fontId="19" fillId="0" borderId="2" applyAlignment="1" pivotButton="0" quotePrefix="0" xfId="0">
      <alignment horizontal="right" vertical="center" wrapText="1"/>
    </xf>
    <xf numFmtId="0" fontId="91" fillId="0" borderId="41" applyAlignment="1" pivotButton="0" quotePrefix="0" xfId="2">
      <alignment horizontal="left" vertical="center"/>
    </xf>
    <xf numFmtId="0" fontId="91" fillId="0" borderId="42" applyAlignment="1" pivotButton="0" quotePrefix="0" xfId="2">
      <alignment horizontal="left" vertical="center"/>
    </xf>
    <xf numFmtId="0" fontId="8" fillId="0" borderId="0" applyAlignment="1" pivotButton="0" quotePrefix="0" xfId="2">
      <alignment horizontal="center"/>
    </xf>
    <xf numFmtId="0" fontId="19" fillId="0" borderId="98" applyAlignment="1" pivotButton="0" quotePrefix="0" xfId="0">
      <alignment horizontal="center" vertical="center" wrapText="1"/>
    </xf>
    <xf numFmtId="0" fontId="13" fillId="0" borderId="10" applyAlignment="1" pivotButton="0" quotePrefix="0" xfId="2">
      <alignment horizontal="right" vertical="center"/>
    </xf>
    <xf numFmtId="0" fontId="13" fillId="0" borderId="41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/>
    </xf>
    <xf numFmtId="0" fontId="8" fillId="0" borderId="0" applyAlignment="1" pivotButton="0" quotePrefix="0" xfId="2">
      <alignment horizontal="center" vertical="center" wrapText="1"/>
    </xf>
    <xf numFmtId="0" fontId="92" fillId="0" borderId="0" applyAlignment="1" pivotButton="0" quotePrefix="0" xfId="2">
      <alignment horizontal="center" vertical="center"/>
    </xf>
    <xf numFmtId="1" fontId="4" fillId="0" borderId="0" pivotButton="0" quotePrefix="0" xfId="2"/>
    <xf numFmtId="3" fontId="102" fillId="0" borderId="79" applyAlignment="1" pivotButton="0" quotePrefix="0" xfId="9">
      <alignment horizontal="right" vertical="top" wrapText="1"/>
    </xf>
    <xf numFmtId="3" fontId="103" fillId="0" borderId="79" applyAlignment="1" pivotButton="0" quotePrefix="0" xfId="9">
      <alignment horizontal="right" vertical="top" wrapText="1"/>
    </xf>
    <xf numFmtId="3" fontId="103" fillId="0" borderId="79" applyAlignment="1" pivotButton="0" quotePrefix="0" xfId="0">
      <alignment horizontal="right" vertical="top" wrapText="1"/>
    </xf>
    <xf numFmtId="3" fontId="8" fillId="11" borderId="79" applyAlignment="1" pivotButton="0" quotePrefix="0" xfId="8">
      <alignment horizontal="right"/>
    </xf>
    <xf numFmtId="3" fontId="104" fillId="5" borderId="79" applyAlignment="1" pivotButton="0" quotePrefix="0" xfId="10">
      <alignment horizontal="right"/>
    </xf>
    <xf numFmtId="3" fontId="103" fillId="0" borderId="79" applyAlignment="1" pivotButton="0" quotePrefix="0" xfId="2">
      <alignment horizontal="right"/>
    </xf>
    <xf numFmtId="3" fontId="103" fillId="5" borderId="79" applyAlignment="1" pivotButton="0" quotePrefix="0" xfId="10">
      <alignment horizontal="right"/>
    </xf>
    <xf numFmtId="3" fontId="103" fillId="0" borderId="79" applyAlignment="1" pivotButton="0" quotePrefix="0" xfId="10">
      <alignment horizontal="right"/>
    </xf>
    <xf numFmtId="3" fontId="8" fillId="11" borderId="79" applyAlignment="1" pivotButton="0" quotePrefix="0" xfId="10">
      <alignment horizontal="right" vertical="center"/>
    </xf>
    <xf numFmtId="3" fontId="5" fillId="0" borderId="79" applyAlignment="1" pivotButton="0" quotePrefix="0" xfId="10">
      <alignment horizontal="right" vertical="center"/>
    </xf>
    <xf numFmtId="3" fontId="15" fillId="0" borderId="79" applyAlignment="1" pivotButton="0" quotePrefix="0" xfId="0">
      <alignment horizontal="right"/>
    </xf>
    <xf numFmtId="3" fontId="27" fillId="0" borderId="79" applyAlignment="1" pivotButton="0" quotePrefix="0" xfId="10">
      <alignment horizontal="right"/>
    </xf>
    <xf numFmtId="3" fontId="8" fillId="5" borderId="1" applyAlignment="1" pivotButton="0" quotePrefix="0" xfId="8">
      <alignment horizontal="right" vertical="center" wrapText="1"/>
    </xf>
    <xf numFmtId="3" fontId="102" fillId="0" borderId="79" applyAlignment="1" pivotButton="0" quotePrefix="0" xfId="8">
      <alignment horizontal="right"/>
    </xf>
    <xf numFmtId="3" fontId="103" fillId="0" borderId="79" applyAlignment="1" pivotButton="0" quotePrefix="0" xfId="8">
      <alignment horizontal="right"/>
    </xf>
    <xf numFmtId="3" fontId="8" fillId="0" borderId="79" applyAlignment="1" pivotButton="0" quotePrefix="0" xfId="8">
      <alignment horizontal="right" vertical="center" wrapText="1"/>
    </xf>
    <xf numFmtId="3" fontId="105" fillId="0" borderId="79" applyAlignment="1" pivotButton="0" quotePrefix="0" xfId="13">
      <alignment horizontal="right"/>
    </xf>
    <xf numFmtId="3" fontId="8" fillId="11" borderId="79" applyAlignment="1" pivotButton="0" quotePrefix="0" xfId="2">
      <alignment horizontal="right" vertical="center"/>
    </xf>
    <xf numFmtId="3" fontId="8" fillId="11" borderId="79" applyAlignment="1" pivotButton="0" quotePrefix="0" xfId="8">
      <alignment horizontal="right" vertical="center"/>
    </xf>
    <xf numFmtId="3" fontId="8" fillId="0" borderId="1" applyAlignment="1" pivotButton="0" quotePrefix="0" xfId="8">
      <alignment horizontal="right" vertical="center" wrapText="1"/>
    </xf>
    <xf numFmtId="3" fontId="8" fillId="0" borderId="1" applyAlignment="1" pivotButton="0" quotePrefix="0" xfId="14">
      <alignment horizontal="right" vertical="center" wrapText="1"/>
    </xf>
    <xf numFmtId="3" fontId="21" fillId="0" borderId="1" applyAlignment="1" pivotButton="0" quotePrefix="0" xfId="14">
      <alignment horizontal="right" vertical="center" wrapText="1"/>
    </xf>
    <xf numFmtId="3" fontId="21" fillId="11" borderId="79" applyAlignment="1" pivotButton="0" quotePrefix="0" xfId="10">
      <alignment horizontal="right" vertical="center"/>
    </xf>
    <xf numFmtId="3" fontId="19" fillId="0" borderId="1" applyAlignment="1" pivotButton="0" quotePrefix="0" xfId="2">
      <alignment horizontal="right"/>
    </xf>
    <xf numFmtId="3" fontId="25" fillId="0" borderId="79" applyAlignment="1" pivotButton="0" quotePrefix="0" xfId="0">
      <alignment horizontal="right"/>
    </xf>
    <xf numFmtId="3" fontId="58" fillId="0" borderId="79" applyAlignment="1" pivotButton="0" quotePrefix="0" xfId="12">
      <alignment horizontal="right"/>
    </xf>
    <xf numFmtId="3" fontId="13" fillId="11" borderId="79" applyAlignment="1" pivotButton="0" quotePrefix="0" xfId="12">
      <alignment horizontal="right" vertical="center"/>
    </xf>
    <xf numFmtId="3" fontId="19" fillId="3" borderId="1" applyAlignment="1" pivotButton="0" quotePrefix="0" xfId="2">
      <alignment horizontal="right"/>
    </xf>
    <xf numFmtId="3" fontId="15" fillId="3" borderId="79" applyAlignment="1" pivotButton="0" quotePrefix="0" xfId="0">
      <alignment horizontal="right"/>
    </xf>
    <xf numFmtId="3" fontId="19" fillId="3" borderId="79" applyAlignment="1" pivotButton="0" quotePrefix="0" xfId="0">
      <alignment horizontal="right"/>
    </xf>
    <xf numFmtId="3" fontId="25" fillId="3" borderId="79" applyAlignment="1" pivotButton="0" quotePrefix="0" xfId="0">
      <alignment horizontal="right"/>
    </xf>
    <xf numFmtId="3" fontId="25" fillId="0" borderId="79" applyAlignment="1" pivotButton="0" quotePrefix="0" xfId="12">
      <alignment horizontal="right"/>
    </xf>
    <xf numFmtId="3" fontId="25" fillId="3" borderId="79" applyAlignment="1" pivotButton="0" quotePrefix="0" xfId="12">
      <alignment horizontal="right"/>
    </xf>
    <xf numFmtId="3" fontId="5" fillId="3" borderId="0" pivotButton="0" quotePrefix="0" xfId="10"/>
    <xf numFmtId="3" fontId="15" fillId="0" borderId="79" applyAlignment="1" pivotButton="0" quotePrefix="0" xfId="14">
      <alignment horizontal="right"/>
    </xf>
    <xf numFmtId="3" fontId="15" fillId="0" borderId="79" applyAlignment="1" pivotButton="0" quotePrefix="0" xfId="10">
      <alignment horizontal="right"/>
    </xf>
    <xf numFmtId="3" fontId="8" fillId="5" borderId="1" applyAlignment="1" pivotButton="0" quotePrefix="0" xfId="8">
      <alignment horizontal="center" vertical="center" wrapText="1"/>
    </xf>
    <xf numFmtId="3" fontId="52" fillId="0" borderId="78" applyAlignment="1" pivotButton="0" quotePrefix="0" xfId="14">
      <alignment horizontal="right" vertical="center" wrapText="1"/>
    </xf>
    <xf numFmtId="3" fontId="15" fillId="0" borderId="78" applyAlignment="1" pivotButton="0" quotePrefix="0" xfId="10">
      <alignment horizontal="right"/>
    </xf>
    <xf numFmtId="3" fontId="25" fillId="0" borderId="78" applyAlignment="1" pivotButton="0" quotePrefix="0" xfId="10">
      <alignment horizontal="right"/>
    </xf>
    <xf numFmtId="3" fontId="63" fillId="0" borderId="78" applyAlignment="1" pivotButton="0" quotePrefix="0" xfId="10">
      <alignment horizontal="right"/>
    </xf>
    <xf numFmtId="3" fontId="13" fillId="0" borderId="78" applyAlignment="1" pivotButton="0" quotePrefix="0" xfId="10">
      <alignment horizontal="right"/>
    </xf>
    <xf numFmtId="3" fontId="27" fillId="0" borderId="78" applyAlignment="1" pivotButton="0" quotePrefix="0" xfId="10">
      <alignment horizontal="right" vertical="center"/>
    </xf>
    <xf numFmtId="3" fontId="8" fillId="11" borderId="79" applyAlignment="1" pivotButton="0" quotePrefix="0" xfId="10">
      <alignment horizontal="right" vertical="center" wrapText="1"/>
    </xf>
    <xf numFmtId="3" fontId="5" fillId="0" borderId="75" applyAlignment="1" pivotButton="0" quotePrefix="0" xfId="10">
      <alignment horizontal="right"/>
    </xf>
    <xf numFmtId="3" fontId="8" fillId="5" borderId="3" applyAlignment="1" pivotButton="0" quotePrefix="0" xfId="8">
      <alignment horizontal="right" vertical="center" wrapText="1"/>
    </xf>
    <xf numFmtId="3" fontId="27" fillId="3" borderId="1" applyAlignment="1" pivotButton="0" quotePrefix="0" xfId="10">
      <alignment horizontal="right"/>
    </xf>
    <xf numFmtId="3" fontId="15" fillId="3" borderId="2" applyAlignment="1" pivotButton="0" quotePrefix="0" xfId="0">
      <alignment horizontal="right"/>
    </xf>
    <xf numFmtId="3" fontId="8" fillId="3" borderId="79" applyAlignment="1" pivotButton="0" quotePrefix="0" xfId="10">
      <alignment horizontal="right" vertical="center" wrapText="1"/>
    </xf>
    <xf numFmtId="3" fontId="5" fillId="3" borderId="79" applyAlignment="1" pivotButton="0" quotePrefix="0" xfId="10">
      <alignment horizontal="right"/>
    </xf>
    <xf numFmtId="3" fontId="8" fillId="11" borderId="79" applyAlignment="1" pivotButton="0" quotePrefix="0" xfId="10">
      <alignment horizontal="right"/>
    </xf>
    <xf numFmtId="3" fontId="52" fillId="0" borderId="1" applyAlignment="1" pivotButton="0" quotePrefix="0" xfId="14">
      <alignment horizontal="right" vertical="center" wrapText="1"/>
    </xf>
    <xf numFmtId="3" fontId="63" fillId="0" borderId="79" applyAlignment="1" pivotButton="0" quotePrefix="0" xfId="10">
      <alignment horizontal="right"/>
    </xf>
    <xf numFmtId="3" fontId="8" fillId="5" borderId="3" applyAlignment="1" pivotButton="0" quotePrefix="0" xfId="8">
      <alignment horizontal="center" vertical="center" wrapText="1"/>
    </xf>
    <xf numFmtId="3" fontId="5" fillId="0" borderId="1" applyAlignment="1" pivotButton="0" quotePrefix="0" xfId="13">
      <alignment horizontal="right"/>
    </xf>
    <xf numFmtId="3" fontId="5" fillId="0" borderId="1" applyAlignment="1" pivotButton="0" quotePrefix="0" xfId="15">
      <alignment horizontal="right"/>
    </xf>
    <xf numFmtId="3" fontId="8" fillId="11" borderId="3" applyAlignment="1" pivotButton="0" quotePrefix="0" xfId="15">
      <alignment horizontal="right" vertical="center"/>
    </xf>
    <xf numFmtId="3" fontId="19" fillId="0" borderId="79" applyAlignment="1" pivotButton="0" quotePrefix="0" xfId="8">
      <alignment horizontal="right"/>
    </xf>
    <xf numFmtId="3" fontId="8" fillId="5" borderId="7" applyAlignment="1" pivotButton="0" quotePrefix="0" xfId="8">
      <alignment horizontal="center" vertical="center" wrapText="1"/>
    </xf>
    <xf numFmtId="3" fontId="8" fillId="11" borderId="79" applyAlignment="1" pivotButton="0" quotePrefix="0" xfId="8">
      <alignment vertical="center"/>
    </xf>
    <xf numFmtId="3" fontId="59" fillId="0" borderId="0" applyAlignment="1" pivotButton="0" quotePrefix="0" xfId="2">
      <alignment horizontal="center"/>
    </xf>
    <xf numFmtId="3" fontId="51" fillId="0" borderId="1" applyAlignment="1" pivotButton="0" quotePrefix="0" xfId="2">
      <alignment horizontal="right"/>
    </xf>
    <xf numFmtId="168" fontId="51" fillId="0" borderId="79" applyAlignment="1" pivotButton="0" quotePrefix="0" xfId="8">
      <alignment horizontal="left"/>
    </xf>
    <xf numFmtId="3" fontId="102" fillId="0" borderId="79" applyAlignment="1" pivotButton="0" quotePrefix="0" xfId="0">
      <alignment horizontal="right" vertical="top" wrapText="1"/>
    </xf>
    <xf numFmtId="168" fontId="19" fillId="0" borderId="79" applyAlignment="1" pivotButton="0" quotePrefix="0" xfId="8">
      <alignment horizontal="left"/>
    </xf>
    <xf numFmtId="3" fontId="8" fillId="11" borderId="79" pivotButton="0" quotePrefix="0" xfId="8"/>
    <xf numFmtId="168" fontId="53" fillId="0" borderId="79" applyAlignment="1" pivotButton="0" quotePrefix="0" xfId="8">
      <alignment horizontal="left" indent="1"/>
    </xf>
    <xf numFmtId="3" fontId="102" fillId="0" borderId="79" applyAlignment="1" pivotButton="0" quotePrefix="0" xfId="11">
      <alignment horizontal="right"/>
    </xf>
    <xf numFmtId="3" fontId="103" fillId="0" borderId="79" applyAlignment="1" pivotButton="0" quotePrefix="1" xfId="8">
      <alignment horizontal="right"/>
    </xf>
    <xf numFmtId="3" fontId="13" fillId="11" borderId="3" applyAlignment="1" pivotButton="0" quotePrefix="0" xfId="12">
      <alignment horizontal="right" vertical="center"/>
    </xf>
    <xf numFmtId="3" fontId="8" fillId="11" borderId="3" pivotButton="0" quotePrefix="0" xfId="8"/>
    <xf numFmtId="3" fontId="8" fillId="0" borderId="0" applyAlignment="1" pivotButton="0" quotePrefix="0" xfId="2">
      <alignment vertical="center"/>
    </xf>
    <xf numFmtId="3" fontId="8" fillId="0" borderId="79" applyAlignment="1" pivotButton="0" quotePrefix="0" xfId="8">
      <alignment vertical="center" wrapText="1"/>
    </xf>
    <xf numFmtId="0" fontId="58" fillId="0" borderId="99" pivotButton="0" quotePrefix="0" xfId="13"/>
    <xf numFmtId="0" fontId="105" fillId="0" borderId="99" pivotButton="0" quotePrefix="0" xfId="13"/>
    <xf numFmtId="3" fontId="105" fillId="0" borderId="79" applyAlignment="1" pivotButton="0" quotePrefix="0" xfId="2">
      <alignment horizontal="right"/>
    </xf>
    <xf numFmtId="3" fontId="8" fillId="11" borderId="79" applyAlignment="1" pivotButton="0" quotePrefix="0" xfId="2">
      <alignment vertical="center"/>
    </xf>
    <xf numFmtId="3" fontId="15" fillId="0" borderId="0" applyAlignment="1" pivotButton="0" quotePrefix="0" xfId="0">
      <alignment horizontal="right"/>
    </xf>
    <xf numFmtId="3" fontId="8" fillId="0" borderId="1" applyAlignment="1" pivotButton="0" quotePrefix="0" xfId="8">
      <alignment vertical="center" wrapText="1"/>
    </xf>
    <xf numFmtId="3" fontId="52" fillId="0" borderId="79" pivotButton="0" quotePrefix="0" xfId="10"/>
    <xf numFmtId="3" fontId="51" fillId="0" borderId="79" pivotButton="0" quotePrefix="0" xfId="2"/>
    <xf numFmtId="3" fontId="104" fillId="0" borderId="79" applyAlignment="1" pivotButton="0" quotePrefix="0" xfId="10">
      <alignment horizontal="right"/>
    </xf>
    <xf numFmtId="3" fontId="59" fillId="0" borderId="79" applyAlignment="1" pivotButton="0" quotePrefix="0" xfId="10">
      <alignment vertical="center"/>
    </xf>
    <xf numFmtId="3" fontId="10" fillId="0" borderId="0" applyAlignment="1" pivotButton="0" quotePrefix="0" xfId="2">
      <alignment horizontal="right"/>
    </xf>
    <xf numFmtId="3" fontId="5" fillId="0" borderId="79" applyAlignment="1" pivotButton="0" quotePrefix="0" xfId="10">
      <alignment vertical="center"/>
    </xf>
    <xf numFmtId="3" fontId="107" fillId="0" borderId="79" applyAlignment="1" pivotButton="0" quotePrefix="0" xfId="2">
      <alignment horizontal="right"/>
    </xf>
    <xf numFmtId="3" fontId="108" fillId="0" borderId="79" applyAlignment="1" pivotButton="0" quotePrefix="0" xfId="10">
      <alignment horizontal="right"/>
    </xf>
    <xf numFmtId="3" fontId="8" fillId="11" borderId="79" applyAlignment="1" pivotButton="0" quotePrefix="0" xfId="10">
      <alignment vertical="center"/>
    </xf>
    <xf numFmtId="3" fontId="5" fillId="0" borderId="3" pivotButton="0" quotePrefix="0" xfId="10"/>
    <xf numFmtId="0" fontId="109" fillId="0" borderId="0" pivotButton="0" quotePrefix="0" xfId="2"/>
    <xf numFmtId="3" fontId="8" fillId="0" borderId="1" applyAlignment="1" pivotButton="0" quotePrefix="0" xfId="10">
      <alignment horizontal="right" vertical="center" wrapText="1"/>
    </xf>
    <xf numFmtId="3" fontId="8" fillId="0" borderId="1" applyAlignment="1" pivotButton="0" quotePrefix="0" xfId="2">
      <alignment horizontal="right" vertical="center" wrapText="1"/>
    </xf>
    <xf numFmtId="3" fontId="8" fillId="0" borderId="1" applyAlignment="1" pivotButton="0" quotePrefix="0" xfId="10">
      <alignment vertical="center" wrapText="1"/>
    </xf>
    <xf numFmtId="3" fontId="110" fillId="0" borderId="79" applyAlignment="1" pivotButton="0" quotePrefix="0" xfId="10">
      <alignment horizontal="right"/>
    </xf>
    <xf numFmtId="3" fontId="8" fillId="0" borderId="79" applyAlignment="1" pivotButton="0" quotePrefix="0" xfId="10">
      <alignment vertical="center"/>
    </xf>
    <xf numFmtId="0" fontId="21" fillId="0" borderId="0" applyAlignment="1" pivotButton="0" quotePrefix="0" xfId="2">
      <alignment horizontal="center"/>
    </xf>
    <xf numFmtId="0" fontId="21" fillId="0" borderId="1" applyAlignment="1" pivotButton="0" quotePrefix="0" xfId="10">
      <alignment horizontal="center" vertical="center" wrapText="1"/>
    </xf>
    <xf numFmtId="3" fontId="21" fillId="0" borderId="1" applyAlignment="1" pivotButton="0" quotePrefix="0" xfId="10">
      <alignment horizontal="right" vertical="center" wrapText="1"/>
    </xf>
    <xf numFmtId="3" fontId="8" fillId="0" borderId="1" applyAlignment="1" pivotButton="0" quotePrefix="0" xfId="14">
      <alignment vertical="center" wrapText="1"/>
    </xf>
    <xf numFmtId="0" fontId="22" fillId="0" borderId="79" pivotButton="0" quotePrefix="0" xfId="10"/>
    <xf numFmtId="0" fontId="21" fillId="0" borderId="79" pivotButton="0" quotePrefix="0" xfId="10"/>
    <xf numFmtId="0" fontId="53" fillId="0" borderId="79" applyAlignment="1" pivotButton="0" quotePrefix="0" xfId="10">
      <alignment horizontal="left" indent="2"/>
    </xf>
    <xf numFmtId="0" fontId="53" fillId="0" borderId="79" pivotButton="0" quotePrefix="0" xfId="10"/>
    <xf numFmtId="168" fontId="103" fillId="0" borderId="0" applyAlignment="1" pivotButton="0" quotePrefix="0" xfId="8">
      <alignment horizontal="left"/>
    </xf>
    <xf numFmtId="3" fontId="8" fillId="0" borderId="1" applyAlignment="1" pivotButton="0" quotePrefix="0" xfId="8">
      <alignment horizontal="right" vertical="center" wrapText="1"/>
    </xf>
    <xf numFmtId="3" fontId="8" fillId="0" borderId="3" applyAlignment="1" pivotButton="0" quotePrefix="0" xfId="8">
      <alignment horizontal="right" vertical="center" wrapText="1"/>
    </xf>
    <xf numFmtId="3" fontId="60" fillId="0" borderId="1" applyAlignment="1" pivotButton="0" quotePrefix="0" xfId="12">
      <alignment horizontal="right"/>
    </xf>
    <xf numFmtId="3" fontId="19" fillId="0" borderId="1" pivotButton="0" quotePrefix="0" xfId="2"/>
    <xf numFmtId="168" fontId="56" fillId="0" borderId="79" applyAlignment="1" pivotButton="0" quotePrefix="0" xfId="12">
      <alignment horizontal="left"/>
    </xf>
    <xf numFmtId="168" fontId="13" fillId="0" borderId="79" applyAlignment="1" pivotButton="0" quotePrefix="0" xfId="12">
      <alignment horizontal="left"/>
    </xf>
    <xf numFmtId="168" fontId="19" fillId="0" borderId="79" applyAlignment="1" pivotButton="0" quotePrefix="0" xfId="12">
      <alignment horizontal="left"/>
    </xf>
    <xf numFmtId="3" fontId="58" fillId="0" borderId="79" applyAlignment="1" pivotButton="0" quotePrefix="0" xfId="12">
      <alignment horizontal="left"/>
    </xf>
    <xf numFmtId="3" fontId="8" fillId="11" borderId="79" applyAlignment="1" pivotButton="0" quotePrefix="0" xfId="12">
      <alignment vertical="center"/>
    </xf>
    <xf numFmtId="3" fontId="19" fillId="0" borderId="79" applyAlignment="1" pivotButton="0" quotePrefix="0" xfId="2">
      <alignment horizontal="center"/>
    </xf>
    <xf numFmtId="0" fontId="19" fillId="0" borderId="3" pivotButton="0" quotePrefix="0" xfId="2"/>
    <xf numFmtId="3" fontId="51" fillId="0" borderId="0" pivotButton="0" quotePrefix="0" xfId="8"/>
    <xf numFmtId="3" fontId="60" fillId="3" borderId="1" applyAlignment="1" pivotButton="0" quotePrefix="0" xfId="12">
      <alignment horizontal="right"/>
    </xf>
    <xf numFmtId="3" fontId="60" fillId="3" borderId="79" applyAlignment="1" pivotButton="0" quotePrefix="0" xfId="12">
      <alignment horizontal="right"/>
    </xf>
    <xf numFmtId="3" fontId="56" fillId="0" borderId="79" applyAlignment="1" pivotButton="0" quotePrefix="0" xfId="12">
      <alignment horizontal="left"/>
    </xf>
    <xf numFmtId="3" fontId="15" fillId="0" borderId="79" pivotButton="0" quotePrefix="0" xfId="14"/>
    <xf numFmtId="3" fontId="19" fillId="0" borderId="79" pivotButton="0" quotePrefix="0" xfId="10"/>
    <xf numFmtId="3" fontId="15" fillId="0" borderId="79" pivotButton="0" quotePrefix="0" xfId="10"/>
    <xf numFmtId="3" fontId="13" fillId="11" borderId="3" applyAlignment="1" pivotButton="0" quotePrefix="0" xfId="10">
      <alignment horizontal="right"/>
    </xf>
    <xf numFmtId="3" fontId="13" fillId="11" borderId="3" pivotButton="0" quotePrefix="0" xfId="10"/>
    <xf numFmtId="3" fontId="8" fillId="11" borderId="3" pivotButton="0" quotePrefix="0" xfId="10"/>
    <xf numFmtId="3" fontId="5" fillId="0" borderId="0" pivotButton="0" quotePrefix="0" xfId="10"/>
    <xf numFmtId="3" fontId="19" fillId="0" borderId="1" applyAlignment="1" pivotButton="0" quotePrefix="0" xfId="0">
      <alignment horizontal="right"/>
    </xf>
    <xf numFmtId="3" fontId="52" fillId="0" borderId="79" applyAlignment="1" pivotButton="0" quotePrefix="0" xfId="14">
      <alignment vertical="center" wrapText="1"/>
    </xf>
    <xf numFmtId="0" fontId="5" fillId="0" borderId="79" applyAlignment="1" pivotButton="0" quotePrefix="1" xfId="10">
      <alignment horizontal="left"/>
    </xf>
    <xf numFmtId="0" fontId="27" fillId="0" borderId="79" applyAlignment="1" pivotButton="0" quotePrefix="0" xfId="10">
      <alignment horizontal="left"/>
    </xf>
    <xf numFmtId="0" fontId="63" fillId="0" borderId="79" applyAlignment="1" pivotButton="0" quotePrefix="0" xfId="10">
      <alignment horizontal="left"/>
    </xf>
    <xf numFmtId="3" fontId="63" fillId="0" borderId="78" applyAlignment="1" pivotButton="0" quotePrefix="0" xfId="2">
      <alignment horizontal="right"/>
    </xf>
    <xf numFmtId="3" fontId="63" fillId="0" borderId="0" applyAlignment="1" pivotButton="0" quotePrefix="0" xfId="2">
      <alignment horizontal="right"/>
    </xf>
    <xf numFmtId="3" fontId="63" fillId="0" borderId="79" pivotButton="0" quotePrefix="0" xfId="10"/>
    <xf numFmtId="3" fontId="15" fillId="0" borderId="78" applyAlignment="1" pivotButton="0" quotePrefix="0" xfId="10">
      <alignment horizontal="right" vertical="center"/>
    </xf>
    <xf numFmtId="168" fontId="58" fillId="0" borderId="79" applyAlignment="1" pivotButton="0" quotePrefix="0" xfId="12">
      <alignment horizontal="left"/>
    </xf>
    <xf numFmtId="168" fontId="5" fillId="0" borderId="79" applyAlignment="1" pivotButton="0" quotePrefix="0" xfId="8">
      <alignment horizontal="left" vertical="center"/>
    </xf>
    <xf numFmtId="3" fontId="8" fillId="11" borderId="79" applyAlignment="1" pivotButton="0" quotePrefix="0" xfId="10">
      <alignment vertical="center" wrapText="1"/>
    </xf>
    <xf numFmtId="0" fontId="8" fillId="0" borderId="79" applyAlignment="1" pivotButton="0" quotePrefix="0" xfId="10">
      <alignment vertical="center" wrapText="1"/>
    </xf>
    <xf numFmtId="3" fontId="8" fillId="0" borderId="79" applyAlignment="1" pivotButton="0" quotePrefix="0" xfId="10">
      <alignment vertical="center" wrapText="1"/>
    </xf>
    <xf numFmtId="3" fontId="5" fillId="0" borderId="100" applyAlignment="1" pivotButton="0" quotePrefix="0" xfId="10">
      <alignment horizontal="right"/>
    </xf>
    <xf numFmtId="3" fontId="27" fillId="0" borderId="79" pivotButton="0" quotePrefix="0" xfId="10"/>
    <xf numFmtId="3" fontId="5" fillId="0" borderId="101" applyAlignment="1" pivotButton="0" quotePrefix="0" xfId="10">
      <alignment horizontal="right"/>
    </xf>
    <xf numFmtId="3" fontId="27" fillId="0" borderId="3" pivotButton="0" quotePrefix="0" xfId="10"/>
    <xf numFmtId="3" fontId="27" fillId="0" borderId="0" pivotButton="0" quotePrefix="0" xfId="10"/>
    <xf numFmtId="3" fontId="27" fillId="0" borderId="6" applyAlignment="1" pivotButton="0" quotePrefix="0" xfId="10">
      <alignment horizontal="right"/>
    </xf>
    <xf numFmtId="3" fontId="27" fillId="0" borderId="1" pivotButton="0" quotePrefix="0" xfId="10"/>
    <xf numFmtId="0" fontId="8" fillId="0" borderId="99" pivotButton="0" quotePrefix="0" xfId="10"/>
    <xf numFmtId="3" fontId="8" fillId="0" borderId="2" applyAlignment="1" pivotButton="0" quotePrefix="0" xfId="10">
      <alignment vertical="center" wrapText="1"/>
    </xf>
    <xf numFmtId="0" fontId="8" fillId="0" borderId="99" applyAlignment="1" pivotButton="0" quotePrefix="0" xfId="10">
      <alignment vertical="center" wrapText="1"/>
    </xf>
    <xf numFmtId="0" fontId="5" fillId="0" borderId="99" pivotButton="0" quotePrefix="0" xfId="10"/>
    <xf numFmtId="3" fontId="15" fillId="3" borderId="2" applyAlignment="1" pivotButton="0" quotePrefix="0" xfId="10">
      <alignment horizontal="right"/>
    </xf>
    <xf numFmtId="3" fontId="5" fillId="0" borderId="2" applyAlignment="1" pivotButton="0" quotePrefix="0" xfId="10">
      <alignment vertical="center" wrapText="1"/>
    </xf>
    <xf numFmtId="3" fontId="5" fillId="0" borderId="79" applyAlignment="1" pivotButton="0" quotePrefix="0" xfId="10">
      <alignment vertical="center" wrapText="1"/>
    </xf>
    <xf numFmtId="3" fontId="5" fillId="0" borderId="99" applyAlignment="1" pivotButton="0" quotePrefix="0" xfId="8">
      <alignment horizontal="left"/>
    </xf>
    <xf numFmtId="0" fontId="19" fillId="0" borderId="99" pivotButton="0" quotePrefix="0" xfId="0"/>
    <xf numFmtId="3" fontId="19" fillId="0" borderId="2" pivotButton="0" quotePrefix="0" xfId="0"/>
    <xf numFmtId="3" fontId="5" fillId="0" borderId="3" applyAlignment="1" pivotButton="0" quotePrefix="0" xfId="10">
      <alignment vertical="center" wrapText="1"/>
    </xf>
    <xf numFmtId="3" fontId="52" fillId="0" borderId="1" applyAlignment="1" pivotButton="0" quotePrefix="0" xfId="8">
      <alignment horizontal="right"/>
    </xf>
    <xf numFmtId="3" fontId="52" fillId="0" borderId="1" pivotButton="0" quotePrefix="0" xfId="8"/>
    <xf numFmtId="3" fontId="15" fillId="0" borderId="2" applyAlignment="1" pivotButton="0" quotePrefix="0" xfId="10">
      <alignment horizontal="right"/>
    </xf>
    <xf numFmtId="3" fontId="5" fillId="0" borderId="2" applyAlignment="1" pivotButton="0" quotePrefix="1" xfId="10">
      <alignment horizontal="right"/>
    </xf>
    <xf numFmtId="3" fontId="63" fillId="0" borderId="2" applyAlignment="1" pivotButton="0" quotePrefix="0" xfId="10">
      <alignment horizontal="right"/>
    </xf>
    <xf numFmtId="3" fontId="5" fillId="0" borderId="2" applyAlignment="1" pivotButton="0" quotePrefix="0" xfId="10">
      <alignment vertical="center"/>
    </xf>
    <xf numFmtId="3" fontId="8" fillId="11" borderId="2" applyAlignment="1" pivotButton="0" quotePrefix="0" xfId="10">
      <alignment horizontal="right" vertical="center" wrapText="1"/>
    </xf>
    <xf numFmtId="3" fontId="8" fillId="11" borderId="2" applyAlignment="1" pivotButton="0" quotePrefix="0" xfId="10">
      <alignment vertical="center" wrapText="1"/>
    </xf>
    <xf numFmtId="3" fontId="27" fillId="0" borderId="2" pivotButton="0" quotePrefix="0" xfId="10"/>
    <xf numFmtId="168" fontId="56" fillId="0" borderId="2" applyAlignment="1" pivotButton="0" quotePrefix="0" xfId="12">
      <alignment horizontal="left"/>
    </xf>
    <xf numFmtId="171" fontId="56" fillId="0" borderId="2" applyAlignment="1" pivotButton="0" quotePrefix="0" xfId="12">
      <alignment horizontal="center"/>
    </xf>
    <xf numFmtId="168" fontId="19" fillId="0" borderId="2" applyAlignment="1" pivotButton="0" quotePrefix="0" xfId="12">
      <alignment horizontal="left"/>
    </xf>
    <xf numFmtId="3" fontId="13" fillId="11" borderId="2" applyAlignment="1" pivotButton="0" quotePrefix="0" xfId="12">
      <alignment horizontal="right" vertical="center"/>
    </xf>
    <xf numFmtId="3" fontId="8" fillId="11" borderId="2" applyAlignment="1" pivotButton="0" quotePrefix="0" xfId="12">
      <alignment vertical="center"/>
    </xf>
    <xf numFmtId="168" fontId="19" fillId="0" borderId="3" applyAlignment="1" pivotButton="0" quotePrefix="0" xfId="12">
      <alignment horizontal="left"/>
    </xf>
    <xf numFmtId="3" fontId="5" fillId="0" borderId="0" pivotButton="0" quotePrefix="0" xfId="13"/>
    <xf numFmtId="3" fontId="5" fillId="0" borderId="1" pivotButton="0" quotePrefix="0" xfId="13"/>
    <xf numFmtId="3" fontId="58" fillId="0" borderId="2" applyAlignment="1" pivotButton="0" quotePrefix="0" xfId="12">
      <alignment horizontal="left"/>
    </xf>
    <xf numFmtId="3" fontId="25" fillId="0" borderId="2" applyAlignment="1" pivotButton="0" quotePrefix="0" xfId="8">
      <alignment horizontal="right"/>
    </xf>
    <xf numFmtId="3" fontId="8" fillId="11" borderId="2" applyAlignment="1" pivotButton="0" quotePrefix="0" xfId="8">
      <alignment horizontal="right" vertical="center"/>
    </xf>
    <xf numFmtId="3" fontId="8" fillId="11" borderId="2" applyAlignment="1" pivotButton="0" quotePrefix="0" xfId="8">
      <alignment vertical="center"/>
    </xf>
    <xf numFmtId="3" fontId="15" fillId="0" borderId="2" applyAlignment="1" pivotButton="0" quotePrefix="0" xfId="12">
      <alignment horizontal="right"/>
    </xf>
    <xf numFmtId="3" fontId="15" fillId="0" borderId="2" applyAlignment="1" pivotButton="0" quotePrefix="0" xfId="8">
      <alignment horizontal="right"/>
    </xf>
    <xf numFmtId="3" fontId="24" fillId="0" borderId="2" applyAlignment="1" pivotButton="0" quotePrefix="0" xfId="12">
      <alignment horizontal="right"/>
    </xf>
    <xf numFmtId="3" fontId="8" fillId="0" borderId="1" applyAlignment="1" pivotButton="0" quotePrefix="0" xfId="15">
      <alignment horizontal="right"/>
    </xf>
    <xf numFmtId="168" fontId="22" fillId="0" borderId="2" applyAlignment="1" pivotButton="0" quotePrefix="0" xfId="8">
      <alignment horizontal="left"/>
    </xf>
    <xf numFmtId="3" fontId="21" fillId="0" borderId="2" applyAlignment="1" pivotButton="0" quotePrefix="0" xfId="8">
      <alignment horizontal="left"/>
    </xf>
    <xf numFmtId="3" fontId="53" fillId="0" borderId="2" applyAlignment="1" pivotButton="0" quotePrefix="0" xfId="8">
      <alignment horizontal="left"/>
    </xf>
    <xf numFmtId="167" fontId="19" fillId="0" borderId="2" pivotButton="0" quotePrefix="0" xfId="15"/>
    <xf numFmtId="167" fontId="5" fillId="0" borderId="99" pivotButton="0" quotePrefix="0" xfId="15"/>
    <xf numFmtId="167" fontId="59" fillId="10" borderId="99" pivotButton="0" quotePrefix="0" xfId="15"/>
    <xf numFmtId="3" fontId="106" fillId="10" borderId="2" applyAlignment="1" pivotButton="0" quotePrefix="0" xfId="15">
      <alignment horizontal="right"/>
    </xf>
    <xf numFmtId="168" fontId="21" fillId="0" borderId="2" applyAlignment="1" pivotButton="0" quotePrefix="0" xfId="8">
      <alignment horizontal="left"/>
    </xf>
    <xf numFmtId="3" fontId="51" fillId="0" borderId="2" pivotButton="0" quotePrefix="0" xfId="2"/>
    <xf numFmtId="3" fontId="8" fillId="11" borderId="3" applyAlignment="1" pivotButton="0" quotePrefix="0" xfId="15">
      <alignment vertical="center"/>
    </xf>
    <xf numFmtId="168" fontId="21" fillId="0" borderId="99" applyAlignment="1" pivotButton="0" quotePrefix="0" xfId="8">
      <alignment horizontal="left"/>
    </xf>
    <xf numFmtId="168" fontId="22" fillId="0" borderId="99" applyAlignment="1" pivotButton="0" quotePrefix="0" xfId="8">
      <alignment horizontal="left"/>
    </xf>
    <xf numFmtId="0" fontId="19" fillId="0" borderId="2" applyAlignment="1" pivotButton="0" quotePrefix="0" xfId="0">
      <alignment horizontal="left" indent="1"/>
    </xf>
    <xf numFmtId="3" fontId="19" fillId="0" borderId="2" pivotButton="0" quotePrefix="0" xfId="10"/>
    <xf numFmtId="3" fontId="51" fillId="0" borderId="0" applyAlignment="1" pivotButton="0" quotePrefix="0" xfId="2">
      <alignment horizontal="right"/>
    </xf>
    <xf numFmtId="3" fontId="64" fillId="0" borderId="2" applyAlignment="1" pivotButton="0" quotePrefix="0" xfId="15">
      <alignment horizontal="right"/>
    </xf>
    <xf numFmtId="3" fontId="8" fillId="5" borderId="2" applyAlignment="1" pivotButton="0" quotePrefix="0" xfId="8">
      <alignment horizontal="right" vertical="center" wrapText="1"/>
    </xf>
    <xf numFmtId="167" fontId="5" fillId="0" borderId="99" applyAlignment="1" pivotButton="0" quotePrefix="0" xfId="15">
      <alignment horizontal="left"/>
    </xf>
    <xf numFmtId="3" fontId="24" fillId="0" borderId="2" applyAlignment="1" pivotButton="0" quotePrefix="0" xfId="0">
      <alignment horizontal="right"/>
    </xf>
    <xf numFmtId="168" fontId="52" fillId="0" borderId="99" applyAlignment="1" pivotButton="0" quotePrefix="0" xfId="8">
      <alignment horizontal="left"/>
    </xf>
    <xf numFmtId="3" fontId="21" fillId="11" borderId="2" applyAlignment="1" pivotButton="0" quotePrefix="0" xfId="8">
      <alignment horizontal="right"/>
    </xf>
    <xf numFmtId="0" fontId="19" fillId="0" borderId="2" pivotButton="0" quotePrefix="0" xfId="2"/>
    <xf numFmtId="3" fontId="19" fillId="0" borderId="0" applyAlignment="1" pivotButton="0" quotePrefix="0" xfId="2">
      <alignment horizontal="right"/>
    </xf>
    <xf numFmtId="168" fontId="22" fillId="0" borderId="2" applyAlignment="1" pivotButton="0" quotePrefix="0" xfId="12">
      <alignment horizontal="left"/>
    </xf>
    <xf numFmtId="3" fontId="13" fillId="0" borderId="2" applyAlignment="1" pivotButton="0" quotePrefix="0" xfId="12">
      <alignment horizontal="left"/>
    </xf>
    <xf numFmtId="3" fontId="66" fillId="0" borderId="2" applyAlignment="1" pivotButton="0" quotePrefix="0" xfId="12">
      <alignment horizontal="left"/>
    </xf>
    <xf numFmtId="3" fontId="19" fillId="0" borderId="2" applyAlignment="1" pivotButton="0" quotePrefix="0" xfId="2">
      <alignment horizontal="left"/>
    </xf>
    <xf numFmtId="3" fontId="13" fillId="0" borderId="2" applyAlignment="1" pivotButton="0" quotePrefix="0" xfId="12">
      <alignment horizontal="center" vertical="center"/>
    </xf>
    <xf numFmtId="3" fontId="66" fillId="0" borderId="3" applyAlignment="1" pivotButton="0" quotePrefix="0" xfId="12">
      <alignment horizontal="left"/>
    </xf>
    <xf numFmtId="3" fontId="27" fillId="0" borderId="0" pivotButton="0" quotePrefix="0" xfId="2"/>
    <xf numFmtId="3" fontId="59" fillId="0" borderId="0" pivotButton="0" quotePrefix="0" xfId="2"/>
    <xf numFmtId="3" fontId="8" fillId="0" borderId="2" applyAlignment="1" pivotButton="0" quotePrefix="0" xfId="8">
      <alignment horizontal="right" vertical="center" wrapText="1"/>
    </xf>
    <xf numFmtId="3" fontId="28" fillId="0" borderId="2" applyAlignment="1" pivotButton="0" quotePrefix="0" xfId="8">
      <alignment horizontal="center" vertical="center" wrapText="1"/>
    </xf>
    <xf numFmtId="3" fontId="8" fillId="0" borderId="2" applyAlignment="1" pivotButton="0" quotePrefix="0" xfId="8">
      <alignment horizontal="center" vertical="center" wrapText="1"/>
    </xf>
    <xf numFmtId="3" fontId="8" fillId="0" borderId="1" applyAlignment="1" pivotButton="0" quotePrefix="0" xfId="12">
      <alignment horizontal="center" vertical="center" wrapText="1"/>
    </xf>
    <xf numFmtId="3" fontId="13" fillId="11" borderId="2" applyAlignment="1" pivotButton="0" quotePrefix="0" xfId="8">
      <alignment horizontal="right"/>
    </xf>
    <xf numFmtId="3" fontId="8" fillId="11" borderId="2" applyAlignment="1" pivotButton="0" quotePrefix="0" xfId="12">
      <alignment horizontal="right" vertical="center"/>
    </xf>
    <xf numFmtId="3" fontId="58" fillId="0" borderId="3" applyAlignment="1" pivotButton="0" quotePrefix="0" xfId="8">
      <alignment horizontal="right"/>
    </xf>
    <xf numFmtId="3" fontId="19" fillId="0" borderId="0" applyAlignment="1" pivotButton="0" quotePrefix="0" xfId="2">
      <alignment horizontal="center"/>
    </xf>
    <xf numFmtId="3" fontId="28" fillId="0" borderId="1" applyAlignment="1" pivotButton="0" quotePrefix="0" xfId="8">
      <alignment horizontal="right" vertical="center" wrapText="1"/>
    </xf>
    <xf numFmtId="3" fontId="25" fillId="0" borderId="2" applyAlignment="1" pivotButton="0" quotePrefix="0" xfId="12">
      <alignment horizontal="right"/>
    </xf>
    <xf numFmtId="3" fontId="61" fillId="0" borderId="2" applyAlignment="1" pivotButton="0" quotePrefix="0" xfId="12">
      <alignment horizontal="right"/>
    </xf>
    <xf numFmtId="3" fontId="13" fillId="0" borderId="2" applyAlignment="1" pivotButton="0" quotePrefix="0" xfId="2">
      <alignment horizontal="right" vertical="center"/>
    </xf>
    <xf numFmtId="3" fontId="13" fillId="0" borderId="2" applyAlignment="1" pivotButton="0" quotePrefix="0" xfId="2">
      <alignment vertical="center"/>
    </xf>
    <xf numFmtId="3" fontId="106" fillId="0" borderId="2" applyAlignment="1" pivotButton="0" quotePrefix="0" xfId="12">
      <alignment horizontal="right"/>
    </xf>
    <xf numFmtId="3" fontId="28" fillId="0" borderId="2" applyAlignment="1" pivotButton="0" quotePrefix="0" xfId="0">
      <alignment horizontal="right"/>
    </xf>
    <xf numFmtId="3" fontId="25" fillId="3" borderId="2" applyAlignment="1" pivotButton="0" quotePrefix="0" xfId="12">
      <alignment horizontal="right"/>
    </xf>
    <xf numFmtId="3" fontId="27" fillId="0" borderId="2" applyAlignment="1" pivotButton="0" quotePrefix="0" xfId="2">
      <alignment horizontal="right"/>
    </xf>
    <xf numFmtId="3" fontId="8" fillId="0" borderId="2" applyAlignment="1" pivotButton="0" quotePrefix="0" xfId="12">
      <alignment horizontal="center" vertical="center" wrapText="1"/>
    </xf>
    <xf numFmtId="3" fontId="15" fillId="0" borderId="2" pivotButton="0" quotePrefix="0" xfId="0"/>
    <xf numFmtId="3" fontId="15" fillId="0" borderId="2" pivotButton="0" quotePrefix="0" xfId="8"/>
    <xf numFmtId="3" fontId="8" fillId="0" borderId="2" applyAlignment="1" pivotButton="0" quotePrefix="0" xfId="12">
      <alignment horizontal="right" vertical="center"/>
    </xf>
    <xf numFmtId="3" fontId="5" fillId="0" borderId="3" applyAlignment="1" pivotButton="0" quotePrefix="0" xfId="12">
      <alignment horizontal="right"/>
    </xf>
    <xf numFmtId="3" fontId="67" fillId="0" borderId="2" applyAlignment="1" pivotButton="0" quotePrefix="0" xfId="12">
      <alignment horizontal="right"/>
    </xf>
    <xf numFmtId="3" fontId="5" fillId="0" borderId="8" applyAlignment="1" pivotButton="0" quotePrefix="0" xfId="2">
      <alignment horizontal="center"/>
    </xf>
    <xf numFmtId="168" fontId="21" fillId="0" borderId="2" applyAlignment="1" pivotButton="0" quotePrefix="0" xfId="12">
      <alignment horizontal="left"/>
    </xf>
    <xf numFmtId="3" fontId="19" fillId="0" borderId="2" applyAlignment="1" pivotButton="0" quotePrefix="0" xfId="12">
      <alignment horizontal="left"/>
    </xf>
    <xf numFmtId="3" fontId="15" fillId="0" borderId="2" applyAlignment="1" pivotButton="0" quotePrefix="0" xfId="12">
      <alignment horizontal="right" wrapText="1"/>
    </xf>
    <xf numFmtId="3" fontId="0" fillId="18" borderId="7" applyAlignment="1" pivotButton="0" quotePrefix="0" xfId="0">
      <alignment horizontal="center" vertical="center"/>
    </xf>
    <xf numFmtId="3" fontId="0" fillId="18" borderId="7" pivotButton="0" quotePrefix="0" xfId="0"/>
    <xf numFmtId="3" fontId="0" fillId="18" borderId="7" applyAlignment="1" pivotButton="0" quotePrefix="0" xfId="0">
      <alignment horizontal="center"/>
    </xf>
    <xf numFmtId="0" fontId="113" fillId="0" borderId="0" applyAlignment="1" pivotButton="0" quotePrefix="0" xfId="0">
      <alignment vertical="top" wrapText="1"/>
    </xf>
    <xf numFmtId="0" fontId="114" fillId="0" borderId="0" applyAlignment="1" pivotButton="0" quotePrefix="0" xfId="0">
      <alignment vertical="top" wrapText="1"/>
    </xf>
    <xf numFmtId="176" fontId="3" fillId="0" borderId="0" pivotButton="0" quotePrefix="0" xfId="26"/>
    <xf numFmtId="176" fontId="3" fillId="0" borderId="0" applyAlignment="1" pivotButton="0" quotePrefix="0" xfId="26">
      <alignment vertical="center"/>
    </xf>
    <xf numFmtId="176" fontId="3" fillId="0" borderId="0" applyAlignment="1" pivotButton="0" quotePrefix="0" xfId="26">
      <alignment horizontal="left"/>
    </xf>
    <xf numFmtId="0" fontId="0" fillId="0" borderId="0" applyProtection="1" pivotButton="0" quotePrefix="0" xfId="0">
      <protection locked="0" hidden="0"/>
    </xf>
    <xf numFmtId="164" fontId="3" fillId="0" borderId="0" applyAlignment="1" applyProtection="1" pivotButton="0" quotePrefix="0" xfId="27">
      <alignment vertical="center"/>
      <protection locked="0" hidden="0"/>
    </xf>
    <xf numFmtId="0" fontId="0" fillId="22" borderId="0" applyProtection="1" pivotButton="0" quotePrefix="0" xfId="0">
      <protection locked="0" hidden="0"/>
    </xf>
    <xf numFmtId="176" fontId="75" fillId="0" borderId="0" applyAlignment="1" applyProtection="1" pivotButton="0" quotePrefix="0" xfId="26">
      <alignment horizontal="center" vertical="center"/>
      <protection locked="0" hidden="0"/>
    </xf>
    <xf numFmtId="176" fontId="75" fillId="0" borderId="0" applyAlignment="1" applyProtection="1" pivotButton="0" quotePrefix="0" xfId="26">
      <alignment vertical="center"/>
      <protection locked="0" hidden="0"/>
    </xf>
    <xf numFmtId="176" fontId="75" fillId="22" borderId="0" applyAlignment="1" applyProtection="1" pivotButton="0" quotePrefix="0" xfId="26">
      <alignment horizontal="center" vertical="center"/>
      <protection locked="0" hidden="0"/>
    </xf>
    <xf numFmtId="0" fontId="2" fillId="0" borderId="80" applyAlignment="1" applyProtection="1" pivotButton="0" quotePrefix="0" xfId="28">
      <alignment horizontal="left"/>
      <protection locked="0" hidden="0"/>
    </xf>
    <xf numFmtId="0" fontId="0" fillId="22" borderId="80" applyProtection="1" pivotButton="0" quotePrefix="0" xfId="0">
      <protection locked="0" hidden="0"/>
    </xf>
    <xf numFmtId="176" fontId="76" fillId="0" borderId="80" applyAlignment="1" applyProtection="1" pivotButton="0" quotePrefix="0" xfId="26">
      <alignment horizontal="center"/>
      <protection locked="0" hidden="0"/>
    </xf>
    <xf numFmtId="164" fontId="77" fillId="22" borderId="0" applyAlignment="1" applyProtection="1" pivotButton="0" quotePrefix="0" xfId="27">
      <alignment horizontal="center" vertical="center" wrapText="1"/>
      <protection locked="0" hidden="0"/>
    </xf>
    <xf numFmtId="0" fontId="78" fillId="0" borderId="81" applyAlignment="1" applyProtection="1" pivotButton="0" quotePrefix="0" xfId="28">
      <alignment horizontal="left" vertical="center"/>
      <protection locked="0" hidden="0"/>
    </xf>
    <xf numFmtId="0" fontId="78" fillId="0" borderId="81" applyAlignment="1" applyProtection="1" pivotButton="0" quotePrefix="0" xfId="28">
      <alignment horizontal="right" vertical="center"/>
      <protection locked="0" hidden="0"/>
    </xf>
    <xf numFmtId="0" fontId="78" fillId="3" borderId="81" applyAlignment="1" applyProtection="1" pivotButton="0" quotePrefix="0" xfId="28">
      <alignment horizontal="right" vertical="center"/>
      <protection locked="0" hidden="0"/>
    </xf>
    <xf numFmtId="0" fontId="78" fillId="14" borderId="81" applyAlignment="1" applyProtection="1" pivotButton="0" quotePrefix="0" xfId="28">
      <alignment horizontal="right" vertical="center" wrapText="1"/>
      <protection locked="0" hidden="0"/>
    </xf>
    <xf numFmtId="0" fontId="79" fillId="0" borderId="81" applyAlignment="1" applyProtection="1" pivotButton="0" quotePrefix="0" xfId="28">
      <alignment horizontal="left" vertical="center"/>
      <protection locked="0" hidden="0"/>
    </xf>
    <xf numFmtId="3" fontId="80" fillId="22" borderId="81" applyProtection="1" pivotButton="0" quotePrefix="0" xfId="28">
      <protection locked="0" hidden="0"/>
    </xf>
    <xf numFmtId="0" fontId="79" fillId="15" borderId="81" applyAlignment="1" applyProtection="1" pivotButton="0" quotePrefix="0" xfId="28">
      <alignment horizontal="left" vertical="center"/>
      <protection locked="0" hidden="0"/>
    </xf>
    <xf numFmtId="3" fontId="81" fillId="0" borderId="81" applyProtection="1" pivotButton="0" quotePrefix="0" xfId="28">
      <protection locked="0" hidden="0"/>
    </xf>
    <xf numFmtId="177" fontId="3" fillId="0" borderId="0" applyAlignment="1" applyProtection="1" pivotButton="0" quotePrefix="0" xfId="26">
      <alignment horizontal="left"/>
      <protection locked="0" hidden="0"/>
    </xf>
    <xf numFmtId="0" fontId="3" fillId="0" borderId="0" applyProtection="1" pivotButton="0" quotePrefix="0" xfId="26">
      <protection locked="0" hidden="0"/>
    </xf>
    <xf numFmtId="0" fontId="82" fillId="0" borderId="81" applyAlignment="1" applyProtection="1" pivotButton="0" quotePrefix="0" xfId="28">
      <alignment vertical="center"/>
      <protection locked="0" hidden="0"/>
    </xf>
    <xf numFmtId="176" fontId="83" fillId="16" borderId="0" applyAlignment="1" applyProtection="1" pivotButton="0" quotePrefix="0" xfId="26">
      <alignment horizontal="left" wrapText="1"/>
      <protection locked="0" hidden="0"/>
    </xf>
    <xf numFmtId="178" fontId="76" fillId="2" borderId="0" applyAlignment="1" applyProtection="1" pivotButton="0" quotePrefix="0" xfId="26">
      <alignment vertical="center"/>
      <protection locked="0" hidden="0"/>
    </xf>
    <xf numFmtId="179" fontId="76" fillId="2" borderId="0" pivotButton="0" quotePrefix="0" xfId="26"/>
    <xf numFmtId="3" fontId="84" fillId="18" borderId="0" applyProtection="1" pivotButton="0" quotePrefix="0" xfId="28">
      <protection locked="0" hidden="0"/>
    </xf>
    <xf numFmtId="176" fontId="3" fillId="22" borderId="0" applyProtection="1" pivotButton="0" quotePrefix="0" xfId="26">
      <protection locked="0" hidden="0"/>
    </xf>
    <xf numFmtId="176" fontId="86" fillId="0" borderId="80" applyAlignment="1" applyProtection="1" pivotButton="0" quotePrefix="0" xfId="26">
      <alignment horizontal="center"/>
      <protection locked="0" hidden="0"/>
    </xf>
    <xf numFmtId="176" fontId="3" fillId="0" borderId="0" applyProtection="1" pivotButton="0" quotePrefix="0" xfId="26">
      <protection locked="0" hidden="0"/>
    </xf>
    <xf numFmtId="176" fontId="84" fillId="0" borderId="0" applyAlignment="1" applyProtection="1" pivotButton="0" quotePrefix="0" xfId="26">
      <alignment horizontal="left" wrapText="1"/>
      <protection locked="0" hidden="0"/>
    </xf>
    <xf numFmtId="0" fontId="48" fillId="0" borderId="80" applyAlignment="1" applyProtection="1" pivotButton="0" quotePrefix="0" xfId="28">
      <alignment horizontal="left"/>
      <protection locked="0" hidden="0"/>
    </xf>
    <xf numFmtId="164" fontId="77" fillId="13" borderId="0" applyAlignment="1" pivotButton="0" quotePrefix="0" xfId="27">
      <alignment horizontal="center" vertical="center" wrapText="1"/>
    </xf>
    <xf numFmtId="176" fontId="76" fillId="22" borderId="0" applyProtection="1" pivotButton="0" quotePrefix="0" xfId="26">
      <protection locked="0" hidden="0"/>
    </xf>
    <xf numFmtId="0" fontId="2" fillId="0" borderId="0" applyAlignment="1" applyProtection="1" pivotButton="0" quotePrefix="0" xfId="28">
      <alignment vertical="center"/>
      <protection locked="0" hidden="0"/>
    </xf>
    <xf numFmtId="180" fontId="3" fillId="22" borderId="0" applyAlignment="1" applyProtection="1" pivotButton="0" quotePrefix="0" xfId="26">
      <alignment horizontal="center"/>
      <protection locked="0" hidden="0"/>
    </xf>
    <xf numFmtId="176" fontId="3" fillId="4" borderId="0" applyProtection="1" pivotButton="0" quotePrefix="0" xfId="26">
      <protection locked="0" hidden="0"/>
    </xf>
    <xf numFmtId="180" fontId="3" fillId="0" borderId="0" applyAlignment="1" pivotButton="0" quotePrefix="0" xfId="26">
      <alignment horizontal="center"/>
    </xf>
    <xf numFmtId="176" fontId="3" fillId="0" borderId="0" applyAlignment="1" applyProtection="1" pivotButton="0" quotePrefix="0" xfId="26">
      <alignment horizontal="left"/>
      <protection locked="0" hidden="0"/>
    </xf>
    <xf numFmtId="0" fontId="2" fillId="0" borderId="80" applyProtection="1" pivotButton="0" quotePrefix="0" xfId="28">
      <protection locked="0" hidden="0"/>
    </xf>
    <xf numFmtId="176" fontId="76" fillId="0" borderId="0" applyProtection="1" pivotButton="0" quotePrefix="0" xfId="26">
      <protection locked="0" hidden="0"/>
    </xf>
    <xf numFmtId="166" fontId="19" fillId="0" borderId="0" applyAlignment="1" pivotButton="0" quotePrefix="0" xfId="2">
      <alignment horizontal="center"/>
    </xf>
    <xf numFmtId="0" fontId="4" fillId="0" borderId="0" applyProtection="1" pivotButton="0" quotePrefix="0" xfId="2">
      <protection locked="0" hidden="0"/>
    </xf>
    <xf numFmtId="0" fontId="21" fillId="0" borderId="0" applyAlignment="1" applyProtection="1" pivotButton="0" quotePrefix="0" xfId="2">
      <alignment horizontal="center" vertical="center"/>
      <protection locked="0" hidden="0"/>
    </xf>
    <xf numFmtId="0" fontId="4" fillId="22" borderId="0" applyAlignment="1" applyProtection="1" pivotButton="0" quotePrefix="0" xfId="2">
      <alignment horizontal="center"/>
      <protection locked="0" hidden="0"/>
    </xf>
    <xf numFmtId="0" fontId="8" fillId="0" borderId="0" applyAlignment="1" applyProtection="1" pivotButton="0" quotePrefix="0" xfId="2">
      <alignment horizontal="center" vertical="center"/>
      <protection locked="0" hidden="0"/>
    </xf>
    <xf numFmtId="0" fontId="8" fillId="22" borderId="0" applyAlignment="1" applyProtection="1" pivotButton="0" quotePrefix="0" xfId="2">
      <alignment horizontal="left" vertical="center"/>
      <protection locked="0" hidden="0"/>
    </xf>
    <xf numFmtId="0" fontId="5" fillId="22" borderId="0" applyAlignment="1" applyProtection="1" pivotButton="0" quotePrefix="0" xfId="2">
      <alignment horizontal="center"/>
      <protection locked="0" hidden="0"/>
    </xf>
    <xf numFmtId="166" fontId="5" fillId="22" borderId="0" applyAlignment="1" applyProtection="1" pivotButton="0" quotePrefix="0" xfId="2">
      <alignment horizontal="center"/>
      <protection locked="0" hidden="0"/>
    </xf>
    <xf numFmtId="168" fontId="8" fillId="0" borderId="1" applyAlignment="1" applyProtection="1" pivotButton="0" quotePrefix="0" xfId="8">
      <alignment horizontal="center" vertical="center" wrapText="1"/>
      <protection locked="0" hidden="0"/>
    </xf>
    <xf numFmtId="0" fontId="13" fillId="0" borderId="10" applyAlignment="1" applyProtection="1" pivotButton="0" quotePrefix="0" xfId="2">
      <alignment horizontal="right" vertical="center"/>
      <protection locked="0" hidden="0"/>
    </xf>
    <xf numFmtId="0" fontId="0" fillId="22" borderId="123" applyProtection="1" pivotButton="0" quotePrefix="0" xfId="0">
      <protection locked="0" hidden="0"/>
    </xf>
    <xf numFmtId="0" fontId="91" fillId="0" borderId="121" applyAlignment="1" applyProtection="1" pivotButton="0" quotePrefix="0" xfId="2">
      <alignment horizontal="left" vertical="center"/>
      <protection locked="0" hidden="0"/>
    </xf>
    <xf numFmtId="0" fontId="0" fillId="22" borderId="121" applyProtection="1" pivotButton="0" quotePrefix="0" xfId="0">
      <protection locked="0" hidden="0"/>
    </xf>
    <xf numFmtId="0" fontId="0" fillId="0" borderId="98" applyProtection="1" pivotButton="0" quotePrefix="0" xfId="0">
      <protection locked="0" hidden="0"/>
    </xf>
    <xf numFmtId="3" fontId="8" fillId="22" borderId="7" applyAlignment="1" applyProtection="1" pivotButton="0" quotePrefix="0" xfId="12">
      <alignment horizontal="center" vertical="center" wrapText="1"/>
      <protection locked="0" hidden="0"/>
    </xf>
    <xf numFmtId="166" fontId="13" fillId="0" borderId="7" applyAlignment="1" applyProtection="1" pivotButton="0" quotePrefix="0" xfId="12">
      <alignment horizontal="center" vertical="center" wrapText="1"/>
      <protection locked="0" hidden="0"/>
    </xf>
    <xf numFmtId="3" fontId="28" fillId="22" borderId="1" applyAlignment="1" applyProtection="1" pivotButton="0" quotePrefix="0" xfId="8">
      <alignment horizontal="center" vertical="center" wrapText="1"/>
      <protection locked="0" hidden="0"/>
    </xf>
    <xf numFmtId="166" fontId="28" fillId="22" borderId="1" applyAlignment="1" applyProtection="1" pivotButton="0" quotePrefix="0" xfId="8">
      <alignment horizontal="center" vertical="center" wrapText="1"/>
      <protection locked="0" hidden="0"/>
    </xf>
    <xf numFmtId="168" fontId="22" fillId="0" borderId="98" applyAlignment="1" applyProtection="1" pivotButton="0" quotePrefix="0" xfId="12">
      <alignment horizontal="left"/>
      <protection locked="0" hidden="0"/>
    </xf>
    <xf numFmtId="3" fontId="56" fillId="22" borderId="98" applyAlignment="1" applyProtection="1" pivotButton="0" quotePrefix="0" xfId="12">
      <alignment horizontal="right"/>
      <protection locked="0" hidden="0"/>
    </xf>
    <xf numFmtId="171" fontId="52" fillId="22" borderId="98" applyAlignment="1" applyProtection="1" pivotButton="0" quotePrefix="0" xfId="12">
      <alignment horizontal="right"/>
      <protection locked="0" hidden="0"/>
    </xf>
    <xf numFmtId="3" fontId="52" fillId="22" borderId="98" applyAlignment="1" applyProtection="1" pivotButton="0" quotePrefix="0" xfId="12">
      <alignment horizontal="right"/>
      <protection locked="0" hidden="0"/>
    </xf>
    <xf numFmtId="171" fontId="5" fillId="22" borderId="98" applyAlignment="1" applyProtection="1" pivotButton="0" quotePrefix="0" xfId="12">
      <alignment horizontal="right"/>
      <protection locked="0" hidden="0"/>
    </xf>
    <xf numFmtId="3" fontId="13" fillId="0" borderId="98" applyAlignment="1" applyProtection="1" pivotButton="0" quotePrefix="0" xfId="12">
      <alignment horizontal="left"/>
      <protection locked="0" hidden="0"/>
    </xf>
    <xf numFmtId="3" fontId="8" fillId="22" borderId="98" applyAlignment="1" applyProtection="1" pivotButton="0" quotePrefix="0" xfId="0">
      <alignment horizontal="right"/>
      <protection locked="0" hidden="0"/>
    </xf>
    <xf numFmtId="171" fontId="8" fillId="22" borderId="98" applyAlignment="1" applyProtection="1" pivotButton="0" quotePrefix="0" xfId="0">
      <alignment horizontal="right"/>
      <protection locked="0" hidden="0"/>
    </xf>
    <xf numFmtId="3" fontId="8" fillId="22" borderId="98" applyAlignment="1" applyProtection="1" pivotButton="0" quotePrefix="0" xfId="12">
      <alignment horizontal="right"/>
      <protection locked="0" hidden="0"/>
    </xf>
    <xf numFmtId="0" fontId="9" fillId="0" borderId="0" applyProtection="1" pivotButton="0" quotePrefix="0" xfId="2">
      <protection locked="0" hidden="0"/>
    </xf>
    <xf numFmtId="3" fontId="58" fillId="0" borderId="98" applyAlignment="1" applyProtection="1" pivotButton="0" quotePrefix="0" xfId="12">
      <alignment horizontal="left"/>
      <protection locked="0" hidden="0"/>
    </xf>
    <xf numFmtId="3" fontId="5" fillId="22" borderId="98" applyAlignment="1" applyProtection="1" pivotButton="0" quotePrefix="0" xfId="0">
      <alignment horizontal="right"/>
      <protection locked="0" hidden="0"/>
    </xf>
    <xf numFmtId="171" fontId="5" fillId="22" borderId="98" applyAlignment="1" applyProtection="1" pivotButton="0" quotePrefix="0" xfId="0">
      <alignment horizontal="right"/>
      <protection locked="0" hidden="0"/>
    </xf>
    <xf numFmtId="0" fontId="9" fillId="22" borderId="0" applyProtection="1" pivotButton="0" quotePrefix="0" xfId="2">
      <protection locked="0" hidden="0"/>
    </xf>
    <xf numFmtId="3" fontId="66" fillId="0" borderId="98" applyAlignment="1" applyProtection="1" pivotButton="0" quotePrefix="0" xfId="12">
      <alignment horizontal="left"/>
      <protection locked="0" hidden="0"/>
    </xf>
    <xf numFmtId="3" fontId="59" fillId="22" borderId="98" applyAlignment="1" applyProtection="1" pivotButton="0" quotePrefix="0" xfId="12">
      <alignment horizontal="right"/>
      <protection locked="0" hidden="0"/>
    </xf>
    <xf numFmtId="166" fontId="67" fillId="22" borderId="98" applyAlignment="1" applyProtection="1" pivotButton="0" quotePrefix="0" xfId="12">
      <alignment horizontal="center"/>
      <protection locked="0" hidden="0"/>
    </xf>
    <xf numFmtId="171" fontId="5" fillId="0" borderId="98" applyAlignment="1" applyProtection="1" pivotButton="0" quotePrefix="0" xfId="0">
      <alignment horizontal="right"/>
      <protection locked="0" hidden="0"/>
    </xf>
    <xf numFmtId="3" fontId="66" fillId="22" borderId="98" applyAlignment="1" applyProtection="1" pivotButton="0" quotePrefix="0" xfId="12">
      <alignment horizontal="right"/>
      <protection locked="0" hidden="0"/>
    </xf>
    <xf numFmtId="166" fontId="66" fillId="22" borderId="98" applyAlignment="1" applyProtection="1" pivotButton="0" quotePrefix="0" xfId="12">
      <alignment horizontal="center"/>
      <protection locked="0" hidden="0"/>
    </xf>
    <xf numFmtId="3" fontId="8" fillId="6" borderId="98" applyAlignment="1" applyProtection="1" pivotButton="0" quotePrefix="1" xfId="10">
      <alignment horizontal="left"/>
      <protection locked="0" hidden="0"/>
    </xf>
    <xf numFmtId="3" fontId="13" fillId="22" borderId="98" applyAlignment="1" applyProtection="1" pivotButton="0" quotePrefix="0" xfId="12">
      <alignment horizontal="right" vertical="center"/>
      <protection locked="0" hidden="0"/>
    </xf>
    <xf numFmtId="171" fontId="13" fillId="22" borderId="98" applyAlignment="1" applyProtection="1" pivotButton="0" quotePrefix="0" xfId="12">
      <alignment horizontal="right" vertical="center"/>
      <protection locked="0" hidden="0"/>
    </xf>
    <xf numFmtId="3" fontId="13" fillId="0" borderId="98" applyAlignment="1" applyProtection="1" pivotButton="0" quotePrefix="0" xfId="12">
      <alignment horizontal="center" vertical="center"/>
      <protection locked="0" hidden="0"/>
    </xf>
    <xf numFmtId="3" fontId="27" fillId="22" borderId="98" applyAlignment="1" applyProtection="1" pivotButton="0" quotePrefix="0" xfId="12">
      <alignment horizontal="right"/>
      <protection locked="0" hidden="0"/>
    </xf>
    <xf numFmtId="0" fontId="5" fillId="0" borderId="87" applyProtection="1" pivotButton="0" quotePrefix="0" xfId="2">
      <protection locked="0" hidden="0"/>
    </xf>
    <xf numFmtId="3" fontId="5" fillId="22" borderId="87" applyAlignment="1" applyProtection="1" pivotButton="0" quotePrefix="0" xfId="2">
      <alignment horizontal="center"/>
      <protection locked="0" hidden="0"/>
    </xf>
    <xf numFmtId="166" fontId="5" fillId="22" borderId="87" applyAlignment="1" applyProtection="1" pivotButton="0" quotePrefix="0" xfId="2">
      <alignment horizontal="center"/>
      <protection locked="0" hidden="0"/>
    </xf>
    <xf numFmtId="168" fontId="53" fillId="0" borderId="0" applyAlignment="1" applyProtection="1" pivotButton="0" quotePrefix="0" xfId="8">
      <alignment horizontal="left" indent="1"/>
      <protection locked="0" hidden="0"/>
    </xf>
    <xf numFmtId="3" fontId="8" fillId="22" borderId="0" applyAlignment="1" applyProtection="1" pivotButton="0" quotePrefix="0" xfId="12">
      <alignment horizontal="right" vertical="center"/>
      <protection locked="0" hidden="0"/>
    </xf>
    <xf numFmtId="166" fontId="13" fillId="22" borderId="0" applyAlignment="1" applyProtection="1" pivotButton="0" quotePrefix="0" xfId="12">
      <alignment horizontal="center" vertical="center"/>
      <protection locked="0" hidden="0"/>
    </xf>
    <xf numFmtId="0" fontId="8" fillId="22" borderId="0" applyAlignment="1" applyProtection="1" pivotButton="0" quotePrefix="0" xfId="2">
      <alignment vertical="center"/>
      <protection locked="0" hidden="0"/>
    </xf>
    <xf numFmtId="0" fontId="5" fillId="0" borderId="0" applyAlignment="1" applyProtection="1" pivotButton="0" quotePrefix="0" xfId="2">
      <alignment horizontal="left" vertical="center" wrapText="1"/>
      <protection locked="0" hidden="0"/>
    </xf>
    <xf numFmtId="3" fontId="5" fillId="22" borderId="0" applyAlignment="1" applyProtection="1" pivotButton="0" quotePrefix="0" xfId="2">
      <alignment horizontal="right"/>
      <protection locked="0" hidden="0"/>
    </xf>
    <xf numFmtId="166" fontId="19" fillId="22" borderId="0" applyAlignment="1" applyProtection="1" pivotButton="0" quotePrefix="0" xfId="2">
      <alignment horizontal="center"/>
      <protection locked="0" hidden="0"/>
    </xf>
    <xf numFmtId="168" fontId="8" fillId="0" borderId="118" applyAlignment="1" applyProtection="1" pivotButton="0" quotePrefix="0" xfId="8">
      <alignment horizontal="center" vertical="center" wrapText="1"/>
      <protection locked="0" hidden="0"/>
    </xf>
    <xf numFmtId="0" fontId="0" fillId="0" borderId="119" applyProtection="1" pivotButton="0" quotePrefix="0" xfId="0">
      <protection locked="0" hidden="0"/>
    </xf>
    <xf numFmtId="168" fontId="8" fillId="0" borderId="99" applyAlignment="1" applyProtection="1" pivotButton="0" quotePrefix="0" xfId="8">
      <alignment horizontal="center" vertical="center" wrapText="1"/>
      <protection locked="0" hidden="0"/>
    </xf>
    <xf numFmtId="3" fontId="8" fillId="22" borderId="1" applyAlignment="1" applyProtection="1" pivotButton="0" quotePrefix="0" xfId="12">
      <alignment horizontal="right" vertical="center" wrapText="1"/>
      <protection locked="0" hidden="0"/>
    </xf>
    <xf numFmtId="166" fontId="13" fillId="22" borderId="1" applyAlignment="1" applyProtection="1" pivotButton="0" quotePrefix="0" xfId="12">
      <alignment horizontal="center" vertical="center" wrapText="1"/>
      <protection locked="0" hidden="0"/>
    </xf>
    <xf numFmtId="0" fontId="52" fillId="0" borderId="99" applyProtection="1" pivotButton="0" quotePrefix="0" xfId="2">
      <protection locked="0" hidden="0"/>
    </xf>
    <xf numFmtId="3" fontId="52" fillId="22" borderId="98" applyAlignment="1" applyProtection="1" pivotButton="0" quotePrefix="0" xfId="2">
      <alignment horizontal="right"/>
      <protection locked="0" hidden="0"/>
    </xf>
    <xf numFmtId="0" fontId="52" fillId="22" borderId="99" applyProtection="1" pivotButton="0" quotePrefix="0" xfId="2">
      <protection locked="0" hidden="0"/>
    </xf>
    <xf numFmtId="0" fontId="5" fillId="0" borderId="99" applyProtection="1" pivotButton="0" quotePrefix="0" xfId="2">
      <protection locked="0" hidden="0"/>
    </xf>
    <xf numFmtId="0" fontId="5" fillId="22" borderId="99" applyProtection="1" pivotButton="0" quotePrefix="0" xfId="2">
      <protection locked="0" hidden="0"/>
    </xf>
    <xf numFmtId="3" fontId="5" fillId="22" borderId="98" applyAlignment="1" applyProtection="1" pivotButton="0" quotePrefix="0" xfId="2">
      <alignment horizontal="right"/>
      <protection locked="0" hidden="0"/>
    </xf>
    <xf numFmtId="166" fontId="19" fillId="22" borderId="98" applyAlignment="1" applyProtection="1" pivotButton="0" quotePrefix="0" xfId="12">
      <alignment horizontal="center"/>
      <protection locked="0" hidden="0"/>
    </xf>
    <xf numFmtId="3" fontId="8" fillId="12" borderId="98" applyAlignment="1" applyProtection="1" pivotButton="0" quotePrefix="1" xfId="10">
      <alignment horizontal="left"/>
      <protection locked="0" hidden="0"/>
    </xf>
    <xf numFmtId="3" fontId="8" fillId="22" borderId="98" applyAlignment="1" applyProtection="1" pivotButton="0" quotePrefix="0" xfId="2">
      <alignment horizontal="right" vertical="center"/>
      <protection locked="0" hidden="0"/>
    </xf>
    <xf numFmtId="171" fontId="8" fillId="22" borderId="98" applyAlignment="1" applyProtection="1" pivotButton="0" quotePrefix="0" xfId="2">
      <alignment horizontal="right" vertical="center"/>
      <protection locked="0" hidden="0"/>
    </xf>
    <xf numFmtId="168" fontId="51" fillId="0" borderId="77" applyAlignment="1" applyProtection="1" pivotButton="0" quotePrefix="0" xfId="8">
      <alignment horizontal="left"/>
      <protection locked="0" hidden="0"/>
    </xf>
    <xf numFmtId="3" fontId="5" fillId="22" borderId="87" applyAlignment="1" applyProtection="1" pivotButton="0" quotePrefix="0" xfId="2">
      <alignment horizontal="right"/>
      <protection locked="0" hidden="0"/>
    </xf>
    <xf numFmtId="166" fontId="19" fillId="22" borderId="87" applyAlignment="1" applyProtection="1" pivotButton="0" quotePrefix="0" xfId="12">
      <alignment horizontal="center"/>
      <protection locked="0" hidden="0"/>
    </xf>
    <xf numFmtId="168" fontId="51" fillId="0" borderId="0" applyAlignment="1" applyProtection="1" pivotButton="0" quotePrefix="0" xfId="8">
      <alignment horizontal="left"/>
      <protection locked="0" hidden="0"/>
    </xf>
    <xf numFmtId="166" fontId="19" fillId="22" borderId="0" applyAlignment="1" applyProtection="1" pivotButton="0" quotePrefix="0" xfId="12">
      <alignment horizontal="center"/>
      <protection locked="0" hidden="0"/>
    </xf>
    <xf numFmtId="0" fontId="8" fillId="0" borderId="0" applyAlignment="1" applyProtection="1" pivotButton="0" quotePrefix="0" xfId="2">
      <alignment horizontal="center" vertical="center" wrapText="1"/>
      <protection locked="0" hidden="0"/>
    </xf>
    <xf numFmtId="0" fontId="8" fillId="22" borderId="0" applyAlignment="1" applyProtection="1" pivotButton="0" quotePrefix="0" xfId="2">
      <alignment vertical="center" wrapText="1"/>
      <protection locked="0" hidden="0"/>
    </xf>
    <xf numFmtId="0" fontId="13" fillId="0" borderId="0" applyAlignment="1" applyProtection="1" pivotButton="0" quotePrefix="0" xfId="2">
      <alignment horizontal="center"/>
      <protection locked="0" hidden="0"/>
    </xf>
    <xf numFmtId="3" fontId="8" fillId="22" borderId="0" applyAlignment="1" applyProtection="1" pivotButton="0" quotePrefix="0" xfId="2">
      <alignment horizontal="right"/>
      <protection locked="0" hidden="0"/>
    </xf>
    <xf numFmtId="3" fontId="19" fillId="0" borderId="98" applyAlignment="1" applyProtection="1" pivotButton="0" quotePrefix="0" xfId="12">
      <alignment horizontal="left"/>
      <protection locked="0" hidden="0"/>
    </xf>
    <xf numFmtId="3" fontId="5" fillId="22" borderId="98" applyAlignment="1" applyProtection="1" pivotButton="0" quotePrefix="0" xfId="12">
      <alignment horizontal="right"/>
      <protection locked="0" hidden="0"/>
    </xf>
    <xf numFmtId="168" fontId="51" fillId="0" borderId="98" applyAlignment="1" applyProtection="1" pivotButton="0" quotePrefix="0" xfId="8">
      <alignment horizontal="left"/>
      <protection locked="0" hidden="0"/>
    </xf>
    <xf numFmtId="3" fontId="8" fillId="22" borderId="98" applyAlignment="1" applyProtection="1" pivotButton="0" quotePrefix="0" xfId="10">
      <alignment horizontal="right"/>
      <protection locked="0" hidden="0"/>
    </xf>
    <xf numFmtId="171" fontId="8" fillId="22" borderId="98" applyAlignment="1" applyProtection="1" pivotButton="0" quotePrefix="0" xfId="10">
      <alignment horizontal="right"/>
      <protection locked="0" hidden="0"/>
    </xf>
    <xf numFmtId="3" fontId="4" fillId="22" borderId="0" applyAlignment="1" applyProtection="1" pivotButton="0" quotePrefix="0" xfId="2">
      <alignment horizontal="center"/>
      <protection locked="0" hidden="0"/>
    </xf>
    <xf numFmtId="165" fontId="4" fillId="22" borderId="0" applyProtection="1" pivotButton="0" quotePrefix="0" xfId="16">
      <protection locked="0" hidden="0"/>
    </xf>
    <xf numFmtId="9" fontId="4" fillId="22" borderId="0" applyProtection="1" pivotButton="0" quotePrefix="0" xfId="16">
      <protection locked="0" hidden="0"/>
    </xf>
    <xf numFmtId="168" fontId="51" fillId="0" borderId="87" applyAlignment="1" applyProtection="1" pivotButton="0" quotePrefix="0" xfId="8">
      <alignment horizontal="left"/>
      <protection locked="0" hidden="0"/>
    </xf>
    <xf numFmtId="0" fontId="92" fillId="0" borderId="0" applyAlignment="1" applyProtection="1" pivotButton="0" quotePrefix="0" xfId="2">
      <alignment horizontal="center" vertical="center"/>
      <protection locked="0" hidden="0"/>
    </xf>
    <xf numFmtId="0" fontId="13" fillId="0" borderId="0" applyAlignment="1" applyProtection="1" pivotButton="0" quotePrefix="0" xfId="2">
      <alignment vertical="center"/>
      <protection locked="0" hidden="0"/>
    </xf>
    <xf numFmtId="0" fontId="19" fillId="0" borderId="1" applyProtection="1" pivotButton="0" quotePrefix="0" xfId="2">
      <protection locked="0" hidden="0"/>
    </xf>
    <xf numFmtId="3" fontId="5" fillId="22" borderId="1" applyAlignment="1" applyProtection="1" pivotButton="0" quotePrefix="0" xfId="2">
      <alignment horizontal="right"/>
      <protection locked="0" hidden="0"/>
    </xf>
    <xf numFmtId="166" fontId="5" fillId="22" borderId="1" applyAlignment="1" applyProtection="1" pivotButton="0" quotePrefix="0" xfId="2">
      <alignment horizontal="center"/>
      <protection locked="0" hidden="0"/>
    </xf>
    <xf numFmtId="168" fontId="56" fillId="0" borderId="98" applyAlignment="1" applyProtection="1" pivotButton="0" quotePrefix="0" xfId="12">
      <alignment horizontal="left"/>
      <protection locked="0" hidden="0"/>
    </xf>
    <xf numFmtId="3" fontId="56" fillId="22" borderId="98" applyAlignment="1" applyProtection="1" pivotButton="0" quotePrefix="0" xfId="10">
      <alignment horizontal="right"/>
      <protection locked="0" hidden="0"/>
    </xf>
    <xf numFmtId="171" fontId="68" fillId="0" borderId="98" applyAlignment="1" applyProtection="1" pivotButton="0" quotePrefix="0" xfId="12">
      <alignment horizontal="left"/>
      <protection locked="0" hidden="0"/>
    </xf>
    <xf numFmtId="3" fontId="68" fillId="22" borderId="98" applyAlignment="1" applyProtection="1" pivotButton="0" quotePrefix="0" xfId="12">
      <alignment horizontal="right"/>
      <protection locked="0" hidden="0"/>
    </xf>
    <xf numFmtId="171" fontId="56" fillId="0" borderId="98" applyAlignment="1" applyProtection="1" pivotButton="0" quotePrefix="0" xfId="12">
      <alignment horizontal="left"/>
      <protection locked="0" hidden="0"/>
    </xf>
    <xf numFmtId="168" fontId="19" fillId="0" borderId="98" applyAlignment="1" applyProtection="1" pivotButton="0" quotePrefix="0" xfId="12">
      <alignment horizontal="left"/>
      <protection locked="0" hidden="0"/>
    </xf>
    <xf numFmtId="3" fontId="19" fillId="22" borderId="98" applyAlignment="1" applyProtection="1" pivotButton="0" quotePrefix="0" xfId="10">
      <alignment horizontal="right"/>
      <protection locked="0" hidden="0"/>
    </xf>
    <xf numFmtId="3" fontId="69" fillId="22" borderId="98" applyAlignment="1" applyProtection="1" pivotButton="0" quotePrefix="0" xfId="12">
      <alignment horizontal="right"/>
      <protection locked="0" hidden="0"/>
    </xf>
    <xf numFmtId="166" fontId="69" fillId="22" borderId="98" applyAlignment="1" applyProtection="1" pivotButton="0" quotePrefix="0" xfId="12">
      <alignment horizontal="center"/>
      <protection locked="0" hidden="0"/>
    </xf>
    <xf numFmtId="3" fontId="19" fillId="22" borderId="98" applyAlignment="1" applyProtection="1" pivotButton="0" quotePrefix="0" xfId="12">
      <alignment horizontal="right"/>
      <protection locked="0" hidden="0"/>
    </xf>
    <xf numFmtId="3" fontId="8" fillId="12" borderId="98" applyAlignment="1" applyProtection="1" pivotButton="0" quotePrefix="1" xfId="10">
      <alignment horizontal="left" vertical="center"/>
      <protection locked="0" hidden="0"/>
    </xf>
    <xf numFmtId="3" fontId="8" fillId="22" borderId="98" applyAlignment="1" applyProtection="1" pivotButton="0" quotePrefix="1" xfId="10">
      <alignment horizontal="right" vertical="center"/>
      <protection locked="0" hidden="0"/>
    </xf>
    <xf numFmtId="171" fontId="8" fillId="22" borderId="98" applyAlignment="1" applyProtection="1" pivotButton="0" quotePrefix="1" xfId="10">
      <alignment horizontal="right" vertical="center"/>
      <protection locked="0" hidden="0"/>
    </xf>
    <xf numFmtId="3" fontId="59" fillId="12" borderId="98" applyAlignment="1" applyProtection="1" pivotButton="0" quotePrefix="1" xfId="10">
      <alignment horizontal="left" vertical="center"/>
      <protection locked="0" hidden="0"/>
    </xf>
    <xf numFmtId="3" fontId="59" fillId="22" borderId="98" applyAlignment="1" applyProtection="1" pivotButton="0" quotePrefix="1" xfId="10">
      <alignment horizontal="right" vertical="center"/>
      <protection locked="0" hidden="0"/>
    </xf>
    <xf numFmtId="171" fontId="59" fillId="22" borderId="98" applyAlignment="1" applyProtection="1" pivotButton="0" quotePrefix="1" xfId="10">
      <alignment horizontal="right" vertical="center"/>
      <protection locked="0" hidden="0"/>
    </xf>
    <xf numFmtId="168" fontId="8" fillId="0" borderId="98" applyAlignment="1" applyProtection="1" pivotButton="0" quotePrefix="0" xfId="12">
      <alignment horizontal="left" vertical="center" wrapText="1"/>
      <protection locked="0" hidden="0"/>
    </xf>
    <xf numFmtId="171" fontId="19" fillId="22" borderId="98" applyAlignment="1" applyProtection="1" pivotButton="0" quotePrefix="0" xfId="10">
      <alignment horizontal="right"/>
      <protection locked="0" hidden="0"/>
    </xf>
    <xf numFmtId="168" fontId="19" fillId="0" borderId="87" applyAlignment="1" applyProtection="1" pivotButton="0" quotePrefix="0" xfId="12">
      <alignment horizontal="left"/>
      <protection locked="0" hidden="0"/>
    </xf>
    <xf numFmtId="3" fontId="19" fillId="22" borderId="87" applyAlignment="1" applyProtection="1" pivotButton="0" quotePrefix="0" xfId="10">
      <alignment horizontal="right"/>
      <protection locked="0" hidden="0"/>
    </xf>
    <xf numFmtId="171" fontId="19" fillId="22" borderId="87" applyAlignment="1" applyProtection="1" pivotButton="0" quotePrefix="0" xfId="10">
      <alignment horizontal="right"/>
      <protection locked="0" hidden="0"/>
    </xf>
    <xf numFmtId="0" fontId="21" fillId="0" borderId="0" applyAlignment="1" applyProtection="1" pivotButton="0" quotePrefix="0" xfId="2">
      <alignment vertical="center"/>
      <protection locked="0" hidden="0"/>
    </xf>
    <xf numFmtId="0" fontId="5" fillId="0" borderId="0" applyProtection="1" pivotButton="0" quotePrefix="0" xfId="2">
      <protection locked="0" hidden="0"/>
    </xf>
    <xf numFmtId="0" fontId="5" fillId="0" borderId="1" applyProtection="1" pivotButton="0" quotePrefix="0" xfId="2">
      <protection locked="0" hidden="0"/>
    </xf>
    <xf numFmtId="168" fontId="8" fillId="0" borderId="98" applyAlignment="1" applyProtection="1" pivotButton="0" quotePrefix="0" xfId="8">
      <alignment horizontal="left"/>
      <protection locked="0" hidden="0"/>
    </xf>
    <xf numFmtId="3" fontId="52" fillId="22" borderId="98" applyAlignment="1" applyProtection="1" pivotButton="0" quotePrefix="0" xfId="10">
      <alignment horizontal="right"/>
      <protection locked="0" hidden="0"/>
    </xf>
    <xf numFmtId="3" fontId="5" fillId="0" borderId="98" applyAlignment="1" applyProtection="1" pivotButton="0" quotePrefix="0" xfId="8">
      <alignment horizontal="left"/>
      <protection locked="0" hidden="0"/>
    </xf>
    <xf numFmtId="3" fontId="5" fillId="0" borderId="98" applyAlignment="1" applyProtection="1" pivotButton="0" quotePrefix="0" xfId="2">
      <alignment horizontal="left"/>
      <protection locked="0" hidden="0"/>
    </xf>
    <xf numFmtId="166" fontId="19" fillId="22" borderId="98" applyAlignment="1" applyProtection="1" pivotButton="0" quotePrefix="0" xfId="2">
      <alignment horizontal="center"/>
      <protection locked="0" hidden="0"/>
    </xf>
    <xf numFmtId="0" fontId="6" fillId="22" borderId="0" applyAlignment="1" applyProtection="1" pivotButton="0" quotePrefix="0" xfId="2">
      <alignment vertical="center"/>
      <protection locked="0" hidden="0"/>
    </xf>
    <xf numFmtId="3" fontId="8" fillId="0" borderId="98" applyAlignment="1" applyProtection="1" pivotButton="0" quotePrefix="0" xfId="8">
      <alignment horizontal="left" vertical="center"/>
      <protection locked="0" hidden="0"/>
    </xf>
    <xf numFmtId="3" fontId="5" fillId="22" borderId="98" applyAlignment="1" applyProtection="1" pivotButton="0" quotePrefix="0" xfId="10">
      <alignment horizontal="right"/>
      <protection locked="0" hidden="0"/>
    </xf>
    <xf numFmtId="3" fontId="5" fillId="0" borderId="87" applyAlignment="1" applyProtection="1" pivotButton="0" quotePrefix="0" xfId="2">
      <alignment horizontal="left"/>
      <protection locked="0" hidden="0"/>
    </xf>
    <xf numFmtId="3" fontId="5" fillId="22" borderId="87" applyAlignment="1" applyProtection="1" pivotButton="0" quotePrefix="0" xfId="12">
      <alignment horizontal="right"/>
      <protection locked="0" hidden="0"/>
    </xf>
    <xf numFmtId="3" fontId="8" fillId="22" borderId="98" applyAlignment="1" applyProtection="1" pivotButton="0" quotePrefix="0" xfId="12">
      <alignment horizontal="right" vertical="center" wrapText="1"/>
      <protection locked="0" hidden="0"/>
    </xf>
    <xf numFmtId="166" fontId="13" fillId="22" borderId="98" applyAlignment="1" applyProtection="1" pivotButton="0" quotePrefix="0" xfId="12">
      <alignment horizontal="center" vertical="center" wrapText="1"/>
      <protection locked="0" hidden="0"/>
    </xf>
    <xf numFmtId="171" fontId="8" fillId="22" borderId="98" applyAlignment="1" applyProtection="1" pivotButton="0" quotePrefix="0" xfId="12">
      <alignment horizontal="right"/>
      <protection locked="0" hidden="0"/>
    </xf>
    <xf numFmtId="171" fontId="59" fillId="22" borderId="98" applyAlignment="1" applyProtection="1" pivotButton="0" quotePrefix="0" xfId="12">
      <alignment horizontal="right"/>
      <protection locked="0" hidden="0"/>
    </xf>
    <xf numFmtId="0" fontId="19" fillId="0" borderId="98" applyProtection="1" pivotButton="0" quotePrefix="0" xfId="2">
      <protection locked="0" hidden="0"/>
    </xf>
    <xf numFmtId="171" fontId="5" fillId="22" borderId="98" applyAlignment="1" applyProtection="1" pivotButton="0" quotePrefix="0" xfId="2">
      <alignment horizontal="right"/>
      <protection locked="0" hidden="0"/>
    </xf>
    <xf numFmtId="171" fontId="27" fillId="22" borderId="98" applyAlignment="1" applyProtection="1" pivotButton="0" quotePrefix="0" xfId="12">
      <alignment horizontal="right"/>
      <protection locked="0" hidden="0"/>
    </xf>
    <xf numFmtId="3" fontId="19" fillId="0" borderId="98" applyAlignment="1" applyProtection="1" pivotButton="0" quotePrefix="0" xfId="2">
      <alignment horizontal="left"/>
      <protection locked="0" hidden="0"/>
    </xf>
    <xf numFmtId="171" fontId="27" fillId="3" borderId="98" applyAlignment="1" applyProtection="1" pivotButton="0" quotePrefix="0" xfId="12">
      <alignment horizontal="right"/>
      <protection locked="0" hidden="0"/>
    </xf>
    <xf numFmtId="0" fontId="4" fillId="22" borderId="0" applyProtection="1" pivotButton="0" quotePrefix="0" xfId="2">
      <protection locked="0" hidden="0"/>
    </xf>
    <xf numFmtId="166" fontId="58" fillId="22" borderId="98" applyAlignment="1" applyProtection="1" pivotButton="0" quotePrefix="0" xfId="12">
      <alignment horizontal="center"/>
      <protection locked="0" hidden="0"/>
    </xf>
    <xf numFmtId="3" fontId="8" fillId="22" borderId="98" applyAlignment="1" applyProtection="1" pivotButton="0" quotePrefix="0" xfId="12">
      <alignment horizontal="right" vertical="center"/>
      <protection locked="0" hidden="0"/>
    </xf>
    <xf numFmtId="171" fontId="8" fillId="22" borderId="98" applyAlignment="1" applyProtection="1" pivotButton="0" quotePrefix="0" xfId="12">
      <alignment horizontal="right" vertical="center"/>
      <protection locked="0" hidden="0"/>
    </xf>
    <xf numFmtId="165" fontId="10" fillId="22" borderId="0" applyProtection="1" pivotButton="0" quotePrefix="0" xfId="16">
      <protection locked="0" hidden="0"/>
    </xf>
    <xf numFmtId="0" fontId="4" fillId="0" borderId="0" applyAlignment="1" applyProtection="1" pivotButton="0" quotePrefix="0" xfId="2">
      <alignment horizontal="right"/>
      <protection locked="0" hidden="0"/>
    </xf>
    <xf numFmtId="3" fontId="66" fillId="0" borderId="87" applyAlignment="1" applyProtection="1" pivotButton="0" quotePrefix="0" xfId="12">
      <alignment horizontal="left"/>
      <protection locked="0" hidden="0"/>
    </xf>
    <xf numFmtId="3" fontId="59" fillId="22" borderId="87" applyAlignment="1" applyProtection="1" pivotButton="0" quotePrefix="0" xfId="12">
      <alignment horizontal="right"/>
      <protection locked="0" hidden="0"/>
    </xf>
    <xf numFmtId="171" fontId="59" fillId="22" borderId="88" applyAlignment="1" applyProtection="1" pivotButton="0" quotePrefix="0" xfId="12">
      <alignment horizontal="right"/>
      <protection locked="0" hidden="0"/>
    </xf>
    <xf numFmtId="0" fontId="27" fillId="0" borderId="0" applyProtection="1" pivotButton="0" quotePrefix="0" xfId="2">
      <protection locked="0" hidden="0"/>
    </xf>
    <xf numFmtId="3" fontId="59" fillId="22" borderId="0" applyAlignment="1" applyProtection="1" pivotButton="0" quotePrefix="0" xfId="12">
      <alignment horizontal="right"/>
      <protection locked="0" hidden="0"/>
    </xf>
    <xf numFmtId="166" fontId="66" fillId="22" borderId="0" applyAlignment="1" applyProtection="1" pivotButton="0" quotePrefix="0" xfId="12">
      <alignment horizontal="center"/>
      <protection locked="0" hidden="0"/>
    </xf>
    <xf numFmtId="0" fontId="13" fillId="22" borderId="0" applyProtection="1" pivotButton="0" quotePrefix="0" xfId="2">
      <protection locked="0" hidden="0"/>
    </xf>
    <xf numFmtId="168" fontId="8" fillId="0" borderId="6" applyAlignment="1" applyProtection="1" pivotButton="0" quotePrefix="0" xfId="8">
      <alignment horizontal="center" vertical="center" wrapText="1"/>
      <protection locked="0" hidden="0"/>
    </xf>
    <xf numFmtId="166" fontId="19" fillId="22" borderId="1" applyAlignment="1" applyProtection="1" pivotButton="0" quotePrefix="0" xfId="2">
      <alignment horizontal="center"/>
      <protection locked="0" hidden="0"/>
    </xf>
    <xf numFmtId="3" fontId="8" fillId="0" borderId="98" applyAlignment="1" applyProtection="1" pivotButton="0" quotePrefix="0" xfId="2">
      <alignment vertical="center"/>
      <protection locked="0" hidden="0"/>
    </xf>
    <xf numFmtId="3" fontId="52" fillId="22" borderId="98" applyAlignment="1" applyProtection="1" pivotButton="0" quotePrefix="0" xfId="8">
      <alignment horizontal="right" vertical="center"/>
      <protection locked="0" hidden="0"/>
    </xf>
    <xf numFmtId="3" fontId="52" fillId="0" borderId="98" applyProtection="1" pivotButton="0" quotePrefix="0" xfId="2">
      <protection locked="0" hidden="0"/>
    </xf>
    <xf numFmtId="3" fontId="5" fillId="0" borderId="98" applyProtection="1" pivotButton="0" quotePrefix="0" xfId="2">
      <protection locked="0" hidden="0"/>
    </xf>
    <xf numFmtId="3" fontId="8" fillId="22" borderId="98" applyAlignment="1" applyProtection="1" pivotButton="0" quotePrefix="0" xfId="8">
      <alignment horizontal="right"/>
      <protection locked="0" hidden="0"/>
    </xf>
    <xf numFmtId="171" fontId="8" fillId="22" borderId="98" applyAlignment="1" applyProtection="1" pivotButton="0" quotePrefix="0" xfId="8">
      <alignment horizontal="right"/>
      <protection locked="0" hidden="0"/>
    </xf>
    <xf numFmtId="3" fontId="5" fillId="22" borderId="98" applyAlignment="1" applyProtection="1" pivotButton="0" quotePrefix="0" xfId="8">
      <alignment horizontal="right"/>
      <protection locked="0" hidden="0"/>
    </xf>
    <xf numFmtId="3" fontId="5" fillId="0" borderId="87" applyProtection="1" pivotButton="0" quotePrefix="0" xfId="2">
      <protection locked="0" hidden="0"/>
    </xf>
    <xf numFmtId="3" fontId="27" fillId="22" borderId="87" applyAlignment="1" applyProtection="1" pivotButton="0" quotePrefix="0" xfId="8">
      <alignment horizontal="center"/>
      <protection locked="0" hidden="0"/>
    </xf>
    <xf numFmtId="166" fontId="66" fillId="22" borderId="87" applyAlignment="1" applyProtection="1" pivotButton="0" quotePrefix="0" xfId="12">
      <alignment horizontal="center"/>
      <protection locked="0" hidden="0"/>
    </xf>
    <xf numFmtId="0" fontId="8" fillId="0" borderId="0" applyAlignment="1" applyProtection="1" pivotButton="0" quotePrefix="0" xfId="2">
      <alignment horizontal="center"/>
      <protection locked="0" hidden="0"/>
    </xf>
    <xf numFmtId="3" fontId="8" fillId="22" borderId="1" applyAlignment="1" applyProtection="1" pivotButton="0" quotePrefix="0" xfId="8">
      <alignment horizontal="center" vertical="center" wrapText="1"/>
      <protection locked="0" hidden="0"/>
    </xf>
    <xf numFmtId="3" fontId="52" fillId="22" borderId="98" applyProtection="1" pivotButton="0" quotePrefix="0" xfId="12">
      <protection locked="0" hidden="0"/>
    </xf>
    <xf numFmtId="3" fontId="8" fillId="22" borderId="98" applyProtection="1" pivotButton="0" quotePrefix="0" xfId="12">
      <protection locked="0" hidden="0"/>
    </xf>
    <xf numFmtId="3" fontId="5" fillId="22" borderId="98" applyProtection="1" pivotButton="0" quotePrefix="0" xfId="2">
      <protection locked="0" hidden="0"/>
    </xf>
    <xf numFmtId="3" fontId="27" fillId="22" borderId="98" applyProtection="1" pivotButton="0" quotePrefix="0" xfId="0">
      <protection locked="0" hidden="0"/>
    </xf>
    <xf numFmtId="3" fontId="59" fillId="22" borderId="98" applyProtection="1" pivotButton="0" quotePrefix="0" xfId="0">
      <protection locked="0" hidden="0"/>
    </xf>
    <xf numFmtId="3" fontId="8" fillId="22" borderId="98" applyProtection="1" pivotButton="0" quotePrefix="0" xfId="0">
      <protection locked="0" hidden="0"/>
    </xf>
    <xf numFmtId="166" fontId="5" fillId="22" borderId="89" applyAlignment="1" applyProtection="1" pivotButton="0" quotePrefix="0" xfId="2">
      <alignment horizontal="center"/>
      <protection locked="0" hidden="0"/>
    </xf>
    <xf numFmtId="171" fontId="5" fillId="0" borderId="98" applyAlignment="1" applyProtection="1" pivotButton="0" quotePrefix="0" xfId="12">
      <alignment horizontal="right"/>
      <protection locked="0" hidden="0"/>
    </xf>
    <xf numFmtId="3" fontId="59" fillId="22" borderId="98" applyProtection="1" pivotButton="0" quotePrefix="0" xfId="12">
      <protection locked="0" hidden="0"/>
    </xf>
    <xf numFmtId="166" fontId="5" fillId="22" borderId="98" applyAlignment="1" applyProtection="1" pivotButton="0" quotePrefix="0" xfId="2">
      <alignment horizontal="center"/>
      <protection locked="0" hidden="0"/>
    </xf>
    <xf numFmtId="3" fontId="8" fillId="22" borderId="98" applyAlignment="1" applyProtection="1" pivotButton="0" quotePrefix="0" xfId="12">
      <alignment vertical="center"/>
      <protection locked="0" hidden="0"/>
    </xf>
    <xf numFmtId="171" fontId="8" fillId="22" borderId="98" applyAlignment="1" applyProtection="1" pivotButton="0" quotePrefix="0" xfId="12">
      <alignment vertical="center"/>
      <protection locked="0" hidden="0"/>
    </xf>
    <xf numFmtId="3" fontId="27" fillId="22" borderId="98" applyProtection="1" pivotButton="0" quotePrefix="0" xfId="12">
      <protection locked="0" hidden="0"/>
    </xf>
    <xf numFmtId="3" fontId="13" fillId="0" borderId="87" applyAlignment="1" applyProtection="1" pivotButton="0" quotePrefix="0" xfId="12">
      <alignment horizontal="left"/>
      <protection locked="0" hidden="0"/>
    </xf>
    <xf numFmtId="3" fontId="8" fillId="22" borderId="87" applyProtection="1" pivotButton="0" quotePrefix="0" xfId="12">
      <protection locked="0" hidden="0"/>
    </xf>
    <xf numFmtId="166" fontId="8" fillId="22" borderId="87" applyAlignment="1" applyProtection="1" pivotButton="0" quotePrefix="0" xfId="8">
      <alignment horizontal="center" vertical="center"/>
      <protection locked="0" hidden="0"/>
    </xf>
    <xf numFmtId="0" fontId="27" fillId="22" borderId="0" applyAlignment="1" applyProtection="1" pivotButton="0" quotePrefix="0" xfId="2">
      <alignment horizontal="center"/>
      <protection locked="0" hidden="0"/>
    </xf>
    <xf numFmtId="166" fontId="27" fillId="22" borderId="0" applyAlignment="1" applyProtection="1" pivotButton="0" quotePrefix="0" xfId="2">
      <alignment horizontal="center"/>
      <protection locked="0" hidden="0"/>
    </xf>
    <xf numFmtId="0" fontId="14" fillId="22" borderId="0" applyAlignment="1" applyProtection="1" pivotButton="0" quotePrefix="0" xfId="2">
      <alignment vertical="center"/>
      <protection locked="0" hidden="0"/>
    </xf>
    <xf numFmtId="0" fontId="9" fillId="22" borderId="4" applyProtection="1" pivotButton="0" quotePrefix="0" xfId="2">
      <protection locked="0" hidden="0"/>
    </xf>
    <xf numFmtId="3" fontId="14" fillId="22" borderId="0" applyAlignment="1" applyProtection="1" pivotButton="0" quotePrefix="0" xfId="2">
      <alignment vertical="center"/>
      <protection locked="0" hidden="0"/>
    </xf>
    <xf numFmtId="0" fontId="6" fillId="22" borderId="0" applyAlignment="1" applyProtection="1" pivotButton="0" quotePrefix="0" xfId="13">
      <alignment vertical="center" wrapText="1"/>
      <protection locked="0" hidden="0"/>
    </xf>
    <xf numFmtId="3" fontId="4" fillId="22" borderId="0" applyAlignment="1" applyProtection="1" pivotButton="0" quotePrefix="0" xfId="12">
      <alignment horizontal="center"/>
      <protection locked="0" hidden="0"/>
    </xf>
    <xf numFmtId="0" fontId="6" fillId="0" borderId="0" applyProtection="1" pivotButton="0" quotePrefix="0" xfId="2">
      <protection locked="0" hidden="0"/>
    </xf>
    <xf numFmtId="0" fontId="70" fillId="0" borderId="0" applyAlignment="1" applyProtection="1" pivotButton="0" quotePrefix="0" xfId="2">
      <alignment vertical="center"/>
      <protection locked="0" hidden="0"/>
    </xf>
    <xf numFmtId="0" fontId="17" fillId="22" borderId="0" applyAlignment="1" applyProtection="1" pivotButton="0" quotePrefix="0" xfId="2">
      <alignment horizontal="center"/>
      <protection locked="0" hidden="0"/>
    </xf>
    <xf numFmtId="0" fontId="14" fillId="22" borderId="0" applyAlignment="1" applyProtection="1" pivotButton="0" quotePrefix="0" xfId="2">
      <alignment horizontal="center"/>
      <protection locked="0" hidden="0"/>
    </xf>
    <xf numFmtId="0" fontId="111" fillId="0" borderId="0" pivotButton="0" quotePrefix="0" xfId="0"/>
    <xf numFmtId="0" fontId="112" fillId="0" borderId="0" pivotButton="0" quotePrefix="0" xfId="0"/>
  </cellXfs>
  <cellStyles count="31">
    <cellStyle name="Normal" xfId="0" builtinId="0"/>
    <cellStyle name="Milliers" xfId="1" builtinId="3"/>
    <cellStyle name="Normal 2 2 2" xfId="2"/>
    <cellStyle name="Normal 2 2 3" xfId="3"/>
    <cellStyle name="Normal 16 3 2" xfId="4"/>
    <cellStyle name="Milliers 2" xfId="5"/>
    <cellStyle name="Milliers [0] 2" xfId="6"/>
    <cellStyle name="Milliers 2 2" xfId="7"/>
    <cellStyle name="Normal_TRAFIC 97_1_TRAFIC 98" xfId="8"/>
    <cellStyle name="Normal 2 2 3 2" xfId="9"/>
    <cellStyle name="Normal_act98 2 2" xfId="10"/>
    <cellStyle name="Normal 3 4" xfId="11"/>
    <cellStyle name="Normal_TRAFIC 97_1_TRAFIC 98 2 2" xfId="12"/>
    <cellStyle name="Normal 3 2 2" xfId="13"/>
    <cellStyle name="Normal_synth-act97 2 2" xfId="14"/>
    <cellStyle name="Normal_mar-pc 2" xfId="15"/>
    <cellStyle name="Pourcentage" xfId="16" builtinId="5"/>
    <cellStyle name="Milliers 5" xfId="17"/>
    <cellStyle name="Milliers 3" xfId="18"/>
    <cellStyle name="Normal 2" xfId="19"/>
    <cellStyle name="Milliers 2 3" xfId="20"/>
    <cellStyle name="Milliers 4" xfId="21"/>
    <cellStyle name="Normal 3" xfId="22"/>
    <cellStyle name="Milliers 6" xfId="23"/>
    <cellStyle name="Milliers 7" xfId="24"/>
    <cellStyle name="Milliers 8" xfId="25"/>
    <cellStyle name="Normal 2 2 3 2 2" xfId="26"/>
    <cellStyle name="Milliers 2 3 2" xfId="27"/>
    <cellStyle name="Normal 16 3 2 3" xfId="28"/>
    <cellStyle name="Milliers 31" xfId="29"/>
    <cellStyle name="Milliers [0]" xfId="30" builtinId="6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conteneurs transbordés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47776012739318"/>
          <y val="0.1706158141450915"/>
          <w val="0.9435222398726069"/>
          <h val="0.6794598977920248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COEFFICIENTS_SAISONNIERS_2026!$C$185:$N$185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COEFFICIENTS_SAISONNIERS_2026!$C$193:$N$193</f>
              <numCache>
                <formatCode xml:space="preserve">#,##0.00_ ;\-#,##0.00\ </formatCode>
                <ptCount val="12"/>
                <pt idx="0">
                  <v>0.8125473404163478</v>
                </pt>
                <pt idx="1">
                  <v>0.8842623002506554</v>
                </pt>
                <pt idx="2">
                  <v>0.8517063569217788</v>
                </pt>
                <pt idx="3">
                  <v>0.8843253582482486</v>
                </pt>
                <pt idx="4">
                  <v>1.064995529638385</v>
                </pt>
                <pt idx="5">
                  <v>0.9444466548107622</v>
                </pt>
                <pt idx="6">
                  <v>1.084246235475078</v>
                </pt>
                <pt idx="7">
                  <v>1.17216710069086</v>
                </pt>
                <pt idx="8">
                  <v>1.025025767449612</v>
                </pt>
                <pt idx="9">
                  <v>1.041420846823866</v>
                </pt>
                <pt idx="10">
                  <v>1.053897322061967</v>
                </pt>
                <pt idx="11">
                  <v>1.180959187212439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4608"/>
        <axId val="386933632"/>
      </lineChart>
      <catAx>
        <axId val="386944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3632"/>
        <crosses val="autoZero"/>
        <auto val="1"/>
        <lblAlgn val="ctr"/>
        <lblOffset val="100"/>
        <noMultiLvlLbl val="0"/>
      </catAx>
      <valAx>
        <axId val="386933632"/>
        <scaling>
          <orientation val="minMax"/>
          <max val="1.8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4608"/>
        <crosses val="autoZero"/>
        <crossBetween val="between"/>
        <majorUnit val="0.3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escales navires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COEFFICIENTS_SAISONNIERS_2026!$C$5:$N$5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COEFFICIENTS_SAISONNIERS_2026!$C$13:$N$13</f>
              <numCache>
                <formatCode xml:space="preserve">#,##0.00_ ;\-#,##0.00\ </formatCode>
                <ptCount val="12"/>
                <pt idx="0">
                  <v>1.023824855119124</v>
                </pt>
                <pt idx="1">
                  <v>0.9455891822279459</v>
                </pt>
                <pt idx="2">
                  <v>0.986155827430779</v>
                </pt>
                <pt idx="3">
                  <v>0.9803605924018028</v>
                </pt>
                <pt idx="4">
                  <v>1.026722472633612</v>
                </pt>
                <pt idx="5">
                  <v>0.9407598197037991</v>
                </pt>
                <pt idx="6">
                  <v>1.023824855119124</v>
                </pt>
                <pt idx="7">
                  <v>0.9726336123631679</v>
                </pt>
                <pt idx="8">
                  <v>0.9745653573728267</v>
                </pt>
                <pt idx="9">
                  <v>1.020927237604636</v>
                </pt>
                <pt idx="10">
                  <v>1.022858982614295</v>
                </pt>
                <pt idx="11">
                  <v>1.081777205408886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6824"/>
        <axId val="385989176"/>
      </lineChart>
      <catAx>
        <axId val="385986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176"/>
        <crosses val="autoZero"/>
        <auto val="1"/>
        <lblAlgn val="ctr"/>
        <lblOffset val="100"/>
        <noMultiLvlLbl val="0"/>
      </catAx>
      <valAx>
        <axId val="385989176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82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global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Ref>
              <f>COEFFICIENTS_SAISONNIERS_2026!$C$25:$N$25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COEFFICIENTS_SAISONNIERS_2026!$C$33:$N$33</f>
              <numCache>
                <formatCode xml:space="preserve">#,##0.00_ ;\-#,##0.00\ </formatCode>
                <ptCount val="12"/>
                <pt idx="0">
                  <v>0.9322732098659881</v>
                </pt>
                <pt idx="1">
                  <v>0.9437895179699145</v>
                </pt>
                <pt idx="2">
                  <v>0.9721068077489075</v>
                </pt>
                <pt idx="3">
                  <v>1.023258573555646</v>
                </pt>
                <pt idx="4">
                  <v>1.071120816712613</v>
                </pt>
                <pt idx="5">
                  <v>0.9409828830848144</v>
                </pt>
                <pt idx="6">
                  <v>1.059098208124734</v>
                </pt>
                <pt idx="7">
                  <v>1.013144983530063</v>
                </pt>
                <pt idx="8">
                  <v>0.9943016594596138</v>
                </pt>
                <pt idx="9">
                  <v>0.9945677658084718</v>
                </pt>
                <pt idx="10">
                  <v>1.004052389068824</v>
                </pt>
                <pt idx="11">
                  <v>1.051303185070411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9568"/>
        <axId val="385986432"/>
      </lineChart>
      <catAx>
        <axId val="385989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432"/>
        <crosses val="autoZero"/>
        <auto val="1"/>
        <lblAlgn val="ctr"/>
        <lblOffset val="100"/>
        <noMultiLvlLbl val="0"/>
      </catAx>
      <valAx>
        <axId val="385986432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56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produits pétroliers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COEFFICIENTS_SAISONNIERS_2026!$C$45:$N$45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COEFFICIENTS_SAISONNIERS_2026!$C$53:$N$53</f>
              <numCache>
                <formatCode xml:space="preserve">#,##0.00_ ;\-#,##0.00\ </formatCode>
                <ptCount val="12"/>
                <pt idx="0">
                  <v>1.03066106773288</v>
                </pt>
                <pt idx="1">
                  <v>1.018622576720915</v>
                </pt>
                <pt idx="2">
                  <v>0.8968072588438027</v>
                </pt>
                <pt idx="3">
                  <v>1.007504006214446</v>
                </pt>
                <pt idx="4">
                  <v>0.9906513004450345</v>
                </pt>
                <pt idx="5">
                  <v>0.9171710798774058</v>
                </pt>
                <pt idx="6">
                  <v>1.021710487101023</v>
                </pt>
                <pt idx="7">
                  <v>1.005736809979296</v>
                </pt>
                <pt idx="8">
                  <v>1.061627017796877</v>
                </pt>
                <pt idx="9">
                  <v>0.999327244145179</v>
                </pt>
                <pt idx="10">
                  <v>1.024262228861294</v>
                </pt>
                <pt idx="11">
                  <v>1.025918922281843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8000"/>
        <axId val="386938336"/>
      </lineChart>
      <catAx>
        <axId val="3859880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8336"/>
        <crosses val="autoZero"/>
        <auto val="1"/>
        <lblAlgn val="ctr"/>
        <lblOffset val="100"/>
        <noMultiLvlLbl val="0"/>
      </catAx>
      <valAx>
        <axId val="386938336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800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marchandises générales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08821194855194"/>
          <y val="0.3625318550365314"/>
          <w val="0.955989938641806"/>
          <h val="0.4548162251879616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COEFFICIENTS_SAISONNIERS_2026!$C$65:$N$65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COEFFICIENTS_SAISONNIERS_2026!$C$73:$N$73</f>
              <numCache>
                <formatCode xml:space="preserve">#,##0.00_ ;\-#,##0.00\ </formatCode>
                <ptCount val="12"/>
                <pt idx="0">
                  <v>0.9107515597603348</v>
                </pt>
                <pt idx="1">
                  <v>0.9311951089460024</v>
                </pt>
                <pt idx="2">
                  <v>1.026971618481183</v>
                </pt>
                <pt idx="3">
                  <v>1.057955934048201</v>
                </pt>
                <pt idx="4">
                  <v>1.100016062841107</v>
                </pt>
                <pt idx="5">
                  <v>0.9475216642975954</v>
                </pt>
                <pt idx="6">
                  <v>1.068621527966336</v>
                </pt>
                <pt idx="7">
                  <v>0.9937788772253323</v>
                </pt>
                <pt idx="8">
                  <v>0.9653892718531656</v>
                </pt>
                <pt idx="9">
                  <v>0.9774239009626245</v>
                </pt>
                <pt idx="10">
                  <v>0.9839849392776742</v>
                </pt>
                <pt idx="11">
                  <v>1.036389534340445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9904"/>
        <axId val="386940296"/>
      </lineChart>
      <catAx>
        <axId val="386939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0296"/>
        <crosses val="autoZero"/>
        <auto val="1"/>
        <lblAlgn val="ctr"/>
        <lblOffset val="100"/>
        <noMultiLvlLbl val="0"/>
      </catAx>
      <valAx>
        <axId val="386940296"/>
        <scaling>
          <orientation val="minMax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990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produits de pêche sans le transbordement du Port de Commerce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863529762306104"/>
          <y val="0.322110076453555"/>
          <w val="0.9577365112653453"/>
          <h val="0.4303473592424283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COEFFICIENTS_SAISONNIERS_2026!$C$85:$N$85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COEFFICIENTS_SAISONNIERS_2026!$C$93:$N$93</f>
              <numCache>
                <formatCode xml:space="preserve">#,##0.00_ ;\-#,##0.00\ </formatCode>
                <ptCount val="12"/>
                <pt idx="0">
                  <v>1.113325000992991</v>
                </pt>
                <pt idx="1">
                  <v>0.8106892638155435</v>
                </pt>
                <pt idx="2">
                  <v>0.8459817087070366</v>
                </pt>
                <pt idx="3">
                  <v>0.9918344552636056</v>
                </pt>
                <pt idx="4">
                  <v>1.135664295441818</v>
                </pt>
                <pt idx="5">
                  <v>1.022303083170692</v>
                </pt>
                <pt idx="6">
                  <v>0.9487281166168763</v>
                </pt>
                <pt idx="7">
                  <v>0.9003980796872288</v>
                </pt>
                <pt idx="8">
                  <v>0.9919175921219426</v>
                </pt>
                <pt idx="9">
                  <v>1.040535820016133</v>
                </pt>
                <pt idx="10">
                  <v>1.090957696964898</v>
                </pt>
                <pt idx="11">
                  <v>1.107664887201233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2848"/>
        <axId val="386945000"/>
      </lineChart>
      <catAx>
        <axId val="386932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5000"/>
        <crosses val="autoZero"/>
        <auto val="1"/>
        <lblAlgn val="ctr"/>
        <lblOffset val="100"/>
        <noMultiLvlLbl val="0"/>
      </catAx>
      <valAx>
        <axId val="386945000"/>
        <scaling>
          <orientation val="minMax"/>
          <min val="0.6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284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national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COEFFICIENTS_SAISONNIERS_2026!$C$105:$N$105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COEFFICIENTS_SAISONNIERS_2026!$C$113:$N$113</f>
              <numCache>
                <formatCode xml:space="preserve">#,##0.00_ ;\-#,##0.00\ </formatCode>
                <ptCount val="12"/>
                <pt idx="0">
                  <v>0.9406709023375839</v>
                </pt>
                <pt idx="1">
                  <v>0.9533506255384767</v>
                </pt>
                <pt idx="2">
                  <v>0.9894757268771546</v>
                </pt>
                <pt idx="3">
                  <v>1.038499729290251</v>
                </pt>
                <pt idx="4">
                  <v>1.060097046638992</v>
                </pt>
                <pt idx="5">
                  <v>0.9578522754724049</v>
                </pt>
                <pt idx="6">
                  <v>1.054933789138325</v>
                </pt>
                <pt idx="7">
                  <v>0.9950681082347047</v>
                </pt>
                <pt idx="8">
                  <v>0.9882646736762404</v>
                </pt>
                <pt idx="9">
                  <v>0.9803612632585219</v>
                </pt>
                <pt idx="10">
                  <v>1.003612364871548</v>
                </pt>
                <pt idx="11">
                  <v>1.037813494665795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transbordement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COEFFICIENTS_SAISONNIERS_2026!$C$125:$N$125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COEFFICIENTS_SAISONNIERS_2026!$C$133:$N$133</f>
              <numCache>
                <formatCode xml:space="preserve">#,##0.00_ ;\-#,##0.00\ </formatCode>
                <ptCount val="12"/>
                <pt idx="0">
                  <v>0.8302708251654308</v>
                </pt>
                <pt idx="1">
                  <v>0.882445494302555</v>
                </pt>
                <pt idx="2">
                  <v>0.865550186550095</v>
                </pt>
                <pt idx="3">
                  <v>0.8987465914243044</v>
                </pt>
                <pt idx="4">
                  <v>1.079913749619402</v>
                </pt>
                <pt idx="5">
                  <v>0.9382114436465145</v>
                </pt>
                <pt idx="6">
                  <v>1.098352945889404</v>
                </pt>
                <pt idx="7">
                  <v>1.141235105620506</v>
                </pt>
                <pt idx="8">
                  <v>0.9975067705052408</v>
                </pt>
                <pt idx="9">
                  <v>1.058530903810925</v>
                </pt>
                <pt idx="10">
                  <v>1.044747933842693</v>
                </pt>
                <pt idx="11">
                  <v>1.164488049622933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6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4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transit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COEFFICIENTS_SAISONNIERS_2026!$C$145:$N$145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COEFFICIENTS_SAISONNIERS_2026!$C$153:$N$153</f>
              <numCache>
                <formatCode xml:space="preserve">#,##0.00_ ;\-#,##0.00\ </formatCode>
                <ptCount val="12"/>
                <pt idx="0">
                  <v>1.000876201315934</v>
                </pt>
                <pt idx="1">
                  <v>0.9447675761420152</v>
                </pt>
                <pt idx="2">
                  <v>0.967010628521621</v>
                </pt>
                <pt idx="3">
                  <v>1.062438969108606</v>
                </pt>
                <pt idx="4">
                  <v>1.157181631418656</v>
                </pt>
                <pt idx="5">
                  <v>0.7942458150962577</v>
                </pt>
                <pt idx="6">
                  <v>1.04102512362623</v>
                </pt>
                <pt idx="7">
                  <v>0.9942496401570939</v>
                </pt>
                <pt idx="8">
                  <v>1.043698162319754</v>
                </pt>
                <pt idx="9">
                  <v>1.031384656054202</v>
                </pt>
                <pt idx="10">
                  <v>0.9506933328309923</v>
                </pt>
                <pt idx="11">
                  <v>1.012428263408638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2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total de conteneurs 2023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COEFFICIENTS_SAISONNIERS_2026!$C$165:$N$165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COEFFICIENTS_SAISONNIERS_2026!$C$173:$N$173</f>
              <numCache>
                <formatCode xml:space="preserve">#,##0.00_ ;\-#,##0.00\ </formatCode>
                <ptCount val="12"/>
                <pt idx="0">
                  <v>0.9304091088599025</v>
                </pt>
                <pt idx="1">
                  <v>0.8384004814236717</v>
                </pt>
                <pt idx="2">
                  <v>0.9533037361929436</v>
                </pt>
                <pt idx="3">
                  <v>0.9739031144504735</v>
                </pt>
                <pt idx="4">
                  <v>1.045628683669833</v>
                </pt>
                <pt idx="5">
                  <v>0.975260976088423</v>
                </pt>
                <pt idx="6">
                  <v>1.050005087159191</v>
                </pt>
                <pt idx="7">
                  <v>1.067148090338303</v>
                </pt>
                <pt idx="8">
                  <v>0.9814350032234748</v>
                </pt>
                <pt idx="9">
                  <v>1.069819451657281</v>
                </pt>
                <pt idx="10">
                  <v>1.024684053660609</v>
                </pt>
                <pt idx="11">
                  <v>1.090002213275894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ax val="1.1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1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conteneurs transbordés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47776012739318"/>
          <y val="0.1706158141450915"/>
          <w val="0.9435222398726069"/>
          <h val="0.6794598977920248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0.5058809828810994</v>
              </pt>
              <pt idx="1">
                <v>0.3546057994643065</v>
              </pt>
              <pt idx="2">
                <v>0.3113233181941695</v>
              </pt>
              <pt idx="3">
                <v>0.4625596832421102</v>
              </pt>
              <pt idx="4">
                <v>0.754396180272505</v>
              </pt>
              <pt idx="5">
                <v>0.8986840572959124</v>
              </pt>
              <pt idx="6">
                <v>1.409921975078607</v>
              </pt>
              <pt idx="7">
                <v>1.573192034470712</v>
              </pt>
              <pt idx="8">
                <v>1.517798222118707</v>
              </pt>
              <pt idx="9">
                <v>1.574473040642832</v>
              </pt>
              <pt idx="10">
                <v>1.322658281898995</v>
              </pt>
              <pt idx="11">
                <v>1.314506424440045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4608"/>
        <axId val="386933632"/>
      </lineChart>
      <catAx>
        <axId val="386944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3632"/>
        <crosses val="autoZero"/>
        <auto val="1"/>
        <lblAlgn val="ctr"/>
        <lblOffset val="100"/>
        <noMultiLvlLbl val="0"/>
      </catAx>
      <valAx>
        <axId val="386933632"/>
        <scaling>
          <orientation val="minMax"/>
          <max val="1.8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4608"/>
        <crosses val="autoZero"/>
        <crossBetween val="between"/>
        <majorUnit val="0.3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escales navires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1.035089188510175</v>
              </pt>
              <pt idx="1">
                <v>0.9456494430952181</v>
              </pt>
              <pt idx="2">
                <v>1.02403483795327</v>
              </pt>
              <pt idx="3">
                <v>0.9747927309270581</v>
              </pt>
              <pt idx="4">
                <v>1.000921195879742</v>
              </pt>
              <pt idx="5">
                <v>0.9285654467800019</v>
              </pt>
              <pt idx="6">
                <v>1.037099070429612</v>
              </pt>
              <pt idx="7">
                <v>0.9948915501214305</v>
              </pt>
              <pt idx="8">
                <v>0.9878569634034001</v>
              </pt>
              <pt idx="9">
                <v>1.002931077799179</v>
              </pt>
              <pt idx="10">
                <v>0.9908717862825559</v>
              </pt>
              <pt idx="11">
                <v>1.077296708818357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6824"/>
        <axId val="385989176"/>
      </lineChart>
      <catAx>
        <axId val="385986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176"/>
        <crosses val="autoZero"/>
        <auto val="1"/>
        <lblAlgn val="ctr"/>
        <lblOffset val="100"/>
        <noMultiLvlLbl val="0"/>
      </catAx>
      <valAx>
        <axId val="385989176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82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global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0.9534213475395265</v>
              </pt>
              <pt idx="1">
                <v>0.9698616620160624</v>
              </pt>
              <pt idx="2">
                <v>1.010945642908421</v>
              </pt>
              <pt idx="3">
                <v>1.042336916556124</v>
              </pt>
              <pt idx="4">
                <v>1.040914620554442</v>
              </pt>
              <pt idx="5">
                <v>0.9406464037989599</v>
              </pt>
              <pt idx="6">
                <v>1.090760472823003</v>
              </pt>
              <pt idx="7">
                <v>0.9916649217507696</v>
              </pt>
              <pt idx="8">
                <v>0.9441484181574781</v>
              </pt>
              <pt idx="9">
                <v>1.017415488317708</v>
              </pt>
              <pt idx="10">
                <v>0.9868085854032694</v>
              </pt>
              <pt idx="11">
                <v>1.011075520174237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9568"/>
        <axId val="385986432"/>
      </lineChart>
      <catAx>
        <axId val="385989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432"/>
        <crosses val="autoZero"/>
        <auto val="1"/>
        <lblAlgn val="ctr"/>
        <lblOffset val="100"/>
        <noMultiLvlLbl val="0"/>
      </catAx>
      <valAx>
        <axId val="385986432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56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produits pétroliers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0.9375661922409357</v>
              </pt>
              <pt idx="1">
                <v>1.098526323944847</v>
              </pt>
              <pt idx="2">
                <v>0.9706318940816449</v>
              </pt>
              <pt idx="3">
                <v>1.110628716849365</v>
              </pt>
              <pt idx="4">
                <v>0.9982122993978956</v>
              </pt>
              <pt idx="5">
                <v>0.9039951300637543</v>
              </pt>
              <pt idx="6">
                <v>1.019650281799713</v>
              </pt>
              <pt idx="7">
                <v>0.9221507785928565</v>
              </pt>
              <pt idx="8">
                <v>0.9129259810128547</v>
              </pt>
              <pt idx="9">
                <v>1.12346928510672</v>
              </pt>
              <pt idx="10">
                <v>1.043323647603146</v>
              </pt>
              <pt idx="11">
                <v>0.9589194693062681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8000"/>
        <axId val="386938336"/>
      </lineChart>
      <catAx>
        <axId val="3859880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8336"/>
        <crosses val="autoZero"/>
        <auto val="1"/>
        <lblAlgn val="ctr"/>
        <lblOffset val="100"/>
        <noMultiLvlLbl val="0"/>
      </catAx>
      <valAx>
        <axId val="386938336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800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marchandises générales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08821194855194"/>
          <y val="0.3625318550365314"/>
          <w val="0.955989938641806"/>
          <h val="0.4548162251879616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0.9788056216336952</v>
              </pt>
              <pt idx="1">
                <v>0.9599546245845454</v>
              </pt>
              <pt idx="2">
                <v>1.059854628504223</v>
              </pt>
              <pt idx="3">
                <v>1.051045177719919</v>
              </pt>
              <pt idx="4">
                <v>1.073465290130215</v>
              </pt>
              <pt idx="5">
                <v>0.9564415684049901</v>
              </pt>
              <pt idx="6">
                <v>1.101449578751214</v>
              </pt>
              <pt idx="7">
                <v>0.9918931585376878</v>
              </pt>
              <pt idx="8">
                <v>0.9275060409739961</v>
              </pt>
              <pt idx="9">
                <v>0.9469333230360727</v>
              </pt>
              <pt idx="10">
                <v>0.9489446336395607</v>
              </pt>
              <pt idx="11">
                <v>1.003706354083882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9904"/>
        <axId val="386940296"/>
      </lineChart>
      <catAx>
        <axId val="386939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0296"/>
        <crosses val="autoZero"/>
        <auto val="1"/>
        <lblAlgn val="ctr"/>
        <lblOffset val="100"/>
        <noMultiLvlLbl val="0"/>
      </catAx>
      <valAx>
        <axId val="386940296"/>
        <scaling>
          <orientation val="minMax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990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produits de pêche sans le transbordement du Port de Commerce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863529762306104"/>
          <y val="0.322110076453555"/>
          <w val="0.9577365112653453"/>
          <h val="0.4303473592424283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1.068279699106302</v>
              </pt>
              <pt idx="1">
                <v>0.7914430999373989</v>
              </pt>
              <pt idx="2">
                <v>0.8876727905487022</v>
              </pt>
              <pt idx="3">
                <v>1.016743649399948</v>
              </pt>
              <pt idx="4">
                <v>1.080179926922948</v>
              </pt>
              <pt idx="5">
                <v>1.004163876854856</v>
              </pt>
              <pt idx="6">
                <v>1.008540786932518</v>
              </pt>
              <pt idx="7">
                <v>0.9346830551899074</v>
              </pt>
              <pt idx="8">
                <v>0.9767776571728767</v>
              </pt>
              <pt idx="9">
                <v>1.00255806290201</v>
              </pt>
              <pt idx="10">
                <v>1.032780237055453</v>
              </pt>
              <pt idx="11">
                <v>1.19617715797708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2848"/>
        <axId val="386945000"/>
      </lineChart>
      <catAx>
        <axId val="386932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5000"/>
        <crosses val="autoZero"/>
        <auto val="1"/>
        <lblAlgn val="ctr"/>
        <lblOffset val="100"/>
        <noMultiLvlLbl val="0"/>
      </catAx>
      <valAx>
        <axId val="386945000"/>
        <scaling>
          <orientation val="minMax"/>
          <min val="0.6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284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national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0.9507970273392689</v>
              </pt>
              <pt idx="1">
                <v>0.9972634546385812</v>
              </pt>
              <pt idx="2">
                <v>1.028467446735145</v>
              </pt>
              <pt idx="3">
                <v>1.068511715048744</v>
              </pt>
              <pt idx="4">
                <v>1.044847836515677</v>
              </pt>
              <pt idx="5">
                <v>0.9610057565937651</v>
              </pt>
              <pt idx="6">
                <v>1.084204777076019</v>
              </pt>
              <pt idx="7">
                <v>0.9837646327895923</v>
              </pt>
              <pt idx="8">
                <v>0.9144195929249536</v>
              </pt>
              <pt idx="9">
                <v>0.9911812200318837</v>
              </pt>
              <pt idx="10">
                <v>0.9797474588434626</v>
              </pt>
              <pt idx="11">
                <v>0.9957890814629075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transbordement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0.6562469145423105</v>
              </pt>
              <pt idx="1">
                <v>0.4596325318932283</v>
              </pt>
              <pt idx="2">
                <v>0.5553987175075309</v>
              </pt>
              <pt idx="3">
                <v>0.5376737614899535</v>
              </pt>
              <pt idx="4">
                <v>0.7727645490045735</v>
              </pt>
              <pt idx="5">
                <v>0.8457783162795871</v>
              </pt>
              <pt idx="6">
                <v>1.360365221465345</v>
              </pt>
              <pt idx="7">
                <v>1.426049714433232</v>
              </pt>
              <pt idx="8">
                <v>1.335712865833989</v>
              </pt>
              <pt idx="9">
                <v>1.494149509833507</v>
              </pt>
              <pt idx="10">
                <v>1.22236531158076</v>
              </pt>
              <pt idx="11">
                <v>1.333862586135981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4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transit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1.114592423441434</v>
              </pt>
              <pt idx="1">
                <v>0.9510727537684206</v>
              </pt>
              <pt idx="2">
                <v>1.058475003685049</v>
              </pt>
              <pt idx="3">
                <v>1.03234824625947</v>
              </pt>
              <pt idx="4">
                <v>1.127986259925533</v>
              </pt>
              <pt idx="5">
                <v>0.795782404459545</v>
              </pt>
              <pt idx="6">
                <v>1.027306727393207</v>
              </pt>
              <pt idx="7">
                <v>0.8647731748796186</v>
              </pt>
              <pt idx="8">
                <v>1.039140940057748</v>
              </pt>
              <pt idx="9">
                <v>1.040817928999516</v>
              </pt>
              <pt idx="10">
                <v>0.943716943243888</v>
              </pt>
              <pt idx="11">
                <v>1.003987193886571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2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total de conteneurs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12"/>
              <pt idx="0">
                <v>Janvier</v>
              </pt>
              <pt idx="1">
                <v>Février</v>
              </pt>
              <pt idx="2">
                <v>Mars</v>
              </pt>
              <pt idx="3">
                <v>Avril</v>
              </pt>
              <pt idx="4">
                <v>Mai</v>
              </pt>
              <pt idx="5">
                <v>Juin</v>
              </pt>
              <pt idx="6">
                <v>Juillet</v>
              </pt>
              <pt idx="7">
                <v>Août</v>
              </pt>
              <pt idx="8">
                <v>Septembre</v>
              </pt>
              <pt idx="9">
                <v>Octobre</v>
              </pt>
              <pt idx="10">
                <v>Novembre</v>
              </pt>
              <pt idx="11">
                <v>Décembre</v>
              </pt>
            </strLit>
          </cat>
          <val>
            <numLit>
              <formatCode xml:space="preserve">#,##0.00_ ;\-#,##0.00\ </formatCode>
              <ptCount val="12"/>
              <pt idx="0">
                <v>0.8870872046732191</v>
              </pt>
              <pt idx="1">
                <v>0.8346959577553913</v>
              </pt>
              <pt idx="2">
                <v>0.9532000997954744</v>
              </pt>
              <pt idx="3">
                <v>0.9505808128740753</v>
              </pt>
              <pt idx="4">
                <v>1.011576320930127</v>
              </pt>
              <pt idx="5">
                <v>1.032136759277387</v>
              </pt>
              <pt idx="6">
                <v>1.09027060685885</v>
              </pt>
              <pt idx="7">
                <v>1.052912028728611</v>
              </pt>
              <pt idx="8">
                <v>1.032990575203395</v>
              </pt>
              <pt idx="9">
                <v>1.099590971676952</v>
              </pt>
              <pt idx="10">
                <v>0.9916328334455307</v>
              </pt>
              <pt idx="11">
                <v>1.063325828780987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ax val="1.1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 ;\-#,##0.0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1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conteneurs transbordés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47776012739318"/>
          <y val="0.1706158141450915"/>
          <w val="0.9435222398726069"/>
          <h val="0.6794598977920248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[1]Coefficients_saisonniers!$C$185:$N$185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[1]Coefficients_saisonniers!$C$193:$N$193</f>
              <numCache>
                <formatCode>General</formatCode>
                <ptCount val="12"/>
                <pt idx="0">
                  <v>0.5872341966597657</v>
                </pt>
                <pt idx="1">
                  <v>0.6777718090018531</v>
                </pt>
                <pt idx="2">
                  <v>0.6368343222052548</v>
                </pt>
                <pt idx="3">
                  <v>0.8326707992056834</v>
                </pt>
                <pt idx="4">
                  <v>0.9600463552575191</v>
                </pt>
                <pt idx="5">
                  <v>0.9413883641060619</v>
                </pt>
                <pt idx="6">
                  <v>1.128996782896841</v>
                </pt>
                <pt idx="7">
                  <v>1.309825745275446</v>
                </pt>
                <pt idx="8">
                  <v>1.225966187219711</v>
                </pt>
                <pt idx="9">
                  <v>1.286749518641695</v>
                </pt>
                <pt idx="10">
                  <v>1.187998334107933</v>
                </pt>
                <pt idx="11">
                  <v>1.224517585422237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4608"/>
        <axId val="386933632"/>
      </lineChart>
      <catAx>
        <axId val="386944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3632"/>
        <crosses val="autoZero"/>
        <auto val="1"/>
        <lblAlgn val="ctr"/>
        <lblOffset val="100"/>
        <noMultiLvlLbl val="0"/>
      </catAx>
      <valAx>
        <axId val="386933632"/>
        <scaling>
          <orientation val="minMax"/>
          <max val="1.8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4608"/>
        <crosses val="autoZero"/>
        <crossBetween val="between"/>
        <majorUnit val="0.3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escales navires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[1]Coefficients_saisonniers!$C$5:$N$5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[1]Coefficients_saisonniers!$C$13:$N$13</f>
              <numCache>
                <formatCode>General</formatCode>
                <ptCount val="12"/>
                <pt idx="0">
                  <v>1.029257314328582</v>
                </pt>
                <pt idx="1">
                  <v>0.9432358089522379</v>
                </pt>
                <pt idx="2">
                  <v>0.9962490622655662</v>
                </pt>
                <pt idx="3">
                  <v>0.9462365591397848</v>
                </pt>
                <pt idx="4">
                  <v>0.9992498124531133</v>
                </pt>
                <pt idx="5">
                  <v>0.9422355588897223</v>
                </pt>
                <pt idx="6">
                  <v>1.03425856464116</v>
                </pt>
                <pt idx="7">
                  <v>0.9822455613903476</v>
                </pt>
                <pt idx="8">
                  <v>1.010252563140785</v>
                </pt>
                <pt idx="9">
                  <v>1.028257064266066</v>
                </pt>
                <pt idx="10">
                  <v>1.00925231307827</v>
                </pt>
                <pt idx="11">
                  <v>1.079269817454364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6824"/>
        <axId val="385989176"/>
      </lineChart>
      <catAx>
        <axId val="385986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176"/>
        <crosses val="autoZero"/>
        <auto val="1"/>
        <lblAlgn val="ctr"/>
        <lblOffset val="100"/>
        <noMultiLvlLbl val="0"/>
      </catAx>
      <valAx>
        <axId val="385989176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82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global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Ref>
              <f>[1]Coefficients_saisonniers!$C$25:$N$25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[1]Coefficients_saisonniers!$C$33:$N$33</f>
              <numCache>
                <formatCode>General</formatCode>
                <ptCount val="12"/>
                <pt idx="0">
                  <v>0.917065325731906</v>
                </pt>
                <pt idx="1">
                  <v>0.9698946080608764</v>
                </pt>
                <pt idx="2">
                  <v>0.9801907772205343</v>
                </pt>
                <pt idx="3">
                  <v>1.013605090951484</v>
                </pt>
                <pt idx="4">
                  <v>1.071700731563629</v>
                </pt>
                <pt idx="5">
                  <v>0.9379304078461544</v>
                </pt>
                <pt idx="6">
                  <v>1.066844236979799</v>
                </pt>
                <pt idx="7">
                  <v>0.9903500050964053</v>
                </pt>
                <pt idx="8">
                  <v>0.979186335279554</v>
                </pt>
                <pt idx="9">
                  <v>1.014621160257207</v>
                </pt>
                <pt idx="10">
                  <v>1.018042289473911</v>
                </pt>
                <pt idx="11">
                  <v>1.04056903153854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9568"/>
        <axId val="385986432"/>
      </lineChart>
      <catAx>
        <axId val="385989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432"/>
        <crosses val="autoZero"/>
        <auto val="1"/>
        <lblAlgn val="ctr"/>
        <lblOffset val="100"/>
        <noMultiLvlLbl val="0"/>
      </catAx>
      <valAx>
        <axId val="385986432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56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produits pétroliers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[1]Coefficients_saisonniers!$C$45:$N$45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[1]Coefficients_saisonniers!$C$53:$N$53</f>
              <numCache>
                <formatCode>General</formatCode>
                <ptCount val="12"/>
                <pt idx="0">
                  <v>0.9524514920865016</v>
                </pt>
                <pt idx="1">
                  <v>1.159514590624336</v>
                </pt>
                <pt idx="2">
                  <v>0.9561993982312108</v>
                </pt>
                <pt idx="3">
                  <v>0.9724679903274537</v>
                </pt>
                <pt idx="4">
                  <v>1.076133039647538</v>
                </pt>
                <pt idx="5">
                  <v>0.8725262364645234</v>
                </pt>
                <pt idx="6">
                  <v>1.04630334035489</v>
                </pt>
                <pt idx="7">
                  <v>0.9403705867475974</v>
                </pt>
                <pt idx="8">
                  <v>1.00829003708657</v>
                </pt>
                <pt idx="9">
                  <v>1.034144125022401</v>
                </pt>
                <pt idx="10">
                  <v>1.040103931071124</v>
                </pt>
                <pt idx="11">
                  <v>0.9414952323358523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8000"/>
        <axId val="386938336"/>
      </lineChart>
      <catAx>
        <axId val="3859880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8336"/>
        <crosses val="autoZero"/>
        <auto val="1"/>
        <lblAlgn val="ctr"/>
        <lblOffset val="100"/>
        <noMultiLvlLbl val="0"/>
      </catAx>
      <valAx>
        <axId val="386938336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800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marchandises générales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08821194855194"/>
          <y val="0.3625318550365314"/>
          <w val="0.955989938641806"/>
          <h val="0.4548162251879616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[1]Coefficients_saisonniers!$C$65:$N$65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[1]Coefficients_saisonniers!$C$73:$N$73</f>
              <numCache>
                <formatCode>General</formatCode>
                <ptCount val="12"/>
                <pt idx="0">
                  <v>0.9399397601934756</v>
                </pt>
                <pt idx="1">
                  <v>0.9450651063709923</v>
                </pt>
                <pt idx="2">
                  <v>1.039967078555762</v>
                </pt>
                <pt idx="3">
                  <v>1.054323559605871</v>
                </pt>
                <pt idx="4">
                  <v>1.084427062021062</v>
                </pt>
                <pt idx="5">
                  <v>0.9602053001310781</v>
                </pt>
                <pt idx="6">
                  <v>1.06455138637563</v>
                </pt>
                <pt idx="7">
                  <v>0.9744680861939076</v>
                </pt>
                <pt idx="8">
                  <v>0.9391201173674938</v>
                </pt>
                <pt idx="9">
                  <v>0.9664451515602016</v>
                </pt>
                <pt idx="10">
                  <v>0.9844600554689462</v>
                </pt>
                <pt idx="11">
                  <v>1.047027336155582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9904"/>
        <axId val="386940296"/>
      </lineChart>
      <catAx>
        <axId val="386939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0296"/>
        <crosses val="autoZero"/>
        <auto val="1"/>
        <lblAlgn val="ctr"/>
        <lblOffset val="100"/>
        <noMultiLvlLbl val="0"/>
      </catAx>
      <valAx>
        <axId val="386940296"/>
        <scaling>
          <orientation val="minMax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990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produits de pêche sans le transbordement du Port de Commerce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863529762306104"/>
          <y val="0.322110076453555"/>
          <w val="0.9577365112653453"/>
          <h val="0.4303473592424283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[1]Coefficients_saisonniers!$C$85:$N$85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[1]Coefficients_saisonniers!$C$93:$N$93</f>
              <numCache>
                <formatCode>General</formatCode>
                <ptCount val="12"/>
                <pt idx="0">
                  <v>1.062324874597692</v>
                </pt>
                <pt idx="1">
                  <v>0.7854716644094706</v>
                </pt>
                <pt idx="2">
                  <v>0.8677172132135429</v>
                </pt>
                <pt idx="3">
                  <v>0.9722886185880147</v>
                </pt>
                <pt idx="4">
                  <v>1.093185592600727</v>
                </pt>
                <pt idx="5">
                  <v>1.003097664272929</v>
                </pt>
                <pt idx="6">
                  <v>1.016364294478887</v>
                </pt>
                <pt idx="7">
                  <v>0.941688282598556</v>
                </pt>
                <pt idx="8">
                  <v>0.9933489397700115</v>
                </pt>
                <pt idx="9">
                  <v>1.028761826937085</v>
                </pt>
                <pt idx="10">
                  <v>1.07864919985893</v>
                </pt>
                <pt idx="11">
                  <v>1.157101828674155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2848"/>
        <axId val="386945000"/>
      </lineChart>
      <catAx>
        <axId val="386932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5000"/>
        <crosses val="autoZero"/>
        <auto val="1"/>
        <lblAlgn val="ctr"/>
        <lblOffset val="100"/>
        <noMultiLvlLbl val="0"/>
      </catAx>
      <valAx>
        <axId val="386945000"/>
        <scaling>
          <orientation val="minMax"/>
          <min val="0.6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284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national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[1]Coefficients_saisonniers!$C$105:$N$105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[1]Coefficients_saisonniers!$C$113:$N$113</f>
              <numCache>
                <formatCode>General</formatCode>
                <ptCount val="12"/>
                <pt idx="0">
                  <v>0.936682062254673</v>
                </pt>
                <pt idx="1">
                  <v>1.001054162503443</v>
                </pt>
                <pt idx="2">
                  <v>1.006890947730324</v>
                </pt>
                <pt idx="3">
                  <v>1.030974603947355</v>
                </pt>
                <pt idx="4">
                  <v>1.07532210249442</v>
                </pt>
                <pt idx="5">
                  <v>0.9542600743673163</v>
                </pt>
                <pt idx="6">
                  <v>1.073383976700133</v>
                </pt>
                <pt idx="7">
                  <v>0.967017752712577</v>
                </pt>
                <pt idx="8">
                  <v>0.9447481701089304</v>
                </pt>
                <pt idx="9">
                  <v>0.9834766617449856</v>
                </pt>
                <pt idx="10">
                  <v>1.002441743985662</v>
                </pt>
                <pt idx="11">
                  <v>1.02374774145018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transbordement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[1]Coefficients_saisonniers!$C$125:$N$125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[1]Coefficients_saisonniers!$C$133:$N$133</f>
              <numCache>
                <formatCode>General</formatCode>
                <ptCount val="12"/>
                <pt idx="0">
                  <v>0.6392028608073979</v>
                </pt>
                <pt idx="1">
                  <v>0.6803408868616907</v>
                </pt>
                <pt idx="2">
                  <v>0.6425686951919267</v>
                </pt>
                <pt idx="3">
                  <v>0.8605550499442077</v>
                </pt>
                <pt idx="4">
                  <v>0.9700454134912917</v>
                </pt>
                <pt idx="5">
                  <v>0.935319657154803</v>
                </pt>
                <pt idx="6">
                  <v>1.137191128959434</v>
                </pt>
                <pt idx="7">
                  <v>1.250584319714463</v>
                </pt>
                <pt idx="8">
                  <v>1.169261704758167</v>
                </pt>
                <pt idx="9">
                  <v>1.301930200579178</v>
                </pt>
                <pt idx="10">
                  <v>1.182527468359147</v>
                </pt>
                <pt idx="11">
                  <v>1.230472614178293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4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transit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[1]Coefficients_saisonniers!$C$145:$N$145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[1]Coefficients_saisonniers!$C$153:$N$153</f>
              <numCache>
                <formatCode>General</formatCode>
                <ptCount val="12"/>
                <pt idx="0">
                  <v>1.016445969003477</v>
                </pt>
                <pt idx="1">
                  <v>0.9762498345524786</v>
                </pt>
                <pt idx="2">
                  <v>1.074964322199215</v>
                </pt>
                <pt idx="3">
                  <v>1.00880638491142</v>
                </pt>
                <pt idx="4">
                  <v>1.140306009893534</v>
                </pt>
                <pt idx="5">
                  <v>0.7924260880985478</v>
                </pt>
                <pt idx="6">
                  <v>0.9373233576496374</v>
                </pt>
                <pt idx="7">
                  <v>0.9422617628140147</v>
                </pt>
                <pt idx="8">
                  <v>1.101846522716059</v>
                </pt>
                <pt idx="9">
                  <v>1.010369547238287</v>
                </pt>
                <pt idx="10">
                  <v>0.9953843266967016</v>
                </pt>
                <pt idx="11">
                  <v>1.003615874226627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2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total de conteneurs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[1]Coefficients_saisonniers!$C$165:$N$165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[1]Coefficients_saisonniers!$C$173:$N$173</f>
              <numCache>
                <formatCode>General</formatCode>
                <ptCount val="12"/>
                <pt idx="0">
                  <v>0.8735889695523169</v>
                </pt>
                <pt idx="1">
                  <v>0.8107734104546176</v>
                </pt>
                <pt idx="2">
                  <v>0.9309489362315521</v>
                </pt>
                <pt idx="3">
                  <v>0.9508412506818543</v>
                </pt>
                <pt idx="4">
                  <v>1.005592911599071</v>
                </pt>
                <pt idx="5">
                  <v>1.003596852128485</v>
                </pt>
                <pt idx="6">
                  <v>1.082198806309399</v>
                </pt>
                <pt idx="7">
                  <v>1.073431621496749</v>
                </pt>
                <pt idx="8">
                  <v>1.0053607587302</v>
                </pt>
                <pt idx="9">
                  <v>1.10893963039139</v>
                </pt>
                <pt idx="10">
                  <v>1.048889421643476</v>
                </pt>
                <pt idx="11">
                  <v>1.105837430780891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ax val="1.1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1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conteneurs transbordés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47776012739318"/>
          <y val="0.1706158141450915"/>
          <w val="0.9435222398726069"/>
          <h val="0.6794598977920248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[2]Coefficients_saisonniers!$C$185:$N$185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[2]Coefficients_saisonniers!$C$193:$N$193</f>
              <numCache>
                <formatCode>General</formatCode>
                <ptCount val="12"/>
                <pt idx="0">
                  <v>0.8125473404163478</v>
                </pt>
                <pt idx="1">
                  <v>0.8842623002506554</v>
                </pt>
                <pt idx="2">
                  <v>0.8517063569217788</v>
                </pt>
                <pt idx="3">
                  <v>0.8843253582482486</v>
                </pt>
                <pt idx="4">
                  <v>1.064995529638385</v>
                </pt>
                <pt idx="5">
                  <v>0.9444466548107622</v>
                </pt>
                <pt idx="6">
                  <v>1.084246235475078</v>
                </pt>
                <pt idx="7">
                  <v>1.17216710069086</v>
                </pt>
                <pt idx="8">
                  <v>1.025025767449612</v>
                </pt>
                <pt idx="9">
                  <v>1.041420846823866</v>
                </pt>
                <pt idx="10">
                  <v>1.053897322061967</v>
                </pt>
                <pt idx="11">
                  <v>1.180959187212439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4608"/>
        <axId val="386933632"/>
      </lineChart>
      <catAx>
        <axId val="386944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3632"/>
        <crosses val="autoZero"/>
        <auto val="1"/>
        <lblAlgn val="ctr"/>
        <lblOffset val="100"/>
        <noMultiLvlLbl val="0"/>
      </catAx>
      <valAx>
        <axId val="386933632"/>
        <scaling>
          <orientation val="minMax"/>
          <max val="1.8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4608"/>
        <crosses val="autoZero"/>
        <crossBetween val="between"/>
        <majorUnit val="0.3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escales navires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[2]Coefficients_saisonniers!$C$5:$N$5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[2]Coefficients_saisonniers!$C$13:$N$13</f>
              <numCache>
                <formatCode>General</formatCode>
                <ptCount val="12"/>
                <pt idx="0">
                  <v>1.023824855119124</v>
                </pt>
                <pt idx="1">
                  <v>0.9455891822279459</v>
                </pt>
                <pt idx="2">
                  <v>0.986155827430779</v>
                </pt>
                <pt idx="3">
                  <v>0.9803605924018028</v>
                </pt>
                <pt idx="4">
                  <v>1.026722472633612</v>
                </pt>
                <pt idx="5">
                  <v>0.9407598197037991</v>
                </pt>
                <pt idx="6">
                  <v>1.023824855119124</v>
                </pt>
                <pt idx="7">
                  <v>0.9726336123631679</v>
                </pt>
                <pt idx="8">
                  <v>0.9745653573728267</v>
                </pt>
                <pt idx="9">
                  <v>1.020927237604636</v>
                </pt>
                <pt idx="10">
                  <v>1.022858982614295</v>
                </pt>
                <pt idx="11">
                  <v>1.081777205408886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6824"/>
        <axId val="385989176"/>
      </lineChart>
      <catAx>
        <axId val="385986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176"/>
        <crosses val="autoZero"/>
        <auto val="1"/>
        <lblAlgn val="ctr"/>
        <lblOffset val="100"/>
        <noMultiLvlLbl val="0"/>
      </catAx>
      <valAx>
        <axId val="385989176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82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global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strRef>
              <f>[2]Coefficients_saisonniers!$C$25:$N$25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[2]Coefficients_saisonniers!$C$33:$N$33</f>
              <numCache>
                <formatCode>General</formatCode>
                <ptCount val="12"/>
                <pt idx="0">
                  <v>0.9322732098659881</v>
                </pt>
                <pt idx="1">
                  <v>0.9437895179699145</v>
                </pt>
                <pt idx="2">
                  <v>0.9721068077489075</v>
                </pt>
                <pt idx="3">
                  <v>1.023258573555646</v>
                </pt>
                <pt idx="4">
                  <v>1.071120816712613</v>
                </pt>
                <pt idx="5">
                  <v>0.9409828830848144</v>
                </pt>
                <pt idx="6">
                  <v>1.059098208124734</v>
                </pt>
                <pt idx="7">
                  <v>1.013144983530063</v>
                </pt>
                <pt idx="8">
                  <v>0.9943016594596138</v>
                </pt>
                <pt idx="9">
                  <v>0.9945677658084718</v>
                </pt>
                <pt idx="10">
                  <v>1.004052389068824</v>
                </pt>
                <pt idx="11">
                  <v>1.051303185070411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9568"/>
        <axId val="385986432"/>
      </lineChart>
      <catAx>
        <axId val="385989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6432"/>
        <crosses val="autoZero"/>
        <auto val="1"/>
        <lblAlgn val="ctr"/>
        <lblOffset val="100"/>
        <noMultiLvlLbl val="0"/>
      </catAx>
      <valAx>
        <axId val="385986432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956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produits pétroliers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[2]Coefficients_saisonniers!$C$45:$N$45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[2]Coefficients_saisonniers!$C$53:$N$53</f>
              <numCache>
                <formatCode>General</formatCode>
                <ptCount val="12"/>
                <pt idx="0">
                  <v>1.03066106773288</v>
                </pt>
                <pt idx="1">
                  <v>1.018622576720915</v>
                </pt>
                <pt idx="2">
                  <v>0.8968072588438027</v>
                </pt>
                <pt idx="3">
                  <v>1.007504006214446</v>
                </pt>
                <pt idx="4">
                  <v>0.9906513004450345</v>
                </pt>
                <pt idx="5">
                  <v>0.9171710798774058</v>
                </pt>
                <pt idx="6">
                  <v>1.021710487101023</v>
                </pt>
                <pt idx="7">
                  <v>1.005736809979296</v>
                </pt>
                <pt idx="8">
                  <v>1.061627017796877</v>
                </pt>
                <pt idx="9">
                  <v>0.999327244145179</v>
                </pt>
                <pt idx="10">
                  <v>1.024262228861294</v>
                </pt>
                <pt idx="11">
                  <v>1.025918922281843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5988000"/>
        <axId val="386938336"/>
      </lineChart>
      <catAx>
        <axId val="3859880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8336"/>
        <crosses val="autoZero"/>
        <auto val="1"/>
        <lblAlgn val="ctr"/>
        <lblOffset val="100"/>
        <noMultiLvlLbl val="0"/>
      </catAx>
      <valAx>
        <axId val="386938336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598800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</a:t>
            </a:r>
            <a:r>
              <a:rPr lang="en-US" sz="1400" b="1" i="0" strike="noStrike" baseline="0">
                <effectLst/>
              </a:rPr>
              <a:t>national et transit des</a:t>
            </a:r>
            <a:r>
              <a:rPr lang="en-US" b="1" baseline="0"/>
              <a:t xml:space="preserve"> marchandises générales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08821194855194"/>
          <y val="0.3625318550365314"/>
          <w val="0.955989938641806"/>
          <h val="0.4548162251879616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[2]Coefficients_saisonniers!$C$65:$N$65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[2]Coefficients_saisonniers!$C$73:$N$73</f>
              <numCache>
                <formatCode>General</formatCode>
                <ptCount val="12"/>
                <pt idx="0">
                  <v>0.9107515597603348</v>
                </pt>
                <pt idx="1">
                  <v>0.9311951089460024</v>
                </pt>
                <pt idx="2">
                  <v>1.026971618481183</v>
                </pt>
                <pt idx="3">
                  <v>1.057955934048201</v>
                </pt>
                <pt idx="4">
                  <v>1.100016062841107</v>
                </pt>
                <pt idx="5">
                  <v>0.9475216642975954</v>
                </pt>
                <pt idx="6">
                  <v>1.068621527966336</v>
                </pt>
                <pt idx="7">
                  <v>0.9937788772253323</v>
                </pt>
                <pt idx="8">
                  <v>0.9653892718531656</v>
                </pt>
                <pt idx="9">
                  <v>0.9774239009626245</v>
                </pt>
                <pt idx="10">
                  <v>0.9839849392776742</v>
                </pt>
                <pt idx="11">
                  <v>1.036389534340445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9904"/>
        <axId val="386940296"/>
      </lineChart>
      <catAx>
        <axId val="386939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0296"/>
        <crosses val="autoZero"/>
        <auto val="1"/>
        <lblAlgn val="ctr"/>
        <lblOffset val="100"/>
        <noMultiLvlLbl val="0"/>
      </catAx>
      <valAx>
        <axId val="386940296"/>
        <scaling>
          <orientation val="minMax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9904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des produits de pêche sans le transbordement du Port de Commerce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863529762306104"/>
          <y val="0.322110076453555"/>
          <w val="0.9577365112653453"/>
          <h val="0.4303473592424283"/>
        </manualLayout>
      </layout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[2]Coefficients_saisonniers!$C$85:$N$85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[2]Coefficients_saisonniers!$C$93:$N$93</f>
              <numCache>
                <formatCode>General</formatCode>
                <ptCount val="12"/>
                <pt idx="0">
                  <v>1.113325000992991</v>
                </pt>
                <pt idx="1">
                  <v>0.8106892638155435</v>
                </pt>
                <pt idx="2">
                  <v>0.8459817087070366</v>
                </pt>
                <pt idx="3">
                  <v>0.9918344552636056</v>
                </pt>
                <pt idx="4">
                  <v>1.135664295441818</v>
                </pt>
                <pt idx="5">
                  <v>1.022303083170692</v>
                </pt>
                <pt idx="6">
                  <v>0.9487281166168763</v>
                </pt>
                <pt idx="7">
                  <v>0.9003980796872288</v>
                </pt>
                <pt idx="8">
                  <v>0.9919175921219426</v>
                </pt>
                <pt idx="9">
                  <v>1.040535820016133</v>
                </pt>
                <pt idx="10">
                  <v>1.090957696964898</v>
                </pt>
                <pt idx="11">
                  <v>1.107664887201233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32848"/>
        <axId val="386945000"/>
      </lineChart>
      <catAx>
        <axId val="386932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5000"/>
        <crosses val="autoZero"/>
        <auto val="1"/>
        <lblAlgn val="ctr"/>
        <lblOffset val="100"/>
        <noMultiLvlLbl val="0"/>
      </catAx>
      <valAx>
        <axId val="386945000"/>
        <scaling>
          <orientation val="minMax"/>
          <min val="0.6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3284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national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[2]Coefficients_saisonniers!$C$105:$N$105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[2]Coefficients_saisonniers!$C$113:$N$113</f>
              <numCache>
                <formatCode>General</formatCode>
                <ptCount val="12"/>
                <pt idx="0">
                  <v>0.9406709023375839</v>
                </pt>
                <pt idx="1">
                  <v>0.9533506255384767</v>
                </pt>
                <pt idx="2">
                  <v>0.9894757268771546</v>
                </pt>
                <pt idx="3">
                  <v>1.038499729290251</v>
                </pt>
                <pt idx="4">
                  <v>1.060097046638992</v>
                </pt>
                <pt idx="5">
                  <v>0.9578522754724049</v>
                </pt>
                <pt idx="6">
                  <v>1.054933789138325</v>
                </pt>
                <pt idx="7">
                  <v>0.9950681082347047</v>
                </pt>
                <pt idx="8">
                  <v>0.9882646736762404</v>
                </pt>
                <pt idx="9">
                  <v>0.9803612632585219</v>
                </pt>
                <pt idx="10">
                  <v>1.003612364871548</v>
                </pt>
                <pt idx="11">
                  <v>1.037813494665795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transbordement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[2]Coefficients_saisonniers!$C$125:$N$125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[2]Coefficients_saisonniers!$C$133:$N$133</f>
              <numCache>
                <formatCode>General</formatCode>
                <ptCount val="12"/>
                <pt idx="0">
                  <v>0.8302708251654308</v>
                </pt>
                <pt idx="1">
                  <v>0.882445494302555</v>
                </pt>
                <pt idx="2">
                  <v>0.865550186550095</v>
                </pt>
                <pt idx="3">
                  <v>0.8987465914243044</v>
                </pt>
                <pt idx="4">
                  <v>1.079913749619402</v>
                </pt>
                <pt idx="5">
                  <v>0.9382114436465145</v>
                </pt>
                <pt idx="6">
                  <v>1.098352945889404</v>
                </pt>
                <pt idx="7">
                  <v>1.141235105620506</v>
                </pt>
                <pt idx="8">
                  <v>0.9975067705052408</v>
                </pt>
                <pt idx="9">
                  <v>1.058530903810925</v>
                </pt>
                <pt idx="10">
                  <v>1.044747933842693</v>
                </pt>
                <pt idx="11">
                  <v>1.164488049622933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4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de transit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[2]Coefficients_saisonniers!$C$145:$N$145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[2]Coefficients_saisonniers!$C$153:$N$153</f>
              <numCache>
                <formatCode>General</formatCode>
                <ptCount val="12"/>
                <pt idx="0">
                  <v>1.000876201315934</v>
                </pt>
                <pt idx="1">
                  <v>0.9447675761420152</v>
                </pt>
                <pt idx="2">
                  <v>0.967010628521621</v>
                </pt>
                <pt idx="3">
                  <v>1.062438969108606</v>
                </pt>
                <pt idx="4">
                  <v>1.157181631418656</v>
                </pt>
                <pt idx="5">
                  <v>0.7942458150962577</v>
                </pt>
                <pt idx="6">
                  <v>1.04102512362623</v>
                </pt>
                <pt idx="7">
                  <v>0.9942496401570939</v>
                </pt>
                <pt idx="8">
                  <v>1.043698162319754</v>
                </pt>
                <pt idx="9">
                  <v>1.031384656054202</v>
                </pt>
                <pt idx="10">
                  <v>0.9506933328309923</v>
                </pt>
                <pt idx="11">
                  <v>1.012428263408638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2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Coefficients</a:t>
            </a:r>
            <a:r>
              <a:rPr lang="en-US" b="1" baseline="0"/>
              <a:t xml:space="preserve"> saisonniers du trafic total de conteneurs 2024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[2]Coefficients_saisonniers!$C$165:$N$165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[2]Coefficients_saisonniers!$C$173:$N$173</f>
              <numCache>
                <formatCode>General</formatCode>
                <ptCount val="12"/>
                <pt idx="0">
                  <v>0.9304091088599025</v>
                </pt>
                <pt idx="1">
                  <v>0.8384004814236717</v>
                </pt>
                <pt idx="2">
                  <v>0.9533037361929436</v>
                </pt>
                <pt idx="3">
                  <v>0.9739031144504735</v>
                </pt>
                <pt idx="4">
                  <v>1.045628683669833</v>
                </pt>
                <pt idx="5">
                  <v>0.975260976088423</v>
                </pt>
                <pt idx="6">
                  <v>1.050005087159191</v>
                </pt>
                <pt idx="7">
                  <v>1.067148090338303</v>
                </pt>
                <pt idx="8">
                  <v>0.9814350032234748</v>
                </pt>
                <pt idx="9">
                  <v>1.069819451657281</v>
                </pt>
                <pt idx="10">
                  <v>1.024684053660609</v>
                </pt>
                <pt idx="11">
                  <v>1.090002213275894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6941080"/>
        <axId val="386943040"/>
      </lineChart>
      <catAx>
        <axId val="386941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3040"/>
        <crosses val="autoZero"/>
        <auto val="1"/>
        <lblAlgn val="ctr"/>
        <lblOffset val="100"/>
        <noMultiLvlLbl val="0"/>
      </catAx>
      <valAx>
        <axId val="386943040"/>
        <scaling>
          <orientation val="minMax"/>
          <max val="1.1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86941080"/>
        <crosses val="autoZero"/>
        <crossBetween val="between"/>
        <majorUnit val="0.1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/Relationships>
</file>

<file path=xl/drawings/drawing1.xml><?xml version="1.0" encoding="utf-8"?>
<wsDr xmlns="http://schemas.openxmlformats.org/drawingml/2006/spreadsheetDrawing">
  <twoCellAnchor>
    <from>
      <col>1</col>
      <colOff>0</colOff>
      <row>194</row>
      <rowOff>49036</rowOff>
    </from>
    <to>
      <col>14</col>
      <colOff>899584</colOff>
      <row>202</row>
      <rowOff>105834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1034345</colOff>
      <row>14</row>
      <rowOff>20461</rowOff>
    </from>
    <to>
      <col>14</col>
      <colOff>901348</colOff>
      <row>22</row>
      <rowOff>141112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1026583</colOff>
      <row>34</row>
      <rowOff>59618</rowOff>
    </from>
    <to>
      <col>15</col>
      <colOff>3175</colOff>
      <row>42</row>
      <rowOff>134055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0</colOff>
      <row>54</row>
      <rowOff>24696</rowOff>
    </from>
    <to>
      <col>15</col>
      <colOff>0</colOff>
      <row>62</row>
      <rowOff>141111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</col>
      <colOff>0</colOff>
      <row>74</row>
      <rowOff>34924</rowOff>
    </from>
    <to>
      <col>15</col>
      <colOff>0</colOff>
      <row>82</row>
      <rowOff>137583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</col>
      <colOff>0</colOff>
      <row>94</row>
      <rowOff>52917</rowOff>
    </from>
    <to>
      <col>15</col>
      <colOff>1</colOff>
      <row>102</row>
      <rowOff>98779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</col>
      <colOff>1</colOff>
      <row>114</row>
      <rowOff>77257</rowOff>
    </from>
    <to>
      <col>14</col>
      <colOff>905229</colOff>
      <row>122</row>
      <rowOff>119944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</col>
      <colOff>1</colOff>
      <row>134</row>
      <rowOff>52918</rowOff>
    </from>
    <to>
      <col>15</col>
      <colOff>4938</colOff>
      <row>142</row>
      <rowOff>95605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</col>
      <colOff>1</colOff>
      <row>154</row>
      <rowOff>74083</rowOff>
    </from>
    <to>
      <col>15</col>
      <colOff>4938</colOff>
      <row>162</row>
      <rowOff>116770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1</col>
      <colOff>10583</colOff>
      <row>174</row>
      <rowOff>63500</rowOff>
    </from>
    <to>
      <col>14</col>
      <colOff>899584</colOff>
      <row>182</row>
      <rowOff>106187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1</col>
      <colOff>0</colOff>
      <row>194</row>
      <rowOff>49036</rowOff>
    </from>
    <to>
      <col>14</col>
      <colOff>899584</colOff>
      <row>202</row>
      <rowOff>105834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0</col>
      <colOff>1062567</colOff>
      <row>14</row>
      <rowOff>20461</rowOff>
    </from>
    <to>
      <col>14</col>
      <colOff>929570</colOff>
      <row>22</row>
      <rowOff>141112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1047749</colOff>
      <row>34</row>
      <rowOff>45507</rowOff>
    </from>
    <to>
      <col>15</col>
      <colOff>24341</colOff>
      <row>42</row>
      <rowOff>119944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1</col>
      <colOff>0</colOff>
      <row>54</row>
      <rowOff>24696</rowOff>
    </from>
    <to>
      <col>15</col>
      <colOff>0</colOff>
      <row>62</row>
      <rowOff>141111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</col>
      <colOff>0</colOff>
      <row>74</row>
      <rowOff>34924</rowOff>
    </from>
    <to>
      <col>15</col>
      <colOff>0</colOff>
      <row>82</row>
      <rowOff>137583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1</col>
      <colOff>0</colOff>
      <row>94</row>
      <rowOff>52917</rowOff>
    </from>
    <to>
      <col>15</col>
      <colOff>1</colOff>
      <row>102</row>
      <rowOff>98779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</col>
      <colOff>1</colOff>
      <row>114</row>
      <rowOff>77257</rowOff>
    </from>
    <to>
      <col>14</col>
      <colOff>905229</colOff>
      <row>122</row>
      <rowOff>119944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</col>
      <colOff>1</colOff>
      <row>134</row>
      <rowOff>52918</rowOff>
    </from>
    <to>
      <col>15</col>
      <colOff>4938</colOff>
      <row>142</row>
      <rowOff>119945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1</col>
      <colOff>1</colOff>
      <row>154</row>
      <rowOff>74083</rowOff>
    </from>
    <to>
      <col>15</col>
      <colOff>4938</colOff>
      <row>162</row>
      <rowOff>116770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1</col>
      <colOff>10583</colOff>
      <row>174</row>
      <rowOff>63500</rowOff>
    </from>
    <to>
      <col>14</col>
      <colOff>899584</colOff>
      <row>182</row>
      <rowOff>106187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</col>
      <colOff>0</colOff>
      <row>194</row>
      <rowOff>49036</rowOff>
    </from>
    <to>
      <col>14</col>
      <colOff>899584</colOff>
      <row>202</row>
      <rowOff>105834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0</col>
      <colOff>1062567</colOff>
      <row>14</row>
      <rowOff>20461</rowOff>
    </from>
    <to>
      <col>14</col>
      <colOff>929570</colOff>
      <row>22</row>
      <rowOff>141112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0</col>
      <colOff>1047749</colOff>
      <row>34</row>
      <rowOff>45507</rowOff>
    </from>
    <to>
      <col>15</col>
      <colOff>24341</colOff>
      <row>42</row>
      <rowOff>119944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1</col>
      <colOff>0</colOff>
      <row>54</row>
      <rowOff>24696</rowOff>
    </from>
    <to>
      <col>15</col>
      <colOff>0</colOff>
      <row>62</row>
      <rowOff>141111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1</col>
      <colOff>0</colOff>
      <row>74</row>
      <rowOff>34924</rowOff>
    </from>
    <to>
      <col>15</col>
      <colOff>0</colOff>
      <row>82</row>
      <rowOff>137583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1</col>
      <colOff>0</colOff>
      <row>94</row>
      <rowOff>52917</rowOff>
    </from>
    <to>
      <col>15</col>
      <colOff>1</colOff>
      <row>102</row>
      <rowOff>98779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1</col>
      <colOff>1</colOff>
      <row>114</row>
      <rowOff>77257</rowOff>
    </from>
    <to>
      <col>14</col>
      <colOff>905229</colOff>
      <row>122</row>
      <rowOff>119944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1</col>
      <colOff>1</colOff>
      <row>134</row>
      <rowOff>52918</rowOff>
    </from>
    <to>
      <col>15</col>
      <colOff>4938</colOff>
      <row>142</row>
      <rowOff>119945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1</col>
      <colOff>1</colOff>
      <row>154</row>
      <rowOff>74083</rowOff>
    </from>
    <to>
      <col>15</col>
      <colOff>4938</colOff>
      <row>162</row>
      <rowOff>116770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1</col>
      <colOff>10583</colOff>
      <row>174</row>
      <rowOff>63500</rowOff>
    </from>
    <to>
      <col>14</col>
      <colOff>899584</colOff>
      <row>182</row>
      <rowOff>106187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1</col>
      <colOff>0</colOff>
      <row>194</row>
      <rowOff>49036</rowOff>
    </from>
    <to>
      <col>14</col>
      <colOff>899584</colOff>
      <row>202</row>
      <rowOff>105834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0</col>
      <colOff>1062567</colOff>
      <row>14</row>
      <rowOff>20461</rowOff>
    </from>
    <to>
      <col>14</col>
      <colOff>929570</colOff>
      <row>22</row>
      <rowOff>141112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0</col>
      <colOff>1047749</colOff>
      <row>34</row>
      <rowOff>45507</rowOff>
    </from>
    <to>
      <col>15</col>
      <colOff>24341</colOff>
      <row>42</row>
      <rowOff>119944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1</col>
      <colOff>0</colOff>
      <row>54</row>
      <rowOff>24696</rowOff>
    </from>
    <to>
      <col>15</col>
      <colOff>0</colOff>
      <row>62</row>
      <rowOff>141111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1</col>
      <colOff>0</colOff>
      <row>74</row>
      <rowOff>34924</rowOff>
    </from>
    <to>
      <col>15</col>
      <colOff>0</colOff>
      <row>82</row>
      <rowOff>137583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1</col>
      <colOff>0</colOff>
      <row>94</row>
      <rowOff>52917</rowOff>
    </from>
    <to>
      <col>15</col>
      <colOff>1</colOff>
      <row>102</row>
      <rowOff>98779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1</col>
      <colOff>1</colOff>
      <row>114</row>
      <rowOff>77257</rowOff>
    </from>
    <to>
      <col>14</col>
      <colOff>905229</colOff>
      <row>122</row>
      <rowOff>119944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1</col>
      <colOff>1</colOff>
      <row>134</row>
      <rowOff>52918</rowOff>
    </from>
    <to>
      <col>15</col>
      <colOff>4938</colOff>
      <row>142</row>
      <rowOff>119945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1</col>
      <colOff>1</colOff>
      <row>154</row>
      <rowOff>74083</rowOff>
    </from>
    <to>
      <col>15</col>
      <colOff>4938</colOff>
      <row>162</row>
      <rowOff>116770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  <twoCellAnchor>
    <from>
      <col>1</col>
      <colOff>10583</colOff>
      <row>174</row>
      <rowOff>63500</rowOff>
    </from>
    <to>
      <col>14</col>
      <colOff>899584</colOff>
      <row>182</row>
      <rowOff>106187</rowOff>
    </to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adbamba/OneDrive%20-%20portautonomeabidjan/DOSSIERS_BUREAU/Bureau/TRAVAUX/D_STATS%20PERFORMANE%20PORTUAIRE/TBS/2025/TBS_provisoire_calculs_2025_Adama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adbamba/OneDrive%20-%20portautonomeabidjan/DOSSIERS_BUREAU/Bureau/TRAVAUX/D_STATS%20PERFORMANE%20PORTUAIRE/TBS/2026/TBS_provisoire_calculs_2026_Adam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BS_Prov"/>
      <sheetName val="model"/>
      <sheetName val="Feuil1"/>
      <sheetName val="Escales&amp;Trafics_annoncés"/>
      <sheetName val="Coefficients_saisonniers"/>
      <sheetName val="Stats exo 2025"/>
      <sheetName val="Stats exo 2025 brute"/>
      <sheetName val="Trafic mens 2024"/>
    </sheetNames>
    <sheetDataSet>
      <sheetData sheetId="0"/>
      <sheetData sheetId="1"/>
      <sheetData sheetId="2"/>
      <sheetData sheetId="3"/>
      <sheetData sheetId="4">
        <row r="5">
          <cell r="C5" t="str">
            <v>Janvier</v>
          </cell>
          <cell r="D5" t="str">
            <v>Février</v>
          </cell>
          <cell r="E5" t="str">
            <v>Mars</v>
          </cell>
          <cell r="F5" t="str">
            <v>Avril</v>
          </cell>
          <cell r="G5" t="str">
            <v>Mai</v>
          </cell>
          <cell r="H5" t="str">
            <v>Juin</v>
          </cell>
          <cell r="I5" t="str">
            <v>Juillet</v>
          </cell>
          <cell r="J5" t="str">
            <v>Août</v>
          </cell>
          <cell r="K5" t="str">
            <v>Septembre</v>
          </cell>
          <cell r="L5" t="str">
            <v>Octobre</v>
          </cell>
          <cell r="M5" t="str">
            <v>Novembre</v>
          </cell>
          <cell r="N5" t="str">
            <v>Décembre</v>
          </cell>
        </row>
        <row r="13">
          <cell r="C13">
            <v>1.0292573143285821</v>
          </cell>
          <cell r="D13">
            <v>0.94323580895223791</v>
          </cell>
          <cell r="E13">
            <v>0.9962490622655662</v>
          </cell>
          <cell r="F13">
            <v>0.94623655913978477</v>
          </cell>
          <cell r="G13">
            <v>0.99924981245311328</v>
          </cell>
          <cell r="H13">
            <v>0.94223555888972232</v>
          </cell>
          <cell r="I13">
            <v>1.0342585646411602</v>
          </cell>
          <cell r="J13">
            <v>0.98224556139034758</v>
          </cell>
          <cell r="K13">
            <v>1.010252563140785</v>
          </cell>
          <cell r="L13">
            <v>1.0282570642660664</v>
          </cell>
          <cell r="M13">
            <v>1.0092523130782696</v>
          </cell>
          <cell r="N13">
            <v>1.0792698174543636</v>
          </cell>
        </row>
        <row r="25">
          <cell r="C25" t="str">
            <v>Janvier</v>
          </cell>
          <cell r="D25" t="str">
            <v>Février</v>
          </cell>
          <cell r="E25" t="str">
            <v>Mars</v>
          </cell>
          <cell r="F25" t="str">
            <v>Avril</v>
          </cell>
          <cell r="G25" t="str">
            <v>Mai</v>
          </cell>
          <cell r="H25" t="str">
            <v>Juin</v>
          </cell>
          <cell r="I25" t="str">
            <v>Juillet</v>
          </cell>
          <cell r="J25" t="str">
            <v>Août</v>
          </cell>
          <cell r="K25" t="str">
            <v>Septembre</v>
          </cell>
          <cell r="L25" t="str">
            <v>Octobre</v>
          </cell>
          <cell r="M25" t="str">
            <v>Novembre</v>
          </cell>
          <cell r="N25" t="str">
            <v>Décembre</v>
          </cell>
        </row>
        <row r="33">
          <cell r="C33">
            <v>0.91706532573190602</v>
          </cell>
          <cell r="D33">
            <v>0.96989460806087635</v>
          </cell>
          <cell r="E33">
            <v>0.98019077722053427</v>
          </cell>
          <cell r="F33">
            <v>1.013605090951484</v>
          </cell>
          <cell r="G33">
            <v>1.0717007315636287</v>
          </cell>
          <cell r="H33">
            <v>0.93793040784615445</v>
          </cell>
          <cell r="I33">
            <v>1.0668442369797992</v>
          </cell>
          <cell r="J33">
            <v>0.99035000509640525</v>
          </cell>
          <cell r="K33">
            <v>0.97918633527955401</v>
          </cell>
          <cell r="L33">
            <v>1.0146211602572071</v>
          </cell>
          <cell r="M33">
            <v>1.0180422894739112</v>
          </cell>
          <cell r="N33">
            <v>1.0405690315385399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</row>
        <row r="53">
          <cell r="C53">
            <v>0.95245149208650159</v>
          </cell>
          <cell r="D53">
            <v>1.1595145906243365</v>
          </cell>
          <cell r="E53">
            <v>0.95619939823121081</v>
          </cell>
          <cell r="F53">
            <v>0.97246799032745368</v>
          </cell>
          <cell r="G53">
            <v>1.0761330396475381</v>
          </cell>
          <cell r="H53">
            <v>0.87252623646452343</v>
          </cell>
          <cell r="I53">
            <v>1.0463033403548905</v>
          </cell>
          <cell r="J53">
            <v>0.94037058674759744</v>
          </cell>
          <cell r="K53">
            <v>1.0082900370865704</v>
          </cell>
          <cell r="L53">
            <v>1.0341441250224015</v>
          </cell>
          <cell r="M53">
            <v>1.0401039310711238</v>
          </cell>
          <cell r="N53">
            <v>0.94149523233585231</v>
          </cell>
        </row>
        <row r="65">
          <cell r="C65" t="str">
            <v>Janvier</v>
          </cell>
          <cell r="D65" t="str">
            <v>Février</v>
          </cell>
          <cell r="E65" t="str">
            <v>Mars</v>
          </cell>
          <cell r="F65" t="str">
            <v>Avril</v>
          </cell>
          <cell r="G65" t="str">
            <v>Mai</v>
          </cell>
          <cell r="H65" t="str">
            <v>Juin</v>
          </cell>
          <cell r="I65" t="str">
            <v>Juillet</v>
          </cell>
          <cell r="J65" t="str">
            <v>Août</v>
          </cell>
          <cell r="K65" t="str">
            <v>Septembre</v>
          </cell>
          <cell r="L65" t="str">
            <v>Octobre</v>
          </cell>
          <cell r="M65" t="str">
            <v>Novembre</v>
          </cell>
          <cell r="N65" t="str">
            <v>Décembre</v>
          </cell>
        </row>
        <row r="73">
          <cell r="C73">
            <v>0.93993976019347558</v>
          </cell>
          <cell r="D73">
            <v>0.94506510637099228</v>
          </cell>
          <cell r="E73">
            <v>1.0399670785557622</v>
          </cell>
          <cell r="F73">
            <v>1.0543235596058711</v>
          </cell>
          <cell r="G73">
            <v>1.0844270620210623</v>
          </cell>
          <cell r="H73">
            <v>0.96020530013107808</v>
          </cell>
          <cell r="I73">
            <v>1.06455138637563</v>
          </cell>
          <cell r="J73">
            <v>0.97446808619390757</v>
          </cell>
          <cell r="K73">
            <v>0.93912011736749379</v>
          </cell>
          <cell r="L73">
            <v>0.96644515156020161</v>
          </cell>
          <cell r="M73">
            <v>0.98446005546894622</v>
          </cell>
          <cell r="N73">
            <v>1.047027336155582</v>
          </cell>
        </row>
        <row r="85">
          <cell r="C85" t="str">
            <v>Janvier</v>
          </cell>
          <cell r="D85" t="str">
            <v>Février</v>
          </cell>
          <cell r="E85" t="str">
            <v>Mars</v>
          </cell>
          <cell r="F85" t="str">
            <v>Avril</v>
          </cell>
          <cell r="G85" t="str">
            <v>Mai</v>
          </cell>
          <cell r="H85" t="str">
            <v>Juin</v>
          </cell>
          <cell r="I85" t="str">
            <v>Juillet</v>
          </cell>
          <cell r="J85" t="str">
            <v>Août</v>
          </cell>
          <cell r="K85" t="str">
            <v>Septembre</v>
          </cell>
          <cell r="L85" t="str">
            <v>Octobre</v>
          </cell>
          <cell r="M85" t="str">
            <v>Novembre</v>
          </cell>
          <cell r="N85" t="str">
            <v>Décembre</v>
          </cell>
        </row>
        <row r="93">
          <cell r="C93">
            <v>1.0623248745976916</v>
          </cell>
          <cell r="D93">
            <v>0.78547166440947058</v>
          </cell>
          <cell r="E93">
            <v>0.86771721321354289</v>
          </cell>
          <cell r="F93">
            <v>0.97228861858801474</v>
          </cell>
          <cell r="G93">
            <v>1.0931855926007275</v>
          </cell>
          <cell r="H93">
            <v>1.0030976642729286</v>
          </cell>
          <cell r="I93">
            <v>1.0163642944788867</v>
          </cell>
          <cell r="J93">
            <v>0.94168828259855597</v>
          </cell>
          <cell r="K93">
            <v>0.99334893977001149</v>
          </cell>
          <cell r="L93">
            <v>1.0287618269370848</v>
          </cell>
          <cell r="M93">
            <v>1.07864919985893</v>
          </cell>
          <cell r="N93">
            <v>1.1571018286741546</v>
          </cell>
        </row>
        <row r="105">
          <cell r="C105" t="str">
            <v>Janvier</v>
          </cell>
          <cell r="D105" t="str">
            <v>Février</v>
          </cell>
          <cell r="E105" t="str">
            <v>Mars</v>
          </cell>
          <cell r="F105" t="str">
            <v>Avril</v>
          </cell>
          <cell r="G105" t="str">
            <v>Mai</v>
          </cell>
          <cell r="H105" t="str">
            <v>Juin</v>
          </cell>
          <cell r="I105" t="str">
            <v>Juillet</v>
          </cell>
          <cell r="J105" t="str">
            <v>Août</v>
          </cell>
          <cell r="K105" t="str">
            <v>Septembre</v>
          </cell>
          <cell r="L105" t="str">
            <v>Octobre</v>
          </cell>
          <cell r="M105" t="str">
            <v>Novembre</v>
          </cell>
          <cell r="N105" t="str">
            <v>Décembre</v>
          </cell>
        </row>
        <row r="113">
          <cell r="C113">
            <v>0.93668206225467299</v>
          </cell>
          <cell r="D113">
            <v>1.001054162503443</v>
          </cell>
          <cell r="E113">
            <v>1.0068909477303243</v>
          </cell>
          <cell r="F113">
            <v>1.0309746039473553</v>
          </cell>
          <cell r="G113">
            <v>1.07532210249442</v>
          </cell>
          <cell r="H113">
            <v>0.9542600743673163</v>
          </cell>
          <cell r="I113">
            <v>1.073383976700133</v>
          </cell>
          <cell r="J113">
            <v>0.96701775271257695</v>
          </cell>
          <cell r="K113">
            <v>0.94474817010893042</v>
          </cell>
          <cell r="L113">
            <v>0.9834766617449856</v>
          </cell>
          <cell r="M113">
            <v>1.0024417439856621</v>
          </cell>
          <cell r="N113">
            <v>1.0237477414501797</v>
          </cell>
        </row>
        <row r="125">
          <cell r="C125" t="str">
            <v>Janvier</v>
          </cell>
          <cell r="D125" t="str">
            <v>Février</v>
          </cell>
          <cell r="E125" t="str">
            <v>Mars</v>
          </cell>
          <cell r="F125" t="str">
            <v>Avril</v>
          </cell>
          <cell r="G125" t="str">
            <v>Mai</v>
          </cell>
          <cell r="H125" t="str">
            <v>Juin</v>
          </cell>
          <cell r="I125" t="str">
            <v>Juillet</v>
          </cell>
          <cell r="J125" t="str">
            <v>Août</v>
          </cell>
          <cell r="K125" t="str">
            <v>Septembre</v>
          </cell>
          <cell r="L125" t="str">
            <v>Octobre</v>
          </cell>
          <cell r="M125" t="str">
            <v>Novembre</v>
          </cell>
          <cell r="N125" t="str">
            <v>Décembre</v>
          </cell>
        </row>
        <row r="133">
          <cell r="C133">
            <v>0.63920286080739785</v>
          </cell>
          <cell r="D133">
            <v>0.6803408868616907</v>
          </cell>
          <cell r="E133">
            <v>0.64256869519192672</v>
          </cell>
          <cell r="F133">
            <v>0.86055504994420773</v>
          </cell>
          <cell r="G133">
            <v>0.9700454134912917</v>
          </cell>
          <cell r="H133">
            <v>0.93531965715480303</v>
          </cell>
          <cell r="I133">
            <v>1.1371911289594339</v>
          </cell>
          <cell r="J133">
            <v>1.2505843197144635</v>
          </cell>
          <cell r="K133">
            <v>1.169261704758167</v>
          </cell>
          <cell r="L133">
            <v>1.3019302005791775</v>
          </cell>
          <cell r="M133">
            <v>1.1825274683591473</v>
          </cell>
          <cell r="N133">
            <v>1.2304726141782931</v>
          </cell>
        </row>
        <row r="145">
          <cell r="C145" t="str">
            <v>Janvier</v>
          </cell>
          <cell r="D145" t="str">
            <v>Février</v>
          </cell>
          <cell r="E145" t="str">
            <v>Mars</v>
          </cell>
          <cell r="F145" t="str">
            <v>Avril</v>
          </cell>
          <cell r="G145" t="str">
            <v>Mai</v>
          </cell>
          <cell r="H145" t="str">
            <v>Juin</v>
          </cell>
          <cell r="I145" t="str">
            <v>Juillet</v>
          </cell>
          <cell r="J145" t="str">
            <v>Août</v>
          </cell>
          <cell r="K145" t="str">
            <v>Septembre</v>
          </cell>
          <cell r="L145" t="str">
            <v>Octobre</v>
          </cell>
          <cell r="M145" t="str">
            <v>Novembre</v>
          </cell>
          <cell r="N145" t="str">
            <v>Décembre</v>
          </cell>
        </row>
        <row r="153">
          <cell r="C153">
            <v>1.0164459690034771</v>
          </cell>
          <cell r="D153">
            <v>0.9762498345524786</v>
          </cell>
          <cell r="E153">
            <v>1.0749643221992153</v>
          </cell>
          <cell r="F153">
            <v>1.0088063849114204</v>
          </cell>
          <cell r="G153">
            <v>1.140306009893534</v>
          </cell>
          <cell r="H153">
            <v>0.79242608809854775</v>
          </cell>
          <cell r="I153">
            <v>0.93732335764963737</v>
          </cell>
          <cell r="J153">
            <v>0.94226176281401475</v>
          </cell>
          <cell r="K153">
            <v>1.1018465227160592</v>
          </cell>
          <cell r="L153">
            <v>1.010369547238287</v>
          </cell>
          <cell r="M153">
            <v>0.99538432669670163</v>
          </cell>
          <cell r="N153">
            <v>1.0036158742266266</v>
          </cell>
        </row>
        <row r="165">
          <cell r="C165" t="str">
            <v>Janvier</v>
          </cell>
          <cell r="D165" t="str">
            <v>Février</v>
          </cell>
          <cell r="E165" t="str">
            <v>Mars</v>
          </cell>
          <cell r="F165" t="str">
            <v>Avril</v>
          </cell>
          <cell r="G165" t="str">
            <v>Mai</v>
          </cell>
          <cell r="H165" t="str">
            <v>Juin</v>
          </cell>
          <cell r="I165" t="str">
            <v>Juillet</v>
          </cell>
          <cell r="J165" t="str">
            <v>Août</v>
          </cell>
          <cell r="K165" t="str">
            <v>Septembre</v>
          </cell>
          <cell r="L165" t="str">
            <v>Octobre</v>
          </cell>
          <cell r="M165" t="str">
            <v>Novembre</v>
          </cell>
          <cell r="N165" t="str">
            <v>Décembre</v>
          </cell>
        </row>
        <row r="173">
          <cell r="C173">
            <v>0.87358896955231691</v>
          </cell>
          <cell r="D173">
            <v>0.81077341045461759</v>
          </cell>
          <cell r="E173">
            <v>0.93094893623155206</v>
          </cell>
          <cell r="F173">
            <v>0.95084125068185432</v>
          </cell>
          <cell r="G173">
            <v>1.0055929115990707</v>
          </cell>
          <cell r="H173">
            <v>1.0035968521284855</v>
          </cell>
          <cell r="I173">
            <v>1.0821988063093992</v>
          </cell>
          <cell r="J173">
            <v>1.073431621496749</v>
          </cell>
          <cell r="K173">
            <v>1.0053607587301998</v>
          </cell>
          <cell r="L173">
            <v>1.1089396303913903</v>
          </cell>
          <cell r="M173">
            <v>1.0488894216434757</v>
          </cell>
          <cell r="N173">
            <v>1.1058374307808911</v>
          </cell>
        </row>
        <row r="185">
          <cell r="C185" t="str">
            <v>Janvier</v>
          </cell>
          <cell r="D185" t="str">
            <v>Février</v>
          </cell>
          <cell r="E185" t="str">
            <v>Mars</v>
          </cell>
          <cell r="F185" t="str">
            <v>Avril</v>
          </cell>
          <cell r="G185" t="str">
            <v>Mai</v>
          </cell>
          <cell r="H185" t="str">
            <v>Juin</v>
          </cell>
          <cell r="I185" t="str">
            <v>Juillet</v>
          </cell>
          <cell r="J185" t="str">
            <v>Août</v>
          </cell>
          <cell r="K185" t="str">
            <v>Septembre</v>
          </cell>
          <cell r="L185" t="str">
            <v>Octobre</v>
          </cell>
          <cell r="M185" t="str">
            <v>Novembre</v>
          </cell>
          <cell r="N185" t="str">
            <v>Décembre</v>
          </cell>
        </row>
        <row r="193">
          <cell r="C193">
            <v>0.58723419665976573</v>
          </cell>
          <cell r="D193">
            <v>0.67777180900185308</v>
          </cell>
          <cell r="E193">
            <v>0.63683432220525482</v>
          </cell>
          <cell r="F193">
            <v>0.83267079920568343</v>
          </cell>
          <cell r="G193">
            <v>0.96004635525751914</v>
          </cell>
          <cell r="H193">
            <v>0.94138836410606186</v>
          </cell>
          <cell r="I193">
            <v>1.1289967828968415</v>
          </cell>
          <cell r="J193">
            <v>1.3098257452754456</v>
          </cell>
          <cell r="K193">
            <v>1.2259661872197107</v>
          </cell>
          <cell r="L193">
            <v>1.2867495186416946</v>
          </cell>
          <cell r="M193">
            <v>1.187998334107933</v>
          </cell>
          <cell r="N193">
            <v>1.2245175854222374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BS_Prov"/>
      <sheetName val="model"/>
      <sheetName val="Feuil1"/>
      <sheetName val="Escales&amp;Trafics_annoncés"/>
      <sheetName val="Stats exo 2026"/>
      <sheetName val="Stats exo 2026 brute"/>
      <sheetName val="Coefficients_saisonniers"/>
      <sheetName val="Trafic mens 2025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C5" t="str">
            <v>Janvier</v>
          </cell>
          <cell r="D5" t="str">
            <v>Février</v>
          </cell>
          <cell r="E5" t="str">
            <v>Mars</v>
          </cell>
          <cell r="F5" t="str">
            <v>Avril</v>
          </cell>
          <cell r="G5" t="str">
            <v>Mai</v>
          </cell>
          <cell r="H5" t="str">
            <v>Juin</v>
          </cell>
          <cell r="I5" t="str">
            <v>Juillet</v>
          </cell>
          <cell r="J5" t="str">
            <v>Août</v>
          </cell>
          <cell r="K5" t="str">
            <v>Septembre</v>
          </cell>
          <cell r="L5" t="str">
            <v>Octobre</v>
          </cell>
          <cell r="M5" t="str">
            <v>Novembre</v>
          </cell>
          <cell r="N5" t="str">
            <v>Décembre</v>
          </cell>
        </row>
        <row r="13">
          <cell r="C13">
            <v>1.0238248551191242</v>
          </cell>
          <cell r="D13">
            <v>0.94558918222794586</v>
          </cell>
          <cell r="E13">
            <v>0.98615582743077901</v>
          </cell>
          <cell r="F13">
            <v>0.98036059240180284</v>
          </cell>
          <cell r="G13">
            <v>1.0267224726336122</v>
          </cell>
          <cell r="H13">
            <v>0.94075981970379907</v>
          </cell>
          <cell r="I13">
            <v>1.0238248551191242</v>
          </cell>
          <cell r="J13">
            <v>0.97263361236316792</v>
          </cell>
          <cell r="K13">
            <v>0.97456535737282668</v>
          </cell>
          <cell r="L13">
            <v>1.0209272376046361</v>
          </cell>
          <cell r="M13">
            <v>1.0228589826142949</v>
          </cell>
          <cell r="N13">
            <v>1.0817772054088859</v>
          </cell>
        </row>
        <row r="25">
          <cell r="C25" t="str">
            <v>Janvier</v>
          </cell>
          <cell r="D25" t="str">
            <v>Février</v>
          </cell>
          <cell r="E25" t="str">
            <v>Mars</v>
          </cell>
          <cell r="F25" t="str">
            <v>Avril</v>
          </cell>
          <cell r="G25" t="str">
            <v>Mai</v>
          </cell>
          <cell r="H25" t="str">
            <v>Juin</v>
          </cell>
          <cell r="I25" t="str">
            <v>Juillet</v>
          </cell>
          <cell r="J25" t="str">
            <v>Août</v>
          </cell>
          <cell r="K25" t="str">
            <v>Septembre</v>
          </cell>
          <cell r="L25" t="str">
            <v>Octobre</v>
          </cell>
          <cell r="M25" t="str">
            <v>Novembre</v>
          </cell>
          <cell r="N25" t="str">
            <v>Décembre</v>
          </cell>
        </row>
        <row r="33">
          <cell r="C33">
            <v>0.93227320986598805</v>
          </cell>
          <cell r="D33">
            <v>0.9437895179699145</v>
          </cell>
          <cell r="E33">
            <v>0.97210680774890745</v>
          </cell>
          <cell r="F33">
            <v>1.0232585735556459</v>
          </cell>
          <cell r="G33">
            <v>1.0711208167126134</v>
          </cell>
          <cell r="H33">
            <v>0.94098288308481437</v>
          </cell>
          <cell r="I33">
            <v>1.059098208124734</v>
          </cell>
          <cell r="J33">
            <v>1.0131449835300632</v>
          </cell>
          <cell r="K33">
            <v>0.9943016594596138</v>
          </cell>
          <cell r="L33">
            <v>0.99456776580847184</v>
          </cell>
          <cell r="M33">
            <v>1.0040523890688244</v>
          </cell>
          <cell r="N33">
            <v>1.0513031850704111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</row>
        <row r="53">
          <cell r="C53">
            <v>1.03066106773288</v>
          </cell>
          <cell r="D53">
            <v>1.0186225767209152</v>
          </cell>
          <cell r="E53">
            <v>0.89680725884380275</v>
          </cell>
          <cell r="F53">
            <v>1.0075040062144462</v>
          </cell>
          <cell r="G53">
            <v>0.99065130044503447</v>
          </cell>
          <cell r="H53">
            <v>0.91717107987740576</v>
          </cell>
          <cell r="I53">
            <v>1.0217104871010227</v>
          </cell>
          <cell r="J53">
            <v>1.0057368099792965</v>
          </cell>
          <cell r="K53">
            <v>1.0616270177968765</v>
          </cell>
          <cell r="L53">
            <v>0.99932724414517904</v>
          </cell>
          <cell r="M53">
            <v>1.0242622288612944</v>
          </cell>
          <cell r="N53">
            <v>1.0259189222818426</v>
          </cell>
        </row>
        <row r="65">
          <cell r="C65" t="str">
            <v>Janvier</v>
          </cell>
          <cell r="D65" t="str">
            <v>Février</v>
          </cell>
          <cell r="E65" t="str">
            <v>Mars</v>
          </cell>
          <cell r="F65" t="str">
            <v>Avril</v>
          </cell>
          <cell r="G65" t="str">
            <v>Mai</v>
          </cell>
          <cell r="H65" t="str">
            <v>Juin</v>
          </cell>
          <cell r="I65" t="str">
            <v>Juillet</v>
          </cell>
          <cell r="J65" t="str">
            <v>Août</v>
          </cell>
          <cell r="K65" t="str">
            <v>Septembre</v>
          </cell>
          <cell r="L65" t="str">
            <v>Octobre</v>
          </cell>
          <cell r="M65" t="str">
            <v>Novembre</v>
          </cell>
          <cell r="N65" t="str">
            <v>Décembre</v>
          </cell>
        </row>
        <row r="73">
          <cell r="C73">
            <v>0.91075155976033484</v>
          </cell>
          <cell r="D73">
            <v>0.93119510894600244</v>
          </cell>
          <cell r="E73">
            <v>1.0269716184811826</v>
          </cell>
          <cell r="F73">
            <v>1.0579559340482005</v>
          </cell>
          <cell r="G73">
            <v>1.1000160628411073</v>
          </cell>
          <cell r="H73">
            <v>0.94752166429759543</v>
          </cell>
          <cell r="I73">
            <v>1.068621527966336</v>
          </cell>
          <cell r="J73">
            <v>0.99377887722533231</v>
          </cell>
          <cell r="K73">
            <v>0.96538927185316559</v>
          </cell>
          <cell r="L73">
            <v>0.97742390096262455</v>
          </cell>
          <cell r="M73">
            <v>0.98398493927767416</v>
          </cell>
          <cell r="N73">
            <v>1.0363895343404448</v>
          </cell>
        </row>
        <row r="85">
          <cell r="C85" t="str">
            <v>Janvier</v>
          </cell>
          <cell r="D85" t="str">
            <v>Février</v>
          </cell>
          <cell r="E85" t="str">
            <v>Mars</v>
          </cell>
          <cell r="F85" t="str">
            <v>Avril</v>
          </cell>
          <cell r="G85" t="str">
            <v>Mai</v>
          </cell>
          <cell r="H85" t="str">
            <v>Juin</v>
          </cell>
          <cell r="I85" t="str">
            <v>Juillet</v>
          </cell>
          <cell r="J85" t="str">
            <v>Août</v>
          </cell>
          <cell r="K85" t="str">
            <v>Septembre</v>
          </cell>
          <cell r="L85" t="str">
            <v>Octobre</v>
          </cell>
          <cell r="M85" t="str">
            <v>Novembre</v>
          </cell>
          <cell r="N85" t="str">
            <v>Décembre</v>
          </cell>
        </row>
        <row r="93">
          <cell r="C93">
            <v>1.1133250009929914</v>
          </cell>
          <cell r="D93">
            <v>0.81068926381554351</v>
          </cell>
          <cell r="E93">
            <v>0.84598170870703659</v>
          </cell>
          <cell r="F93">
            <v>0.99183445526360559</v>
          </cell>
          <cell r="G93">
            <v>1.1356642954418181</v>
          </cell>
          <cell r="H93">
            <v>1.0223030831706923</v>
          </cell>
          <cell r="I93">
            <v>0.94872811661687628</v>
          </cell>
          <cell r="J93">
            <v>0.90039807968722885</v>
          </cell>
          <cell r="K93">
            <v>0.99191759212194264</v>
          </cell>
          <cell r="L93">
            <v>1.0405358200161334</v>
          </cell>
          <cell r="M93">
            <v>1.0909576969648982</v>
          </cell>
          <cell r="N93">
            <v>1.1076648872012327</v>
          </cell>
        </row>
        <row r="105">
          <cell r="C105" t="str">
            <v>Janvier</v>
          </cell>
          <cell r="D105" t="str">
            <v>Février</v>
          </cell>
          <cell r="E105" t="str">
            <v>Mars</v>
          </cell>
          <cell r="F105" t="str">
            <v>Avril</v>
          </cell>
          <cell r="G105" t="str">
            <v>Mai</v>
          </cell>
          <cell r="H105" t="str">
            <v>Juin</v>
          </cell>
          <cell r="I105" t="str">
            <v>Juillet</v>
          </cell>
          <cell r="J105" t="str">
            <v>Août</v>
          </cell>
          <cell r="K105" t="str">
            <v>Septembre</v>
          </cell>
          <cell r="L105" t="str">
            <v>Octobre</v>
          </cell>
          <cell r="M105" t="str">
            <v>Novembre</v>
          </cell>
          <cell r="N105" t="str">
            <v>Décembre</v>
          </cell>
        </row>
        <row r="113">
          <cell r="C113">
            <v>0.94067090233758388</v>
          </cell>
          <cell r="D113">
            <v>0.95335062553847671</v>
          </cell>
          <cell r="E113">
            <v>0.98947572687715457</v>
          </cell>
          <cell r="F113">
            <v>1.0384997292902514</v>
          </cell>
          <cell r="G113">
            <v>1.0600970466389918</v>
          </cell>
          <cell r="H113">
            <v>0.95785227547240492</v>
          </cell>
          <cell r="I113">
            <v>1.0549337891383253</v>
          </cell>
          <cell r="J113">
            <v>0.99506810823470471</v>
          </cell>
          <cell r="K113">
            <v>0.98826467367624038</v>
          </cell>
          <cell r="L113">
            <v>0.98036126325852191</v>
          </cell>
          <cell r="M113">
            <v>1.0036123648715483</v>
          </cell>
          <cell r="N113">
            <v>1.0378134946657951</v>
          </cell>
        </row>
        <row r="125">
          <cell r="C125" t="str">
            <v>Janvier</v>
          </cell>
          <cell r="D125" t="str">
            <v>Février</v>
          </cell>
          <cell r="E125" t="str">
            <v>Mars</v>
          </cell>
          <cell r="F125" t="str">
            <v>Avril</v>
          </cell>
          <cell r="G125" t="str">
            <v>Mai</v>
          </cell>
          <cell r="H125" t="str">
            <v>Juin</v>
          </cell>
          <cell r="I125" t="str">
            <v>Juillet</v>
          </cell>
          <cell r="J125" t="str">
            <v>Août</v>
          </cell>
          <cell r="K125" t="str">
            <v>Septembre</v>
          </cell>
          <cell r="L125" t="str">
            <v>Octobre</v>
          </cell>
          <cell r="M125" t="str">
            <v>Novembre</v>
          </cell>
          <cell r="N125" t="str">
            <v>Décembre</v>
          </cell>
        </row>
        <row r="133">
          <cell r="C133">
            <v>0.83027082516543083</v>
          </cell>
          <cell r="D133">
            <v>0.88244549430255503</v>
          </cell>
          <cell r="E133">
            <v>0.86555018655009497</v>
          </cell>
          <cell r="F133">
            <v>0.89874659142430435</v>
          </cell>
          <cell r="G133">
            <v>1.0799137496194018</v>
          </cell>
          <cell r="H133">
            <v>0.93821144364651454</v>
          </cell>
          <cell r="I133">
            <v>1.0983529458894041</v>
          </cell>
          <cell r="J133">
            <v>1.1412351056205059</v>
          </cell>
          <cell r="K133">
            <v>0.99750677050524084</v>
          </cell>
          <cell r="L133">
            <v>1.0585309038109245</v>
          </cell>
          <cell r="M133">
            <v>1.0447479338426933</v>
          </cell>
          <cell r="N133">
            <v>1.1644880496229328</v>
          </cell>
        </row>
        <row r="145">
          <cell r="C145" t="str">
            <v>Janvier</v>
          </cell>
          <cell r="D145" t="str">
            <v>Février</v>
          </cell>
          <cell r="E145" t="str">
            <v>Mars</v>
          </cell>
          <cell r="F145" t="str">
            <v>Avril</v>
          </cell>
          <cell r="G145" t="str">
            <v>Mai</v>
          </cell>
          <cell r="H145" t="str">
            <v>Juin</v>
          </cell>
          <cell r="I145" t="str">
            <v>Juillet</v>
          </cell>
          <cell r="J145" t="str">
            <v>Août</v>
          </cell>
          <cell r="K145" t="str">
            <v>Septembre</v>
          </cell>
          <cell r="L145" t="str">
            <v>Octobre</v>
          </cell>
          <cell r="M145" t="str">
            <v>Novembre</v>
          </cell>
          <cell r="N145" t="str">
            <v>Décembre</v>
          </cell>
        </row>
        <row r="153">
          <cell r="C153">
            <v>1.0008762013159345</v>
          </cell>
          <cell r="D153">
            <v>0.94476757614201523</v>
          </cell>
          <cell r="E153">
            <v>0.96701062852162101</v>
          </cell>
          <cell r="F153">
            <v>1.0624389691086056</v>
          </cell>
          <cell r="G153">
            <v>1.1571816314186563</v>
          </cell>
          <cell r="H153">
            <v>0.79424581509625769</v>
          </cell>
          <cell r="I153">
            <v>1.0410251236262296</v>
          </cell>
          <cell r="J153">
            <v>0.99424964015709394</v>
          </cell>
          <cell r="K153">
            <v>1.0436981623197537</v>
          </cell>
          <cell r="L153">
            <v>1.0313846560542017</v>
          </cell>
          <cell r="M153">
            <v>0.95069333283099233</v>
          </cell>
          <cell r="N153">
            <v>1.0124282634086377</v>
          </cell>
        </row>
        <row r="165">
          <cell r="C165" t="str">
            <v>Janvier</v>
          </cell>
          <cell r="D165" t="str">
            <v>Février</v>
          </cell>
          <cell r="E165" t="str">
            <v>Mars</v>
          </cell>
          <cell r="F165" t="str">
            <v>Avril</v>
          </cell>
          <cell r="G165" t="str">
            <v>Mai</v>
          </cell>
          <cell r="H165" t="str">
            <v>Juin</v>
          </cell>
          <cell r="I165" t="str">
            <v>Juillet</v>
          </cell>
          <cell r="J165" t="str">
            <v>Août</v>
          </cell>
          <cell r="K165" t="str">
            <v>Septembre</v>
          </cell>
          <cell r="L165" t="str">
            <v>Octobre</v>
          </cell>
          <cell r="M165" t="str">
            <v>Novembre</v>
          </cell>
          <cell r="N165" t="str">
            <v>Décembre</v>
          </cell>
        </row>
        <row r="173">
          <cell r="C173">
            <v>0.93040910885990247</v>
          </cell>
          <cell r="D173">
            <v>0.83840048142367174</v>
          </cell>
          <cell r="E173">
            <v>0.95330373619294362</v>
          </cell>
          <cell r="F173">
            <v>0.97390311445047351</v>
          </cell>
          <cell r="G173">
            <v>1.0456286836698332</v>
          </cell>
          <cell r="H173">
            <v>0.97526097608842299</v>
          </cell>
          <cell r="I173">
            <v>1.0500050871591906</v>
          </cell>
          <cell r="J173">
            <v>1.0671480903383033</v>
          </cell>
          <cell r="K173">
            <v>0.98143500322347477</v>
          </cell>
          <cell r="L173">
            <v>1.0698194516572808</v>
          </cell>
          <cell r="M173">
            <v>1.0246840536606088</v>
          </cell>
          <cell r="N173">
            <v>1.0900022132758942</v>
          </cell>
        </row>
        <row r="185">
          <cell r="C185" t="str">
            <v>Janvier</v>
          </cell>
          <cell r="D185" t="str">
            <v>Février</v>
          </cell>
          <cell r="E185" t="str">
            <v>Mars</v>
          </cell>
          <cell r="F185" t="str">
            <v>Avril</v>
          </cell>
          <cell r="G185" t="str">
            <v>Mai</v>
          </cell>
          <cell r="H185" t="str">
            <v>Juin</v>
          </cell>
          <cell r="I185" t="str">
            <v>Juillet</v>
          </cell>
          <cell r="J185" t="str">
            <v>Août</v>
          </cell>
          <cell r="K185" t="str">
            <v>Septembre</v>
          </cell>
          <cell r="L185" t="str">
            <v>Octobre</v>
          </cell>
          <cell r="M185" t="str">
            <v>Novembre</v>
          </cell>
          <cell r="N185" t="str">
            <v>Décembre</v>
          </cell>
        </row>
        <row r="193">
          <cell r="C193">
            <v>0.8125473404163478</v>
          </cell>
          <cell r="D193">
            <v>0.88426230025065544</v>
          </cell>
          <cell r="E193">
            <v>0.85170635692177876</v>
          </cell>
          <cell r="F193">
            <v>0.88432535824824865</v>
          </cell>
          <cell r="G193">
            <v>1.0649955296383846</v>
          </cell>
          <cell r="H193">
            <v>0.94444665481076218</v>
          </cell>
          <cell r="I193">
            <v>1.0842462354750781</v>
          </cell>
          <cell r="J193">
            <v>1.1721671006908603</v>
          </cell>
          <cell r="K193">
            <v>1.0250257674496117</v>
          </cell>
          <cell r="L193">
            <v>1.0414208468238662</v>
          </cell>
          <cell r="M193">
            <v>1.0538973220619665</v>
          </cell>
          <cell r="N193">
            <v>1.1809591872124385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44" t="inlineStr">
        <is>
          <t>Modèle : informations annuelles</t>
        </is>
      </c>
    </row>
    <row r="2">
      <c r="A2" s="1345" t="inlineStr"/>
    </row>
    <row r="3">
      <c r="A3" s="1345" t="inlineStr">
        <is>
          <t>Les cellules surlignées en jaune sont les seules à modifier.</t>
        </is>
      </c>
    </row>
    <row r="4">
      <c r="A4" s="1345" t="inlineStr"/>
    </row>
    <row r="5">
      <c r="A5" s="1345" t="inlineStr">
        <is>
          <t>Onglet 'COEFFICIENTS_SAISONNIERS_2026' : objectifs annuels par</t>
        </is>
      </c>
    </row>
    <row r="6">
      <c r="A6" s="1345" t="inlineStr">
        <is>
          <t>catégorie (colonne J, à côté de chaque titre 'Objectif annuel ...')</t>
        </is>
      </c>
    </row>
    <row r="7">
      <c r="A7" s="1345" t="inlineStr">
        <is>
          <t>et historique mensuel des 5 dernières années (pour faire glisser</t>
        </is>
      </c>
    </row>
    <row r="8">
      <c r="A8" s="1345" t="inlineStr">
        <is>
          <t>l'historique chaque année : remplacez la ligne de l'année la plus</t>
        </is>
      </c>
    </row>
    <row r="9">
      <c r="A9" s="1345" t="inlineStr">
        <is>
          <t>ancienne par la nouvelle année close).</t>
        </is>
      </c>
    </row>
    <row r="10">
      <c r="A10" s="1345" t="inlineStr"/>
    </row>
    <row r="11">
      <c r="A11" s="1345" t="inlineStr">
        <is>
          <t>Onglet 'Stats exo 2025brute' : statistiques de clôture (trafic brut,</t>
        </is>
      </c>
    </row>
    <row r="12">
      <c r="A12" s="1345" t="inlineStr">
        <is>
          <t>tare des conteneurs incluse) — à mettre à jour à chaque situation</t>
        </is>
      </c>
    </row>
    <row r="13">
      <c r="A13" s="1345" t="inlineStr">
        <is>
          <t>mensuelle.</t>
        </is>
      </c>
    </row>
    <row r="14">
      <c r="A14" s="1345" t="inlineStr"/>
    </row>
    <row r="15">
      <c r="A15" s="1345" t="inlineStr">
        <is>
          <t>Onglet 'TC2 - Engagement contractuel' : engagement de trafic de</t>
        </is>
      </c>
    </row>
    <row r="16">
      <c r="A16" s="1345" t="inlineStr">
        <is>
          <t>conteneurs transbordés du business plan TC2, par année.</t>
        </is>
      </c>
    </row>
    <row r="17">
      <c r="A17" s="1345" t="inlineStr"/>
    </row>
    <row r="18">
      <c r="A18" s="1345" t="inlineStr">
        <is>
          <t>Une fois rempli, enregistrez ce fichier et déposez-le dans l'outil.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4"/>
  <sheetViews>
    <sheetView topLeftCell="A6" zoomScale="90" zoomScaleNormal="90" workbookViewId="0">
      <selection activeCell="J4" sqref="J4"/>
    </sheetView>
  </sheetViews>
  <sheetFormatPr baseColWidth="10" defaultColWidth="11.453125" defaultRowHeight="12.5"/>
  <cols>
    <col width="15.54296875" customWidth="1" style="1346" min="1" max="1"/>
    <col width="18.453125" customWidth="1" style="1347" min="2" max="2"/>
    <col width="14.26953125" bestFit="1" customWidth="1" style="1346" min="3" max="3"/>
    <col width="9.81640625" customWidth="1" style="1346" min="4" max="4"/>
    <col width="10.1796875" customWidth="1" style="1346" min="5" max="5"/>
    <col width="10.26953125" bestFit="1" customWidth="1" style="1346" min="6" max="6"/>
    <col width="9.81640625" customWidth="1" style="1346" min="7" max="7"/>
    <col width="12.26953125" customWidth="1" style="1346" min="8" max="8"/>
    <col width="10.26953125" bestFit="1" customWidth="1" style="1346" min="9" max="9"/>
    <col width="12" customWidth="1" style="1346" min="10" max="10"/>
    <col width="10.26953125" bestFit="1" customWidth="1" style="1346" min="11" max="11"/>
    <col width="10.26953125" customWidth="1" style="1346" min="12" max="12"/>
    <col width="10.26953125" bestFit="1" customWidth="1" style="1346" min="13" max="13"/>
    <col width="9.54296875" customWidth="1" style="1346" min="14" max="14"/>
    <col width="13.54296875" customWidth="1" style="1346" min="15" max="15"/>
    <col width="13.7265625" customWidth="1" style="1348" min="16" max="16"/>
    <col width="11.453125" customWidth="1" style="1346" min="17" max="16384"/>
  </cols>
  <sheetData>
    <row r="1">
      <c r="A1" s="1349" t="n"/>
      <c r="B1" s="1350" t="n"/>
      <c r="C1" s="1351" t="n"/>
      <c r="D1" s="1351" t="n"/>
      <c r="E1" s="1351" t="n"/>
      <c r="F1" s="1351" t="n"/>
      <c r="G1" s="1351" t="n"/>
      <c r="H1" s="1351" t="n"/>
      <c r="I1" s="1351" t="n"/>
      <c r="J1" s="1351" t="n"/>
      <c r="K1" s="1351" t="n"/>
      <c r="L1" s="1351" t="n"/>
      <c r="M1" s="1351" t="n"/>
      <c r="N1" s="1351" t="n"/>
      <c r="O1" s="1349" t="n"/>
      <c r="P1" s="1349" t="n"/>
      <c r="Q1" s="1349" t="n"/>
      <c r="R1" s="1349" t="n"/>
      <c r="S1" s="1351" t="n"/>
    </row>
    <row r="2" ht="15.75" customHeight="1">
      <c r="A2" s="1349" t="n"/>
      <c r="B2" s="1352" t="inlineStr">
        <is>
          <t>Coefficients saisonniers 2026</t>
        </is>
      </c>
      <c r="C2" s="1351" t="n"/>
      <c r="D2" s="1351" t="n"/>
      <c r="E2" s="1351" t="n"/>
      <c r="F2" s="1351" t="n"/>
      <c r="G2" s="1351" t="n"/>
      <c r="H2" s="1351" t="n"/>
      <c r="I2" s="1351" t="n"/>
      <c r="J2" s="1351" t="n"/>
      <c r="K2" s="1351" t="n"/>
      <c r="L2" s="1351" t="n"/>
      <c r="M2" s="1351" t="n"/>
      <c r="N2" s="1351" t="n"/>
      <c r="O2" s="1349" t="n"/>
      <c r="P2" s="1353" t="n"/>
      <c r="Q2" s="1349" t="n"/>
      <c r="R2" s="1349" t="n"/>
      <c r="S2" s="1351" t="n"/>
    </row>
    <row r="3" ht="7.5" customHeight="1">
      <c r="A3" s="1349" t="n"/>
      <c r="B3" s="1352" t="n"/>
      <c r="C3" s="1354" t="n"/>
      <c r="D3" s="1354" t="n"/>
      <c r="E3" s="1354" t="n"/>
      <c r="F3" s="1354" t="n"/>
      <c r="G3" s="1354" t="n"/>
      <c r="H3" s="1354" t="n"/>
      <c r="I3" s="1354" t="n"/>
      <c r="J3" s="1354" t="n"/>
      <c r="K3" s="1354" t="n"/>
      <c r="L3" s="1354" t="n"/>
      <c r="M3" s="1354" t="n"/>
      <c r="N3" s="1354" t="n"/>
      <c r="O3" s="1352" t="n"/>
      <c r="P3" s="1353" t="n"/>
      <c r="Q3" s="1349" t="n"/>
      <c r="R3" s="1349" t="n"/>
      <c r="S3" s="1351" t="n"/>
    </row>
    <row r="4" ht="14.5" customHeight="1">
      <c r="A4" s="1349" t="n"/>
      <c r="B4" s="1355" t="inlineStr">
        <is>
          <t>I-/ Trafic des escales navires (en nombre)</t>
        </is>
      </c>
      <c r="C4" s="1356" t="n"/>
      <c r="D4" s="1356" t="n"/>
      <c r="E4" s="1356" t="n"/>
      <c r="F4" s="1357" t="inlineStr">
        <is>
          <t>Prévision annuelle DEESP_DSPP</t>
        </is>
      </c>
      <c r="G4" s="1356" t="n"/>
      <c r="H4" s="1356" t="n"/>
      <c r="I4" s="1351" t="n"/>
      <c r="J4" s="1358" t="n">
        <v>2782</v>
      </c>
      <c r="K4" s="1351" t="n"/>
      <c r="L4" s="1351" t="n"/>
      <c r="M4" s="1351" t="n"/>
      <c r="N4" s="1351" t="n"/>
      <c r="O4" s="1349" t="n"/>
      <c r="P4" s="1349" t="n"/>
      <c r="Q4" s="1349" t="n"/>
      <c r="R4" s="1349" t="n"/>
      <c r="S4" s="1351" t="n"/>
    </row>
    <row r="5" ht="26" customHeight="1">
      <c r="A5" s="1349" t="n"/>
      <c r="B5" s="1359" t="inlineStr">
        <is>
          <t>Années</t>
        </is>
      </c>
      <c r="C5" s="1360" t="inlineStr">
        <is>
          <t>Janvier</t>
        </is>
      </c>
      <c r="D5" s="1360" t="inlineStr">
        <is>
          <t>Février</t>
        </is>
      </c>
      <c r="E5" s="1360" t="inlineStr">
        <is>
          <t>Mars</t>
        </is>
      </c>
      <c r="F5" s="1360" t="inlineStr">
        <is>
          <t>Avril</t>
        </is>
      </c>
      <c r="G5" s="1360" t="inlineStr">
        <is>
          <t>Mai</t>
        </is>
      </c>
      <c r="H5" s="1361" t="inlineStr">
        <is>
          <t>Juin</t>
        </is>
      </c>
      <c r="I5" s="1360" t="inlineStr">
        <is>
          <t>Juillet</t>
        </is>
      </c>
      <c r="J5" s="1360" t="inlineStr">
        <is>
          <t>Août</t>
        </is>
      </c>
      <c r="K5" s="1360" t="inlineStr">
        <is>
          <t>Septembre</t>
        </is>
      </c>
      <c r="L5" s="1360" t="inlineStr">
        <is>
          <t>Octobre</t>
        </is>
      </c>
      <c r="M5" s="1360" t="inlineStr">
        <is>
          <t>Novembre</t>
        </is>
      </c>
      <c r="N5" s="1360" t="inlineStr">
        <is>
          <t>Décembre</t>
        </is>
      </c>
      <c r="O5" s="1362" t="inlineStr">
        <is>
          <t>Moyenne Annuelle</t>
        </is>
      </c>
      <c r="P5" s="1349" t="n"/>
      <c r="Q5" s="1349" t="n"/>
      <c r="R5" s="1349" t="n"/>
      <c r="S5" s="1351" t="n"/>
    </row>
    <row r="6" ht="13" customHeight="1">
      <c r="A6" s="1349" t="n"/>
      <c r="B6" s="1363" t="n">
        <v>2021</v>
      </c>
      <c r="C6" s="1364" t="n">
        <v>212</v>
      </c>
      <c r="D6" s="1364" t="n">
        <v>186</v>
      </c>
      <c r="E6" s="1364" t="n">
        <v>202</v>
      </c>
      <c r="F6" s="1364" t="n">
        <v>185</v>
      </c>
      <c r="G6" s="1364" t="n">
        <v>203</v>
      </c>
      <c r="H6" s="1364" t="n">
        <v>188</v>
      </c>
      <c r="I6" s="1364" t="n">
        <v>207</v>
      </c>
      <c r="J6" s="1364" t="n">
        <v>189</v>
      </c>
      <c r="K6" s="1364" t="n">
        <v>187</v>
      </c>
      <c r="L6" s="1364" t="n">
        <v>190</v>
      </c>
      <c r="M6" s="1364" t="n">
        <v>193</v>
      </c>
      <c r="N6" s="1364" t="n">
        <v>189</v>
      </c>
      <c r="O6" s="515">
        <f>+AVERAGE(C6:N6)</f>
        <v/>
      </c>
      <c r="P6" s="1349" t="n"/>
      <c r="Q6" s="1349" t="n"/>
      <c r="R6" s="1349" t="n"/>
      <c r="S6" s="1351" t="n"/>
    </row>
    <row r="7" ht="13" customHeight="1">
      <c r="A7" s="1349" t="n"/>
      <c r="B7" s="1363" t="n">
        <v>2022</v>
      </c>
      <c r="C7" s="1364" t="n">
        <v>190</v>
      </c>
      <c r="D7" s="1364" t="n">
        <v>181</v>
      </c>
      <c r="E7" s="1364" t="n">
        <v>174</v>
      </c>
      <c r="F7" s="1364" t="n">
        <v>212</v>
      </c>
      <c r="G7" s="1364" t="n">
        <v>188</v>
      </c>
      <c r="H7" s="1364" t="n">
        <v>181</v>
      </c>
      <c r="I7" s="1364" t="n">
        <v>198</v>
      </c>
      <c r="J7" s="1364" t="n">
        <v>186</v>
      </c>
      <c r="K7" s="1364" t="n">
        <v>175</v>
      </c>
      <c r="L7" s="1364" t="n">
        <v>182</v>
      </c>
      <c r="M7" s="1364" t="n">
        <v>196</v>
      </c>
      <c r="N7" s="1364" t="n">
        <v>205</v>
      </c>
      <c r="O7" s="515">
        <f>+AVERAGE(C7:N7)</f>
        <v/>
      </c>
      <c r="P7" s="1349" t="n"/>
      <c r="Q7" s="1349" t="n"/>
      <c r="R7" s="1349" t="n"/>
      <c r="S7" s="1351" t="n"/>
    </row>
    <row r="8" ht="13" customHeight="1">
      <c r="A8" s="1349" t="n"/>
      <c r="B8" s="1363" t="n">
        <v>2023</v>
      </c>
      <c r="C8" s="1364" t="n">
        <v>199</v>
      </c>
      <c r="D8" s="1364" t="n">
        <v>176</v>
      </c>
      <c r="E8" s="1364" t="n">
        <v>202</v>
      </c>
      <c r="F8" s="1364" t="n">
        <v>197</v>
      </c>
      <c r="G8" s="1364" t="n">
        <v>209</v>
      </c>
      <c r="H8" s="1364" t="n">
        <v>182</v>
      </c>
      <c r="I8" s="1364" t="n">
        <v>223</v>
      </c>
      <c r="J8" s="1364" t="n">
        <v>208</v>
      </c>
      <c r="K8" s="1364" t="n">
        <v>207</v>
      </c>
      <c r="L8" s="1364" t="n">
        <v>230</v>
      </c>
      <c r="M8" s="1364" t="n">
        <v>207</v>
      </c>
      <c r="N8" s="1364" t="n">
        <v>242</v>
      </c>
      <c r="O8" s="515">
        <f>+AVERAGE(C8:N8)</f>
        <v/>
      </c>
      <c r="P8" s="1349" t="n"/>
      <c r="Q8" s="1349" t="n"/>
      <c r="R8" s="1349" t="n"/>
      <c r="S8" s="1351" t="n"/>
    </row>
    <row r="9" ht="13" customHeight="1">
      <c r="A9" s="1349" t="n"/>
      <c r="B9" s="1363" t="n">
        <v>2024</v>
      </c>
      <c r="C9" s="1364" t="n">
        <v>213</v>
      </c>
      <c r="D9" s="1364" t="n">
        <v>199</v>
      </c>
      <c r="E9" s="1364" t="n">
        <v>199</v>
      </c>
      <c r="F9" s="1364" t="n">
        <v>201</v>
      </c>
      <c r="G9" s="1364" t="n">
        <v>216</v>
      </c>
      <c r="H9" s="1364" t="n">
        <v>209</v>
      </c>
      <c r="I9" s="1364" t="n">
        <v>220</v>
      </c>
      <c r="J9" s="1364" t="n">
        <v>197</v>
      </c>
      <c r="K9" s="1364" t="n">
        <v>231</v>
      </c>
      <c r="L9" s="1364" t="n">
        <v>234</v>
      </c>
      <c r="M9" s="1364" t="n">
        <v>235</v>
      </c>
      <c r="N9" s="1364" t="n">
        <v>241</v>
      </c>
      <c r="O9" s="515">
        <f>+AVERAGE(C9:N9)</f>
        <v/>
      </c>
      <c r="P9" s="1349" t="n"/>
      <c r="Q9" s="1349" t="n"/>
      <c r="R9" s="1349" t="n"/>
      <c r="S9" s="1351" t="n"/>
    </row>
    <row r="10" ht="13" customHeight="1">
      <c r="A10" s="1349" t="n"/>
      <c r="B10" s="1365" t="n">
        <v>2025</v>
      </c>
      <c r="C10" s="1364" t="n">
        <v>246</v>
      </c>
      <c r="D10" s="1364" t="n">
        <v>237</v>
      </c>
      <c r="E10" s="1364" t="n">
        <v>244</v>
      </c>
      <c r="F10" s="1364" t="n">
        <v>220</v>
      </c>
      <c r="G10" s="1364" t="n">
        <v>247</v>
      </c>
      <c r="H10" s="1364" t="n">
        <v>214</v>
      </c>
      <c r="I10" s="1364" t="n">
        <v>212</v>
      </c>
      <c r="J10" s="1364" t="n">
        <v>227</v>
      </c>
      <c r="K10" s="1364" t="n">
        <v>209</v>
      </c>
      <c r="L10" s="1364" t="n">
        <v>221</v>
      </c>
      <c r="M10" s="1364" t="n">
        <v>228</v>
      </c>
      <c r="N10" s="1364" t="n">
        <v>243</v>
      </c>
      <c r="O10" s="517">
        <f>+AVERAGE(C10:N10)</f>
        <v/>
      </c>
      <c r="P10" s="1349" t="n"/>
      <c r="Q10" s="1349" t="n"/>
      <c r="R10" s="1349" t="n"/>
      <c r="S10" s="1351" t="n"/>
    </row>
    <row r="11" ht="13" customHeight="1">
      <c r="A11" s="1349" t="n"/>
      <c r="B11" s="1359" t="inlineStr">
        <is>
          <t>Total</t>
        </is>
      </c>
      <c r="C11" s="518">
        <f>SUM(C6:C10)</f>
        <v/>
      </c>
      <c r="D11" s="518">
        <f>SUM(D6:D10)</f>
        <v/>
      </c>
      <c r="E11" s="518">
        <f>SUM(E6:E10)</f>
        <v/>
      </c>
      <c r="F11" s="518">
        <f>SUM(F6:F10)</f>
        <v/>
      </c>
      <c r="G11" s="518">
        <f>SUM(G6:G10)</f>
        <v/>
      </c>
      <c r="H11" s="518">
        <f>SUM(H6:H10)</f>
        <v/>
      </c>
      <c r="I11" s="518">
        <f>SUM(I6:I10)</f>
        <v/>
      </c>
      <c r="J11" s="518">
        <f>SUM(J6:J10)</f>
        <v/>
      </c>
      <c r="K11" s="518">
        <f>SUM(K6:K10)</f>
        <v/>
      </c>
      <c r="L11" s="518">
        <f>SUM(L6:L10)</f>
        <v/>
      </c>
      <c r="M11" s="518">
        <f>SUM(M6:M10)</f>
        <v/>
      </c>
      <c r="N11" s="518">
        <f>SUM(N6:N10)</f>
        <v/>
      </c>
      <c r="O11" s="1366" t="n"/>
      <c r="P11" s="1367" t="n"/>
      <c r="Q11" s="1349" t="n"/>
      <c r="R11" s="1349" t="n"/>
      <c r="S11" s="1351" t="n"/>
    </row>
    <row r="12" ht="21" customHeight="1">
      <c r="A12" s="1368" t="n"/>
      <c r="B12" s="1369" t="inlineStr">
        <is>
          <t>Moyenne mensuelle</t>
        </is>
      </c>
      <c r="C12" s="522">
        <f>+C11/5</f>
        <v/>
      </c>
      <c r="D12" s="522">
        <f>+D11/5</f>
        <v/>
      </c>
      <c r="E12" s="522">
        <f>+E11/5</f>
        <v/>
      </c>
      <c r="F12" s="522">
        <f>+F11/5</f>
        <v/>
      </c>
      <c r="G12" s="522">
        <f>+G11/5</f>
        <v/>
      </c>
      <c r="H12" s="522">
        <f>+H11/5</f>
        <v/>
      </c>
      <c r="I12" s="522">
        <f>+I11/5</f>
        <v/>
      </c>
      <c r="J12" s="522">
        <f>+J11/5</f>
        <v/>
      </c>
      <c r="K12" s="522">
        <f>+K11/5</f>
        <v/>
      </c>
      <c r="L12" s="522">
        <f>+L11/5</f>
        <v/>
      </c>
      <c r="M12" s="522">
        <f>+M11/5</f>
        <v/>
      </c>
      <c r="N12" s="522">
        <f>+N11/5</f>
        <v/>
      </c>
      <c r="O12" s="522">
        <f>AVERAGE(C12:N12)</f>
        <v/>
      </c>
      <c r="P12" s="1370" t="inlineStr">
        <is>
          <t>Moyenne des moyennes</t>
        </is>
      </c>
      <c r="Q12" s="1349" t="n"/>
      <c r="R12" s="1349" t="n"/>
      <c r="S12" s="1351" t="n"/>
    </row>
    <row r="13" ht="13" customHeight="1">
      <c r="A13" s="1349" t="n"/>
      <c r="B13" s="1371" t="inlineStr">
        <is>
          <t>Coef.</t>
        </is>
      </c>
      <c r="C13" s="1372">
        <f>C12/$O$12</f>
        <v/>
      </c>
      <c r="D13" s="1372">
        <f>D12/$O$12</f>
        <v/>
      </c>
      <c r="E13" s="1372">
        <f>E12/$O$12</f>
        <v/>
      </c>
      <c r="F13" s="1372">
        <f>F12/$O$12</f>
        <v/>
      </c>
      <c r="G13" s="1372">
        <f>G12/$O$12</f>
        <v/>
      </c>
      <c r="H13" s="1372">
        <f>H12/$O$12</f>
        <v/>
      </c>
      <c r="I13" s="1372">
        <f>I12/$O$12</f>
        <v/>
      </c>
      <c r="J13" s="1372">
        <f>J12/$O$12</f>
        <v/>
      </c>
      <c r="K13" s="1372">
        <f>K12/$O$12</f>
        <v/>
      </c>
      <c r="L13" s="1372">
        <f>L12/$O$12</f>
        <v/>
      </c>
      <c r="M13" s="1372">
        <f>M12/$O$12</f>
        <v/>
      </c>
      <c r="N13" s="1372">
        <f>N12/$O$12</f>
        <v/>
      </c>
      <c r="O13" s="526">
        <f>AVERAGE(C13:N13)</f>
        <v/>
      </c>
      <c r="P13" s="1349" t="n"/>
      <c r="Q13" s="1349" t="n"/>
      <c r="R13" s="1349" t="n"/>
      <c r="S13" s="1351" t="n"/>
    </row>
    <row r="14" ht="13" customHeight="1">
      <c r="A14" s="1349" t="n"/>
      <c r="B14" s="1373" t="inlineStr">
        <is>
          <t>Prév. 2024</t>
        </is>
      </c>
      <c r="C14" s="528">
        <f>C13*$O$14</f>
        <v/>
      </c>
      <c r="D14" s="528">
        <f>D13*$O$14</f>
        <v/>
      </c>
      <c r="E14" s="528">
        <f>E13*$O$14</f>
        <v/>
      </c>
      <c r="F14" s="528">
        <f>F13*$O$14</f>
        <v/>
      </c>
      <c r="G14" s="528">
        <f>G13*$O$14</f>
        <v/>
      </c>
      <c r="H14" s="528">
        <f>H13*$O$14</f>
        <v/>
      </c>
      <c r="I14" s="528">
        <f>I13*$O$14</f>
        <v/>
      </c>
      <c r="J14" s="528">
        <f>J13*$O$14</f>
        <v/>
      </c>
      <c r="K14" s="528">
        <f>K13*$O$14</f>
        <v/>
      </c>
      <c r="L14" s="528">
        <f>L13*$O$14</f>
        <v/>
      </c>
      <c r="M14" s="528">
        <f>M13*$O$14</f>
        <v/>
      </c>
      <c r="N14" s="528">
        <f>N13*$O$14</f>
        <v/>
      </c>
      <c r="O14" s="529">
        <f>J4/12</f>
        <v/>
      </c>
      <c r="P14" s="1349" t="n"/>
      <c r="Q14" s="1349" t="n"/>
      <c r="R14" s="1349" t="n"/>
      <c r="S14" s="1351" t="n"/>
    </row>
    <row r="15">
      <c r="A15" s="1349" t="n"/>
      <c r="B15" s="1349" t="n"/>
      <c r="C15" s="1351" t="n"/>
      <c r="D15" s="1351" t="n"/>
      <c r="E15" s="1351" t="n"/>
      <c r="F15" s="1351" t="n"/>
      <c r="G15" s="1351" t="n"/>
      <c r="H15" s="1351" t="n"/>
      <c r="I15" s="1351" t="n"/>
      <c r="J15" s="1351" t="n"/>
      <c r="K15" s="1351" t="n"/>
      <c r="L15" s="1351" t="n"/>
      <c r="M15" s="1351" t="n"/>
      <c r="N15" s="1351" t="n"/>
      <c r="O15" s="1349" t="n"/>
      <c r="P15" s="1349" t="n"/>
      <c r="Q15" s="1349" t="n"/>
      <c r="R15" s="1349" t="n"/>
      <c r="S15" s="1351" t="n"/>
    </row>
    <row r="16">
      <c r="A16" s="1349" t="n"/>
      <c r="B16" s="1349" t="n"/>
      <c r="C16" s="1351" t="n"/>
      <c r="D16" s="1351" t="n"/>
      <c r="E16" s="1351" t="n"/>
      <c r="F16" s="1351" t="n"/>
      <c r="G16" s="1351" t="n"/>
      <c r="H16" s="1351" t="n"/>
      <c r="I16" s="1351" t="n"/>
      <c r="J16" s="1351" t="n"/>
      <c r="K16" s="1351" t="n"/>
      <c r="L16" s="1351" t="n"/>
      <c r="M16" s="1351" t="n"/>
      <c r="N16" s="1351" t="n"/>
      <c r="O16" s="1349" t="n"/>
      <c r="P16" s="1349" t="n"/>
      <c r="Q16" s="1349" t="n"/>
      <c r="R16" s="1349" t="n"/>
      <c r="S16" s="1351" t="n"/>
    </row>
    <row r="17">
      <c r="A17" s="1349" t="n"/>
      <c r="B17" s="1349" t="n"/>
      <c r="C17" s="1351" t="n"/>
      <c r="D17" s="1351" t="n"/>
      <c r="E17" s="1351" t="n"/>
      <c r="F17" s="1351" t="n"/>
      <c r="G17" s="1351" t="n"/>
      <c r="H17" s="1351" t="n"/>
      <c r="I17" s="1351" t="n"/>
      <c r="J17" s="1351" t="n"/>
      <c r="K17" s="1351" t="n"/>
      <c r="L17" s="1351" t="n"/>
      <c r="M17" s="1351" t="n"/>
      <c r="N17" s="1351" t="n"/>
      <c r="O17" s="1349" t="n"/>
      <c r="P17" s="1349" t="n"/>
      <c r="Q17" s="1349" t="n"/>
      <c r="R17" s="1349" t="n"/>
      <c r="S17" s="1351" t="n"/>
    </row>
    <row r="18">
      <c r="A18" s="1349" t="n"/>
      <c r="B18" s="1349" t="n"/>
      <c r="C18" s="1351" t="n"/>
      <c r="D18" s="1351" t="n"/>
      <c r="E18" s="1351" t="n"/>
      <c r="F18" s="1351" t="n"/>
      <c r="G18" s="1351" t="n"/>
      <c r="H18" s="1351" t="n"/>
      <c r="I18" s="1351" t="n"/>
      <c r="J18" s="1351" t="n"/>
      <c r="K18" s="1351" t="n"/>
      <c r="L18" s="1351" t="n"/>
      <c r="M18" s="1351" t="n"/>
      <c r="N18" s="1351" t="n"/>
      <c r="O18" s="1349" t="n"/>
      <c r="P18" s="1349" t="n"/>
      <c r="Q18" s="1349" t="n"/>
      <c r="R18" s="1349" t="n"/>
      <c r="S18" s="1351" t="n"/>
    </row>
    <row r="19">
      <c r="A19" s="1349" t="n"/>
      <c r="B19" s="1349" t="n"/>
      <c r="C19" s="1351" t="n"/>
      <c r="D19" s="1351" t="n"/>
      <c r="E19" s="1351" t="n"/>
      <c r="F19" s="1351" t="n"/>
      <c r="G19" s="1351" t="n"/>
      <c r="H19" s="1351" t="n"/>
      <c r="I19" s="1351" t="n"/>
      <c r="J19" s="1351" t="n"/>
      <c r="K19" s="1351" t="n"/>
      <c r="L19" s="1351" t="n"/>
      <c r="M19" s="1351" t="n"/>
      <c r="N19" s="1351" t="n"/>
      <c r="O19" s="1349" t="n"/>
      <c r="P19" s="1349" t="n"/>
      <c r="Q19" s="1349" t="n"/>
      <c r="R19" s="1349" t="n"/>
      <c r="S19" s="1351" t="n"/>
    </row>
    <row r="20">
      <c r="A20" s="1349" t="n"/>
      <c r="B20" s="1349" t="n"/>
      <c r="C20" s="1351" t="n"/>
      <c r="D20" s="1351" t="n"/>
      <c r="E20" s="1351" t="n"/>
      <c r="F20" s="1351" t="n"/>
      <c r="G20" s="1351" t="n"/>
      <c r="H20" s="1351" t="n"/>
      <c r="I20" s="1351" t="n"/>
      <c r="J20" s="1351" t="n"/>
      <c r="K20" s="1351" t="n"/>
      <c r="L20" s="1351" t="n"/>
      <c r="M20" s="1351" t="n"/>
      <c r="N20" s="1351" t="n"/>
      <c r="O20" s="1349" t="n"/>
      <c r="P20" s="1349" t="n"/>
      <c r="Q20" s="1349" t="n"/>
      <c r="R20" s="1349" t="n"/>
      <c r="S20" s="1351" t="n"/>
    </row>
    <row r="21">
      <c r="A21" s="1349" t="n"/>
      <c r="B21" s="1349" t="n"/>
      <c r="C21" s="1351" t="n"/>
      <c r="D21" s="1351" t="n"/>
      <c r="E21" s="1351" t="n"/>
      <c r="F21" s="1351" t="n"/>
      <c r="G21" s="1351" t="n"/>
      <c r="H21" s="1351" t="n"/>
      <c r="I21" s="1351" t="n"/>
      <c r="J21" s="1351" t="n"/>
      <c r="K21" s="1351" t="n"/>
      <c r="L21" s="1351" t="n"/>
      <c r="M21" s="1351" t="n"/>
      <c r="N21" s="1351" t="n"/>
      <c r="O21" s="1349" t="n"/>
      <c r="P21" s="1349" t="n"/>
      <c r="Q21" s="1349" t="n"/>
      <c r="R21" s="1349" t="n"/>
      <c r="S21" s="1351" t="n"/>
    </row>
    <row r="22">
      <c r="A22" s="1349" t="n"/>
      <c r="B22" s="1349" t="n"/>
      <c r="C22" s="1351" t="n"/>
      <c r="D22" s="1351" t="n"/>
      <c r="E22" s="1351" t="n"/>
      <c r="F22" s="1351" t="n"/>
      <c r="G22" s="1351" t="n"/>
      <c r="H22" s="1351" t="n"/>
      <c r="I22" s="1351" t="n"/>
      <c r="J22" s="1351" t="n"/>
      <c r="K22" s="1351" t="n"/>
      <c r="L22" s="1351" t="n"/>
      <c r="M22" s="1351" t="n"/>
      <c r="N22" s="1351" t="n"/>
      <c r="O22" s="1349" t="n"/>
      <c r="P22" s="1349" t="n"/>
      <c r="Q22" s="1349" t="n"/>
      <c r="R22" s="1349" t="n"/>
      <c r="S22" s="1351" t="n"/>
    </row>
    <row r="23">
      <c r="A23" s="1349" t="n"/>
      <c r="B23" s="1349" t="n"/>
      <c r="C23" s="1351" t="n"/>
      <c r="D23" s="1351" t="n"/>
      <c r="E23" s="1351" t="n"/>
      <c r="F23" s="1351" t="n"/>
      <c r="G23" s="1351" t="n"/>
      <c r="H23" s="1351" t="n"/>
      <c r="I23" s="1351" t="n"/>
      <c r="J23" s="1351" t="n"/>
      <c r="K23" s="1351" t="n"/>
      <c r="L23" s="1351" t="n"/>
      <c r="M23" s="1351" t="n"/>
      <c r="N23" s="1351" t="n"/>
      <c r="O23" s="1349" t="n"/>
      <c r="P23" s="1349" t="n"/>
      <c r="Q23" s="1349" t="n"/>
      <c r="R23" s="1349" t="n"/>
      <c r="S23" s="1351" t="n"/>
    </row>
    <row r="24" ht="15.5" customFormat="1" customHeight="1" s="1348">
      <c r="A24" s="1349" t="n"/>
      <c r="B24" s="1355" t="inlineStr">
        <is>
          <t>II-/ Trafic global PA (en tonne)</t>
        </is>
      </c>
      <c r="C24" s="1356" t="n"/>
      <c r="D24" s="1356" t="n"/>
      <c r="E24" s="1374" t="n"/>
      <c r="F24" s="1375" t="inlineStr">
        <is>
          <t>Objectif annuel DG</t>
        </is>
      </c>
      <c r="G24" s="1356" t="n"/>
      <c r="H24" s="1356" t="n"/>
      <c r="I24" s="1374" t="n"/>
      <c r="J24" s="1358" t="n">
        <v>50000000</v>
      </c>
      <c r="K24" s="1374" t="n"/>
      <c r="L24" s="1374" t="n"/>
      <c r="M24" s="1374" t="n"/>
      <c r="N24" s="1374" t="n"/>
      <c r="O24" s="1376" t="n"/>
      <c r="P24" s="1349" t="n"/>
      <c r="Q24" s="1349" t="n"/>
      <c r="R24" s="1349" t="n"/>
      <c r="S24" s="1351" t="n"/>
    </row>
    <row r="25" ht="26" customFormat="1" customHeight="1" s="1348">
      <c r="A25" s="1349" t="n"/>
      <c r="B25" s="1359" t="inlineStr">
        <is>
          <t>Années</t>
        </is>
      </c>
      <c r="C25" s="1360" t="inlineStr">
        <is>
          <t>Janvier</t>
        </is>
      </c>
      <c r="D25" s="1360" t="inlineStr">
        <is>
          <t>Février</t>
        </is>
      </c>
      <c r="E25" s="1360" t="inlineStr">
        <is>
          <t>Mars</t>
        </is>
      </c>
      <c r="F25" s="1360" t="inlineStr">
        <is>
          <t>Avril</t>
        </is>
      </c>
      <c r="G25" s="1360" t="inlineStr">
        <is>
          <t>Mai</t>
        </is>
      </c>
      <c r="H25" s="1361" t="inlineStr">
        <is>
          <t>Juin</t>
        </is>
      </c>
      <c r="I25" s="1360" t="inlineStr">
        <is>
          <t>Juillet</t>
        </is>
      </c>
      <c r="J25" s="1360" t="inlineStr">
        <is>
          <t>Août</t>
        </is>
      </c>
      <c r="K25" s="1360" t="inlineStr">
        <is>
          <t>Septembre</t>
        </is>
      </c>
      <c r="L25" s="1360" t="inlineStr">
        <is>
          <t>Octobre</t>
        </is>
      </c>
      <c r="M25" s="1360" t="inlineStr">
        <is>
          <t>Novembre</t>
        </is>
      </c>
      <c r="N25" s="1360" t="inlineStr">
        <is>
          <t>Décembre</t>
        </is>
      </c>
      <c r="O25" s="1362" t="inlineStr">
        <is>
          <t>Moyenne Annuelle</t>
        </is>
      </c>
      <c r="P25" s="1349" t="n"/>
      <c r="Q25" s="1349" t="n"/>
      <c r="R25" s="1349" t="n"/>
      <c r="S25" s="1351" t="n"/>
    </row>
    <row r="26" ht="13" customFormat="1" customHeight="1" s="1348">
      <c r="A26" s="1349" t="n"/>
      <c r="B26" s="1363" t="n">
        <v>2021</v>
      </c>
      <c r="C26" s="1364" t="n">
        <v>2223169.38215901</v>
      </c>
      <c r="D26" s="1364" t="n">
        <v>2173246.320879999</v>
      </c>
      <c r="E26" s="1364" t="n">
        <v>2436883.882227993</v>
      </c>
      <c r="F26" s="1364" t="n">
        <v>2434519.014837973</v>
      </c>
      <c r="G26" s="1364" t="n">
        <v>2516183.429795989</v>
      </c>
      <c r="H26" s="1364" t="n">
        <v>2498912.397331992</v>
      </c>
      <c r="I26" s="1364" t="n">
        <v>2754609.929973006</v>
      </c>
      <c r="J26" s="1364" t="n">
        <v>2073864.134424007</v>
      </c>
      <c r="K26" s="1364" t="n">
        <v>2377822.463063019</v>
      </c>
      <c r="L26" s="1364" t="n">
        <v>2206532.834739022</v>
      </c>
      <c r="M26" s="1364" t="n">
        <v>2492475.556690005</v>
      </c>
      <c r="N26" s="1364" t="n">
        <v>2125649.390348016</v>
      </c>
      <c r="O26" s="515">
        <f>+AVERAGE(C26:N26)</f>
        <v/>
      </c>
      <c r="P26" s="1349" t="n"/>
      <c r="Q26" s="1349" t="n"/>
      <c r="R26" s="1349" t="n"/>
      <c r="S26" s="1351" t="n"/>
    </row>
    <row r="27" ht="13" customFormat="1" customHeight="1" s="1348">
      <c r="A27" s="1349" t="n"/>
      <c r="B27" s="1363" t="n">
        <v>2022</v>
      </c>
      <c r="C27" s="1364" t="n">
        <v>2190991.022728994</v>
      </c>
      <c r="D27" s="1364" t="n">
        <v>2302829.801113997</v>
      </c>
      <c r="E27" s="1364" t="n">
        <v>2517802.258548009</v>
      </c>
      <c r="F27" s="1364" t="n">
        <v>2561043.386037003</v>
      </c>
      <c r="G27" s="1364" t="n">
        <v>2624709.171325001</v>
      </c>
      <c r="H27" s="1364" t="n">
        <v>2314960.149737007</v>
      </c>
      <c r="I27" s="1364" t="n">
        <v>2572759.807317006</v>
      </c>
      <c r="J27" s="1364" t="n">
        <v>2468715.095773004</v>
      </c>
      <c r="K27" s="1364" t="n">
        <v>2152902.821011004</v>
      </c>
      <c r="L27" s="1364" t="n">
        <v>2429934.623102008</v>
      </c>
      <c r="M27" s="1364" t="n">
        <v>2328710.054699003</v>
      </c>
      <c r="N27" s="1364" t="n">
        <v>2203744.157839997</v>
      </c>
      <c r="O27" s="515">
        <f>+AVERAGE(C27:N27)</f>
        <v/>
      </c>
      <c r="P27" s="1349" t="n"/>
      <c r="Q27" s="1349" t="n"/>
      <c r="R27" s="1349" t="n"/>
      <c r="S27" s="1351" t="n"/>
    </row>
    <row r="28" ht="13" customFormat="1" customHeight="1" s="1348">
      <c r="A28" s="1349" t="n"/>
      <c r="B28" s="1363" t="n">
        <v>2023</v>
      </c>
      <c r="C28" s="1364" t="n">
        <v>2886618.323585009</v>
      </c>
      <c r="D28" s="1364" t="n">
        <v>2621699.117978005</v>
      </c>
      <c r="E28" s="1364" t="n">
        <v>2727007.030516006</v>
      </c>
      <c r="F28" s="1364" t="n">
        <v>2889461.220766738</v>
      </c>
      <c r="G28" s="1364" t="n">
        <v>2921298.061489995</v>
      </c>
      <c r="H28" s="1364" t="n">
        <v>2503381.881531257</v>
      </c>
      <c r="I28" s="1364" t="n">
        <v>2887044.27352298</v>
      </c>
      <c r="J28" s="1364" t="n">
        <v>3109845.853087999</v>
      </c>
      <c r="K28" s="1364" t="n">
        <v>2957123.042181003</v>
      </c>
      <c r="L28" s="1364" t="n">
        <v>3036907.341614996</v>
      </c>
      <c r="M28" s="1364" t="n">
        <v>2892474.169843981</v>
      </c>
      <c r="N28" s="1364" t="n">
        <v>3271139.784424007</v>
      </c>
      <c r="O28" s="515">
        <f>+AVERAGE(C28:N28)</f>
        <v/>
      </c>
      <c r="P28" s="1349" t="n"/>
      <c r="Q28" s="1349" t="n"/>
      <c r="R28" s="1349" t="n"/>
      <c r="S28" s="1351" t="n"/>
    </row>
    <row r="29" ht="13" customFormat="1" customHeight="1" s="1348">
      <c r="A29" s="1349" t="n"/>
      <c r="B29" s="1363" t="n">
        <v>2024</v>
      </c>
      <c r="C29" s="1364" t="n">
        <v>2969157.203742998</v>
      </c>
      <c r="D29" s="1364" t="n">
        <v>3175084.526179006</v>
      </c>
      <c r="E29" s="1364" t="n">
        <v>2993427.599006996</v>
      </c>
      <c r="F29" s="1364" t="n">
        <v>3511455.744311026</v>
      </c>
      <c r="G29" s="1364" t="n">
        <v>3728619.096232972</v>
      </c>
      <c r="H29" s="1364" t="n">
        <v>3071973.240415005</v>
      </c>
      <c r="I29" s="1364" t="n">
        <v>3424276.175112995</v>
      </c>
      <c r="J29" s="1364" t="n">
        <v>3163809.831672</v>
      </c>
      <c r="K29" s="1364" t="n">
        <v>3474909.809020993</v>
      </c>
      <c r="L29" s="1364" t="n">
        <v>3353017.833035987</v>
      </c>
      <c r="M29" s="1364" t="n">
        <v>3550152.317778023</v>
      </c>
      <c r="N29" s="1364" t="n">
        <v>3687024.755622023</v>
      </c>
      <c r="O29" s="515">
        <f>+AVERAGE(C29:N29)</f>
        <v/>
      </c>
      <c r="P29" s="1349" t="n"/>
      <c r="Q29" s="1349" t="n"/>
      <c r="R29" s="1349" t="n"/>
      <c r="S29" s="1351" t="n"/>
    </row>
    <row r="30" ht="13" customFormat="1" customHeight="1" s="1348">
      <c r="A30" s="1349" t="n"/>
      <c r="B30" s="1365" t="n">
        <v>2025</v>
      </c>
      <c r="C30" s="1364" t="n">
        <v>3615145.511489023</v>
      </c>
      <c r="D30" s="1364" t="n">
        <v>3783743.152440991</v>
      </c>
      <c r="E30" s="1364" t="n">
        <v>3803233.916642998</v>
      </c>
      <c r="F30" s="1364" t="n">
        <v>3843718.980873025</v>
      </c>
      <c r="G30" s="1364" t="n">
        <v>4162238.788202018</v>
      </c>
      <c r="H30" s="1364" t="n">
        <v>3625573.818891027</v>
      </c>
      <c r="I30" s="1364" t="n">
        <v>4135296.153130024</v>
      </c>
      <c r="J30" s="1364" t="n">
        <v>4273333.745520003</v>
      </c>
      <c r="K30" s="1364" t="n">
        <v>3846162.012919997</v>
      </c>
      <c r="L30" s="1364" t="n">
        <v>3786490.847791075</v>
      </c>
      <c r="M30" s="1364" t="n">
        <v>3690333.368680026</v>
      </c>
      <c r="N30" s="1364" t="n">
        <v>4370330.814126998</v>
      </c>
      <c r="O30" s="517">
        <f>+AVERAGE(C30:N30)</f>
        <v/>
      </c>
      <c r="P30" s="1349" t="n"/>
      <c r="Q30" s="1349" t="n"/>
      <c r="R30" s="1349" t="n"/>
      <c r="S30" s="1351" t="n"/>
    </row>
    <row r="31" ht="13" customFormat="1" customHeight="1" s="1348">
      <c r="A31" s="1349" t="n"/>
      <c r="B31" s="1359" t="inlineStr">
        <is>
          <t>Total</t>
        </is>
      </c>
      <c r="C31" s="518">
        <f>SUM(C26:C30)</f>
        <v/>
      </c>
      <c r="D31" s="518">
        <f>SUM(D26:D30)</f>
        <v/>
      </c>
      <c r="E31" s="518">
        <f>SUM(E26:E30)</f>
        <v/>
      </c>
      <c r="F31" s="518">
        <f>SUM(F26:F30)</f>
        <v/>
      </c>
      <c r="G31" s="518">
        <f>SUM(G26:G30)</f>
        <v/>
      </c>
      <c r="H31" s="518">
        <f>SUM(H26:H30)</f>
        <v/>
      </c>
      <c r="I31" s="518">
        <f>SUM(I26:I30)</f>
        <v/>
      </c>
      <c r="J31" s="518">
        <f>SUM(J26:J30)</f>
        <v/>
      </c>
      <c r="K31" s="518">
        <f>SUM(K26:K30)</f>
        <v/>
      </c>
      <c r="L31" s="518">
        <f>SUM(L26:L30)</f>
        <v/>
      </c>
      <c r="M31" s="518">
        <f>SUM(M26:M30)</f>
        <v/>
      </c>
      <c r="N31" s="518">
        <f>SUM(N26:N30)</f>
        <v/>
      </c>
      <c r="O31" s="1366" t="n"/>
      <c r="P31" s="1349" t="n"/>
      <c r="Q31" s="1349" t="n"/>
      <c r="R31" s="1349" t="n"/>
      <c r="S31" s="1351" t="n"/>
    </row>
    <row r="32" ht="21" customHeight="1">
      <c r="A32" s="1349" t="n"/>
      <c r="B32" s="1369" t="inlineStr">
        <is>
          <t>Moyenne mensuelle</t>
        </is>
      </c>
      <c r="C32" s="522">
        <f>C31/5</f>
        <v/>
      </c>
      <c r="D32" s="522">
        <f>D31/5</f>
        <v/>
      </c>
      <c r="E32" s="522">
        <f>E31/5</f>
        <v/>
      </c>
      <c r="F32" s="522">
        <f>F31/5</f>
        <v/>
      </c>
      <c r="G32" s="522">
        <f>G31/5</f>
        <v/>
      </c>
      <c r="H32" s="522">
        <f>H31/5</f>
        <v/>
      </c>
      <c r="I32" s="522">
        <f>I31/5</f>
        <v/>
      </c>
      <c r="J32" s="522">
        <f>J31/5</f>
        <v/>
      </c>
      <c r="K32" s="522">
        <f>K31/5</f>
        <v/>
      </c>
      <c r="L32" s="522">
        <f>L31/5</f>
        <v/>
      </c>
      <c r="M32" s="522">
        <f>M31/5</f>
        <v/>
      </c>
      <c r="N32" s="522">
        <f>N31/5</f>
        <v/>
      </c>
      <c r="O32" s="522">
        <f>AVERAGE(C32:N32)</f>
        <v/>
      </c>
      <c r="P32" s="1370" t="inlineStr">
        <is>
          <t>Moyenne des moyennes</t>
        </is>
      </c>
      <c r="Q32" s="1349" t="n"/>
      <c r="R32" s="1349" t="n"/>
      <c r="S32" s="1351" t="n"/>
    </row>
    <row r="33" ht="13" customHeight="1">
      <c r="A33" s="1349" t="n"/>
      <c r="B33" s="1371" t="inlineStr">
        <is>
          <t>Coef.</t>
        </is>
      </c>
      <c r="C33" s="1372">
        <f>C32/$O$32</f>
        <v/>
      </c>
      <c r="D33" s="1372">
        <f>D32/$O$32</f>
        <v/>
      </c>
      <c r="E33" s="1372">
        <f>E32/$O$32</f>
        <v/>
      </c>
      <c r="F33" s="1372">
        <f>F32/$O$32</f>
        <v/>
      </c>
      <c r="G33" s="1372">
        <f>G32/$O$32</f>
        <v/>
      </c>
      <c r="H33" s="1372">
        <f>H32/$O$32</f>
        <v/>
      </c>
      <c r="I33" s="1372">
        <f>I32/$O$32</f>
        <v/>
      </c>
      <c r="J33" s="1372">
        <f>J32/$O$32</f>
        <v/>
      </c>
      <c r="K33" s="1372">
        <f>K32/$O$32</f>
        <v/>
      </c>
      <c r="L33" s="1372">
        <f>L32/$O$32</f>
        <v/>
      </c>
      <c r="M33" s="1372">
        <f>M32/$O$32</f>
        <v/>
      </c>
      <c r="N33" s="1372">
        <f>N32/$O$32</f>
        <v/>
      </c>
      <c r="O33" s="526">
        <f>AVERAGE(C33:N33)</f>
        <v/>
      </c>
      <c r="P33" s="1349" t="n"/>
      <c r="Q33" s="1349" t="n"/>
      <c r="R33" s="1349" t="n"/>
      <c r="S33" s="1351" t="n"/>
    </row>
    <row r="34" ht="13" customHeight="1">
      <c r="A34" s="1349" t="n"/>
      <c r="B34" s="1373" t="inlineStr">
        <is>
          <t>Prév. 2024</t>
        </is>
      </c>
      <c r="C34" s="528">
        <f>C33*$O$34</f>
        <v/>
      </c>
      <c r="D34" s="528">
        <f>D33*$O$34</f>
        <v/>
      </c>
      <c r="E34" s="528">
        <f>E33*$O$34</f>
        <v/>
      </c>
      <c r="F34" s="528">
        <f>F33*$O$34</f>
        <v/>
      </c>
      <c r="G34" s="528">
        <f>G33*$O$34</f>
        <v/>
      </c>
      <c r="H34" s="528">
        <f>H33*$O$34</f>
        <v/>
      </c>
      <c r="I34" s="528">
        <f>I33*$O$34</f>
        <v/>
      </c>
      <c r="J34" s="528">
        <f>J33*$O$34</f>
        <v/>
      </c>
      <c r="K34" s="528">
        <f>K33*$O$34</f>
        <v/>
      </c>
      <c r="L34" s="528">
        <f>L33*$O$34</f>
        <v/>
      </c>
      <c r="M34" s="528">
        <f>M33*$O$34</f>
        <v/>
      </c>
      <c r="N34" s="528">
        <f>N33*$O$34</f>
        <v/>
      </c>
      <c r="O34" s="531">
        <f>+J24/12</f>
        <v/>
      </c>
      <c r="P34" s="1377" t="n"/>
      <c r="Q34" s="1349" t="n"/>
      <c r="R34" s="1349" t="n"/>
      <c r="S34" s="1351" t="n"/>
    </row>
    <row r="35">
      <c r="A35" s="1349" t="n"/>
      <c r="B35" s="1349" t="n"/>
      <c r="C35" s="1351" t="n"/>
      <c r="D35" s="1351" t="n"/>
      <c r="E35" s="1351" t="n"/>
      <c r="F35" s="1351" t="n"/>
      <c r="G35" s="1351" t="n"/>
      <c r="H35" s="1351" t="n"/>
      <c r="I35" s="1351" t="n"/>
      <c r="J35" s="1351" t="n"/>
      <c r="K35" s="1351" t="n"/>
      <c r="L35" s="1351" t="n"/>
      <c r="M35" s="1351" t="n"/>
      <c r="N35" s="1351" t="n"/>
      <c r="O35" s="1349" t="n"/>
      <c r="P35" s="1349" t="n"/>
      <c r="Q35" s="1349" t="n"/>
      <c r="R35" s="1349" t="n"/>
      <c r="S35" s="1351" t="n"/>
    </row>
    <row r="36">
      <c r="A36" s="1349" t="n"/>
      <c r="B36" s="1349" t="n"/>
      <c r="C36" s="1351" t="n"/>
      <c r="D36" s="1351" t="n"/>
      <c r="E36" s="1351" t="n"/>
      <c r="F36" s="1351" t="n"/>
      <c r="G36" s="1351" t="n"/>
      <c r="H36" s="1351" t="n"/>
      <c r="I36" s="1351" t="n"/>
      <c r="J36" s="1351" t="n"/>
      <c r="K36" s="1351" t="n"/>
      <c r="L36" s="1351" t="n"/>
      <c r="M36" s="1351" t="n"/>
      <c r="N36" s="1351" t="n"/>
      <c r="O36" s="1349" t="n"/>
      <c r="P36" s="1349" t="n"/>
      <c r="Q36" s="1349" t="n"/>
      <c r="R36" s="1349" t="n"/>
      <c r="S36" s="1351" t="n"/>
    </row>
    <row r="37">
      <c r="A37" s="1349" t="n"/>
      <c r="B37" s="1349" t="n"/>
      <c r="C37" s="1351" t="n"/>
      <c r="D37" s="1351" t="n"/>
      <c r="E37" s="1351" t="n"/>
      <c r="F37" s="1351" t="n"/>
      <c r="G37" s="1351" t="n"/>
      <c r="H37" s="1351" t="n"/>
      <c r="I37" s="1351" t="n"/>
      <c r="J37" s="1351" t="n"/>
      <c r="K37" s="1351" t="n"/>
      <c r="L37" s="1351" t="n"/>
      <c r="M37" s="1351" t="n"/>
      <c r="N37" s="1351" t="n"/>
      <c r="O37" s="1349" t="n"/>
      <c r="P37" s="1349" t="n"/>
      <c r="Q37" s="1349" t="n"/>
      <c r="R37" s="1349" t="n"/>
      <c r="S37" s="1351" t="n"/>
    </row>
    <row r="38">
      <c r="A38" s="1349" t="n"/>
      <c r="B38" s="1349" t="n"/>
      <c r="C38" s="1351" t="n"/>
      <c r="D38" s="1351" t="n"/>
      <c r="E38" s="1351" t="n"/>
      <c r="F38" s="1351" t="n"/>
      <c r="G38" s="1351" t="n"/>
      <c r="H38" s="1351" t="n"/>
      <c r="I38" s="1351" t="n"/>
      <c r="J38" s="1351" t="n"/>
      <c r="K38" s="1351" t="n"/>
      <c r="L38" s="1351" t="n"/>
      <c r="M38" s="1351" t="n"/>
      <c r="N38" s="1351" t="n"/>
      <c r="O38" s="1349" t="n"/>
      <c r="P38" s="1349" t="n"/>
      <c r="Q38" s="1349" t="n"/>
      <c r="R38" s="1349" t="n"/>
      <c r="S38" s="1351" t="n"/>
    </row>
    <row r="39">
      <c r="A39" s="1349" t="n"/>
      <c r="B39" s="1349" t="n"/>
      <c r="C39" s="1351" t="n"/>
      <c r="D39" s="1351" t="n"/>
      <c r="E39" s="1351" t="n"/>
      <c r="F39" s="1351" t="n"/>
      <c r="G39" s="1351" t="n"/>
      <c r="H39" s="1351" t="n"/>
      <c r="I39" s="1351" t="n"/>
      <c r="J39" s="1351" t="n"/>
      <c r="K39" s="1351" t="n"/>
      <c r="L39" s="1351" t="n"/>
      <c r="M39" s="1351" t="n"/>
      <c r="N39" s="1351" t="n"/>
      <c r="O39" s="1349" t="n"/>
      <c r="P39" s="1349" t="n"/>
      <c r="Q39" s="1349" t="n"/>
      <c r="R39" s="1349" t="n"/>
      <c r="S39" s="1351" t="n"/>
    </row>
    <row r="40">
      <c r="A40" s="1349" t="n"/>
      <c r="B40" s="1349" t="n"/>
      <c r="C40" s="1351" t="n"/>
      <c r="D40" s="1351" t="n"/>
      <c r="E40" s="1351" t="n"/>
      <c r="F40" s="1351" t="n"/>
      <c r="G40" s="1351" t="n"/>
      <c r="H40" s="1351" t="n"/>
      <c r="I40" s="1351" t="n"/>
      <c r="J40" s="1351" t="n"/>
      <c r="K40" s="1351" t="n"/>
      <c r="L40" s="1351" t="n"/>
      <c r="M40" s="1351" t="n"/>
      <c r="N40" s="1351" t="n"/>
      <c r="O40" s="1349" t="n"/>
      <c r="P40" s="1349" t="n"/>
      <c r="Q40" s="1349" t="n"/>
      <c r="R40" s="1349" t="n"/>
      <c r="S40" s="1351" t="n"/>
    </row>
    <row r="41">
      <c r="A41" s="1349" t="n"/>
      <c r="B41" s="1349" t="n"/>
      <c r="C41" s="1351" t="n"/>
      <c r="D41" s="1351" t="n"/>
      <c r="E41" s="1351" t="n"/>
      <c r="F41" s="1351" t="n"/>
      <c r="G41" s="1351" t="n"/>
      <c r="H41" s="1351" t="n"/>
      <c r="I41" s="1351" t="n"/>
      <c r="J41" s="1351" t="n"/>
      <c r="K41" s="1351" t="n"/>
      <c r="L41" s="1351" t="n"/>
      <c r="M41" s="1351" t="n"/>
      <c r="N41" s="1351" t="n"/>
      <c r="O41" s="1349" t="n"/>
      <c r="P41" s="1349" t="n"/>
      <c r="Q41" s="1349" t="n"/>
      <c r="R41" s="1349" t="n"/>
      <c r="S41" s="1351" t="n"/>
    </row>
    <row r="42">
      <c r="A42" s="1349" t="n"/>
      <c r="B42" s="1349" t="n"/>
      <c r="C42" s="1351" t="n"/>
      <c r="D42" s="1351" t="n"/>
      <c r="E42" s="1351" t="n"/>
      <c r="F42" s="1351" t="n"/>
      <c r="G42" s="1351" t="n"/>
      <c r="H42" s="1351" t="n"/>
      <c r="I42" s="1351" t="n"/>
      <c r="J42" s="1351" t="n"/>
      <c r="K42" s="1351" t="n"/>
      <c r="L42" s="1351" t="n"/>
      <c r="M42" s="1351" t="n"/>
      <c r="N42" s="1351" t="n"/>
      <c r="O42" s="1349" t="n"/>
      <c r="P42" s="1349" t="n"/>
      <c r="Q42" s="1349" t="n"/>
      <c r="R42" s="1349" t="n"/>
      <c r="S42" s="1351" t="n"/>
    </row>
    <row r="43">
      <c r="A43" s="1349" t="n"/>
      <c r="B43" s="1349" t="n"/>
      <c r="C43" s="1351" t="n"/>
      <c r="D43" s="1351" t="n"/>
      <c r="E43" s="1351" t="n"/>
      <c r="F43" s="1351" t="n"/>
      <c r="G43" s="1351" t="n"/>
      <c r="H43" s="1351" t="n"/>
      <c r="I43" s="1351" t="n"/>
      <c r="J43" s="1351" t="n"/>
      <c r="K43" s="1351" t="n"/>
      <c r="L43" s="1351" t="n"/>
      <c r="M43" s="1351" t="n"/>
      <c r="N43" s="1351" t="n"/>
      <c r="O43" s="1349" t="n"/>
      <c r="P43" s="1349" t="n"/>
      <c r="Q43" s="1349" t="n"/>
      <c r="R43" s="1349" t="n"/>
      <c r="S43" s="1351" t="n"/>
    </row>
    <row r="44" ht="15.5" customHeight="1">
      <c r="A44" s="1349" t="n"/>
      <c r="B44" s="1378" t="inlineStr">
        <is>
          <t>III-/ Trafic national et transit des produits pétroliers (en tonne)</t>
        </is>
      </c>
      <c r="C44" s="1356" t="n"/>
      <c r="D44" s="1356" t="n"/>
      <c r="E44" s="1351" t="n"/>
      <c r="F44" s="1375" t="inlineStr">
        <is>
          <t>Objectif annuel DEESP_DSPP</t>
        </is>
      </c>
      <c r="G44" s="1356" t="n"/>
      <c r="H44" s="1356" t="n"/>
      <c r="I44" s="1351" t="n"/>
      <c r="J44" s="1358" t="n">
        <v>12500000</v>
      </c>
      <c r="K44" s="1351" t="n"/>
      <c r="L44" s="1351" t="n"/>
      <c r="M44" s="1351" t="n"/>
      <c r="N44" s="1351" t="n"/>
      <c r="O44" s="1349" t="n"/>
      <c r="P44" s="1349" t="n"/>
      <c r="Q44" s="1349" t="n"/>
      <c r="R44" s="1349" t="n"/>
      <c r="S44" s="1351" t="n"/>
    </row>
    <row r="45" ht="26" customHeight="1">
      <c r="A45" s="1349" t="n"/>
      <c r="B45" s="1359" t="inlineStr">
        <is>
          <t>Années</t>
        </is>
      </c>
      <c r="C45" s="1360" t="inlineStr">
        <is>
          <t>Janvier</t>
        </is>
      </c>
      <c r="D45" s="1360" t="inlineStr">
        <is>
          <t>Février</t>
        </is>
      </c>
      <c r="E45" s="1360" t="inlineStr">
        <is>
          <t>Mars</t>
        </is>
      </c>
      <c r="F45" s="1360" t="inlineStr">
        <is>
          <t>Avril</t>
        </is>
      </c>
      <c r="G45" s="1360" t="inlineStr">
        <is>
          <t>Mai</t>
        </is>
      </c>
      <c r="H45" s="1361" t="inlineStr">
        <is>
          <t>Juin</t>
        </is>
      </c>
      <c r="I45" s="1360" t="inlineStr">
        <is>
          <t>Juillet</t>
        </is>
      </c>
      <c r="J45" s="1360" t="inlineStr">
        <is>
          <t>Août</t>
        </is>
      </c>
      <c r="K45" s="1360" t="inlineStr">
        <is>
          <t>Septembre</t>
        </is>
      </c>
      <c r="L45" s="1360" t="inlineStr">
        <is>
          <t>Octobre</t>
        </is>
      </c>
      <c r="M45" s="1360" t="inlineStr">
        <is>
          <t>Novembre</t>
        </is>
      </c>
      <c r="N45" s="1360" t="inlineStr">
        <is>
          <t>Décembre</t>
        </is>
      </c>
      <c r="O45" s="1362" t="inlineStr">
        <is>
          <t>Moyenne Annuelle</t>
        </is>
      </c>
      <c r="P45" s="1349" t="n"/>
      <c r="Q45" s="1349" t="n"/>
      <c r="R45" s="1349" t="n"/>
      <c r="S45" s="1351" t="n"/>
    </row>
    <row r="46" ht="13" customHeight="1">
      <c r="A46" s="1349" t="n"/>
      <c r="B46" s="1363" t="n">
        <v>2021</v>
      </c>
      <c r="C46" s="1364" t="n">
        <v>524642.256048</v>
      </c>
      <c r="D46" s="1364" t="n">
        <v>692964.7474499999</v>
      </c>
      <c r="E46" s="1364" t="n">
        <v>432596.085132</v>
      </c>
      <c r="F46" s="1364" t="n">
        <v>700178.072648</v>
      </c>
      <c r="G46" s="1364" t="n">
        <v>447449.8142569999</v>
      </c>
      <c r="H46" s="1364" t="n">
        <v>720406.8811030001</v>
      </c>
      <c r="I46" s="1364" t="n">
        <v>726924.6100899996</v>
      </c>
      <c r="J46" s="1364" t="n">
        <v>362636.680589</v>
      </c>
      <c r="K46" s="1364" t="n">
        <v>516475.4668900002</v>
      </c>
      <c r="L46" s="1364" t="n">
        <v>429557.9243749995</v>
      </c>
      <c r="M46" s="1364" t="n">
        <v>726306.5736340003</v>
      </c>
      <c r="N46" s="1364" t="n">
        <v>437735.9138610002</v>
      </c>
      <c r="O46" s="515">
        <f>AVERAGE(C46:N46)</f>
        <v/>
      </c>
      <c r="P46" s="1349" t="n"/>
      <c r="Q46" s="1349" t="n"/>
      <c r="R46" s="1349" t="n"/>
      <c r="S46" s="1351" t="n"/>
    </row>
    <row r="47" ht="13" customHeight="1">
      <c r="A47" s="1349" t="n"/>
      <c r="B47" s="1363" t="n">
        <v>2022</v>
      </c>
      <c r="C47" s="1364" t="n">
        <v>573082.9555340005</v>
      </c>
      <c r="D47" s="1364" t="n">
        <v>627857.4313720004</v>
      </c>
      <c r="E47" s="1364" t="n">
        <v>559740.4743550005</v>
      </c>
      <c r="F47" s="1364" t="n">
        <v>623000.9381499999</v>
      </c>
      <c r="G47" s="1364" t="n">
        <v>606821.77572</v>
      </c>
      <c r="H47" s="1364" t="n">
        <v>592851.0460580005</v>
      </c>
      <c r="I47" s="1364" t="n">
        <v>522382.9389799999</v>
      </c>
      <c r="J47" s="1364" t="n">
        <v>606250.8160360004</v>
      </c>
      <c r="K47" s="1364" t="n">
        <v>625933.1089999998</v>
      </c>
      <c r="L47" s="1364" t="n">
        <v>851901.4654699999</v>
      </c>
      <c r="M47" s="1364" t="n">
        <v>588988.4272200001</v>
      </c>
      <c r="N47" s="1364" t="n">
        <v>472017.6829999998</v>
      </c>
      <c r="O47" s="515">
        <f>AVERAGE(C47:N47)</f>
        <v/>
      </c>
      <c r="P47" s="1349" t="n"/>
      <c r="Q47" s="1349" t="n"/>
      <c r="R47" s="1349" t="n"/>
      <c r="S47" s="1351" t="n"/>
    </row>
    <row r="48" ht="13" customHeight="1">
      <c r="A48" s="1349" t="n"/>
      <c r="B48" s="1363" t="n">
        <v>2023</v>
      </c>
      <c r="C48" s="1364" t="n">
        <v>796707.8192999997</v>
      </c>
      <c r="D48" s="1364" t="n">
        <v>696721.6254600001</v>
      </c>
      <c r="E48" s="1364" t="n">
        <v>553717.8185000002</v>
      </c>
      <c r="F48" s="1364" t="n">
        <v>748309.0599699995</v>
      </c>
      <c r="G48" s="1364" t="n">
        <v>754052.2562259996</v>
      </c>
      <c r="H48" s="1364" t="n">
        <v>545436.43328</v>
      </c>
      <c r="I48" s="1364" t="n">
        <v>414020.6959199999</v>
      </c>
      <c r="J48" s="1364" t="n">
        <v>812863.56614</v>
      </c>
      <c r="K48" s="1364" t="n">
        <v>821040.7733100002</v>
      </c>
      <c r="L48" s="1364" t="n">
        <v>781799.7718819999</v>
      </c>
      <c r="M48" s="1364" t="n">
        <v>603367.29484</v>
      </c>
      <c r="N48" s="1364" t="n">
        <v>859103.3047360003</v>
      </c>
      <c r="O48" s="515">
        <f>AVERAGE(C48:N48)</f>
        <v/>
      </c>
      <c r="P48" s="1349" t="n"/>
      <c r="Q48" s="1349" t="n"/>
      <c r="R48" s="1349" t="n"/>
      <c r="S48" s="1351" t="n"/>
    </row>
    <row r="49" ht="13" customHeight="1">
      <c r="A49" s="1349" t="n"/>
      <c r="B49" s="1363" t="n">
        <v>2024</v>
      </c>
      <c r="C49" s="1364" t="n">
        <v>824547.3130709998</v>
      </c>
      <c r="D49" s="1364" t="n">
        <v>888800.1267600001</v>
      </c>
      <c r="E49" s="1364" t="n">
        <v>765366.99</v>
      </c>
      <c r="F49" s="1364" t="n">
        <v>700200.4341999999</v>
      </c>
      <c r="G49" s="1364" t="n">
        <v>876045.513288</v>
      </c>
      <c r="H49" s="1364" t="n">
        <v>564320.3576099997</v>
      </c>
      <c r="I49" s="1364" t="n">
        <v>995683.5279999995</v>
      </c>
      <c r="J49" s="1364" t="n">
        <v>784280.7481740001</v>
      </c>
      <c r="K49" s="1364" t="n">
        <v>796545.05323</v>
      </c>
      <c r="L49" s="1364" t="n">
        <v>710712.9243230002</v>
      </c>
      <c r="M49" s="1364" t="n">
        <v>828509.7465829999</v>
      </c>
      <c r="N49" s="1364" t="n">
        <v>721098.8431440002</v>
      </c>
      <c r="O49" s="515">
        <f>AVERAGE(C49:N49)</f>
        <v/>
      </c>
      <c r="P49" s="1349" t="n"/>
      <c r="Q49" s="1349" t="n"/>
      <c r="R49" s="1349" t="n"/>
      <c r="S49" s="1351" t="n"/>
    </row>
    <row r="50" ht="13" customHeight="1">
      <c r="A50" s="1349" t="n"/>
      <c r="B50" s="1365" t="n">
        <v>2025</v>
      </c>
      <c r="C50" s="1364" t="n">
        <v>989187.6963230002</v>
      </c>
      <c r="D50" s="1364" t="n">
        <v>758511.3762500006</v>
      </c>
      <c r="E50" s="1364" t="n">
        <v>915160.2111999998</v>
      </c>
      <c r="F50" s="1364" t="n">
        <v>853163.8090059998</v>
      </c>
      <c r="G50" s="1364" t="n">
        <v>879849.3797</v>
      </c>
      <c r="H50" s="1364" t="n">
        <v>876832.916</v>
      </c>
      <c r="I50" s="1364" t="n">
        <v>1016953.385000001</v>
      </c>
      <c r="J50" s="1364" t="n">
        <v>1052462.389</v>
      </c>
      <c r="K50" s="1364" t="n">
        <v>1059584.605</v>
      </c>
      <c r="L50" s="1364" t="n">
        <v>821461.4318449998</v>
      </c>
      <c r="M50" s="1364" t="n">
        <v>937973.9099999997</v>
      </c>
      <c r="N50" s="1364" t="n">
        <v>1201150.748577999</v>
      </c>
      <c r="O50" s="517">
        <f>AVERAGE(C50:N50)</f>
        <v/>
      </c>
      <c r="P50" s="1349" t="n"/>
      <c r="Q50" s="1349" t="n"/>
      <c r="R50" s="1349" t="n"/>
      <c r="S50" s="1351" t="n"/>
    </row>
    <row r="51" ht="13" customHeight="1">
      <c r="A51" s="1349" t="n"/>
      <c r="B51" s="1359" t="inlineStr">
        <is>
          <t>Total</t>
        </is>
      </c>
      <c r="C51" s="518">
        <f>SUM(C46:C50)</f>
        <v/>
      </c>
      <c r="D51" s="518">
        <f>SUM(D46:D50)</f>
        <v/>
      </c>
      <c r="E51" s="518">
        <f>SUM(E46:E50)</f>
        <v/>
      </c>
      <c r="F51" s="518">
        <f>SUM(F46:F50)</f>
        <v/>
      </c>
      <c r="G51" s="518">
        <f>SUM(G46:G50)</f>
        <v/>
      </c>
      <c r="H51" s="518">
        <f>SUM(H46:H50)</f>
        <v/>
      </c>
      <c r="I51" s="518">
        <f>SUM(I46:I50)</f>
        <v/>
      </c>
      <c r="J51" s="518">
        <f>SUM(J46:J50)</f>
        <v/>
      </c>
      <c r="K51" s="518">
        <f>SUM(K46:K50)</f>
        <v/>
      </c>
      <c r="L51" s="518">
        <f>SUM(L46:L50)</f>
        <v/>
      </c>
      <c r="M51" s="518">
        <f>SUM(M46:M50)</f>
        <v/>
      </c>
      <c r="N51" s="518">
        <f>SUM(N46:N50)</f>
        <v/>
      </c>
      <c r="O51" s="1366" t="n"/>
      <c r="P51" s="1349" t="n"/>
      <c r="Q51" s="1349" t="n"/>
      <c r="R51" s="1349" t="n"/>
      <c r="S51" s="1351" t="n"/>
    </row>
    <row r="52" ht="21" customHeight="1">
      <c r="A52" s="1349" t="n"/>
      <c r="B52" s="1369" t="inlineStr">
        <is>
          <t>Moyenne mensuelle</t>
        </is>
      </c>
      <c r="C52" s="522">
        <f>C51/5</f>
        <v/>
      </c>
      <c r="D52" s="522">
        <f>D51/5</f>
        <v/>
      </c>
      <c r="E52" s="522">
        <f>E51/5</f>
        <v/>
      </c>
      <c r="F52" s="522">
        <f>F51/5</f>
        <v/>
      </c>
      <c r="G52" s="522">
        <f>G51/5</f>
        <v/>
      </c>
      <c r="H52" s="522">
        <f>H51/5</f>
        <v/>
      </c>
      <c r="I52" s="522">
        <f>I51/5</f>
        <v/>
      </c>
      <c r="J52" s="522">
        <f>J51/5</f>
        <v/>
      </c>
      <c r="K52" s="522">
        <f>K51/5</f>
        <v/>
      </c>
      <c r="L52" s="522">
        <f>L51/5</f>
        <v/>
      </c>
      <c r="M52" s="522">
        <f>M51/5</f>
        <v/>
      </c>
      <c r="N52" s="522">
        <f>N51/5</f>
        <v/>
      </c>
      <c r="O52" s="522">
        <f>AVERAGE(C52:N52)</f>
        <v/>
      </c>
      <c r="P52" s="1370" t="inlineStr">
        <is>
          <t>Moyenne des moyennes</t>
        </is>
      </c>
      <c r="Q52" s="1349" t="n"/>
      <c r="R52" s="1349" t="n"/>
      <c r="S52" s="1351" t="n"/>
    </row>
    <row r="53" ht="13" customHeight="1">
      <c r="A53" s="1349" t="n"/>
      <c r="B53" s="1371" t="inlineStr">
        <is>
          <t>Coef.</t>
        </is>
      </c>
      <c r="C53" s="1372">
        <f>C52/$O$52</f>
        <v/>
      </c>
      <c r="D53" s="1372">
        <f>D52/$O$52</f>
        <v/>
      </c>
      <c r="E53" s="1372">
        <f>E52/$O$52</f>
        <v/>
      </c>
      <c r="F53" s="1372">
        <f>F52/$O$52</f>
        <v/>
      </c>
      <c r="G53" s="1372">
        <f>G52/$O$52</f>
        <v/>
      </c>
      <c r="H53" s="1372">
        <f>H52/$O$52</f>
        <v/>
      </c>
      <c r="I53" s="1372">
        <f>I52/$O$52</f>
        <v/>
      </c>
      <c r="J53" s="1372">
        <f>J52/$O$52</f>
        <v/>
      </c>
      <c r="K53" s="1372">
        <f>K52/$O$52</f>
        <v/>
      </c>
      <c r="L53" s="1372">
        <f>L52/$O$52</f>
        <v/>
      </c>
      <c r="M53" s="1372">
        <f>M52/$O$52</f>
        <v/>
      </c>
      <c r="N53" s="1372">
        <f>N52/$O$52</f>
        <v/>
      </c>
      <c r="O53" s="526">
        <f>AVERAGE(C53:N53)</f>
        <v/>
      </c>
      <c r="P53" s="1349" t="n"/>
      <c r="Q53" s="1349" t="n"/>
      <c r="R53" s="1349" t="n"/>
      <c r="S53" s="1351" t="n"/>
    </row>
    <row r="54" ht="13" customHeight="1">
      <c r="A54" s="1349" t="n"/>
      <c r="B54" s="1373" t="inlineStr">
        <is>
          <t>Prév. 2024</t>
        </is>
      </c>
      <c r="C54" s="528">
        <f>C53*$O$54</f>
        <v/>
      </c>
      <c r="D54" s="528">
        <f>D53*$O$54</f>
        <v/>
      </c>
      <c r="E54" s="528">
        <f>E53*$O$54</f>
        <v/>
      </c>
      <c r="F54" s="528">
        <f>F53*$O$54</f>
        <v/>
      </c>
      <c r="G54" s="528">
        <f>G53*$O$54</f>
        <v/>
      </c>
      <c r="H54" s="528">
        <f>H53*$O$54</f>
        <v/>
      </c>
      <c r="I54" s="528">
        <f>I53*$O$54</f>
        <v/>
      </c>
      <c r="J54" s="528">
        <f>J53*$O$54</f>
        <v/>
      </c>
      <c r="K54" s="528">
        <f>K53*$O$54</f>
        <v/>
      </c>
      <c r="L54" s="528">
        <f>L53*$O$54</f>
        <v/>
      </c>
      <c r="M54" s="528">
        <f>M53*$O$54</f>
        <v/>
      </c>
      <c r="N54" s="528">
        <f>N53*$O$54</f>
        <v/>
      </c>
      <c r="O54" s="531">
        <f>J44/12</f>
        <v/>
      </c>
      <c r="P54" s="1377" t="n"/>
      <c r="Q54" s="1349" t="n"/>
      <c r="R54" s="1349" t="n"/>
      <c r="S54" s="1351" t="n"/>
    </row>
    <row r="55">
      <c r="A55" s="1349" t="n"/>
      <c r="B55" s="1349" t="n"/>
      <c r="C55" s="1351" t="n"/>
      <c r="D55" s="1351" t="n"/>
      <c r="E55" s="1351" t="n"/>
      <c r="F55" s="1351" t="n"/>
      <c r="G55" s="1351" t="n"/>
      <c r="H55" s="1351" t="n"/>
      <c r="I55" s="1351" t="n"/>
      <c r="J55" s="1351" t="n"/>
      <c r="K55" s="1351" t="n"/>
      <c r="L55" s="1351" t="n"/>
      <c r="M55" s="1351" t="n"/>
      <c r="N55" s="1351" t="n"/>
      <c r="O55" s="1349" t="n"/>
      <c r="P55" s="1349" t="n"/>
      <c r="Q55" s="1349" t="n"/>
      <c r="R55" s="1349" t="n"/>
      <c r="S55" s="1351" t="n"/>
    </row>
    <row r="56">
      <c r="A56" s="1349" t="n"/>
      <c r="B56" s="1349" t="n"/>
      <c r="C56" s="1351" t="n"/>
      <c r="D56" s="1351" t="n"/>
      <c r="E56" s="1351" t="n"/>
      <c r="F56" s="1351" t="n"/>
      <c r="G56" s="1351" t="n"/>
      <c r="H56" s="1351" t="n"/>
      <c r="I56" s="1351" t="n"/>
      <c r="J56" s="1351" t="n"/>
      <c r="K56" s="1351" t="n"/>
      <c r="L56" s="1351" t="n"/>
      <c r="M56" s="1351" t="n"/>
      <c r="N56" s="1351" t="n"/>
      <c r="O56" s="1349" t="n"/>
      <c r="P56" s="1349" t="n"/>
      <c r="Q56" s="1349" t="n"/>
      <c r="R56" s="1349" t="n"/>
      <c r="S56" s="1351" t="n"/>
    </row>
    <row r="57">
      <c r="A57" s="1349" t="n"/>
      <c r="B57" s="1349" t="n"/>
      <c r="C57" s="1351" t="n"/>
      <c r="D57" s="1351" t="n"/>
      <c r="E57" s="1351" t="n"/>
      <c r="F57" s="1351" t="n"/>
      <c r="G57" s="1351" t="n"/>
      <c r="H57" s="1351" t="n"/>
      <c r="I57" s="1351" t="n"/>
      <c r="J57" s="1351" t="n"/>
      <c r="K57" s="1351" t="n"/>
      <c r="L57" s="1351" t="n"/>
      <c r="M57" s="1351" t="n"/>
      <c r="N57" s="1351" t="n"/>
      <c r="O57" s="1349" t="n"/>
      <c r="P57" s="1349" t="n"/>
      <c r="Q57" s="1349" t="n"/>
      <c r="R57" s="1349" t="n"/>
      <c r="S57" s="1351" t="n"/>
    </row>
    <row r="58">
      <c r="A58" s="1349" t="n"/>
      <c r="B58" s="1349" t="n"/>
      <c r="C58" s="1351" t="n"/>
      <c r="D58" s="1351" t="n"/>
      <c r="E58" s="1351" t="n"/>
      <c r="F58" s="1351" t="n"/>
      <c r="G58" s="1351" t="n"/>
      <c r="H58" s="1351" t="n"/>
      <c r="I58" s="1351" t="n"/>
      <c r="J58" s="1351" t="n"/>
      <c r="K58" s="1351" t="n"/>
      <c r="L58" s="1351" t="n"/>
      <c r="M58" s="1351" t="n"/>
      <c r="N58" s="1351" t="n"/>
      <c r="O58" s="1349" t="n"/>
      <c r="P58" s="1349" t="n"/>
      <c r="Q58" s="1349" t="n"/>
      <c r="R58" s="1349" t="n"/>
      <c r="S58" s="1351" t="n"/>
    </row>
    <row r="59">
      <c r="A59" s="1349" t="n"/>
      <c r="B59" s="1349" t="n"/>
      <c r="C59" s="1351" t="n"/>
      <c r="D59" s="1351" t="n"/>
      <c r="E59" s="1351" t="n"/>
      <c r="F59" s="1351" t="n"/>
      <c r="G59" s="1351" t="n"/>
      <c r="H59" s="1351" t="n"/>
      <c r="I59" s="1351" t="n"/>
      <c r="J59" s="1351" t="n"/>
      <c r="K59" s="1351" t="n"/>
      <c r="L59" s="1351" t="n"/>
      <c r="M59" s="1351" t="n"/>
      <c r="N59" s="1351" t="n"/>
      <c r="O59" s="1349" t="n"/>
      <c r="P59" s="1349" t="n"/>
      <c r="Q59" s="1349" t="n"/>
      <c r="R59" s="1349" t="n"/>
      <c r="S59" s="1351" t="n"/>
    </row>
    <row r="60">
      <c r="A60" s="1349" t="n"/>
      <c r="B60" s="1349" t="n"/>
      <c r="C60" s="1351" t="n"/>
      <c r="D60" s="1351" t="n"/>
      <c r="E60" s="1351" t="n"/>
      <c r="F60" s="1351" t="n"/>
      <c r="G60" s="1351" t="n"/>
      <c r="H60" s="1351" t="n"/>
      <c r="I60" s="1351" t="n"/>
      <c r="J60" s="1351" t="n"/>
      <c r="K60" s="1351" t="n"/>
      <c r="L60" s="1351" t="n"/>
      <c r="M60" s="1351" t="n"/>
      <c r="N60" s="1351" t="n"/>
      <c r="O60" s="1349" t="n"/>
      <c r="P60" s="1349" t="n"/>
      <c r="Q60" s="1349" t="n"/>
      <c r="R60" s="1349" t="n"/>
      <c r="S60" s="1351" t="n"/>
    </row>
    <row r="61">
      <c r="A61" s="1349" t="n"/>
      <c r="B61" s="1349" t="n"/>
      <c r="C61" s="1351" t="n"/>
      <c r="D61" s="1351" t="n"/>
      <c r="E61" s="1351" t="n"/>
      <c r="F61" s="1351" t="n"/>
      <c r="G61" s="1351" t="n"/>
      <c r="H61" s="1351" t="n"/>
      <c r="I61" s="1351" t="n"/>
      <c r="J61" s="1351" t="n"/>
      <c r="K61" s="1351" t="n"/>
      <c r="L61" s="1351" t="n"/>
      <c r="M61" s="1351" t="n"/>
      <c r="N61" s="1351" t="n"/>
      <c r="O61" s="1349" t="n"/>
      <c r="P61" s="1349" t="n"/>
      <c r="Q61" s="1349" t="n"/>
      <c r="R61" s="1349" t="n"/>
      <c r="S61" s="1351" t="n"/>
    </row>
    <row r="62">
      <c r="A62" s="1349" t="n"/>
      <c r="B62" s="1349" t="n"/>
      <c r="C62" s="1351" t="n"/>
      <c r="D62" s="1351" t="n"/>
      <c r="E62" s="1351" t="n"/>
      <c r="F62" s="1351" t="n"/>
      <c r="G62" s="1351" t="n"/>
      <c r="H62" s="1351" t="n"/>
      <c r="I62" s="1351" t="n"/>
      <c r="J62" s="1351" t="n"/>
      <c r="K62" s="1351" t="n"/>
      <c r="L62" s="1351" t="n"/>
      <c r="M62" s="1351" t="n"/>
      <c r="N62" s="1351" t="n"/>
      <c r="O62" s="1349" t="n"/>
      <c r="P62" s="1349" t="n"/>
      <c r="Q62" s="1349" t="n"/>
      <c r="R62" s="1349" t="n"/>
      <c r="S62" s="1351" t="n"/>
    </row>
    <row r="63">
      <c r="A63" s="1349" t="n"/>
      <c r="B63" s="1349" t="n"/>
      <c r="C63" s="1351" t="n"/>
      <c r="D63" s="1351" t="n"/>
      <c r="E63" s="1351" t="n"/>
      <c r="F63" s="1351" t="n"/>
      <c r="G63" s="1351" t="n"/>
      <c r="H63" s="1351" t="n"/>
      <c r="I63" s="1351" t="n"/>
      <c r="J63" s="1351" t="n"/>
      <c r="K63" s="1351" t="n"/>
      <c r="L63" s="1351" t="n"/>
      <c r="M63" s="1351" t="n"/>
      <c r="N63" s="1351" t="n"/>
      <c r="O63" s="1349" t="n"/>
      <c r="P63" s="1349" t="n"/>
      <c r="Q63" s="1349" t="n"/>
      <c r="R63" s="1349" t="n"/>
      <c r="S63" s="1351" t="n"/>
    </row>
    <row r="64" ht="15.5" customFormat="1" customHeight="1" s="1348">
      <c r="A64" s="1349" t="n"/>
      <c r="B64" s="1378" t="inlineStr">
        <is>
          <t>IV-/ Trafic national et transit des marchandises générales (en tonne)</t>
        </is>
      </c>
      <c r="C64" s="1356" t="n"/>
      <c r="D64" s="1356" t="n"/>
      <c r="E64" s="1356" t="n"/>
      <c r="F64" s="1375" t="inlineStr">
        <is>
          <t>Objectif annuel DEESP_DSPP</t>
        </is>
      </c>
      <c r="G64" s="1356" t="n"/>
      <c r="H64" s="1356" t="n"/>
      <c r="I64" s="1374" t="n"/>
      <c r="J64" s="1379">
        <f>+J24-J44-J84</f>
        <v/>
      </c>
      <c r="K64" s="1374" t="n"/>
      <c r="L64" s="1380" t="n"/>
      <c r="M64" s="1374" t="n"/>
      <c r="N64" s="1374" t="n"/>
      <c r="O64" s="1376" t="n"/>
      <c r="P64" s="1349" t="n"/>
      <c r="Q64" s="1349" t="n"/>
      <c r="R64" s="1349" t="n"/>
      <c r="S64" s="1351" t="n"/>
    </row>
    <row r="65" ht="26" customFormat="1" customHeight="1" s="1348">
      <c r="A65" s="1349" t="n"/>
      <c r="B65" s="1359" t="inlineStr">
        <is>
          <t>Années</t>
        </is>
      </c>
      <c r="C65" s="1360" t="inlineStr">
        <is>
          <t>Janvier</t>
        </is>
      </c>
      <c r="D65" s="1360" t="inlineStr">
        <is>
          <t>Février</t>
        </is>
      </c>
      <c r="E65" s="1360" t="inlineStr">
        <is>
          <t>Mars</t>
        </is>
      </c>
      <c r="F65" s="1360" t="inlineStr">
        <is>
          <t>Avril</t>
        </is>
      </c>
      <c r="G65" s="1360" t="inlineStr">
        <is>
          <t>Mai</t>
        </is>
      </c>
      <c r="H65" s="1361" t="inlineStr">
        <is>
          <t>Juin</t>
        </is>
      </c>
      <c r="I65" s="1360" t="inlineStr">
        <is>
          <t>Juillet</t>
        </is>
      </c>
      <c r="J65" s="1360" t="inlineStr">
        <is>
          <t>Août</t>
        </is>
      </c>
      <c r="K65" s="1360" t="inlineStr">
        <is>
          <t>Septembre</t>
        </is>
      </c>
      <c r="L65" s="1360" t="inlineStr">
        <is>
          <t>Octobre</t>
        </is>
      </c>
      <c r="M65" s="1360" t="inlineStr">
        <is>
          <t>Novembre</t>
        </is>
      </c>
      <c r="N65" s="1360" t="inlineStr">
        <is>
          <t>Décembre</t>
        </is>
      </c>
      <c r="O65" s="1362" t="inlineStr">
        <is>
          <t>Moyenne Annuelle</t>
        </is>
      </c>
      <c r="P65" s="1349" t="n"/>
      <c r="Q65" s="1349" t="n"/>
      <c r="R65" s="1349" t="n"/>
      <c r="S65" s="1351" t="n"/>
    </row>
    <row r="66" ht="13" customFormat="1" customHeight="1" s="1348">
      <c r="A66" s="1349" t="n"/>
      <c r="B66" s="1363" t="n">
        <v>2021</v>
      </c>
      <c r="C66" s="1364" t="n">
        <v>1550434.001148998</v>
      </c>
      <c r="D66" s="1364" t="n">
        <v>1409707.49911</v>
      </c>
      <c r="E66" s="1364" t="n">
        <v>1927805.138495993</v>
      </c>
      <c r="F66" s="1364" t="n">
        <v>1625428.312660998</v>
      </c>
      <c r="G66" s="1364" t="n">
        <v>1937441.517234994</v>
      </c>
      <c r="H66" s="1364" t="n">
        <v>1682707.932808995</v>
      </c>
      <c r="I66" s="1364" t="n">
        <v>1932451.308472008</v>
      </c>
      <c r="J66" s="1364" t="n">
        <v>1620388.860290003</v>
      </c>
      <c r="K66" s="1364" t="n">
        <v>1768084.051826014</v>
      </c>
      <c r="L66" s="1364" t="n">
        <v>1677866.219294018</v>
      </c>
      <c r="M66" s="1364" t="n">
        <v>1661718.579125999</v>
      </c>
      <c r="N66" s="1364" t="n">
        <v>1591774.412387007</v>
      </c>
      <c r="O66" s="515">
        <f>AVERAGE(C66:N66)</f>
        <v/>
      </c>
      <c r="P66" s="1349" t="n"/>
      <c r="Q66" s="1349" t="n"/>
      <c r="R66" s="1349" t="n"/>
      <c r="S66" s="1351" t="n"/>
    </row>
    <row r="67" ht="13" customFormat="1" customHeight="1" s="1348">
      <c r="A67" s="1349" t="n"/>
      <c r="B67" s="1363" t="n">
        <v>2022</v>
      </c>
      <c r="C67" s="1364" t="n">
        <v>1507457.528338012</v>
      </c>
      <c r="D67" s="1364" t="n">
        <v>1603946.577372002</v>
      </c>
      <c r="E67" s="1364" t="n">
        <v>1881617.225962996</v>
      </c>
      <c r="F67" s="1364" t="n">
        <v>1830945.177177004</v>
      </c>
      <c r="G67" s="1364" t="n">
        <v>1905153.818544998</v>
      </c>
      <c r="H67" s="1364" t="n">
        <v>1627957.139019004</v>
      </c>
      <c r="I67" s="1364" t="n">
        <v>1946211.683557005</v>
      </c>
      <c r="J67" s="1364" t="n">
        <v>1777763.289337002</v>
      </c>
      <c r="K67" s="1364" t="n">
        <v>1444935.164111006</v>
      </c>
      <c r="L67" s="1364" t="n">
        <v>1493374.307532001</v>
      </c>
      <c r="M67" s="1364" t="n">
        <v>1635252.754679006</v>
      </c>
      <c r="N67" s="1364" t="n">
        <v>1615369.612660001</v>
      </c>
      <c r="O67" s="515">
        <f>AVERAGE(C67:N67)</f>
        <v/>
      </c>
      <c r="P67" s="1349" t="n"/>
      <c r="Q67" s="1349" t="n"/>
      <c r="R67" s="1349" t="n"/>
      <c r="S67" s="1351" t="n"/>
    </row>
    <row r="68" ht="13" customFormat="1" customHeight="1" s="1348">
      <c r="A68" s="1349" t="n"/>
      <c r="B68" s="1363" t="n">
        <v>2023</v>
      </c>
      <c r="C68" s="1364" t="n">
        <v>1909648.334555004</v>
      </c>
      <c r="D68" s="1364" t="n">
        <v>1798320.548058007</v>
      </c>
      <c r="E68" s="1364" t="n">
        <v>2052485.318886011</v>
      </c>
      <c r="F68" s="1364" t="n">
        <v>1965522.656052</v>
      </c>
      <c r="G68" s="1364" t="n">
        <v>1848842.467964005</v>
      </c>
      <c r="H68" s="1364" t="n">
        <v>1563615.102351271</v>
      </c>
      <c r="I68" s="1364" t="n">
        <v>1848251.518942994</v>
      </c>
      <c r="J68" s="1364" t="n">
        <v>1671542.468057997</v>
      </c>
      <c r="K68" s="1364" t="n">
        <v>1515384.566850998</v>
      </c>
      <c r="L68" s="1364" t="n">
        <v>1555403.452563005</v>
      </c>
      <c r="M68" s="1364" t="n">
        <v>1740824.927544002</v>
      </c>
      <c r="N68" s="1364" t="n">
        <v>1834644.573548008</v>
      </c>
      <c r="O68" s="515">
        <f>AVERAGE(C68:N68)</f>
        <v/>
      </c>
      <c r="P68" s="1349" t="n"/>
      <c r="Q68" s="1349" t="n"/>
      <c r="R68" s="1349" t="n"/>
      <c r="S68" s="1351" t="n"/>
    </row>
    <row r="69" ht="13" customFormat="1" customHeight="1" s="1348">
      <c r="A69" s="1349" t="n"/>
      <c r="B69" s="1363" t="n">
        <v>2024</v>
      </c>
      <c r="C69" s="1364" t="n">
        <v>1602385.510402015</v>
      </c>
      <c r="D69" s="1364" t="n">
        <v>1579743.311599006</v>
      </c>
      <c r="E69" s="1364" t="n">
        <v>1561505.204167003</v>
      </c>
      <c r="F69" s="1364" t="n">
        <v>1976294.479231011</v>
      </c>
      <c r="G69" s="1364" t="n">
        <v>2007500.415015008</v>
      </c>
      <c r="H69" s="1364" t="n">
        <v>1744715.489494997</v>
      </c>
      <c r="I69" s="1364" t="n">
        <v>1670958.872613004</v>
      </c>
      <c r="J69" s="1364" t="n">
        <v>1519471.575877995</v>
      </c>
      <c r="K69" s="1364" t="n">
        <v>1879011.728260999</v>
      </c>
      <c r="L69" s="1364" t="n">
        <v>1764559.012183005</v>
      </c>
      <c r="M69" s="1364" t="n">
        <v>1833067.456325009</v>
      </c>
      <c r="N69" s="1364" t="n">
        <v>2063549.245584008</v>
      </c>
      <c r="O69" s="515">
        <f>AVERAGE(C69:N69)</f>
        <v/>
      </c>
      <c r="P69" s="1349" t="n"/>
      <c r="Q69" s="1349" t="n"/>
      <c r="R69" s="1349" t="n"/>
      <c r="S69" s="1351" t="n"/>
    </row>
    <row r="70" ht="13" customFormat="1" customHeight="1" s="1348">
      <c r="A70" s="1349" t="n"/>
      <c r="B70" s="1365" t="n">
        <v>2025</v>
      </c>
      <c r="C70" s="1364" t="n">
        <v>1723653.376481998</v>
      </c>
      <c r="D70" s="1364" t="n">
        <v>2088025.947641004</v>
      </c>
      <c r="E70" s="1364" t="n">
        <v>1928500.816682997</v>
      </c>
      <c r="F70" s="1364" t="n">
        <v>2235875.613917</v>
      </c>
      <c r="G70" s="1364" t="n">
        <v>2318140.255262013</v>
      </c>
      <c r="H70" s="1364" t="n">
        <v>2009422.763771009</v>
      </c>
      <c r="I70" s="1364" t="n">
        <v>2333316.974690013</v>
      </c>
      <c r="J70" s="1364" t="n">
        <v>2460484.384520039</v>
      </c>
      <c r="K70" s="1364" t="n">
        <v>2183710.746830014</v>
      </c>
      <c r="L70" s="1364" t="n">
        <v>2409514.233445997</v>
      </c>
      <c r="M70" s="1364" t="n">
        <v>2089600.303680027</v>
      </c>
      <c r="N70" s="1364" t="n">
        <v>2332338.246049047</v>
      </c>
      <c r="O70" s="517">
        <f>AVERAGE(C70:N70)</f>
        <v/>
      </c>
      <c r="P70" s="1349" t="n"/>
      <c r="Q70" s="1349" t="n"/>
      <c r="R70" s="1349" t="n"/>
      <c r="S70" s="1351" t="n"/>
    </row>
    <row r="71" ht="13" customHeight="1">
      <c r="A71" s="1349" t="n"/>
      <c r="B71" s="1359" t="inlineStr">
        <is>
          <t>Total</t>
        </is>
      </c>
      <c r="C71" s="518">
        <f>SUM(C66:C70)</f>
        <v/>
      </c>
      <c r="D71" s="518">
        <f>SUM(D66:D70)</f>
        <v/>
      </c>
      <c r="E71" s="518">
        <f>SUM(E66:E70)</f>
        <v/>
      </c>
      <c r="F71" s="518">
        <f>SUM(F66:F70)</f>
        <v/>
      </c>
      <c r="G71" s="518">
        <f>SUM(G66:G70)</f>
        <v/>
      </c>
      <c r="H71" s="518">
        <f>SUM(H66:H70)</f>
        <v/>
      </c>
      <c r="I71" s="518">
        <f>SUM(I66:I70)</f>
        <v/>
      </c>
      <c r="J71" s="518">
        <f>SUM(J66:J70)</f>
        <v/>
      </c>
      <c r="K71" s="518">
        <f>SUM(K66:K70)</f>
        <v/>
      </c>
      <c r="L71" s="518">
        <f>SUM(L66:L70)</f>
        <v/>
      </c>
      <c r="M71" s="518">
        <f>SUM(M66:M70)</f>
        <v/>
      </c>
      <c r="N71" s="518">
        <f>SUM(N66:N70)</f>
        <v/>
      </c>
      <c r="O71" s="1366" t="n"/>
      <c r="P71" s="1349" t="n"/>
      <c r="Q71" s="1349" t="n"/>
      <c r="R71" s="1349" t="n"/>
      <c r="S71" s="1351" t="n"/>
    </row>
    <row r="72" ht="21" customHeight="1">
      <c r="A72" s="1349" t="n"/>
      <c r="B72" s="1369" t="inlineStr">
        <is>
          <t>Moyenne mensuelle</t>
        </is>
      </c>
      <c r="C72" s="522">
        <f>C71/5</f>
        <v/>
      </c>
      <c r="D72" s="522">
        <f>D71/5</f>
        <v/>
      </c>
      <c r="E72" s="522">
        <f>E71/5</f>
        <v/>
      </c>
      <c r="F72" s="522">
        <f>F71/5</f>
        <v/>
      </c>
      <c r="G72" s="522">
        <f>G71/5</f>
        <v/>
      </c>
      <c r="H72" s="522">
        <f>H71/5</f>
        <v/>
      </c>
      <c r="I72" s="522">
        <f>I71/5</f>
        <v/>
      </c>
      <c r="J72" s="522">
        <f>J71/5</f>
        <v/>
      </c>
      <c r="K72" s="522">
        <f>K71/5</f>
        <v/>
      </c>
      <c r="L72" s="522">
        <f>L71/5</f>
        <v/>
      </c>
      <c r="M72" s="522">
        <f>M71/5</f>
        <v/>
      </c>
      <c r="N72" s="522">
        <f>N71/5</f>
        <v/>
      </c>
      <c r="O72" s="522">
        <f>AVERAGE(C72:N72)</f>
        <v/>
      </c>
      <c r="P72" s="1370" t="inlineStr">
        <is>
          <t>Moyenne des moyennes</t>
        </is>
      </c>
      <c r="Q72" s="1349" t="n"/>
      <c r="R72" s="1349" t="n"/>
      <c r="S72" s="1351" t="n"/>
    </row>
    <row r="73" ht="13" customHeight="1">
      <c r="A73" s="1349" t="n"/>
      <c r="B73" s="1371" t="inlineStr">
        <is>
          <t>Coef.</t>
        </is>
      </c>
      <c r="C73" s="1372">
        <f>C72/$O$72</f>
        <v/>
      </c>
      <c r="D73" s="1372">
        <f>D72/$O$72</f>
        <v/>
      </c>
      <c r="E73" s="1372">
        <f>E72/$O$72</f>
        <v/>
      </c>
      <c r="F73" s="1372">
        <f>F72/$O$72</f>
        <v/>
      </c>
      <c r="G73" s="1372">
        <f>G72/$O$72</f>
        <v/>
      </c>
      <c r="H73" s="1372">
        <f>H72/$O$72</f>
        <v/>
      </c>
      <c r="I73" s="1372">
        <f>I72/$O$72</f>
        <v/>
      </c>
      <c r="J73" s="1372">
        <f>J72/$O$72</f>
        <v/>
      </c>
      <c r="K73" s="1372">
        <f>K72/$O$72</f>
        <v/>
      </c>
      <c r="L73" s="1372">
        <f>L72/$O$72</f>
        <v/>
      </c>
      <c r="M73" s="1372">
        <f>M72/$O$72</f>
        <v/>
      </c>
      <c r="N73" s="1372">
        <f>N72/$O$72</f>
        <v/>
      </c>
      <c r="O73" s="526">
        <f>AVERAGE(C73:N73)</f>
        <v/>
      </c>
      <c r="P73" s="1349" t="n"/>
      <c r="Q73" s="1349" t="n"/>
      <c r="R73" s="1349" t="n"/>
      <c r="S73" s="1351" t="n"/>
    </row>
    <row r="74" ht="13" customHeight="1">
      <c r="A74" s="1349" t="n"/>
      <c r="B74" s="1373" t="inlineStr">
        <is>
          <t>Prév. 2024</t>
        </is>
      </c>
      <c r="C74" s="528">
        <f>C73*$O$74</f>
        <v/>
      </c>
      <c r="D74" s="528">
        <f>D73*$O$74</f>
        <v/>
      </c>
      <c r="E74" s="528">
        <f>E73*$O$74</f>
        <v/>
      </c>
      <c r="F74" s="528">
        <f>F73*$O$74</f>
        <v/>
      </c>
      <c r="G74" s="528">
        <f>G73*$O$74</f>
        <v/>
      </c>
      <c r="H74" s="528">
        <f>H73*$O$74</f>
        <v/>
      </c>
      <c r="I74" s="528">
        <f>I73*$O$74</f>
        <v/>
      </c>
      <c r="J74" s="528">
        <f>J73*$O$74</f>
        <v/>
      </c>
      <c r="K74" s="528">
        <f>K73*$O$74</f>
        <v/>
      </c>
      <c r="L74" s="528">
        <f>L73*$O$74</f>
        <v/>
      </c>
      <c r="M74" s="528">
        <f>M73*$O$74</f>
        <v/>
      </c>
      <c r="N74" s="528">
        <f>N73*$O$74</f>
        <v/>
      </c>
      <c r="O74" s="531">
        <f>J64/12</f>
        <v/>
      </c>
      <c r="P74" s="1377" t="n"/>
      <c r="Q74" s="1349" t="n"/>
      <c r="R74" s="1349" t="n"/>
      <c r="S74" s="1351" t="n"/>
    </row>
    <row r="75">
      <c r="A75" s="1349" t="n"/>
      <c r="B75" s="1349" t="n"/>
      <c r="C75" s="1351" t="n"/>
      <c r="D75" s="1351" t="n"/>
      <c r="E75" s="1351" t="n"/>
      <c r="F75" s="1351" t="n"/>
      <c r="G75" s="1351" t="n"/>
      <c r="H75" s="1351" t="n"/>
      <c r="I75" s="1351" t="n"/>
      <c r="J75" s="1351" t="n"/>
      <c r="K75" s="1351" t="n"/>
      <c r="L75" s="1351" t="n"/>
      <c r="M75" s="1351" t="n"/>
      <c r="N75" s="1351" t="n"/>
      <c r="O75" s="1349" t="n"/>
      <c r="P75" s="1349" t="n"/>
      <c r="Q75" s="1349" t="n"/>
      <c r="R75" s="1349" t="n"/>
      <c r="S75" s="1351" t="n"/>
    </row>
    <row r="76">
      <c r="A76" s="1349" t="n"/>
      <c r="B76" s="1349" t="n"/>
      <c r="C76" s="1351" t="n"/>
      <c r="D76" s="1351" t="n"/>
      <c r="E76" s="1351" t="n"/>
      <c r="F76" s="1351" t="n"/>
      <c r="G76" s="1351" t="n"/>
      <c r="H76" s="1351" t="n"/>
      <c r="I76" s="1351" t="n"/>
      <c r="J76" s="1351" t="n"/>
      <c r="K76" s="1351" t="n"/>
      <c r="L76" s="1351" t="n"/>
      <c r="M76" s="1351" t="n"/>
      <c r="N76" s="1351" t="n"/>
      <c r="O76" s="1349" t="n"/>
      <c r="P76" s="1349" t="n"/>
      <c r="Q76" s="1349" t="n"/>
      <c r="R76" s="1349" t="n"/>
      <c r="S76" s="1351" t="n"/>
    </row>
    <row r="77">
      <c r="A77" s="1349" t="n"/>
      <c r="B77" s="1349" t="n"/>
      <c r="C77" s="1351" t="n"/>
      <c r="D77" s="1351" t="n"/>
      <c r="E77" s="1351" t="n"/>
      <c r="F77" s="1351" t="n"/>
      <c r="G77" s="1351" t="n"/>
      <c r="H77" s="1351" t="n"/>
      <c r="I77" s="1351" t="n"/>
      <c r="J77" s="1351" t="n"/>
      <c r="K77" s="1351" t="n"/>
      <c r="L77" s="1351" t="n"/>
      <c r="M77" s="1351" t="n"/>
      <c r="N77" s="1351" t="n"/>
      <c r="O77" s="1349" t="n"/>
      <c r="P77" s="1349" t="n"/>
      <c r="Q77" s="1349" t="n"/>
      <c r="R77" s="1349" t="n"/>
      <c r="S77" s="1351" t="n"/>
    </row>
    <row r="78">
      <c r="A78" s="1349" t="n"/>
      <c r="B78" s="1349" t="n"/>
      <c r="C78" s="1351" t="n"/>
      <c r="D78" s="1351" t="n"/>
      <c r="E78" s="1351" t="n"/>
      <c r="F78" s="1351" t="n"/>
      <c r="G78" s="1351" t="n"/>
      <c r="H78" s="1351" t="n"/>
      <c r="I78" s="1351" t="n"/>
      <c r="J78" s="1351" t="n"/>
      <c r="K78" s="1351" t="n"/>
      <c r="L78" s="1351" t="n"/>
      <c r="M78" s="1351" t="n"/>
      <c r="N78" s="1351" t="n"/>
      <c r="O78" s="1349" t="n"/>
      <c r="P78" s="1349" t="n"/>
      <c r="Q78" s="1349" t="n"/>
      <c r="R78" s="1349" t="n"/>
      <c r="S78" s="1351" t="n"/>
    </row>
    <row r="79">
      <c r="A79" s="1349" t="n"/>
      <c r="B79" s="1349" t="n"/>
      <c r="C79" s="1351" t="n"/>
      <c r="D79" s="1351" t="n"/>
      <c r="E79" s="1351" t="n"/>
      <c r="F79" s="1351" t="n"/>
      <c r="G79" s="1351" t="n"/>
      <c r="H79" s="1351" t="n"/>
      <c r="I79" s="1351" t="n"/>
      <c r="J79" s="1351" t="n"/>
      <c r="K79" s="1351" t="n"/>
      <c r="L79" s="1351" t="n"/>
      <c r="M79" s="1351" t="n"/>
      <c r="N79" s="1351" t="n"/>
      <c r="O79" s="1349" t="n"/>
      <c r="P79" s="1349" t="n"/>
      <c r="Q79" s="1349" t="n"/>
      <c r="R79" s="1349" t="n"/>
      <c r="S79" s="1351" t="n"/>
    </row>
    <row r="80">
      <c r="A80" s="1349" t="n"/>
      <c r="B80" s="1349" t="n"/>
      <c r="C80" s="1351" t="n"/>
      <c r="D80" s="1351" t="n"/>
      <c r="E80" s="1351" t="n"/>
      <c r="F80" s="1351" t="n"/>
      <c r="G80" s="1351" t="n"/>
      <c r="H80" s="1351" t="n"/>
      <c r="I80" s="1351" t="n"/>
      <c r="J80" s="1351" t="n"/>
      <c r="K80" s="1351" t="n"/>
      <c r="L80" s="1351" t="n"/>
      <c r="M80" s="1351" t="n"/>
      <c r="N80" s="1351" t="n"/>
      <c r="O80" s="1349" t="n"/>
      <c r="P80" s="1349" t="n"/>
      <c r="Q80" s="1349" t="n"/>
      <c r="R80" s="1349" t="n"/>
      <c r="S80" s="1351" t="n"/>
    </row>
    <row r="81">
      <c r="A81" s="1349" t="n"/>
      <c r="B81" s="1349" t="n"/>
      <c r="C81" s="1351" t="n"/>
      <c r="D81" s="1351" t="n"/>
      <c r="E81" s="1351" t="n"/>
      <c r="F81" s="1351" t="n"/>
      <c r="G81" s="1351" t="n"/>
      <c r="H81" s="1351" t="n"/>
      <c r="I81" s="1351" t="n"/>
      <c r="J81" s="1351" t="n"/>
      <c r="K81" s="1351" t="n"/>
      <c r="L81" s="1351" t="n"/>
      <c r="M81" s="1351" t="n"/>
      <c r="N81" s="1351" t="n"/>
      <c r="O81" s="1349" t="n"/>
      <c r="P81" s="1349" t="n"/>
      <c r="Q81" s="1349" t="n"/>
      <c r="R81" s="1349" t="n"/>
      <c r="S81" s="1351" t="n"/>
    </row>
    <row r="82">
      <c r="A82" s="1349" t="n"/>
      <c r="B82" s="1349" t="n"/>
      <c r="C82" s="1351" t="n"/>
      <c r="D82" s="1351" t="n"/>
      <c r="E82" s="1351" t="n"/>
      <c r="F82" s="1351" t="n"/>
      <c r="G82" s="1351" t="n"/>
      <c r="H82" s="1351" t="n"/>
      <c r="I82" s="1351" t="n"/>
      <c r="J82" s="1351" t="n"/>
      <c r="K82" s="1351" t="n"/>
      <c r="L82" s="1351" t="n"/>
      <c r="M82" s="1351" t="n"/>
      <c r="N82" s="1351" t="n"/>
      <c r="O82" s="1349" t="n"/>
      <c r="P82" s="1349" t="n"/>
      <c r="Q82" s="1349" t="n"/>
      <c r="R82" s="1349" t="n"/>
      <c r="S82" s="1351" t="n"/>
    </row>
    <row r="83">
      <c r="A83" s="1349" t="n"/>
      <c r="B83" s="1349" t="n"/>
      <c r="C83" s="1351" t="n"/>
      <c r="D83" s="1351" t="n"/>
      <c r="E83" s="1351" t="n"/>
      <c r="F83" s="1351" t="n"/>
      <c r="G83" s="1351" t="n"/>
      <c r="H83" s="1351" t="n"/>
      <c r="I83" s="1351" t="n"/>
      <c r="J83" s="1351" t="n"/>
      <c r="K83" s="1351" t="n"/>
      <c r="L83" s="1351" t="n"/>
      <c r="M83" s="1351" t="n"/>
      <c r="N83" s="1351" t="n"/>
      <c r="O83" s="1349" t="n"/>
      <c r="P83" s="1349" t="n"/>
      <c r="Q83" s="1349" t="n"/>
      <c r="R83" s="1349" t="n"/>
      <c r="S83" s="1351" t="n"/>
    </row>
    <row r="84" ht="15.5" customHeight="1">
      <c r="A84" s="1349" t="n"/>
      <c r="B84" s="1381" t="inlineStr">
        <is>
          <t>V-/Trafic des produits de pêche sans le transbordement du Port de Commerce (en tonne)</t>
        </is>
      </c>
      <c r="C84" s="1351" t="n"/>
      <c r="D84" s="1351" t="n"/>
      <c r="E84" s="1351" t="n"/>
      <c r="F84" s="1375" t="inlineStr">
        <is>
          <t>Objectif annuel DEESP_DSPP</t>
        </is>
      </c>
      <c r="G84" s="1356" t="n"/>
      <c r="H84" s="1356" t="n"/>
      <c r="I84" s="1351" t="n"/>
      <c r="J84" s="1358" t="n">
        <v>995000</v>
      </c>
      <c r="K84" s="1351" t="n"/>
      <c r="L84" s="1351" t="n"/>
      <c r="M84" s="1351" t="n"/>
      <c r="N84" s="1351" t="n"/>
      <c r="O84" s="1349" t="n"/>
      <c r="P84" s="1349" t="n"/>
      <c r="Q84" s="1349" t="n"/>
      <c r="R84" s="1349" t="n"/>
      <c r="S84" s="1351" t="n"/>
    </row>
    <row r="85" ht="26" customHeight="1">
      <c r="A85" s="1349" t="n"/>
      <c r="B85" s="1359" t="inlineStr">
        <is>
          <t>Années</t>
        </is>
      </c>
      <c r="C85" s="1360" t="inlineStr">
        <is>
          <t>Janvier</t>
        </is>
      </c>
      <c r="D85" s="1360" t="inlineStr">
        <is>
          <t>Février</t>
        </is>
      </c>
      <c r="E85" s="1360" t="inlineStr">
        <is>
          <t>Mars</t>
        </is>
      </c>
      <c r="F85" s="1360" t="inlineStr">
        <is>
          <t>Avril</t>
        </is>
      </c>
      <c r="G85" s="1360" t="inlineStr">
        <is>
          <t>Mai</t>
        </is>
      </c>
      <c r="H85" s="1361" t="inlineStr">
        <is>
          <t>Juin</t>
        </is>
      </c>
      <c r="I85" s="1360" t="inlineStr">
        <is>
          <t>Juillet</t>
        </is>
      </c>
      <c r="J85" s="1360" t="inlineStr">
        <is>
          <t>Août</t>
        </is>
      </c>
      <c r="K85" s="1360" t="inlineStr">
        <is>
          <t>Septembre</t>
        </is>
      </c>
      <c r="L85" s="1360" t="inlineStr">
        <is>
          <t>Octobre</t>
        </is>
      </c>
      <c r="M85" s="1360" t="inlineStr">
        <is>
          <t>Novembre</t>
        </is>
      </c>
      <c r="N85" s="1360" t="inlineStr">
        <is>
          <t>Décembre</t>
        </is>
      </c>
      <c r="O85" s="1362" t="inlineStr">
        <is>
          <t>Moyenne Annuelle</t>
        </is>
      </c>
      <c r="P85" s="1349" t="n"/>
      <c r="Q85" s="1349" t="n"/>
      <c r="R85" s="1376" t="inlineStr">
        <is>
          <t>GLOBAL</t>
        </is>
      </c>
      <c r="S85" s="1382" t="n">
        <v>33127147</v>
      </c>
    </row>
    <row r="86" ht="13" customHeight="1">
      <c r="A86" s="1349" t="n"/>
      <c r="B86" s="1363" t="n">
        <v>2021</v>
      </c>
      <c r="C86" s="1364" t="n">
        <v>91747.85122</v>
      </c>
      <c r="D86" s="1364" t="n">
        <v>54804.65830000004</v>
      </c>
      <c r="E86" s="1364" t="n">
        <v>60809.88300000016</v>
      </c>
      <c r="F86" s="1364" t="n">
        <v>67666.91350900006</v>
      </c>
      <c r="G86" s="1364" t="n">
        <v>106359.1664939999</v>
      </c>
      <c r="H86" s="1364" t="n">
        <v>80533.08441999985</v>
      </c>
      <c r="I86" s="1364" t="n">
        <v>80601.59791099995</v>
      </c>
      <c r="J86" s="1364" t="n">
        <v>69547.49139500005</v>
      </c>
      <c r="K86" s="1364" t="n">
        <v>73893.07839700011</v>
      </c>
      <c r="L86" s="1364" t="n">
        <v>75066.91492000002</v>
      </c>
      <c r="M86" s="1364" t="n">
        <v>82710.64793000012</v>
      </c>
      <c r="N86" s="1364" t="n">
        <v>78196.56710000007</v>
      </c>
      <c r="O86" s="515">
        <f>AVERAGE(C86:N86)</f>
        <v/>
      </c>
      <c r="P86" s="1349" t="n"/>
      <c r="Q86" s="1349" t="n"/>
      <c r="R86" s="1376" t="inlineStr">
        <is>
          <t>PET</t>
        </is>
      </c>
      <c r="S86" s="1382" t="n">
        <v>7500000</v>
      </c>
    </row>
    <row r="87" ht="13" customHeight="1">
      <c r="A87" s="1349" t="n"/>
      <c r="B87" s="1363" t="n">
        <v>2022</v>
      </c>
      <c r="C87" s="1364" t="n">
        <v>89890.917357</v>
      </c>
      <c r="D87" s="1364" t="n">
        <v>55663.55049999999</v>
      </c>
      <c r="E87" s="1364" t="n">
        <v>61409.37215999994</v>
      </c>
      <c r="F87" s="1364" t="n">
        <v>85936.70671999997</v>
      </c>
      <c r="G87" s="1364" t="n">
        <v>88010.14198999999</v>
      </c>
      <c r="H87" s="1364" t="n">
        <v>80793.95065999999</v>
      </c>
      <c r="I87" s="1364" t="n">
        <v>81082.7887800001</v>
      </c>
      <c r="J87" s="1364" t="n">
        <v>74476.49240000005</v>
      </c>
      <c r="K87" s="1364" t="n">
        <v>69843.60090000005</v>
      </c>
      <c r="L87" s="1364" t="n">
        <v>68620.24310000001</v>
      </c>
      <c r="M87" s="1364" t="n">
        <v>90425.90940000002</v>
      </c>
      <c r="N87" s="1364" t="n">
        <v>98119.26178000006</v>
      </c>
      <c r="O87" s="515">
        <f>AVERAGE(C87:N87)</f>
        <v/>
      </c>
      <c r="P87" s="1349" t="n"/>
      <c r="Q87" s="1349" t="n"/>
      <c r="R87" s="1383" t="inlineStr">
        <is>
          <t>MG</t>
        </is>
      </c>
      <c r="S87" s="1384">
        <f>+S85-S86-S88</f>
        <v/>
      </c>
    </row>
    <row r="88" ht="13" customHeight="1">
      <c r="A88" s="1349" t="n"/>
      <c r="B88" s="1363" t="n">
        <v>2023</v>
      </c>
      <c r="C88" s="1364" t="n">
        <v>75387.49770000005</v>
      </c>
      <c r="D88" s="1364" t="n">
        <v>57400.22899999998</v>
      </c>
      <c r="E88" s="1364" t="n">
        <v>58907.47213</v>
      </c>
      <c r="F88" s="1364" t="n">
        <v>83583.77539999993</v>
      </c>
      <c r="G88" s="1364" t="n">
        <v>83895.38690000003</v>
      </c>
      <c r="H88" s="1364" t="n">
        <v>77040.26389999999</v>
      </c>
      <c r="I88" s="1364" t="n">
        <v>58977.47968999998</v>
      </c>
      <c r="J88" s="1364" t="n">
        <v>57707.97419999999</v>
      </c>
      <c r="K88" s="1364" t="n">
        <v>86569.12638999992</v>
      </c>
      <c r="L88" s="1364" t="n">
        <v>93463.27235999993</v>
      </c>
      <c r="M88" s="1364" t="n">
        <v>84391.27508000011</v>
      </c>
      <c r="N88" s="1364" t="n">
        <v>94310.19421999989</v>
      </c>
      <c r="O88" s="515">
        <f>AVERAGE(C88:N88)</f>
        <v/>
      </c>
      <c r="P88" s="1349" t="n"/>
      <c r="Q88" s="1349" t="n"/>
      <c r="R88" s="1376" t="inlineStr">
        <is>
          <t>PECHE</t>
        </is>
      </c>
      <c r="S88" s="1382" t="n">
        <v>980439</v>
      </c>
    </row>
    <row r="89" ht="13" customHeight="1">
      <c r="A89" s="1349" t="n"/>
      <c r="B89" s="1363" t="n">
        <v>2024</v>
      </c>
      <c r="C89" s="1364" t="n">
        <v>82608.20830999996</v>
      </c>
      <c r="D89" s="1364" t="n">
        <v>69872.88940000003</v>
      </c>
      <c r="E89" s="1364" t="n">
        <v>69375.24080000004</v>
      </c>
      <c r="F89" s="1364" t="n">
        <v>63160.66609999997</v>
      </c>
      <c r="G89" s="1364" t="n">
        <v>66119.14200000008</v>
      </c>
      <c r="H89" s="1364" t="n">
        <v>74351.01804000004</v>
      </c>
      <c r="I89" s="1364" t="n">
        <v>81938.68900000009</v>
      </c>
      <c r="J89" s="1364" t="n">
        <v>67012.07370000002</v>
      </c>
      <c r="K89" s="1364" t="n">
        <v>76025.81028000008</v>
      </c>
      <c r="L89" s="1364" t="n">
        <v>76364.13390000002</v>
      </c>
      <c r="M89" s="1364" t="n">
        <v>87017.75887000002</v>
      </c>
      <c r="N89" s="1364" t="n">
        <v>78689.75030000012</v>
      </c>
      <c r="O89" s="515">
        <f>AVERAGE(C89:N89)</f>
        <v/>
      </c>
      <c r="P89" s="1349" t="n"/>
      <c r="Q89" s="1349" t="n"/>
      <c r="R89" s="1349" t="n"/>
      <c r="S89" s="1382" t="n"/>
    </row>
    <row r="90" ht="13" customHeight="1">
      <c r="A90" s="1349" t="n"/>
      <c r="B90" s="1365" t="n">
        <v>2025</v>
      </c>
      <c r="C90" s="1364" t="n">
        <v>92913.29331000008</v>
      </c>
      <c r="D90" s="1364" t="n">
        <v>77226.747</v>
      </c>
      <c r="E90" s="1364" t="n">
        <v>78177.88680999994</v>
      </c>
      <c r="F90" s="1364" t="n">
        <v>84998.33700000012</v>
      </c>
      <c r="G90" s="1364" t="n">
        <v>96843.16788000023</v>
      </c>
      <c r="H90" s="1364" t="n">
        <v>84465.71850000005</v>
      </c>
      <c r="I90" s="1364" t="n">
        <v>65998.21749999987</v>
      </c>
      <c r="J90" s="1364" t="n">
        <v>81077.61000000018</v>
      </c>
      <c r="K90" s="1364" t="n">
        <v>79047.08300000004</v>
      </c>
      <c r="L90" s="1364" t="n">
        <v>90753.23350000022</v>
      </c>
      <c r="M90" s="1364" t="n">
        <v>79312.05700000026</v>
      </c>
      <c r="N90" s="1364" t="n">
        <v>81032.93350000038</v>
      </c>
      <c r="O90" s="517">
        <f>AVERAGE(C90:N90)</f>
        <v/>
      </c>
      <c r="P90" s="1349" t="n"/>
      <c r="Q90" s="1349" t="n"/>
      <c r="R90" s="1376" t="inlineStr">
        <is>
          <t>NAT</t>
        </is>
      </c>
      <c r="S90" s="1382" t="n">
        <v>25521154</v>
      </c>
    </row>
    <row r="91" ht="13" customHeight="1">
      <c r="A91" s="1349" t="n"/>
      <c r="B91" s="1359" t="inlineStr">
        <is>
          <t>Total</t>
        </is>
      </c>
      <c r="C91" s="518">
        <f>SUM(C86:C90)</f>
        <v/>
      </c>
      <c r="D91" s="518">
        <f>SUM(D86:D90)</f>
        <v/>
      </c>
      <c r="E91" s="518">
        <f>SUM(E86:E90)</f>
        <v/>
      </c>
      <c r="F91" s="518">
        <f>SUM(F86:F90)</f>
        <v/>
      </c>
      <c r="G91" s="518">
        <f>SUM(G86:G90)</f>
        <v/>
      </c>
      <c r="H91" s="518">
        <f>SUM(H86:H90)</f>
        <v/>
      </c>
      <c r="I91" s="518">
        <f>SUM(I86:I90)</f>
        <v/>
      </c>
      <c r="J91" s="518">
        <f>SUM(J86:J90)</f>
        <v/>
      </c>
      <c r="K91" s="518">
        <f>SUM(K86:K90)</f>
        <v/>
      </c>
      <c r="L91" s="518">
        <f>SUM(L86:L90)</f>
        <v/>
      </c>
      <c r="M91" s="518">
        <f>SUM(M86:M90)</f>
        <v/>
      </c>
      <c r="N91" s="518">
        <f>SUM(N86:N90)</f>
        <v/>
      </c>
      <c r="O91" s="1366" t="n"/>
      <c r="P91" s="1349" t="n"/>
      <c r="Q91" s="1349" t="n"/>
      <c r="R91" s="1383" t="inlineStr">
        <is>
          <t>TRANSBO</t>
        </is>
      </c>
      <c r="S91" s="1384">
        <f>+S85-S90-S92</f>
        <v/>
      </c>
    </row>
    <row r="92" ht="21" customHeight="1">
      <c r="A92" s="1349" t="n"/>
      <c r="B92" s="1369" t="inlineStr">
        <is>
          <t>Moyenne mensuelle</t>
        </is>
      </c>
      <c r="C92" s="522">
        <f>C91/5</f>
        <v/>
      </c>
      <c r="D92" s="522">
        <f>D91/5</f>
        <v/>
      </c>
      <c r="E92" s="522">
        <f>E91/5</f>
        <v/>
      </c>
      <c r="F92" s="522">
        <f>F91/5</f>
        <v/>
      </c>
      <c r="G92" s="522">
        <f>G91/5</f>
        <v/>
      </c>
      <c r="H92" s="522">
        <f>H91/5</f>
        <v/>
      </c>
      <c r="I92" s="522">
        <f>I91/5</f>
        <v/>
      </c>
      <c r="J92" s="522">
        <f>J91/5</f>
        <v/>
      </c>
      <c r="K92" s="522">
        <f>K91/5</f>
        <v/>
      </c>
      <c r="L92" s="522">
        <f>L91/5</f>
        <v/>
      </c>
      <c r="M92" s="522">
        <f>M91/5</f>
        <v/>
      </c>
      <c r="N92" s="522">
        <f>N91/5</f>
        <v/>
      </c>
      <c r="O92" s="522">
        <f>AVERAGE(C92:N92)</f>
        <v/>
      </c>
      <c r="P92" s="1370" t="inlineStr">
        <is>
          <t>Moyenne des moyennes</t>
        </is>
      </c>
      <c r="Q92" s="1349" t="n"/>
      <c r="R92" s="1376" t="inlineStr">
        <is>
          <t>TRANSIT</t>
        </is>
      </c>
      <c r="S92" s="1382" t="n">
        <v>3561168</v>
      </c>
    </row>
    <row r="93" ht="13" customHeight="1">
      <c r="A93" s="1349" t="n"/>
      <c r="B93" s="1371" t="inlineStr">
        <is>
          <t>Coef.</t>
        </is>
      </c>
      <c r="C93" s="1372">
        <f>C92/$O$92</f>
        <v/>
      </c>
      <c r="D93" s="1372">
        <f>D92/$O$92</f>
        <v/>
      </c>
      <c r="E93" s="1372">
        <f>E92/$O$92</f>
        <v/>
      </c>
      <c r="F93" s="1372">
        <f>F92/$O$92</f>
        <v/>
      </c>
      <c r="G93" s="1372">
        <f>G92/$O$92</f>
        <v/>
      </c>
      <c r="H93" s="1372">
        <f>H92/$O$92</f>
        <v/>
      </c>
      <c r="I93" s="1372">
        <f>I92/$O$92</f>
        <v/>
      </c>
      <c r="J93" s="1372">
        <f>J92/$O$92</f>
        <v/>
      </c>
      <c r="K93" s="1372">
        <f>K92/$O$92</f>
        <v/>
      </c>
      <c r="L93" s="1372">
        <f>L92/$O$92</f>
        <v/>
      </c>
      <c r="M93" s="1372">
        <f>M92/$O$92</f>
        <v/>
      </c>
      <c r="N93" s="1372">
        <f>N92/$O$92</f>
        <v/>
      </c>
      <c r="O93" s="526">
        <f>AVERAGE(C93:N93)</f>
        <v/>
      </c>
      <c r="P93" s="1349" t="n"/>
      <c r="Q93" s="1349" t="n"/>
      <c r="R93" s="1376" t="inlineStr">
        <is>
          <t xml:space="preserve"> </t>
        </is>
      </c>
      <c r="S93" s="1351" t="n"/>
    </row>
    <row r="94" ht="13" customHeight="1">
      <c r="A94" s="1349" t="n"/>
      <c r="B94" s="1373" t="inlineStr">
        <is>
          <t>Prév. 2024</t>
        </is>
      </c>
      <c r="C94" s="528">
        <f>C93*$O$94</f>
        <v/>
      </c>
      <c r="D94" s="528">
        <f>D93*$O$94</f>
        <v/>
      </c>
      <c r="E94" s="528">
        <f>E93*$O$94</f>
        <v/>
      </c>
      <c r="F94" s="528">
        <f>F93*$O$94</f>
        <v/>
      </c>
      <c r="G94" s="528">
        <f>G93*$O$94</f>
        <v/>
      </c>
      <c r="H94" s="528">
        <f>H93*$O$94</f>
        <v/>
      </c>
      <c r="I94" s="528">
        <f>I93*$O$94</f>
        <v/>
      </c>
      <c r="J94" s="528">
        <f>J93*$O$94</f>
        <v/>
      </c>
      <c r="K94" s="528">
        <f>K93*$O$94</f>
        <v/>
      </c>
      <c r="L94" s="528">
        <f>L93*$O$94</f>
        <v/>
      </c>
      <c r="M94" s="528">
        <f>M93*$O$94</f>
        <v/>
      </c>
      <c r="N94" s="528">
        <f>N93*$O$94</f>
        <v/>
      </c>
      <c r="O94" s="531">
        <f>J84/12</f>
        <v/>
      </c>
      <c r="P94" s="1377" t="n"/>
      <c r="Q94" s="1349" t="n"/>
      <c r="R94" s="1349" t="n"/>
      <c r="S94" s="1351" t="n"/>
    </row>
    <row r="95">
      <c r="A95" s="1349" t="n"/>
      <c r="B95" s="1349" t="n"/>
      <c r="C95" s="1351" t="n"/>
      <c r="D95" s="1351" t="n"/>
      <c r="E95" s="1351" t="n"/>
      <c r="F95" s="1351" t="n"/>
      <c r="G95" s="1351" t="n"/>
      <c r="H95" s="1351" t="n"/>
      <c r="I95" s="1351" t="n"/>
      <c r="J95" s="1351" t="n"/>
      <c r="K95" s="1351" t="n"/>
      <c r="L95" s="1351" t="n"/>
      <c r="M95" s="1351" t="n"/>
      <c r="N95" s="1351" t="n"/>
      <c r="O95" s="1349" t="n"/>
      <c r="P95" s="1349" t="n"/>
      <c r="Q95" s="1349" t="n"/>
      <c r="R95" s="1349" t="n"/>
      <c r="S95" s="1351" t="n"/>
    </row>
    <row r="96">
      <c r="A96" s="1349" t="n"/>
      <c r="B96" s="1349" t="n"/>
      <c r="C96" s="1351" t="n"/>
      <c r="D96" s="1351" t="n"/>
      <c r="E96" s="1351" t="n"/>
      <c r="F96" s="1351" t="n"/>
      <c r="G96" s="1351" t="n"/>
      <c r="H96" s="1351" t="n"/>
      <c r="I96" s="1351" t="n"/>
      <c r="J96" s="1351" t="n"/>
      <c r="K96" s="1351" t="n"/>
      <c r="L96" s="1351" t="n"/>
      <c r="M96" s="1351" t="n"/>
      <c r="N96" s="1351" t="n"/>
      <c r="O96" s="1349" t="n"/>
      <c r="P96" s="1349" t="n"/>
      <c r="Q96" s="1349" t="n"/>
      <c r="R96" s="1349" t="n"/>
      <c r="S96" s="1351" t="n"/>
    </row>
    <row r="97">
      <c r="A97" s="1349" t="n"/>
      <c r="B97" s="1349" t="n"/>
      <c r="C97" s="1351" t="n"/>
      <c r="D97" s="1351" t="n"/>
      <c r="E97" s="1351" t="n"/>
      <c r="F97" s="1351" t="n"/>
      <c r="G97" s="1351" t="n"/>
      <c r="H97" s="1351" t="n"/>
      <c r="I97" s="1351" t="n"/>
      <c r="J97" s="1351" t="n"/>
      <c r="K97" s="1351" t="n"/>
      <c r="L97" s="1351" t="n"/>
      <c r="M97" s="1351" t="n"/>
      <c r="N97" s="1351" t="n"/>
      <c r="O97" s="1349" t="n"/>
      <c r="P97" s="1349" t="n"/>
      <c r="Q97" s="1349" t="n"/>
      <c r="R97" s="1349" t="n"/>
      <c r="S97" s="1351" t="n"/>
    </row>
    <row r="98">
      <c r="A98" s="1349" t="n"/>
      <c r="B98" s="1349" t="n"/>
      <c r="C98" s="1351" t="n"/>
      <c r="D98" s="1351" t="n"/>
      <c r="E98" s="1351" t="n"/>
      <c r="F98" s="1351" t="n"/>
      <c r="G98" s="1351" t="n"/>
      <c r="H98" s="1351" t="n"/>
      <c r="I98" s="1351" t="n"/>
      <c r="J98" s="1351" t="n"/>
      <c r="K98" s="1351" t="n"/>
      <c r="L98" s="1351" t="n"/>
      <c r="M98" s="1351" t="n"/>
      <c r="N98" s="1351" t="n"/>
      <c r="O98" s="1349" t="n"/>
      <c r="P98" s="1385" t="inlineStr">
        <is>
          <t xml:space="preserve"> </t>
        </is>
      </c>
      <c r="Q98" s="1349" t="n"/>
      <c r="R98" s="1349" t="n"/>
      <c r="S98" s="1351" t="n"/>
    </row>
    <row r="99">
      <c r="A99" s="1349" t="n"/>
      <c r="B99" s="1349" t="n"/>
      <c r="C99" s="1351" t="n"/>
      <c r="D99" s="1351" t="n"/>
      <c r="E99" s="1351" t="n"/>
      <c r="F99" s="1351" t="n"/>
      <c r="G99" s="1351" t="n"/>
      <c r="H99" s="1351" t="n"/>
      <c r="I99" s="1351" t="n"/>
      <c r="J99" s="1351" t="n"/>
      <c r="K99" s="1351" t="n"/>
      <c r="L99" s="1351" t="n"/>
      <c r="M99" s="1351" t="n"/>
      <c r="N99" s="1351" t="n"/>
      <c r="O99" s="1349" t="n"/>
      <c r="P99" s="1349" t="n"/>
      <c r="Q99" s="1349" t="n"/>
      <c r="R99" s="1349" t="n"/>
      <c r="S99" s="1351" t="n"/>
    </row>
    <row r="100">
      <c r="A100" s="1349" t="n"/>
      <c r="B100" s="1349" t="n"/>
      <c r="C100" s="1351" t="n"/>
      <c r="D100" s="1351" t="n"/>
      <c r="E100" s="1351" t="n"/>
      <c r="F100" s="1351" t="n"/>
      <c r="G100" s="1351" t="n"/>
      <c r="H100" s="1351" t="n"/>
      <c r="I100" s="1351" t="n"/>
      <c r="J100" s="1351" t="n"/>
      <c r="K100" s="1351" t="n"/>
      <c r="L100" s="1351" t="n"/>
      <c r="M100" s="1351" t="n"/>
      <c r="N100" s="1351" t="n"/>
      <c r="O100" s="1349" t="n"/>
      <c r="P100" s="1349" t="n"/>
      <c r="Q100" s="1349" t="n"/>
      <c r="R100" s="1349" t="n"/>
      <c r="S100" s="1351" t="n"/>
    </row>
    <row r="101">
      <c r="A101" s="1349" t="n"/>
      <c r="B101" s="1349" t="n"/>
      <c r="C101" s="1351" t="n"/>
      <c r="D101" s="1351" t="n"/>
      <c r="E101" s="1351" t="n"/>
      <c r="F101" s="1351" t="n"/>
      <c r="G101" s="1351" t="n"/>
      <c r="H101" s="1351" t="n"/>
      <c r="I101" s="1351" t="n"/>
      <c r="J101" s="1351" t="n"/>
      <c r="K101" s="1351" t="n"/>
      <c r="L101" s="1351" t="n"/>
      <c r="M101" s="1351" t="n"/>
      <c r="N101" s="1351" t="n"/>
      <c r="O101" s="1349" t="n"/>
      <c r="P101" s="1349" t="n"/>
      <c r="Q101" s="1349" t="n"/>
      <c r="R101" s="1349" t="n"/>
      <c r="S101" s="1351" t="n"/>
    </row>
    <row r="102">
      <c r="A102" s="1349" t="n"/>
      <c r="B102" s="1349" t="n"/>
      <c r="C102" s="1351" t="n"/>
      <c r="D102" s="1351" t="n"/>
      <c r="E102" s="1351" t="n"/>
      <c r="F102" s="1351" t="n"/>
      <c r="G102" s="1351" t="n"/>
      <c r="H102" s="1351" t="n"/>
      <c r="I102" s="1351" t="n"/>
      <c r="J102" s="1351" t="n"/>
      <c r="K102" s="1351" t="n"/>
      <c r="L102" s="1351" t="n"/>
      <c r="M102" s="1351" t="n"/>
      <c r="N102" s="1351" t="n"/>
      <c r="O102" s="1349" t="n"/>
      <c r="P102" s="1349" t="n"/>
      <c r="Q102" s="1349" t="n"/>
      <c r="R102" s="1349" t="n"/>
      <c r="S102" s="1351" t="n"/>
    </row>
    <row r="103">
      <c r="A103" s="1349" t="n"/>
      <c r="B103" s="1349" t="n"/>
      <c r="C103" s="1351" t="n"/>
      <c r="D103" s="1351" t="n"/>
      <c r="E103" s="1351" t="n"/>
      <c r="F103" s="1351" t="n"/>
      <c r="G103" s="1351" t="n"/>
      <c r="H103" s="1351" t="n"/>
      <c r="I103" s="1351" t="n"/>
      <c r="J103" s="1351" t="n"/>
      <c r="K103" s="1351" t="n"/>
      <c r="L103" s="1351" t="n"/>
      <c r="M103" s="1351" t="n"/>
      <c r="N103" s="1351" t="n"/>
      <c r="O103" s="1349" t="n"/>
      <c r="P103" s="1349" t="n"/>
      <c r="Q103" s="1349" t="n"/>
      <c r="R103" s="1349" t="n"/>
      <c r="S103" s="1351" t="n"/>
    </row>
    <row r="104" ht="15.5" customHeight="1">
      <c r="A104" s="1349" t="n"/>
      <c r="B104" s="1355" t="inlineStr">
        <is>
          <t>VI-/Trafic national (en tonne)</t>
        </is>
      </c>
      <c r="C104" s="1356" t="n"/>
      <c r="D104" s="1356" t="n"/>
      <c r="E104" s="1351" t="n"/>
      <c r="F104" s="1375" t="inlineStr">
        <is>
          <t>Objectif annuel DG</t>
        </is>
      </c>
      <c r="G104" s="1356" t="n"/>
      <c r="H104" s="1356" t="n"/>
      <c r="I104" s="1351" t="n"/>
      <c r="J104" s="1358" t="n">
        <v>38000000</v>
      </c>
      <c r="K104" s="1351" t="n"/>
      <c r="L104" s="1351" t="n"/>
      <c r="M104" s="1351" t="n"/>
      <c r="N104" s="1351" t="n"/>
      <c r="O104" s="1349" t="n"/>
      <c r="P104" s="1349" t="n"/>
      <c r="Q104" s="1349" t="n"/>
      <c r="R104" s="1349" t="n"/>
      <c r="S104" s="1351" t="n"/>
    </row>
    <row r="105" ht="26" customHeight="1">
      <c r="A105" s="1349" t="n"/>
      <c r="B105" s="1359" t="inlineStr">
        <is>
          <t>Années</t>
        </is>
      </c>
      <c r="C105" s="1360" t="inlineStr">
        <is>
          <t>Janvier</t>
        </is>
      </c>
      <c r="D105" s="1360" t="inlineStr">
        <is>
          <t>Février</t>
        </is>
      </c>
      <c r="E105" s="1360" t="inlineStr">
        <is>
          <t>Mars</t>
        </is>
      </c>
      <c r="F105" s="1360" t="inlineStr">
        <is>
          <t>Avril</t>
        </is>
      </c>
      <c r="G105" s="1360" t="inlineStr">
        <is>
          <t>Mai</t>
        </is>
      </c>
      <c r="H105" s="1361" t="inlineStr">
        <is>
          <t>Juin</t>
        </is>
      </c>
      <c r="I105" s="1360" t="inlineStr">
        <is>
          <t>Juillet</t>
        </is>
      </c>
      <c r="J105" s="1360" t="inlineStr">
        <is>
          <t>Août</t>
        </is>
      </c>
      <c r="K105" s="1360" t="inlineStr">
        <is>
          <t>Septembre</t>
        </is>
      </c>
      <c r="L105" s="1360" t="inlineStr">
        <is>
          <t>Octobre</t>
        </is>
      </c>
      <c r="M105" s="1360" t="inlineStr">
        <is>
          <t>Novembre</t>
        </is>
      </c>
      <c r="N105" s="1360" t="inlineStr">
        <is>
          <t>Décembre</t>
        </is>
      </c>
      <c r="O105" s="1362" t="inlineStr">
        <is>
          <t>Moyenne Annuelle</t>
        </is>
      </c>
      <c r="P105" s="1349" t="n"/>
      <c r="Q105" s="1349" t="n"/>
      <c r="R105" s="1349" t="n"/>
      <c r="S105" s="1351" t="n"/>
    </row>
    <row r="106" ht="13" customHeight="1">
      <c r="A106" s="1349" t="n"/>
      <c r="B106" s="1363" t="n">
        <v>2021</v>
      </c>
      <c r="C106" s="1364" t="n">
        <v>1862347.657712996</v>
      </c>
      <c r="D106" s="1364" t="n">
        <v>1979097.707845003</v>
      </c>
      <c r="E106" s="1364" t="n">
        <v>2154556.517614994</v>
      </c>
      <c r="F106" s="1364" t="n">
        <v>2142140.078586001</v>
      </c>
      <c r="G106" s="1364" t="n">
        <v>2173819.081917006</v>
      </c>
      <c r="H106" s="1364" t="n">
        <v>2361417.01802</v>
      </c>
      <c r="I106" s="1364" t="n">
        <v>2428841.738660002</v>
      </c>
      <c r="J106" s="1364" t="n">
        <v>1786761.182497004</v>
      </c>
      <c r="K106" s="1364" t="n">
        <v>2027765.608469009</v>
      </c>
      <c r="L106" s="1364" t="n">
        <v>1954608.827964008</v>
      </c>
      <c r="M106" s="1364" t="n">
        <v>2162503.521740008</v>
      </c>
      <c r="N106" s="1364" t="n">
        <v>1874205.604145014</v>
      </c>
      <c r="O106" s="515">
        <f>AVERAGE(C106:N106)</f>
        <v/>
      </c>
      <c r="P106" s="1349" t="n"/>
      <c r="Q106" s="1349" t="n"/>
      <c r="R106" s="1349" t="n"/>
      <c r="S106" s="1351" t="n"/>
    </row>
    <row r="107" ht="13" customHeight="1">
      <c r="A107" s="1349" t="n"/>
      <c r="B107" s="1363" t="n">
        <v>2022</v>
      </c>
      <c r="C107" s="1364" t="n">
        <v>1857278.267115005</v>
      </c>
      <c r="D107" s="1364" t="n">
        <v>1985214.259150003</v>
      </c>
      <c r="E107" s="1364" t="n">
        <v>2172950.436463999</v>
      </c>
      <c r="F107" s="1364" t="n">
        <v>2238510.948097</v>
      </c>
      <c r="G107" s="1364" t="n">
        <v>2296113.308059006</v>
      </c>
      <c r="H107" s="1364" t="n">
        <v>2066663.532119006</v>
      </c>
      <c r="I107" s="1364" t="n">
        <v>2278911.161095</v>
      </c>
      <c r="J107" s="1364" t="n">
        <v>2215745.376173004</v>
      </c>
      <c r="K107" s="1364" t="n">
        <v>1918348.137121006</v>
      </c>
      <c r="L107" s="1364" t="n">
        <v>2187898.051752001</v>
      </c>
      <c r="M107" s="1364" t="n">
        <v>2079673.485419009</v>
      </c>
      <c r="N107" s="1364" t="n">
        <v>1920053.697610002</v>
      </c>
      <c r="O107" s="515">
        <f>AVERAGE(C107:N107)</f>
        <v/>
      </c>
      <c r="P107" s="1349" t="n"/>
      <c r="Q107" s="1349" t="n"/>
      <c r="R107" s="1349" t="n"/>
      <c r="S107" s="1351" t="n"/>
    </row>
    <row r="108" ht="13" customHeight="1">
      <c r="A108" s="1349" t="n"/>
      <c r="B108" s="1363" t="n">
        <v>2023</v>
      </c>
      <c r="C108" s="1364" t="n">
        <v>2505075.578905009</v>
      </c>
      <c r="D108" s="1364" t="n">
        <v>2278596.616168005</v>
      </c>
      <c r="E108" s="1364" t="n">
        <v>2421550.633170016</v>
      </c>
      <c r="F108" s="1364" t="n">
        <v>2531745.842224</v>
      </c>
      <c r="G108" s="1364" t="n">
        <v>2412627.849450005</v>
      </c>
      <c r="H108" s="1364" t="n">
        <v>2047036.257515271</v>
      </c>
      <c r="I108" s="1364" t="n">
        <v>2071051.050952999</v>
      </c>
      <c r="J108" s="1364" t="n">
        <v>2325949.876578002</v>
      </c>
      <c r="K108" s="1364" t="n">
        <v>2182734.688363997</v>
      </c>
      <c r="L108" s="1364" t="n">
        <v>2174176.209863001</v>
      </c>
      <c r="M108" s="1364" t="n">
        <v>2170232.007147001</v>
      </c>
      <c r="N108" s="1364" t="n">
        <v>2496116.395507999</v>
      </c>
      <c r="O108" s="515">
        <f>AVERAGE(C108:N108)</f>
        <v/>
      </c>
      <c r="P108" s="1349" t="n"/>
      <c r="Q108" s="1349" t="n"/>
      <c r="R108" s="1349" t="n"/>
      <c r="S108" s="1351" t="n"/>
    </row>
    <row r="109" ht="13" customHeight="1">
      <c r="A109" s="1349" t="n"/>
      <c r="B109" s="1363" t="n">
        <v>2024</v>
      </c>
      <c r="C109" s="1364" t="n">
        <v>2334690.796544008</v>
      </c>
      <c r="D109" s="1364" t="n">
        <v>2308560.776588999</v>
      </c>
      <c r="E109" s="1364" t="n">
        <v>2116438.507547002</v>
      </c>
      <c r="F109" s="1364" t="n">
        <v>2514692.513621008</v>
      </c>
      <c r="G109" s="1364" t="n">
        <v>2601306.478553003</v>
      </c>
      <c r="H109" s="1364" t="n">
        <v>2123745.219525</v>
      </c>
      <c r="I109" s="1364" t="n">
        <v>2604935.940013006</v>
      </c>
      <c r="J109" s="1364" t="n">
        <v>2100329.288024004</v>
      </c>
      <c r="K109" s="1364" t="n">
        <v>2437647.992799997</v>
      </c>
      <c r="L109" s="1364" t="n">
        <v>2298554.168358995</v>
      </c>
      <c r="M109" s="1364" t="n">
        <v>2468202.276939003</v>
      </c>
      <c r="N109" s="1364" t="n">
        <v>2642919.468394009</v>
      </c>
      <c r="O109" s="515">
        <f>AVERAGE(C109:N109)</f>
        <v/>
      </c>
      <c r="P109" s="1349" t="n"/>
      <c r="Q109" s="1349" t="n"/>
      <c r="R109" s="1349" t="n"/>
      <c r="S109" s="1351" t="n"/>
    </row>
    <row r="110" ht="13" customHeight="1">
      <c r="A110" s="1349" t="n"/>
      <c r="B110" s="1365" t="n">
        <v>2025</v>
      </c>
      <c r="C110" s="1364" t="n">
        <v>2475424.402682997</v>
      </c>
      <c r="D110" s="1364" t="n">
        <v>2632090.565751005</v>
      </c>
      <c r="E110" s="1364" t="n">
        <v>2741839.957573003</v>
      </c>
      <c r="F110" s="1364" t="n">
        <v>2755337.149763016</v>
      </c>
      <c r="G110" s="1364" t="n">
        <v>2951913.497972013</v>
      </c>
      <c r="H110" s="1364" t="n">
        <v>2637505.826960998</v>
      </c>
      <c r="I110" s="1364" t="n">
        <v>2991471.214430006</v>
      </c>
      <c r="J110" s="1364" t="n">
        <v>3244153.403520015</v>
      </c>
      <c r="K110" s="1364" t="n">
        <v>3026633.009830024</v>
      </c>
      <c r="L110" s="1364" t="n">
        <v>2885178.898080995</v>
      </c>
      <c r="M110" s="1364" t="n">
        <v>2892558.75118001</v>
      </c>
      <c r="N110" s="1364" t="n">
        <v>3241081.289527032</v>
      </c>
      <c r="O110" s="517">
        <f>AVERAGE(C110:N110)</f>
        <v/>
      </c>
      <c r="P110" s="1349" t="n"/>
      <c r="Q110" s="1349" t="n"/>
      <c r="R110" s="1349" t="n"/>
      <c r="S110" s="1351" t="n"/>
    </row>
    <row r="111" ht="13" customHeight="1">
      <c r="A111" s="1349" t="n"/>
      <c r="B111" s="1359" t="inlineStr">
        <is>
          <t>Total</t>
        </is>
      </c>
      <c r="C111" s="518">
        <f>SUM(C106:C110)</f>
        <v/>
      </c>
      <c r="D111" s="518">
        <f>SUM(D106:D110)</f>
        <v/>
      </c>
      <c r="E111" s="518">
        <f>SUM(E106:E110)</f>
        <v/>
      </c>
      <c r="F111" s="518">
        <f>SUM(F106:F110)</f>
        <v/>
      </c>
      <c r="G111" s="518">
        <f>SUM(G106:G110)</f>
        <v/>
      </c>
      <c r="H111" s="518">
        <f>SUM(H106:H110)</f>
        <v/>
      </c>
      <c r="I111" s="518">
        <f>SUM(I106:I110)</f>
        <v/>
      </c>
      <c r="J111" s="518">
        <f>SUM(J106:J110)</f>
        <v/>
      </c>
      <c r="K111" s="518">
        <f>SUM(K106:K110)</f>
        <v/>
      </c>
      <c r="L111" s="518">
        <f>SUM(L106:L110)</f>
        <v/>
      </c>
      <c r="M111" s="518">
        <f>SUM(M106:M110)</f>
        <v/>
      </c>
      <c r="N111" s="518">
        <f>SUM(N106:N110)</f>
        <v/>
      </c>
      <c r="O111" s="1366" t="n"/>
      <c r="P111" s="1349" t="n"/>
      <c r="Q111" s="1349" t="n"/>
      <c r="R111" s="1349" t="n"/>
      <c r="S111" s="1351" t="n"/>
    </row>
    <row r="112" ht="21" customHeight="1">
      <c r="A112" s="1349" t="n"/>
      <c r="B112" s="1369" t="inlineStr">
        <is>
          <t>Moyenne mensuelle</t>
        </is>
      </c>
      <c r="C112" s="522">
        <f>C111/5</f>
        <v/>
      </c>
      <c r="D112" s="522">
        <f>D111/5</f>
        <v/>
      </c>
      <c r="E112" s="522">
        <f>E111/5</f>
        <v/>
      </c>
      <c r="F112" s="522">
        <f>F111/5</f>
        <v/>
      </c>
      <c r="G112" s="522">
        <f>G111/5</f>
        <v/>
      </c>
      <c r="H112" s="522">
        <f>H111/5</f>
        <v/>
      </c>
      <c r="I112" s="522">
        <f>I111/5</f>
        <v/>
      </c>
      <c r="J112" s="522">
        <f>J111/5</f>
        <v/>
      </c>
      <c r="K112" s="522">
        <f>K111/5</f>
        <v/>
      </c>
      <c r="L112" s="522">
        <f>L111/5</f>
        <v/>
      </c>
      <c r="M112" s="522">
        <f>M111/5</f>
        <v/>
      </c>
      <c r="N112" s="522">
        <f>N111/5</f>
        <v/>
      </c>
      <c r="O112" s="522">
        <f>AVERAGE(C112:N112)</f>
        <v/>
      </c>
      <c r="P112" s="1370" t="inlineStr">
        <is>
          <t>Moyenne des moyennes</t>
        </is>
      </c>
      <c r="Q112" s="1349" t="n"/>
      <c r="R112" s="1349" t="n"/>
      <c r="S112" s="1351" t="n"/>
    </row>
    <row r="113" ht="13" customHeight="1">
      <c r="A113" s="1349" t="n"/>
      <c r="B113" s="1371" t="inlineStr">
        <is>
          <t>Coef.</t>
        </is>
      </c>
      <c r="C113" s="1372">
        <f>C112/$O$112</f>
        <v/>
      </c>
      <c r="D113" s="1372">
        <f>D112/$O$112</f>
        <v/>
      </c>
      <c r="E113" s="1372">
        <f>E112/$O$112</f>
        <v/>
      </c>
      <c r="F113" s="1372">
        <f>F112/$O$112</f>
        <v/>
      </c>
      <c r="G113" s="1372">
        <f>G112/$O$112</f>
        <v/>
      </c>
      <c r="H113" s="1372">
        <f>H112/$O$112</f>
        <v/>
      </c>
      <c r="I113" s="1372">
        <f>I112/$O$112</f>
        <v/>
      </c>
      <c r="J113" s="1372">
        <f>J112/$O$112</f>
        <v/>
      </c>
      <c r="K113" s="1372">
        <f>K112/$O$112</f>
        <v/>
      </c>
      <c r="L113" s="1372">
        <f>L112/$O$112</f>
        <v/>
      </c>
      <c r="M113" s="1372">
        <f>M112/$O$112</f>
        <v/>
      </c>
      <c r="N113" s="1372">
        <f>N112/$O$112</f>
        <v/>
      </c>
      <c r="O113" s="526">
        <f>AVERAGE(C113:N113)</f>
        <v/>
      </c>
      <c r="P113" s="1349" t="n"/>
      <c r="Q113" s="1349" t="n"/>
      <c r="R113" s="1349" t="n"/>
      <c r="S113" s="1351" t="n"/>
    </row>
    <row r="114" ht="13" customHeight="1">
      <c r="A114" s="1349" t="n"/>
      <c r="B114" s="1373" t="inlineStr">
        <is>
          <t>Prév. 2024</t>
        </is>
      </c>
      <c r="C114" s="528">
        <f>C113*$O$114</f>
        <v/>
      </c>
      <c r="D114" s="528">
        <f>D113*$O$114</f>
        <v/>
      </c>
      <c r="E114" s="528">
        <f>E113*$O$114</f>
        <v/>
      </c>
      <c r="F114" s="528">
        <f>F113*$O$114</f>
        <v/>
      </c>
      <c r="G114" s="528">
        <f>G113*$O$114</f>
        <v/>
      </c>
      <c r="H114" s="528">
        <f>H113*$O$114</f>
        <v/>
      </c>
      <c r="I114" s="528">
        <f>I113*$O$114</f>
        <v/>
      </c>
      <c r="J114" s="528">
        <f>J113*$O$114</f>
        <v/>
      </c>
      <c r="K114" s="528">
        <f>K113*$O$114</f>
        <v/>
      </c>
      <c r="L114" s="528">
        <f>L113*$O$114</f>
        <v/>
      </c>
      <c r="M114" s="528">
        <f>M113*$O$114</f>
        <v/>
      </c>
      <c r="N114" s="528">
        <f>N113*$O$114</f>
        <v/>
      </c>
      <c r="O114" s="531">
        <f>J104/12</f>
        <v/>
      </c>
      <c r="P114" s="1377" t="n"/>
      <c r="Q114" s="1349" t="n"/>
      <c r="R114" s="1349" t="n"/>
      <c r="S114" s="1351" t="n"/>
    </row>
    <row r="115">
      <c r="A115" s="1349" t="n"/>
      <c r="B115" s="1349" t="n"/>
      <c r="C115" s="1351" t="n"/>
      <c r="D115" s="1351" t="n"/>
      <c r="E115" s="1351" t="n"/>
      <c r="F115" s="1351" t="n"/>
      <c r="G115" s="1351" t="n"/>
      <c r="H115" s="1351" t="n"/>
      <c r="I115" s="1351" t="n"/>
      <c r="J115" s="1351" t="n"/>
      <c r="K115" s="1351" t="n"/>
      <c r="L115" s="1351" t="n"/>
      <c r="M115" s="1351" t="n"/>
      <c r="N115" s="1351" t="n"/>
      <c r="O115" s="1349" t="n"/>
      <c r="P115" s="1349" t="n"/>
      <c r="Q115" s="1349" t="n"/>
      <c r="R115" s="1349" t="n"/>
      <c r="S115" s="1351" t="n"/>
    </row>
    <row r="116">
      <c r="A116" s="1349" t="n"/>
      <c r="B116" s="1349" t="n"/>
      <c r="C116" s="1351" t="n"/>
      <c r="D116" s="1351" t="n"/>
      <c r="E116" s="1351" t="n"/>
      <c r="F116" s="1351" t="n"/>
      <c r="G116" s="1351" t="n"/>
      <c r="H116" s="1351" t="n"/>
      <c r="I116" s="1351" t="n"/>
      <c r="J116" s="1351" t="n"/>
      <c r="K116" s="1351" t="n"/>
      <c r="L116" s="1351" t="n"/>
      <c r="M116" s="1351" t="n"/>
      <c r="N116" s="1351" t="n"/>
      <c r="O116" s="1349" t="n"/>
      <c r="P116" s="1349" t="n"/>
      <c r="Q116" s="1349" t="n"/>
      <c r="R116" s="1349" t="n"/>
      <c r="S116" s="1351" t="n"/>
    </row>
    <row r="117">
      <c r="A117" s="1349" t="n"/>
      <c r="B117" s="1349" t="n"/>
      <c r="C117" s="1351" t="n"/>
      <c r="D117" s="1351" t="n"/>
      <c r="E117" s="1351" t="n"/>
      <c r="F117" s="1351" t="n"/>
      <c r="G117" s="1351" t="n"/>
      <c r="H117" s="1351" t="n"/>
      <c r="I117" s="1351" t="n"/>
      <c r="J117" s="1351" t="n"/>
      <c r="K117" s="1351" t="n"/>
      <c r="L117" s="1351" t="n"/>
      <c r="M117" s="1351" t="n"/>
      <c r="N117" s="1351" t="n"/>
      <c r="O117" s="1349" t="n"/>
      <c r="P117" s="1349" t="n"/>
      <c r="Q117" s="1349" t="n"/>
      <c r="R117" s="1349" t="n"/>
      <c r="S117" s="1351" t="n"/>
    </row>
    <row r="118">
      <c r="A118" s="1349" t="n"/>
      <c r="B118" s="1349" t="n"/>
      <c r="C118" s="1351" t="n"/>
      <c r="D118" s="1351" t="n"/>
      <c r="E118" s="1351" t="n"/>
      <c r="F118" s="1351" t="n"/>
      <c r="G118" s="1351" t="n"/>
      <c r="H118" s="1351" t="n"/>
      <c r="I118" s="1351" t="n"/>
      <c r="J118" s="1351" t="n"/>
      <c r="K118" s="1351" t="n"/>
      <c r="L118" s="1351" t="n"/>
      <c r="M118" s="1351" t="n"/>
      <c r="N118" s="1351" t="n"/>
      <c r="O118" s="1349" t="n"/>
      <c r="P118" s="1349" t="n"/>
      <c r="Q118" s="1349" t="n"/>
      <c r="R118" s="1349" t="n"/>
      <c r="S118" s="1351" t="n"/>
    </row>
    <row r="119">
      <c r="A119" s="1349" t="n"/>
      <c r="B119" s="1349" t="n"/>
      <c r="C119" s="1351" t="n"/>
      <c r="D119" s="1351" t="n"/>
      <c r="E119" s="1351" t="n"/>
      <c r="F119" s="1351" t="n"/>
      <c r="G119" s="1351" t="n"/>
      <c r="H119" s="1351" t="n"/>
      <c r="I119" s="1351" t="n"/>
      <c r="J119" s="1351" t="n"/>
      <c r="K119" s="1351" t="n"/>
      <c r="L119" s="1351" t="n"/>
      <c r="M119" s="1351" t="n"/>
      <c r="N119" s="1351" t="n"/>
      <c r="O119" s="1349" t="n"/>
      <c r="P119" s="1349" t="n"/>
      <c r="Q119" s="1349" t="n"/>
      <c r="R119" s="1349" t="n"/>
      <c r="S119" s="1351" t="n"/>
    </row>
    <row r="120">
      <c r="A120" s="1349" t="n"/>
      <c r="B120" s="1349" t="n"/>
      <c r="C120" s="1351" t="n"/>
      <c r="D120" s="1351" t="n"/>
      <c r="E120" s="1351" t="n"/>
      <c r="F120" s="1351" t="n"/>
      <c r="G120" s="1351" t="n"/>
      <c r="H120" s="1351" t="n"/>
      <c r="I120" s="1351" t="n"/>
      <c r="J120" s="1351" t="n"/>
      <c r="K120" s="1351" t="n"/>
      <c r="L120" s="1351" t="n"/>
      <c r="M120" s="1351" t="n"/>
      <c r="N120" s="1351" t="n"/>
      <c r="O120" s="1349" t="n"/>
      <c r="P120" s="1349" t="n"/>
      <c r="Q120" s="1349" t="n"/>
      <c r="R120" s="1349" t="n"/>
      <c r="S120" s="1351" t="n"/>
    </row>
    <row r="121">
      <c r="A121" s="1349" t="n"/>
      <c r="B121" s="1349" t="n"/>
      <c r="C121" s="1351" t="n"/>
      <c r="D121" s="1351" t="n"/>
      <c r="E121" s="1351" t="n"/>
      <c r="F121" s="1351" t="n"/>
      <c r="G121" s="1351" t="n"/>
      <c r="H121" s="1351" t="n"/>
      <c r="I121" s="1351" t="n"/>
      <c r="J121" s="1351" t="n"/>
      <c r="K121" s="1351" t="n"/>
      <c r="L121" s="1351" t="n"/>
      <c r="M121" s="1351" t="n"/>
      <c r="N121" s="1351" t="n"/>
      <c r="O121" s="1349" t="n"/>
      <c r="P121" s="1349" t="n"/>
      <c r="Q121" s="1349" t="n"/>
      <c r="R121" s="1349" t="n"/>
      <c r="S121" s="1351" t="n"/>
    </row>
    <row r="122">
      <c r="A122" s="1349" t="n"/>
      <c r="B122" s="1349" t="n"/>
      <c r="C122" s="1351" t="n"/>
      <c r="D122" s="1351" t="n"/>
      <c r="E122" s="1351" t="n"/>
      <c r="F122" s="1351" t="n"/>
      <c r="G122" s="1351" t="n"/>
      <c r="H122" s="1351" t="n"/>
      <c r="I122" s="1351" t="n"/>
      <c r="J122" s="1351" t="n"/>
      <c r="K122" s="1351" t="n"/>
      <c r="L122" s="1351" t="n"/>
      <c r="M122" s="1351" t="n"/>
      <c r="N122" s="1351" t="n"/>
      <c r="O122" s="1349" t="n"/>
      <c r="P122" s="1349" t="n"/>
      <c r="Q122" s="1349" t="n"/>
      <c r="R122" s="1349" t="n"/>
      <c r="S122" s="1351" t="n"/>
    </row>
    <row r="123">
      <c r="A123" s="1349" t="n"/>
      <c r="B123" s="1349" t="n"/>
      <c r="C123" s="1351" t="n"/>
      <c r="D123" s="1351" t="n"/>
      <c r="E123" s="1351" t="n"/>
      <c r="F123" s="1351" t="n"/>
      <c r="G123" s="1351" t="n"/>
      <c r="H123" s="1351" t="n"/>
      <c r="I123" s="1351" t="n"/>
      <c r="J123" s="1351" t="n"/>
      <c r="K123" s="1351" t="n"/>
      <c r="L123" s="1351" t="n"/>
      <c r="M123" s="1351" t="n"/>
      <c r="N123" s="1351" t="n"/>
      <c r="O123" s="1349" t="n"/>
      <c r="P123" s="1349" t="n"/>
      <c r="Q123" s="1349" t="n"/>
      <c r="R123" s="1349" t="n"/>
      <c r="S123" s="1351" t="n"/>
    </row>
    <row r="124" ht="15.5" customHeight="1">
      <c r="A124" s="1349" t="n"/>
      <c r="B124" s="1386" t="inlineStr">
        <is>
          <t>VII-/ Trafic de transbordement (en tonne)</t>
        </is>
      </c>
      <c r="C124" s="1356" t="n"/>
      <c r="D124" s="1356" t="n"/>
      <c r="E124" s="1356" t="n"/>
      <c r="F124" s="1375" t="inlineStr">
        <is>
          <t>Objectif annuel DEESP_DSPP</t>
        </is>
      </c>
      <c r="G124" s="1356" t="n"/>
      <c r="H124" s="1356" t="n"/>
      <c r="I124" s="1351" t="n"/>
      <c r="J124" s="1379">
        <f>+J24-J104-J144</f>
        <v/>
      </c>
      <c r="K124" s="1351" t="n"/>
      <c r="L124" s="1387" t="inlineStr">
        <is>
          <t>Déduction</t>
        </is>
      </c>
      <c r="M124" s="1351" t="n"/>
      <c r="N124" s="1351" t="n"/>
      <c r="O124" s="1349" t="n"/>
      <c r="P124" s="1349" t="n"/>
      <c r="Q124" s="1349" t="n"/>
      <c r="R124" s="1349" t="n"/>
      <c r="S124" s="1351" t="n"/>
    </row>
    <row r="125" ht="26" customHeight="1">
      <c r="A125" s="1349" t="n"/>
      <c r="B125" s="1359" t="inlineStr">
        <is>
          <t>Années</t>
        </is>
      </c>
      <c r="C125" s="1360" t="inlineStr">
        <is>
          <t>Janvier</t>
        </is>
      </c>
      <c r="D125" s="1360" t="inlineStr">
        <is>
          <t>Février</t>
        </is>
      </c>
      <c r="E125" s="1360" t="inlineStr">
        <is>
          <t>Mars</t>
        </is>
      </c>
      <c r="F125" s="1360" t="inlineStr">
        <is>
          <t>Avril</t>
        </is>
      </c>
      <c r="G125" s="1360" t="inlineStr">
        <is>
          <t>Mai</t>
        </is>
      </c>
      <c r="H125" s="1361" t="inlineStr">
        <is>
          <t>Juin</t>
        </is>
      </c>
      <c r="I125" s="1360" t="inlineStr">
        <is>
          <t>Juillet</t>
        </is>
      </c>
      <c r="J125" s="1360" t="inlineStr">
        <is>
          <t>Août</t>
        </is>
      </c>
      <c r="K125" s="1360" t="inlineStr">
        <is>
          <t>Septembre</t>
        </is>
      </c>
      <c r="L125" s="1360" t="inlineStr">
        <is>
          <t>Octobre</t>
        </is>
      </c>
      <c r="M125" s="1360" t="inlineStr">
        <is>
          <t>Novembre</t>
        </is>
      </c>
      <c r="N125" s="1360" t="inlineStr">
        <is>
          <t>Décembre</t>
        </is>
      </c>
      <c r="O125" s="1362" t="inlineStr">
        <is>
          <t>Moyenne Annuelle</t>
        </is>
      </c>
      <c r="P125" s="1349" t="n"/>
      <c r="Q125" s="1349" t="n"/>
      <c r="R125" s="1349" t="n"/>
      <c r="S125" s="1351" t="n"/>
    </row>
    <row r="126" ht="13" customHeight="1">
      <c r="A126" s="1349" t="n"/>
      <c r="B126" s="1363" t="n">
        <v>2021</v>
      </c>
      <c r="C126" s="1364" t="n">
        <v>83831.801742</v>
      </c>
      <c r="D126" s="1364" t="n">
        <v>21391.90201999999</v>
      </c>
      <c r="E126" s="1364" t="n">
        <v>21299.2996</v>
      </c>
      <c r="F126" s="1364" t="n">
        <v>54297.50601999999</v>
      </c>
      <c r="G126" s="1364" t="n">
        <v>55559.07681000001</v>
      </c>
      <c r="H126" s="1364" t="n">
        <v>27072.81299999999</v>
      </c>
      <c r="I126" s="1364" t="n">
        <v>31734.2935</v>
      </c>
      <c r="J126" s="1364" t="n">
        <v>35210.83014999999</v>
      </c>
      <c r="K126" s="1364" t="n">
        <v>31726.33994999999</v>
      </c>
      <c r="L126" s="1364" t="n">
        <v>37558.77415</v>
      </c>
      <c r="M126" s="1364" t="n">
        <v>39632.948</v>
      </c>
      <c r="N126" s="1364" t="n">
        <v>30764.69</v>
      </c>
      <c r="O126" s="515">
        <f>AVERAGE(C126:N126)</f>
        <v/>
      </c>
      <c r="P126" s="1349" t="n"/>
      <c r="Q126" s="1349" t="n"/>
      <c r="R126" s="1349" t="n"/>
      <c r="S126" s="1351" t="n"/>
    </row>
    <row r="127" ht="13" customHeight="1">
      <c r="A127" s="1349" t="n"/>
      <c r="B127" s="1363" t="n">
        <v>2022</v>
      </c>
      <c r="C127" s="1364" t="n">
        <v>45632.5405</v>
      </c>
      <c r="D127" s="1364" t="n">
        <v>22864.57187</v>
      </c>
      <c r="E127" s="1364" t="n">
        <v>28346.63607</v>
      </c>
      <c r="F127" s="1364" t="n">
        <v>47711.26999</v>
      </c>
      <c r="G127" s="1364" t="n">
        <v>41949.93506999999</v>
      </c>
      <c r="H127" s="1364" t="n">
        <v>25514.692</v>
      </c>
      <c r="I127" s="1364" t="n">
        <v>31498.98299999998</v>
      </c>
      <c r="J127" s="1364" t="n">
        <v>21597.338</v>
      </c>
      <c r="K127" s="1364" t="n">
        <v>17897.393</v>
      </c>
      <c r="L127" s="1364" t="n">
        <v>27087.071</v>
      </c>
      <c r="M127" s="1364" t="n">
        <v>25201.84939999999</v>
      </c>
      <c r="N127" s="1364" t="n">
        <v>43107.1174</v>
      </c>
      <c r="O127" s="515">
        <f>AVERAGE(C127:N127)</f>
        <v/>
      </c>
      <c r="P127" s="1349" t="n"/>
      <c r="Q127" s="1349" t="n"/>
      <c r="R127" s="1349" t="n"/>
      <c r="S127" s="1351" t="n"/>
    </row>
    <row r="128" ht="13" customHeight="1">
      <c r="A128" s="1349" t="n"/>
      <c r="B128" s="1363" t="n">
        <v>2023</v>
      </c>
      <c r="C128" s="1364" t="n">
        <v>114107.22103</v>
      </c>
      <c r="D128" s="1364" t="n">
        <v>73557.96545999998</v>
      </c>
      <c r="E128" s="1364" t="n">
        <v>67377.42900000003</v>
      </c>
      <c r="F128" s="1364" t="n">
        <v>105266.28934474</v>
      </c>
      <c r="G128" s="1364" t="n">
        <v>244534.6604000003</v>
      </c>
      <c r="H128" s="1364" t="n">
        <v>326690.236</v>
      </c>
      <c r="I128" s="1364" t="n">
        <v>567079.9909700011</v>
      </c>
      <c r="J128" s="1364" t="n">
        <v>573202.3046900006</v>
      </c>
      <c r="K128" s="1364" t="n">
        <v>537772.2556299992</v>
      </c>
      <c r="L128" s="1364" t="n">
        <v>616840.9268100001</v>
      </c>
      <c r="M128" s="1364" t="n">
        <v>470276.9023799999</v>
      </c>
      <c r="N128" s="1364" t="n">
        <v>493313.8409199995</v>
      </c>
      <c r="O128" s="515">
        <f>AVERAGE(C128:N128)</f>
        <v/>
      </c>
      <c r="P128" s="1349" t="n"/>
      <c r="Q128" s="1349" t="n"/>
      <c r="R128" s="1349" t="n"/>
      <c r="S128" s="1351" t="n"/>
    </row>
    <row r="129" ht="13" customHeight="1">
      <c r="A129" s="1349" t="n"/>
      <c r="B129" s="1363" t="n">
        <v>2024</v>
      </c>
      <c r="C129" s="1364" t="n">
        <v>466674.5909599991</v>
      </c>
      <c r="D129" s="1364" t="n">
        <v>649253.7934200007</v>
      </c>
      <c r="E129" s="1364" t="n">
        <v>598949.7010400011</v>
      </c>
      <c r="F129" s="1364" t="n">
        <v>780511.4007800004</v>
      </c>
      <c r="G129" s="1364" t="n">
        <v>784716.0859299996</v>
      </c>
      <c r="H129" s="1364" t="n">
        <v>696565.2512700006</v>
      </c>
      <c r="I129" s="1364" t="n">
        <v>679601.1195000005</v>
      </c>
      <c r="J129" s="1364" t="n">
        <v>798678.0899199992</v>
      </c>
      <c r="K129" s="1364" t="n">
        <v>728231.2522499994</v>
      </c>
      <c r="L129" s="1364" t="n">
        <v>807032.0226299982</v>
      </c>
      <c r="M129" s="1364" t="n">
        <v>812224.0070000028</v>
      </c>
      <c r="N129" s="1364" t="n">
        <v>829092.2785940005</v>
      </c>
      <c r="O129" s="515">
        <f>AVERAGE(C129:N129)</f>
        <v/>
      </c>
      <c r="P129" s="1349" t="n"/>
      <c r="Q129" s="1349" t="n"/>
      <c r="R129" s="1349" t="n"/>
      <c r="S129" s="1351" t="n"/>
    </row>
    <row r="130" ht="13" customHeight="1">
      <c r="A130" s="1349" t="n"/>
      <c r="B130" s="1365" t="n">
        <v>2025</v>
      </c>
      <c r="C130" s="1364" t="n">
        <v>825183.7093740012</v>
      </c>
      <c r="D130" s="1364" t="n">
        <v>864848.8765499999</v>
      </c>
      <c r="E130" s="1364" t="n">
        <v>884699.3469500004</v>
      </c>
      <c r="F130" s="1364" t="n">
        <v>674276.4589500006</v>
      </c>
      <c r="G130" s="1364" t="n">
        <v>870337.7803599978</v>
      </c>
      <c r="H130" s="1364" t="n">
        <v>659202.7606199994</v>
      </c>
      <c r="I130" s="1364" t="n">
        <v>721282.9799399988</v>
      </c>
      <c r="J130" s="1364" t="n">
        <v>681811.2999999991</v>
      </c>
      <c r="K130" s="1364" t="n">
        <v>529074.0760899996</v>
      </c>
      <c r="L130" s="1364" t="n">
        <v>469035.1890000001</v>
      </c>
      <c r="M130" s="1364" t="n">
        <v>584729.2640000004</v>
      </c>
      <c r="N130" s="1364" t="n">
        <v>757223.885999999</v>
      </c>
      <c r="O130" s="517">
        <f>AVERAGE(C130:N130)</f>
        <v/>
      </c>
      <c r="P130" s="1349" t="n"/>
      <c r="Q130" s="1349" t="n"/>
      <c r="R130" s="1349" t="n"/>
      <c r="S130" s="1351" t="n"/>
    </row>
    <row r="131" ht="13" customHeight="1">
      <c r="A131" s="1349" t="n"/>
      <c r="B131" s="1359" t="inlineStr">
        <is>
          <t>Total</t>
        </is>
      </c>
      <c r="C131" s="518">
        <f>SUM(C126:C130)</f>
        <v/>
      </c>
      <c r="D131" s="518">
        <f>SUM(D126:D130)</f>
        <v/>
      </c>
      <c r="E131" s="518">
        <f>SUM(E126:E130)</f>
        <v/>
      </c>
      <c r="F131" s="518">
        <f>SUM(F126:F130)</f>
        <v/>
      </c>
      <c r="G131" s="518">
        <f>SUM(G126:G130)</f>
        <v/>
      </c>
      <c r="H131" s="518">
        <f>SUM(H126:H130)</f>
        <v/>
      </c>
      <c r="I131" s="518">
        <f>SUM(I126:I130)</f>
        <v/>
      </c>
      <c r="J131" s="518">
        <f>SUM(J126:J130)</f>
        <v/>
      </c>
      <c r="K131" s="518">
        <f>SUM(K126:K130)</f>
        <v/>
      </c>
      <c r="L131" s="518">
        <f>SUM(L126:L130)</f>
        <v/>
      </c>
      <c r="M131" s="518">
        <f>SUM(M126:M130)</f>
        <v/>
      </c>
      <c r="N131" s="518">
        <f>SUM(N126:N130)</f>
        <v/>
      </c>
      <c r="O131" s="1366" t="n"/>
      <c r="P131" s="1349" t="n"/>
      <c r="Q131" s="1349" t="n"/>
      <c r="R131" s="1349" t="n"/>
      <c r="S131" s="1351" t="n"/>
    </row>
    <row r="132" ht="21" customHeight="1">
      <c r="A132" s="1349" t="n"/>
      <c r="B132" s="1369" t="inlineStr">
        <is>
          <t>Moyenne mensuelle</t>
        </is>
      </c>
      <c r="C132" s="522">
        <f>C131/5</f>
        <v/>
      </c>
      <c r="D132" s="522">
        <f>D131/5</f>
        <v/>
      </c>
      <c r="E132" s="522">
        <f>E131/5</f>
        <v/>
      </c>
      <c r="F132" s="522">
        <f>F131/5</f>
        <v/>
      </c>
      <c r="G132" s="522">
        <f>G131/5</f>
        <v/>
      </c>
      <c r="H132" s="522">
        <f>H131/5</f>
        <v/>
      </c>
      <c r="I132" s="522">
        <f>I131/5</f>
        <v/>
      </c>
      <c r="J132" s="522">
        <f>J131/5</f>
        <v/>
      </c>
      <c r="K132" s="522">
        <f>K131/5</f>
        <v/>
      </c>
      <c r="L132" s="522">
        <f>L131/5</f>
        <v/>
      </c>
      <c r="M132" s="522">
        <f>M131/5</f>
        <v/>
      </c>
      <c r="N132" s="522">
        <f>N131/5</f>
        <v/>
      </c>
      <c r="O132" s="522">
        <f>AVERAGE(C132:N132)</f>
        <v/>
      </c>
      <c r="P132" s="1370" t="inlineStr">
        <is>
          <t>Moyenne des moyennes</t>
        </is>
      </c>
      <c r="Q132" s="1349" t="n"/>
      <c r="R132" s="1349" t="n"/>
      <c r="S132" s="1351" t="n"/>
    </row>
    <row r="133" ht="13" customHeight="1">
      <c r="A133" s="1349" t="n"/>
      <c r="B133" s="1371" t="inlineStr">
        <is>
          <t>Coef.</t>
        </is>
      </c>
      <c r="C133" s="1372">
        <f>C132/$O$132</f>
        <v/>
      </c>
      <c r="D133" s="1372">
        <f>D132/$O$132</f>
        <v/>
      </c>
      <c r="E133" s="1372">
        <f>E132/$O$132</f>
        <v/>
      </c>
      <c r="F133" s="1372">
        <f>F132/$O$132</f>
        <v/>
      </c>
      <c r="G133" s="1372">
        <f>G132/$O$132</f>
        <v/>
      </c>
      <c r="H133" s="1372">
        <f>H132/$O$132</f>
        <v/>
      </c>
      <c r="I133" s="1372">
        <f>I132/$O$132</f>
        <v/>
      </c>
      <c r="J133" s="1372">
        <f>J132/$O$132</f>
        <v/>
      </c>
      <c r="K133" s="1372">
        <f>K132/$O$132</f>
        <v/>
      </c>
      <c r="L133" s="1372">
        <f>L132/$O$132</f>
        <v/>
      </c>
      <c r="M133" s="1372">
        <f>M132/$O$132</f>
        <v/>
      </c>
      <c r="N133" s="1372">
        <f>N132/$O$132</f>
        <v/>
      </c>
      <c r="O133" s="526">
        <f>AVERAGE(C133:N133)</f>
        <v/>
      </c>
      <c r="P133" s="1349" t="n"/>
      <c r="Q133" s="1349" t="n"/>
      <c r="R133" s="1349" t="n"/>
      <c r="S133" s="1351" t="n"/>
    </row>
    <row r="134" ht="13" customHeight="1">
      <c r="A134" s="1349" t="n"/>
      <c r="B134" s="1373" t="inlineStr">
        <is>
          <t>Prév. 2024</t>
        </is>
      </c>
      <c r="C134" s="528">
        <f>C133*$O$134</f>
        <v/>
      </c>
      <c r="D134" s="528">
        <f>D133*$O$134</f>
        <v/>
      </c>
      <c r="E134" s="528">
        <f>E133*$O$134</f>
        <v/>
      </c>
      <c r="F134" s="528">
        <f>F133*$O$134</f>
        <v/>
      </c>
      <c r="G134" s="528">
        <f>G133*$O$134</f>
        <v/>
      </c>
      <c r="H134" s="528">
        <f>H133*$O$134</f>
        <v/>
      </c>
      <c r="I134" s="528">
        <f>I133*$O$134</f>
        <v/>
      </c>
      <c r="J134" s="528">
        <f>J133*$O$134</f>
        <v/>
      </c>
      <c r="K134" s="528">
        <f>K133*$O$134</f>
        <v/>
      </c>
      <c r="L134" s="528">
        <f>L133*$O$134</f>
        <v/>
      </c>
      <c r="M134" s="528">
        <f>M133*$O$134</f>
        <v/>
      </c>
      <c r="N134" s="528">
        <f>N133*$O$134</f>
        <v/>
      </c>
      <c r="O134" s="531">
        <f>J124/12</f>
        <v/>
      </c>
      <c r="P134" s="1377" t="n"/>
      <c r="Q134" s="1349" t="n"/>
      <c r="R134" s="1349" t="n"/>
      <c r="S134" s="1351" t="n"/>
    </row>
    <row r="135">
      <c r="A135" s="1349" t="n"/>
      <c r="B135" s="1349" t="n"/>
      <c r="C135" s="1351" t="n"/>
      <c r="D135" s="1351" t="n"/>
      <c r="E135" s="1351" t="n"/>
      <c r="F135" s="1351" t="n"/>
      <c r="G135" s="1351" t="n"/>
      <c r="H135" s="1351" t="n"/>
      <c r="I135" s="1351" t="n"/>
      <c r="J135" s="1351" t="n"/>
      <c r="K135" s="1351" t="n"/>
      <c r="L135" s="1351" t="n"/>
      <c r="M135" s="1351" t="n"/>
      <c r="N135" s="1351" t="n"/>
      <c r="O135" s="1349" t="n"/>
      <c r="P135" s="1349" t="n"/>
      <c r="Q135" s="1349" t="n"/>
      <c r="R135" s="1349" t="n"/>
      <c r="S135" s="1351" t="n"/>
    </row>
    <row r="136">
      <c r="A136" s="1349" t="n"/>
      <c r="B136" s="1349" t="n"/>
      <c r="C136" s="1351" t="n"/>
      <c r="D136" s="1351" t="n"/>
      <c r="E136" s="1351" t="n"/>
      <c r="F136" s="1351" t="n"/>
      <c r="G136" s="1351" t="n"/>
      <c r="H136" s="1351" t="n"/>
      <c r="I136" s="1351" t="n"/>
      <c r="J136" s="1351" t="n"/>
      <c r="K136" s="1351" t="n"/>
      <c r="L136" s="1351" t="n"/>
      <c r="M136" s="1351" t="n"/>
      <c r="N136" s="1351" t="n"/>
      <c r="O136" s="1349" t="n"/>
      <c r="P136" s="1349" t="n"/>
      <c r="Q136" s="1349" t="n"/>
      <c r="R136" s="1349" t="n"/>
      <c r="S136" s="1351" t="n"/>
    </row>
    <row r="137">
      <c r="A137" s="1349" t="n"/>
      <c r="B137" s="1349" t="n"/>
      <c r="C137" s="1351" t="n"/>
      <c r="D137" s="1351" t="n"/>
      <c r="E137" s="1351" t="n"/>
      <c r="F137" s="1351" t="n"/>
      <c r="G137" s="1351" t="n"/>
      <c r="H137" s="1351" t="n"/>
      <c r="I137" s="1351" t="n"/>
      <c r="J137" s="1351" t="n"/>
      <c r="K137" s="1351" t="n"/>
      <c r="L137" s="1351" t="n"/>
      <c r="M137" s="1351" t="n"/>
      <c r="N137" s="1351" t="n"/>
      <c r="O137" s="1349" t="n"/>
      <c r="P137" s="1349" t="n"/>
      <c r="Q137" s="1349" t="n"/>
      <c r="R137" s="1349" t="n"/>
      <c r="S137" s="1351" t="n"/>
    </row>
    <row r="138">
      <c r="A138" s="1349" t="n"/>
      <c r="B138" s="1349" t="n"/>
      <c r="C138" s="1351" t="n"/>
      <c r="D138" s="1351" t="n"/>
      <c r="E138" s="1351" t="n"/>
      <c r="F138" s="1351" t="n"/>
      <c r="G138" s="1351" t="n"/>
      <c r="H138" s="1351" t="n"/>
      <c r="I138" s="1351" t="n"/>
      <c r="J138" s="1351" t="n"/>
      <c r="K138" s="1351" t="n"/>
      <c r="L138" s="1351" t="n"/>
      <c r="M138" s="1351" t="n"/>
      <c r="N138" s="1351" t="n"/>
      <c r="O138" s="1349" t="n"/>
      <c r="P138" s="1349" t="n"/>
      <c r="Q138" s="1349" t="n"/>
      <c r="R138" s="1349" t="n"/>
      <c r="S138" s="1351" t="n"/>
    </row>
    <row r="139">
      <c r="A139" s="1349" t="n"/>
      <c r="B139" s="1349" t="n"/>
      <c r="C139" s="1351" t="n"/>
      <c r="D139" s="1351" t="n"/>
      <c r="E139" s="1351" t="n"/>
      <c r="F139" s="1351" t="n"/>
      <c r="G139" s="1351" t="n"/>
      <c r="H139" s="1351" t="n"/>
      <c r="I139" s="1351" t="n"/>
      <c r="J139" s="1351" t="n"/>
      <c r="K139" s="1351" t="n"/>
      <c r="L139" s="1351" t="n"/>
      <c r="M139" s="1351" t="n"/>
      <c r="N139" s="1351" t="n"/>
      <c r="O139" s="1349" t="n"/>
      <c r="P139" s="1349" t="n"/>
      <c r="Q139" s="1349" t="n"/>
      <c r="R139" s="1349" t="n"/>
      <c r="S139" s="1351" t="n"/>
    </row>
    <row r="140">
      <c r="A140" s="1349" t="n"/>
      <c r="B140" s="1349" t="n"/>
      <c r="C140" s="1351" t="n"/>
      <c r="D140" s="1351" t="n"/>
      <c r="E140" s="1351" t="n"/>
      <c r="F140" s="1351" t="n"/>
      <c r="G140" s="1351" t="n"/>
      <c r="H140" s="1351" t="n"/>
      <c r="I140" s="1351" t="n"/>
      <c r="J140" s="1351" t="n"/>
      <c r="K140" s="1351" t="n"/>
      <c r="L140" s="1351" t="n"/>
      <c r="M140" s="1351" t="n"/>
      <c r="N140" s="1351" t="n"/>
      <c r="O140" s="1349" t="n"/>
      <c r="P140" s="1349" t="n"/>
      <c r="Q140" s="1349" t="n"/>
      <c r="R140" s="1349" t="n"/>
      <c r="S140" s="1351" t="n"/>
    </row>
    <row r="141">
      <c r="A141" s="1349" t="n"/>
      <c r="B141" s="1349" t="n"/>
      <c r="C141" s="1351" t="n"/>
      <c r="D141" s="1351" t="n"/>
      <c r="E141" s="1351" t="n"/>
      <c r="F141" s="1351" t="n"/>
      <c r="G141" s="1351" t="n"/>
      <c r="H141" s="1351" t="n"/>
      <c r="I141" s="1351" t="n"/>
      <c r="J141" s="1351" t="n"/>
      <c r="K141" s="1351" t="n"/>
      <c r="L141" s="1351" t="n"/>
      <c r="M141" s="1351" t="n"/>
      <c r="N141" s="1351" t="n"/>
      <c r="O141" s="1349" t="n"/>
      <c r="P141" s="1349" t="n"/>
      <c r="Q141" s="1349" t="n"/>
      <c r="R141" s="1349" t="n"/>
      <c r="S141" s="1351" t="n"/>
    </row>
    <row r="142">
      <c r="A142" s="1349" t="n"/>
      <c r="B142" s="1349" t="n"/>
      <c r="C142" s="1351" t="n"/>
      <c r="D142" s="1351" t="n"/>
      <c r="E142" s="1351" t="n"/>
      <c r="F142" s="1351" t="n"/>
      <c r="G142" s="1351" t="n"/>
      <c r="H142" s="1351" t="n"/>
      <c r="I142" s="1351" t="n"/>
      <c r="J142" s="1351" t="n"/>
      <c r="K142" s="1351" t="n"/>
      <c r="L142" s="1351" t="n"/>
      <c r="M142" s="1351" t="n"/>
      <c r="N142" s="1351" t="n"/>
      <c r="O142" s="1349" t="n"/>
      <c r="P142" s="1349" t="n"/>
      <c r="Q142" s="1349" t="n"/>
      <c r="R142" s="1349" t="n"/>
      <c r="S142" s="1351" t="n"/>
    </row>
    <row r="143">
      <c r="A143" s="1349" t="n"/>
      <c r="B143" s="1349" t="n"/>
      <c r="C143" s="1351" t="n"/>
      <c r="D143" s="1351" t="n"/>
      <c r="E143" s="1351" t="n"/>
      <c r="F143" s="1351" t="n"/>
      <c r="G143" s="1351" t="n"/>
      <c r="H143" s="1351" t="n"/>
      <c r="I143" s="1351" t="n"/>
      <c r="J143" s="1351" t="n"/>
      <c r="K143" s="1351" t="n"/>
      <c r="L143" s="1351" t="n"/>
      <c r="M143" s="1351" t="n"/>
      <c r="N143" s="1351" t="n"/>
      <c r="O143" s="1349" t="n"/>
      <c r="P143" s="1349" t="n"/>
      <c r="Q143" s="1349" t="n"/>
      <c r="R143" s="1349" t="n"/>
      <c r="S143" s="1351" t="n"/>
    </row>
    <row r="144" ht="15.5" customFormat="1" customHeight="1" s="1348">
      <c r="A144" s="1349" t="n"/>
      <c r="B144" s="1355" t="inlineStr">
        <is>
          <t>VIII-/ Trafic de transit (en tonne)</t>
        </is>
      </c>
      <c r="C144" s="1356" t="n"/>
      <c r="D144" s="1356" t="n"/>
      <c r="E144" s="1374" t="n"/>
      <c r="F144" s="1375" t="inlineStr">
        <is>
          <t>Objectif annuel DG</t>
        </is>
      </c>
      <c r="G144" s="1356" t="n"/>
      <c r="H144" s="1356" t="n"/>
      <c r="I144" s="1374" t="n"/>
      <c r="J144" s="1358" t="n">
        <v>4000000</v>
      </c>
      <c r="K144" s="1374" t="n"/>
      <c r="L144" s="1374" t="n"/>
      <c r="M144" s="1374" t="n"/>
      <c r="N144" s="1374" t="n"/>
      <c r="O144" s="1376" t="n"/>
      <c r="P144" s="1349" t="n"/>
      <c r="Q144" s="1349" t="n"/>
      <c r="R144" s="1349" t="n"/>
      <c r="S144" s="1351" t="n"/>
    </row>
    <row r="145" ht="26" customFormat="1" customHeight="1" s="1348">
      <c r="A145" s="1349" t="n"/>
      <c r="B145" s="1359" t="inlineStr">
        <is>
          <t>Années</t>
        </is>
      </c>
      <c r="C145" s="1360" t="inlineStr">
        <is>
          <t>Janvier</t>
        </is>
      </c>
      <c r="D145" s="1360" t="inlineStr">
        <is>
          <t>Février</t>
        </is>
      </c>
      <c r="E145" s="1360" t="inlineStr">
        <is>
          <t>Mars</t>
        </is>
      </c>
      <c r="F145" s="1360" t="inlineStr">
        <is>
          <t>Avril</t>
        </is>
      </c>
      <c r="G145" s="1360" t="inlineStr">
        <is>
          <t>Mai</t>
        </is>
      </c>
      <c r="H145" s="1361" t="inlineStr">
        <is>
          <t>Juin</t>
        </is>
      </c>
      <c r="I145" s="1360" t="inlineStr">
        <is>
          <t>Juillet</t>
        </is>
      </c>
      <c r="J145" s="1360" t="inlineStr">
        <is>
          <t>Août</t>
        </is>
      </c>
      <c r="K145" s="1360" t="inlineStr">
        <is>
          <t>Septembre</t>
        </is>
      </c>
      <c r="L145" s="1360" t="inlineStr">
        <is>
          <t>Octobre</t>
        </is>
      </c>
      <c r="M145" s="1360" t="inlineStr">
        <is>
          <t>Novembre</t>
        </is>
      </c>
      <c r="N145" s="1360" t="inlineStr">
        <is>
          <t>Décembre</t>
        </is>
      </c>
      <c r="O145" s="1362" t="inlineStr">
        <is>
          <t>Moyenne Annuelle</t>
        </is>
      </c>
      <c r="P145" s="1349" t="n"/>
      <c r="Q145" s="1349" t="n"/>
      <c r="R145" s="1349" t="n"/>
      <c r="S145" s="1351" t="n"/>
    </row>
    <row r="146" ht="13" customFormat="1" customHeight="1" s="1348">
      <c r="A146" s="1349" t="n"/>
      <c r="B146" s="1363" t="n">
        <v>2021</v>
      </c>
      <c r="C146" s="1364" t="n">
        <v>276989.922704</v>
      </c>
      <c r="D146" s="1364" t="n">
        <v>172756.7110149997</v>
      </c>
      <c r="E146" s="1364" t="n">
        <v>261028.0650130001</v>
      </c>
      <c r="F146" s="1364" t="n">
        <v>238081.4302319999</v>
      </c>
      <c r="G146" s="1364" t="n">
        <v>286805.2710690002</v>
      </c>
      <c r="H146" s="1364" t="n">
        <v>110422.566312</v>
      </c>
      <c r="I146" s="1364" t="n">
        <v>294033.8978130001</v>
      </c>
      <c r="J146" s="1364" t="n">
        <v>251892.121777</v>
      </c>
      <c r="K146" s="1364" t="n">
        <v>318330.514644</v>
      </c>
      <c r="L146" s="1364" t="n">
        <v>214365.232625</v>
      </c>
      <c r="M146" s="1364" t="n">
        <v>290339.0869499996</v>
      </c>
      <c r="N146" s="1364" t="n">
        <v>220679.0962029999</v>
      </c>
      <c r="O146" s="515">
        <f>AVERAGE(C146:N146)</f>
        <v/>
      </c>
      <c r="P146" s="1349" t="n"/>
      <c r="Q146" s="1349" t="n"/>
      <c r="R146" s="1349" t="n"/>
      <c r="S146" s="1351" t="n"/>
    </row>
    <row r="147" ht="13" customFormat="1" customHeight="1" s="1348">
      <c r="A147" s="1349" t="n"/>
      <c r="B147" s="1363" t="n">
        <v>2022</v>
      </c>
      <c r="C147" s="1364" t="n">
        <v>288080.2151139997</v>
      </c>
      <c r="D147" s="1364" t="n">
        <v>294750.9700940001</v>
      </c>
      <c r="E147" s="1364" t="n">
        <v>316505.1860140002</v>
      </c>
      <c r="F147" s="1364" t="n">
        <v>274821.1679500009</v>
      </c>
      <c r="G147" s="1364" t="n">
        <v>286645.9281959999</v>
      </c>
      <c r="H147" s="1364" t="n">
        <v>222781.9256179994</v>
      </c>
      <c r="I147" s="1364" t="n">
        <v>262349.6632220003</v>
      </c>
      <c r="J147" s="1364" t="n">
        <v>231372.3816</v>
      </c>
      <c r="K147" s="1364" t="n">
        <v>216657.2908899998</v>
      </c>
      <c r="L147" s="1364" t="n">
        <v>214949.50035</v>
      </c>
      <c r="M147" s="1364" t="n">
        <v>223834.7198799999</v>
      </c>
      <c r="N147" s="1364" t="n">
        <v>240583.3428299999</v>
      </c>
      <c r="O147" s="515">
        <f>AVERAGE(C147:N147)</f>
        <v/>
      </c>
      <c r="P147" s="1349" t="n"/>
      <c r="Q147" s="1349" t="n"/>
      <c r="R147" s="1349" t="n"/>
      <c r="S147" s="1351" t="n"/>
    </row>
    <row r="148" ht="13" customHeight="1">
      <c r="A148" s="1349" t="n"/>
      <c r="B148" s="1363" t="n">
        <v>2023</v>
      </c>
      <c r="C148" s="1364" t="n">
        <v>267435.52365</v>
      </c>
      <c r="D148" s="1364" t="n">
        <v>269544.5363499998</v>
      </c>
      <c r="E148" s="1364" t="n">
        <v>238078.9683460001</v>
      </c>
      <c r="F148" s="1364" t="n">
        <v>252449.0891980002</v>
      </c>
      <c r="G148" s="1364" t="n">
        <v>264135.5516399997</v>
      </c>
      <c r="H148" s="1364" t="n">
        <v>129655.388016</v>
      </c>
      <c r="I148" s="1364" t="n">
        <v>248913.2316</v>
      </c>
      <c r="J148" s="1364" t="n">
        <v>210693.6718200001</v>
      </c>
      <c r="K148" s="1364" t="n">
        <v>236616.0981869998</v>
      </c>
      <c r="L148" s="1364" t="n">
        <v>245890.2049420001</v>
      </c>
      <c r="M148" s="1364" t="n">
        <v>251965.260317</v>
      </c>
      <c r="N148" s="1364" t="n">
        <v>281709.5479959989</v>
      </c>
      <c r="O148" s="515">
        <f>AVERAGE(C148:N148)</f>
        <v/>
      </c>
      <c r="P148" s="1349" t="n"/>
      <c r="Q148" s="1349" t="n"/>
      <c r="R148" s="1349" t="n"/>
      <c r="S148" s="1351" t="n"/>
    </row>
    <row r="149" ht="13" customHeight="1">
      <c r="A149" s="1349" t="n"/>
      <c r="B149" s="1363" t="n">
        <v>2024</v>
      </c>
      <c r="C149" s="1364" t="n">
        <v>167791.816239</v>
      </c>
      <c r="D149" s="1364" t="n">
        <v>217269.9561699997</v>
      </c>
      <c r="E149" s="1364" t="n">
        <v>278039.39042</v>
      </c>
      <c r="F149" s="1364" t="n">
        <v>216251.8299100001</v>
      </c>
      <c r="G149" s="1364" t="n">
        <v>342596.53175</v>
      </c>
      <c r="H149" s="1364" t="n">
        <v>251662.76962</v>
      </c>
      <c r="I149" s="1364" t="n">
        <v>139739.1156000001</v>
      </c>
      <c r="J149" s="1364" t="n">
        <v>264802.4537279999</v>
      </c>
      <c r="K149" s="1364" t="n">
        <v>309030.5639710004</v>
      </c>
      <c r="L149" s="1364" t="n">
        <v>247431.6420469997</v>
      </c>
      <c r="M149" s="1364" t="n">
        <v>269726.033839</v>
      </c>
      <c r="N149" s="1364" t="n">
        <v>215013.0086339998</v>
      </c>
      <c r="O149" s="515">
        <f>AVERAGE(C149:N149)</f>
        <v/>
      </c>
      <c r="P149" s="1349" t="n"/>
      <c r="Q149" s="1349" t="n"/>
      <c r="R149" s="1349" t="n"/>
      <c r="S149" s="1351" t="n"/>
    </row>
    <row r="150" ht="13" customHeight="1">
      <c r="A150" s="1349" t="n"/>
      <c r="B150" s="1365" t="n">
        <v>2025</v>
      </c>
      <c r="C150" s="1364" t="n">
        <v>314537.3994320002</v>
      </c>
      <c r="D150" s="1364" t="n">
        <v>286803.7101399992</v>
      </c>
      <c r="E150" s="1364" t="n">
        <v>176694.6121199997</v>
      </c>
      <c r="F150" s="1364" t="n">
        <v>414105.3721600005</v>
      </c>
      <c r="G150" s="1364" t="n">
        <v>339987.5098700009</v>
      </c>
      <c r="H150" s="1364" t="n">
        <v>328865.23131</v>
      </c>
      <c r="I150" s="1364" t="n">
        <v>422541.9587600012</v>
      </c>
      <c r="J150" s="1364" t="n">
        <v>347369.0420000019</v>
      </c>
      <c r="K150" s="1364" t="n">
        <v>290454.9270000007</v>
      </c>
      <c r="L150" s="1364" t="n">
        <v>432276.7607100003</v>
      </c>
      <c r="M150" s="1364" t="n">
        <v>213045.3534999997</v>
      </c>
      <c r="N150" s="1364" t="n">
        <v>372025.6386000002</v>
      </c>
      <c r="O150" s="517">
        <f>AVERAGE(C150:N150)</f>
        <v/>
      </c>
      <c r="P150" s="1349" t="n"/>
      <c r="Q150" s="1349" t="n"/>
      <c r="R150" s="1349" t="n"/>
      <c r="S150" s="1351" t="n"/>
    </row>
    <row r="151" ht="13" customHeight="1">
      <c r="A151" s="1349" t="n"/>
      <c r="B151" s="1359" t="inlineStr">
        <is>
          <t>Total</t>
        </is>
      </c>
      <c r="C151" s="518">
        <f>SUM(C146:C150)</f>
        <v/>
      </c>
      <c r="D151" s="518">
        <f>SUM(D146:D150)</f>
        <v/>
      </c>
      <c r="E151" s="518">
        <f>SUM(E146:E150)</f>
        <v/>
      </c>
      <c r="F151" s="518">
        <f>SUM(F146:F150)</f>
        <v/>
      </c>
      <c r="G151" s="518">
        <f>SUM(G146:G150)</f>
        <v/>
      </c>
      <c r="H151" s="518">
        <f>SUM(H146:H150)</f>
        <v/>
      </c>
      <c r="I151" s="518">
        <f>SUM(I146:I150)</f>
        <v/>
      </c>
      <c r="J151" s="518">
        <f>SUM(J146:J150)</f>
        <v/>
      </c>
      <c r="K151" s="518">
        <f>SUM(K146:K150)</f>
        <v/>
      </c>
      <c r="L151" s="518">
        <f>SUM(L146:L150)</f>
        <v/>
      </c>
      <c r="M151" s="518">
        <f>SUM(M146:M150)</f>
        <v/>
      </c>
      <c r="N151" s="518">
        <f>SUM(N146:N150)</f>
        <v/>
      </c>
      <c r="O151" s="1366" t="n"/>
      <c r="P151" s="1349" t="n"/>
      <c r="Q151" s="1349" t="n"/>
      <c r="R151" s="1349" t="n"/>
      <c r="S151" s="1351" t="n"/>
    </row>
    <row r="152" ht="21" customHeight="1">
      <c r="A152" s="1349" t="n"/>
      <c r="B152" s="1369" t="inlineStr">
        <is>
          <t>Moyenne mensuelle</t>
        </is>
      </c>
      <c r="C152" s="522">
        <f>C151/5</f>
        <v/>
      </c>
      <c r="D152" s="522">
        <f>D151/5</f>
        <v/>
      </c>
      <c r="E152" s="522">
        <f>E151/5</f>
        <v/>
      </c>
      <c r="F152" s="522">
        <f>F151/5</f>
        <v/>
      </c>
      <c r="G152" s="522">
        <f>G151/5</f>
        <v/>
      </c>
      <c r="H152" s="522">
        <f>H151/5</f>
        <v/>
      </c>
      <c r="I152" s="522">
        <f>I151/5</f>
        <v/>
      </c>
      <c r="J152" s="522">
        <f>J151/5</f>
        <v/>
      </c>
      <c r="K152" s="522">
        <f>K151/5</f>
        <v/>
      </c>
      <c r="L152" s="522">
        <f>L151/5</f>
        <v/>
      </c>
      <c r="M152" s="522">
        <f>M151/5</f>
        <v/>
      </c>
      <c r="N152" s="522">
        <f>N151/5</f>
        <v/>
      </c>
      <c r="O152" s="522">
        <f>AVERAGE(C152:N152)</f>
        <v/>
      </c>
      <c r="P152" s="1370" t="inlineStr">
        <is>
          <t>Moyenne des moyennes</t>
        </is>
      </c>
      <c r="Q152" s="1349" t="n"/>
      <c r="R152" s="1349" t="n"/>
      <c r="S152" s="1351" t="n"/>
    </row>
    <row r="153" ht="13" customHeight="1">
      <c r="A153" s="1349" t="n"/>
      <c r="B153" s="1371" t="inlineStr">
        <is>
          <t>Coef.</t>
        </is>
      </c>
      <c r="C153" s="1372">
        <f>C152/$O$152</f>
        <v/>
      </c>
      <c r="D153" s="1372">
        <f>D152/$O$152</f>
        <v/>
      </c>
      <c r="E153" s="1372">
        <f>E152/$O$152</f>
        <v/>
      </c>
      <c r="F153" s="1372">
        <f>F152/$O$152</f>
        <v/>
      </c>
      <c r="G153" s="1372">
        <f>G152/$O$152</f>
        <v/>
      </c>
      <c r="H153" s="1372">
        <f>H152/$O$152</f>
        <v/>
      </c>
      <c r="I153" s="1372">
        <f>I152/$O$152</f>
        <v/>
      </c>
      <c r="J153" s="1372">
        <f>J152/$O$152</f>
        <v/>
      </c>
      <c r="K153" s="1372">
        <f>K152/$O$152</f>
        <v/>
      </c>
      <c r="L153" s="1372">
        <f>L152/$O$152</f>
        <v/>
      </c>
      <c r="M153" s="1372">
        <f>M152/$O$152</f>
        <v/>
      </c>
      <c r="N153" s="1372">
        <f>N152/$O$152</f>
        <v/>
      </c>
      <c r="O153" s="526">
        <f>AVERAGE(C153:N153)</f>
        <v/>
      </c>
      <c r="P153" s="1349" t="n"/>
      <c r="Q153" s="1349" t="n"/>
      <c r="R153" s="1349" t="n"/>
      <c r="S153" s="1351" t="n"/>
    </row>
    <row r="154" ht="13" customHeight="1">
      <c r="A154" s="1349" t="n"/>
      <c r="B154" s="1373" t="inlineStr">
        <is>
          <t>Prév. 2024</t>
        </is>
      </c>
      <c r="C154" s="528">
        <f>C153*$O$154</f>
        <v/>
      </c>
      <c r="D154" s="528">
        <f>D153*$O$154</f>
        <v/>
      </c>
      <c r="E154" s="528">
        <f>E153*$O$154</f>
        <v/>
      </c>
      <c r="F154" s="528">
        <f>F153*$O$154</f>
        <v/>
      </c>
      <c r="G154" s="528">
        <f>G153*$O$154</f>
        <v/>
      </c>
      <c r="H154" s="528">
        <f>H153*$O$154</f>
        <v/>
      </c>
      <c r="I154" s="528">
        <f>I153*$O$154</f>
        <v/>
      </c>
      <c r="J154" s="528">
        <f>J153*$O$154</f>
        <v/>
      </c>
      <c r="K154" s="528">
        <f>K153*$O$154</f>
        <v/>
      </c>
      <c r="L154" s="528">
        <f>L153*$O$154</f>
        <v/>
      </c>
      <c r="M154" s="528">
        <f>M153*$O$154</f>
        <v/>
      </c>
      <c r="N154" s="528">
        <f>N153*$O$154</f>
        <v/>
      </c>
      <c r="O154" s="531">
        <f>J144/12</f>
        <v/>
      </c>
      <c r="P154" s="1377" t="n"/>
      <c r="Q154" s="1349" t="n"/>
      <c r="R154" s="1349" t="n"/>
      <c r="S154" s="1351" t="n"/>
    </row>
    <row r="155">
      <c r="A155" s="1349" t="n"/>
      <c r="B155" s="1349" t="n"/>
      <c r="C155" s="1351" t="n"/>
      <c r="D155" s="1351" t="n"/>
      <c r="E155" s="1351" t="n"/>
      <c r="F155" s="1351" t="n"/>
      <c r="G155" s="1351" t="n"/>
      <c r="H155" s="1351" t="n"/>
      <c r="I155" s="1351" t="n"/>
      <c r="J155" s="1351" t="n"/>
      <c r="K155" s="1351" t="n"/>
      <c r="L155" s="1351" t="n"/>
      <c r="M155" s="1351" t="n"/>
      <c r="N155" s="1351" t="n"/>
      <c r="O155" s="1349" t="n"/>
      <c r="P155" s="1349" t="n"/>
      <c r="Q155" s="1349" t="n"/>
      <c r="R155" s="1349" t="n"/>
      <c r="S155" s="1351" t="n"/>
    </row>
    <row r="156">
      <c r="A156" s="1349" t="n"/>
      <c r="B156" s="1349" t="n"/>
      <c r="C156" s="1351" t="n"/>
      <c r="D156" s="1351" t="n"/>
      <c r="E156" s="1351" t="n"/>
      <c r="F156" s="1351" t="n"/>
      <c r="G156" s="1351" t="n"/>
      <c r="H156" s="1351" t="n"/>
      <c r="I156" s="1351" t="n"/>
      <c r="J156" s="1351" t="n"/>
      <c r="K156" s="1351" t="n"/>
      <c r="L156" s="1351" t="n"/>
      <c r="M156" s="1351" t="n"/>
      <c r="N156" s="1351" t="n"/>
      <c r="O156" s="1349" t="n"/>
      <c r="P156" s="1349" t="n"/>
      <c r="Q156" s="1349" t="n"/>
      <c r="R156" s="1349" t="n"/>
      <c r="S156" s="1351" t="n"/>
    </row>
    <row r="157">
      <c r="A157" s="1349" t="n"/>
      <c r="B157" s="1349" t="n"/>
      <c r="C157" s="1351" t="n"/>
      <c r="D157" s="1351" t="n"/>
      <c r="E157" s="1351" t="n"/>
      <c r="F157" s="1351" t="n"/>
      <c r="G157" s="1351" t="n"/>
      <c r="H157" s="1351" t="n"/>
      <c r="I157" s="1351" t="n"/>
      <c r="J157" s="1351" t="n"/>
      <c r="K157" s="1351" t="n"/>
      <c r="L157" s="1351" t="n"/>
      <c r="M157" s="1351" t="n"/>
      <c r="N157" s="1351" t="n"/>
      <c r="O157" s="1349" t="n"/>
      <c r="P157" s="1349" t="n"/>
      <c r="Q157" s="1349" t="n"/>
      <c r="R157" s="1349" t="n"/>
      <c r="S157" s="1351" t="n"/>
    </row>
    <row r="158">
      <c r="A158" s="1349" t="n"/>
      <c r="B158" s="1349" t="n"/>
      <c r="C158" s="1351" t="n"/>
      <c r="D158" s="1351" t="n"/>
      <c r="E158" s="1351" t="n"/>
      <c r="F158" s="1351" t="n"/>
      <c r="G158" s="1351" t="n"/>
      <c r="H158" s="1351" t="n"/>
      <c r="I158" s="1351" t="n"/>
      <c r="J158" s="1351" t="n"/>
      <c r="K158" s="1351" t="n"/>
      <c r="L158" s="1351" t="n"/>
      <c r="M158" s="1351" t="n"/>
      <c r="N158" s="1351" t="n"/>
      <c r="O158" s="1349" t="n"/>
      <c r="P158" s="1349" t="n"/>
      <c r="Q158" s="1349" t="n"/>
      <c r="R158" s="1349" t="n"/>
      <c r="S158" s="1351" t="n"/>
    </row>
    <row r="159">
      <c r="A159" s="1349" t="n"/>
      <c r="B159" s="1349" t="n"/>
      <c r="C159" s="1351" t="n"/>
      <c r="D159" s="1351" t="n"/>
      <c r="E159" s="1351" t="n"/>
      <c r="F159" s="1351" t="n"/>
      <c r="G159" s="1351" t="n"/>
      <c r="H159" s="1351" t="n"/>
      <c r="I159" s="1351" t="n"/>
      <c r="J159" s="1351" t="n"/>
      <c r="K159" s="1351" t="n"/>
      <c r="L159" s="1351" t="n"/>
      <c r="M159" s="1351" t="n"/>
      <c r="N159" s="1351" t="n"/>
      <c r="O159" s="1349" t="n"/>
      <c r="P159" s="1349" t="n"/>
      <c r="Q159" s="1349" t="n"/>
      <c r="R159" s="1349" t="n"/>
      <c r="S159" s="1351" t="n"/>
    </row>
    <row r="160">
      <c r="A160" s="1349" t="n"/>
      <c r="B160" s="1349" t="n"/>
      <c r="C160" s="1351" t="n"/>
      <c r="D160" s="1351" t="n"/>
      <c r="E160" s="1351" t="n"/>
      <c r="F160" s="1351" t="n"/>
      <c r="G160" s="1351" t="n"/>
      <c r="H160" s="1351" t="n"/>
      <c r="I160" s="1351" t="n"/>
      <c r="J160" s="1351" t="n"/>
      <c r="K160" s="1351" t="n"/>
      <c r="L160" s="1351" t="n"/>
      <c r="M160" s="1351" t="n"/>
      <c r="N160" s="1351" t="n"/>
      <c r="O160" s="1349" t="n"/>
      <c r="P160" s="1349" t="n"/>
      <c r="Q160" s="1349" t="n"/>
      <c r="R160" s="1349" t="n"/>
      <c r="S160" s="1351" t="n"/>
    </row>
    <row r="161">
      <c r="A161" s="1349" t="n"/>
      <c r="B161" s="1349" t="n"/>
      <c r="C161" s="1351" t="n"/>
      <c r="D161" s="1351" t="n"/>
      <c r="E161" s="1351" t="n"/>
      <c r="F161" s="1351" t="n"/>
      <c r="G161" s="1351" t="n"/>
      <c r="H161" s="1351" t="n"/>
      <c r="I161" s="1351" t="n"/>
      <c r="J161" s="1351" t="n"/>
      <c r="K161" s="1351" t="n"/>
      <c r="L161" s="1351" t="n"/>
      <c r="M161" s="1351" t="n"/>
      <c r="N161" s="1351" t="n"/>
      <c r="O161" s="1349" t="n"/>
      <c r="P161" s="1349" t="n"/>
      <c r="Q161" s="1349" t="n"/>
      <c r="R161" s="1349" t="n"/>
      <c r="S161" s="1351" t="n"/>
    </row>
    <row r="162">
      <c r="A162" s="1349" t="n"/>
      <c r="B162" s="1349" t="n"/>
      <c r="C162" s="1351" t="n"/>
      <c r="D162" s="1351" t="n"/>
      <c r="E162" s="1351" t="n"/>
      <c r="F162" s="1351" t="n"/>
      <c r="G162" s="1351" t="n"/>
      <c r="H162" s="1351" t="n"/>
      <c r="I162" s="1351" t="n"/>
      <c r="J162" s="1351" t="n"/>
      <c r="K162" s="1351" t="n"/>
      <c r="L162" s="1351" t="n"/>
      <c r="M162" s="1351" t="n"/>
      <c r="N162" s="1351" t="n"/>
      <c r="O162" s="1349" t="n"/>
      <c r="P162" s="1349" t="n"/>
      <c r="Q162" s="1349" t="n"/>
      <c r="R162" s="1349" t="n"/>
      <c r="S162" s="1351" t="n"/>
    </row>
    <row r="163">
      <c r="A163" s="1349" t="n"/>
      <c r="B163" s="1349" t="n"/>
      <c r="C163" s="1351" t="n"/>
      <c r="D163" s="1351" t="n"/>
      <c r="E163" s="1351" t="n"/>
      <c r="F163" s="1351" t="n"/>
      <c r="G163" s="1351" t="n"/>
      <c r="H163" s="1351" t="n"/>
      <c r="I163" s="1351" t="n"/>
      <c r="J163" s="1351" t="n"/>
      <c r="K163" s="1351" t="n"/>
      <c r="L163" s="1351" t="n"/>
      <c r="M163" s="1351" t="n"/>
      <c r="N163" s="1351" t="n"/>
      <c r="O163" s="1349" t="n"/>
      <c r="P163" s="1349" t="n"/>
      <c r="Q163" s="1349" t="n"/>
      <c r="R163" s="1349" t="n"/>
      <c r="S163" s="1351" t="n"/>
    </row>
    <row r="164" ht="14.5" customHeight="1">
      <c r="A164" s="1349" t="n"/>
      <c r="B164" s="1381" t="inlineStr">
        <is>
          <t>IX-/ Trafic total de conteneurs (en TEU)</t>
        </is>
      </c>
      <c r="C164" s="1351" t="n"/>
      <c r="D164" s="1351" t="n"/>
      <c r="E164" s="1351" t="n"/>
      <c r="F164" s="1357" t="inlineStr">
        <is>
          <t>Prevision annuelle DEESP_DSPP</t>
        </is>
      </c>
      <c r="G164" s="1356" t="n"/>
      <c r="H164" s="1356" t="n"/>
      <c r="I164" s="1351" t="n"/>
      <c r="J164" s="1358" t="n">
        <v>1750000</v>
      </c>
      <c r="K164" s="1351" t="n"/>
      <c r="L164" s="1351" t="n"/>
      <c r="M164" s="1351" t="n"/>
      <c r="N164" s="1351" t="n"/>
      <c r="O164" s="1349" t="n"/>
      <c r="P164" s="1349" t="n"/>
      <c r="Q164" s="1349" t="n"/>
      <c r="R164" s="1349" t="n"/>
      <c r="S164" s="1351" t="n"/>
    </row>
    <row r="165" ht="26" customHeight="1">
      <c r="A165" s="1349" t="n"/>
      <c r="B165" s="1359" t="inlineStr">
        <is>
          <t>Années</t>
        </is>
      </c>
      <c r="C165" s="1360" t="inlineStr">
        <is>
          <t>Janvier</t>
        </is>
      </c>
      <c r="D165" s="1360" t="inlineStr">
        <is>
          <t>Février</t>
        </is>
      </c>
      <c r="E165" s="1360" t="inlineStr">
        <is>
          <t>Mars</t>
        </is>
      </c>
      <c r="F165" s="1360" t="inlineStr">
        <is>
          <t>Avril</t>
        </is>
      </c>
      <c r="G165" s="1360" t="inlineStr">
        <is>
          <t>Mai</t>
        </is>
      </c>
      <c r="H165" s="1361" t="inlineStr">
        <is>
          <t>Juin</t>
        </is>
      </c>
      <c r="I165" s="1360" t="inlineStr">
        <is>
          <t>Juillet</t>
        </is>
      </c>
      <c r="J165" s="1360" t="inlineStr">
        <is>
          <t>Août</t>
        </is>
      </c>
      <c r="K165" s="1360" t="inlineStr">
        <is>
          <t>Septembre</t>
        </is>
      </c>
      <c r="L165" s="1360" t="inlineStr">
        <is>
          <t>Octobre</t>
        </is>
      </c>
      <c r="M165" s="1360" t="inlineStr">
        <is>
          <t>Novembre</t>
        </is>
      </c>
      <c r="N165" s="1360" t="inlineStr">
        <is>
          <t>Décembre</t>
        </is>
      </c>
      <c r="O165" s="1362" t="inlineStr">
        <is>
          <t>Moyenne Annuelle</t>
        </is>
      </c>
      <c r="P165" s="1349" t="n"/>
      <c r="Q165" s="1349" t="n"/>
      <c r="R165" s="1349" t="n"/>
      <c r="S165" s="1351" t="n"/>
    </row>
    <row r="166" ht="13" customHeight="1">
      <c r="A166" s="1349" t="n"/>
      <c r="B166" s="1363" t="n">
        <v>2021</v>
      </c>
      <c r="C166" s="1364" t="n">
        <v>63695</v>
      </c>
      <c r="D166" s="1364" t="n">
        <v>52593</v>
      </c>
      <c r="E166" s="1364" t="n">
        <v>72303</v>
      </c>
      <c r="F166" s="1364" t="n">
        <v>66714</v>
      </c>
      <c r="G166" s="1364" t="n">
        <v>66837</v>
      </c>
      <c r="H166" s="1364" t="n">
        <v>72095</v>
      </c>
      <c r="I166" s="1364" t="n">
        <v>71934</v>
      </c>
      <c r="J166" s="1364" t="n">
        <v>67368</v>
      </c>
      <c r="K166" s="1364" t="n">
        <v>64722</v>
      </c>
      <c r="L166" s="1364" t="n">
        <v>67332</v>
      </c>
      <c r="M166" s="1364" t="n">
        <v>61984</v>
      </c>
      <c r="N166" s="1364" t="n">
        <v>59737</v>
      </c>
      <c r="O166" s="515">
        <f>AVERAGE(C166:N166)</f>
        <v/>
      </c>
      <c r="P166" s="1349" t="n"/>
      <c r="Q166" s="1349" t="n"/>
      <c r="R166" s="1349" t="n"/>
      <c r="S166" s="1351" t="n"/>
    </row>
    <row r="167" ht="13" customHeight="1">
      <c r="A167" s="1349" t="n"/>
      <c r="B167" s="1363" t="n">
        <v>2022</v>
      </c>
      <c r="C167" s="1364" t="n">
        <v>68901</v>
      </c>
      <c r="D167" s="1364" t="n">
        <v>69742</v>
      </c>
      <c r="E167" s="1364" t="n">
        <v>69879</v>
      </c>
      <c r="F167" s="1364" t="n">
        <v>67365</v>
      </c>
      <c r="G167" s="1364" t="n">
        <v>76543</v>
      </c>
      <c r="H167" s="1364" t="n">
        <v>73627</v>
      </c>
      <c r="I167" s="1364" t="n">
        <v>73568</v>
      </c>
      <c r="J167" s="1364" t="n">
        <v>72476</v>
      </c>
      <c r="K167" s="1364" t="n">
        <v>66323</v>
      </c>
      <c r="L167" s="1364" t="n">
        <v>65912</v>
      </c>
      <c r="M167" s="1364" t="n">
        <v>66137</v>
      </c>
      <c r="N167" s="1364" t="n">
        <v>69953</v>
      </c>
      <c r="O167" s="515">
        <f>AVERAGE(C167:N167)</f>
        <v/>
      </c>
      <c r="P167" s="1385" t="inlineStr">
        <is>
          <t xml:space="preserve"> </t>
        </is>
      </c>
      <c r="Q167" s="1349" t="n"/>
      <c r="R167" s="1349" t="n"/>
      <c r="S167" s="1351" t="n"/>
    </row>
    <row r="168" ht="13" customHeight="1">
      <c r="A168" s="1349" t="n"/>
      <c r="B168" s="1363" t="n">
        <v>2023</v>
      </c>
      <c r="C168" s="1364" t="n">
        <v>74406</v>
      </c>
      <c r="D168" s="1364" t="n">
        <v>61121</v>
      </c>
      <c r="E168" s="1364" t="n">
        <v>79145</v>
      </c>
      <c r="F168" s="1364" t="n">
        <v>87759</v>
      </c>
      <c r="G168" s="1364" t="n">
        <v>103669</v>
      </c>
      <c r="H168" s="1364" t="n">
        <v>102565</v>
      </c>
      <c r="I168" s="1364" t="n">
        <v>118577</v>
      </c>
      <c r="J168" s="1364" t="n">
        <v>119752</v>
      </c>
      <c r="K168" s="1364" t="n">
        <v>116439</v>
      </c>
      <c r="L168" s="1364" t="n">
        <v>133227</v>
      </c>
      <c r="M168" s="1364" t="n">
        <v>117180</v>
      </c>
      <c r="N168" s="1364" t="n">
        <v>124355</v>
      </c>
      <c r="O168" s="515">
        <f>AVERAGE(C168:N168)</f>
        <v/>
      </c>
      <c r="P168" s="1349" t="n"/>
      <c r="Q168" s="1349" t="n"/>
      <c r="R168" s="1349" t="n"/>
      <c r="S168" s="1351" t="n"/>
    </row>
    <row r="169" ht="13" customHeight="1">
      <c r="A169" s="1349" t="n"/>
      <c r="B169" s="1363" t="n">
        <v>2024</v>
      </c>
      <c r="C169" s="1364" t="n">
        <v>117366</v>
      </c>
      <c r="D169" s="1364" t="n">
        <v>112465</v>
      </c>
      <c r="E169" s="1364" t="n">
        <v>122185</v>
      </c>
      <c r="F169" s="1364" t="n">
        <v>141176</v>
      </c>
      <c r="G169" s="1364" t="n">
        <v>137336</v>
      </c>
      <c r="H169" s="1364" t="n">
        <v>127104</v>
      </c>
      <c r="I169" s="1364" t="n">
        <v>145446</v>
      </c>
      <c r="J169" s="1364" t="n">
        <v>144736</v>
      </c>
      <c r="K169" s="1364" t="n">
        <v>128839</v>
      </c>
      <c r="L169" s="1364" t="n">
        <v>149129</v>
      </c>
      <c r="M169" s="1364" t="n">
        <v>157973</v>
      </c>
      <c r="N169" s="1364" t="n">
        <v>162549</v>
      </c>
      <c r="O169" s="515">
        <f>AVERAGE(C169:N169)</f>
        <v/>
      </c>
      <c r="P169" s="1349" t="n"/>
      <c r="Q169" s="1349" t="n"/>
      <c r="R169" s="1349" t="n"/>
      <c r="S169" s="1351" t="n"/>
    </row>
    <row r="170" ht="13" customHeight="1">
      <c r="A170" s="1349" t="n"/>
      <c r="B170" s="1365" t="n">
        <v>2025</v>
      </c>
      <c r="C170" s="1364" t="n">
        <v>158014</v>
      </c>
      <c r="D170" s="1364" t="n">
        <v>138758</v>
      </c>
      <c r="E170" s="1364" t="n">
        <v>150740</v>
      </c>
      <c r="F170" s="1364" t="n">
        <v>141918</v>
      </c>
      <c r="G170" s="1364" t="n">
        <v>157734</v>
      </c>
      <c r="H170" s="1364" t="n">
        <v>130245</v>
      </c>
      <c r="I170" s="1364" t="n">
        <v>134863</v>
      </c>
      <c r="J170" s="1364" t="n">
        <v>148944</v>
      </c>
      <c r="K170" s="1364" t="n">
        <v>132514</v>
      </c>
      <c r="L170" s="1364" t="n">
        <v>139061</v>
      </c>
      <c r="M170" s="1364" t="n">
        <v>127986</v>
      </c>
      <c r="N170" s="1364" t="n">
        <v>148531</v>
      </c>
      <c r="O170" s="517">
        <f>AVERAGE(C170:N170)</f>
        <v/>
      </c>
      <c r="P170" s="1349" t="n"/>
      <c r="Q170" s="1349" t="n"/>
      <c r="R170" s="1349" t="n"/>
      <c r="S170" s="1351" t="n"/>
    </row>
    <row r="171" ht="13" customHeight="1">
      <c r="A171" s="1349" t="n"/>
      <c r="B171" s="1359" t="inlineStr">
        <is>
          <t>Total</t>
        </is>
      </c>
      <c r="C171" s="518">
        <f>SUM(C166:C170)</f>
        <v/>
      </c>
      <c r="D171" s="518">
        <f>SUM(D166:D170)</f>
        <v/>
      </c>
      <c r="E171" s="518">
        <f>SUM(E166:E170)</f>
        <v/>
      </c>
      <c r="F171" s="518">
        <f>SUM(F166:F170)</f>
        <v/>
      </c>
      <c r="G171" s="518">
        <f>SUM(G166:G170)</f>
        <v/>
      </c>
      <c r="H171" s="518">
        <f>SUM(H166:H170)</f>
        <v/>
      </c>
      <c r="I171" s="518">
        <f>SUM(I166:I170)</f>
        <v/>
      </c>
      <c r="J171" s="518">
        <f>SUM(J166:J170)</f>
        <v/>
      </c>
      <c r="K171" s="518">
        <f>SUM(K166:K170)</f>
        <v/>
      </c>
      <c r="L171" s="518">
        <f>SUM(L166:L170)</f>
        <v/>
      </c>
      <c r="M171" s="518">
        <f>SUM(M166:M170)</f>
        <v/>
      </c>
      <c r="N171" s="518">
        <f>SUM(N166:N170)</f>
        <v/>
      </c>
      <c r="O171" s="1366" t="n"/>
      <c r="P171" s="1349" t="n"/>
      <c r="Q171" s="1349" t="n"/>
      <c r="R171" s="1349" t="n"/>
      <c r="S171" s="1351" t="n"/>
    </row>
    <row r="172" ht="21" customHeight="1">
      <c r="A172" s="1349" t="n"/>
      <c r="B172" s="1369" t="inlineStr">
        <is>
          <t>Moyenne mensuelle</t>
        </is>
      </c>
      <c r="C172" s="522">
        <f>C171/5</f>
        <v/>
      </c>
      <c r="D172" s="522">
        <f>D171/5</f>
        <v/>
      </c>
      <c r="E172" s="522">
        <f>E171/5</f>
        <v/>
      </c>
      <c r="F172" s="522">
        <f>F171/5</f>
        <v/>
      </c>
      <c r="G172" s="522">
        <f>G171/5</f>
        <v/>
      </c>
      <c r="H172" s="522">
        <f>H171/5</f>
        <v/>
      </c>
      <c r="I172" s="522">
        <f>I171/5</f>
        <v/>
      </c>
      <c r="J172" s="522">
        <f>J171/5</f>
        <v/>
      </c>
      <c r="K172" s="522">
        <f>K171/5</f>
        <v/>
      </c>
      <c r="L172" s="522">
        <f>L171/5</f>
        <v/>
      </c>
      <c r="M172" s="522">
        <f>M171/5</f>
        <v/>
      </c>
      <c r="N172" s="522">
        <f>N171/5</f>
        <v/>
      </c>
      <c r="O172" s="522">
        <f>AVERAGE(C172:N172)</f>
        <v/>
      </c>
      <c r="P172" s="1370" t="inlineStr">
        <is>
          <t>Moyenne des moyennes</t>
        </is>
      </c>
      <c r="Q172" s="1349" t="n"/>
      <c r="R172" s="1349" t="n"/>
      <c r="S172" s="1351" t="n"/>
    </row>
    <row r="173" ht="13" customHeight="1">
      <c r="A173" s="1349" t="n"/>
      <c r="B173" s="1371" t="inlineStr">
        <is>
          <t>Coef.</t>
        </is>
      </c>
      <c r="C173" s="1372">
        <f>C172/$O$172</f>
        <v/>
      </c>
      <c r="D173" s="1372">
        <f>D172/$O$172</f>
        <v/>
      </c>
      <c r="E173" s="1372">
        <f>E172/$O$172</f>
        <v/>
      </c>
      <c r="F173" s="1372">
        <f>F172/$O$172</f>
        <v/>
      </c>
      <c r="G173" s="1372">
        <f>G172/$O$172</f>
        <v/>
      </c>
      <c r="H173" s="1372">
        <f>H172/$O$172</f>
        <v/>
      </c>
      <c r="I173" s="1372">
        <f>I172/$O$172</f>
        <v/>
      </c>
      <c r="J173" s="1372">
        <f>J172/$O$172</f>
        <v/>
      </c>
      <c r="K173" s="1372">
        <f>K172/$O$172</f>
        <v/>
      </c>
      <c r="L173" s="1372">
        <f>L172/$O$172</f>
        <v/>
      </c>
      <c r="M173" s="1372">
        <f>M172/$O$172</f>
        <v/>
      </c>
      <c r="N173" s="1372">
        <f>N172/$O$172</f>
        <v/>
      </c>
      <c r="O173" s="526">
        <f>AVERAGE(C173:N173)</f>
        <v/>
      </c>
      <c r="P173" s="1349" t="n"/>
      <c r="Q173" s="1349" t="n"/>
      <c r="R173" s="1349" t="n"/>
      <c r="S173" s="1351" t="n"/>
    </row>
    <row r="174" ht="13" customHeight="1">
      <c r="A174" s="1349" t="n"/>
      <c r="B174" s="1373" t="inlineStr">
        <is>
          <t>Prév. 2024</t>
        </is>
      </c>
      <c r="C174" s="528">
        <f>C173*$O$174</f>
        <v/>
      </c>
      <c r="D174" s="528">
        <f>D173*$O$174</f>
        <v/>
      </c>
      <c r="E174" s="528">
        <f>E173*$O$174</f>
        <v/>
      </c>
      <c r="F174" s="528">
        <f>F173*$O$174</f>
        <v/>
      </c>
      <c r="G174" s="528">
        <f>G173*$O$174</f>
        <v/>
      </c>
      <c r="H174" s="528">
        <f>H173*$O$174</f>
        <v/>
      </c>
      <c r="I174" s="528">
        <f>I173*$O$174</f>
        <v/>
      </c>
      <c r="J174" s="528">
        <f>J173*$O$174</f>
        <v/>
      </c>
      <c r="K174" s="528">
        <f>K173*$O$174</f>
        <v/>
      </c>
      <c r="L174" s="528">
        <f>L173*$O$174</f>
        <v/>
      </c>
      <c r="M174" s="528">
        <f>M173*$O$174</f>
        <v/>
      </c>
      <c r="N174" s="528">
        <f>N173*$O$174</f>
        <v/>
      </c>
      <c r="O174" s="531">
        <f>J164/12</f>
        <v/>
      </c>
      <c r="P174" s="1377" t="n"/>
      <c r="Q174" s="1349" t="n"/>
      <c r="R174" s="1349" t="n"/>
      <c r="S174" s="1351" t="n"/>
    </row>
    <row r="175">
      <c r="A175" s="1349" t="n"/>
      <c r="B175" s="1349" t="n"/>
      <c r="C175" s="1351" t="n"/>
      <c r="D175" s="1351" t="n"/>
      <c r="E175" s="1351" t="n"/>
      <c r="F175" s="1351" t="n"/>
      <c r="G175" s="1351" t="n"/>
      <c r="H175" s="1351" t="n"/>
      <c r="I175" s="1351" t="n"/>
      <c r="J175" s="1351" t="n"/>
      <c r="K175" s="1351" t="n"/>
      <c r="L175" s="1351" t="n"/>
      <c r="M175" s="1351" t="n"/>
      <c r="N175" s="1351" t="n"/>
      <c r="O175" s="1349" t="n"/>
      <c r="P175" s="1349" t="n"/>
      <c r="Q175" s="1349" t="n"/>
      <c r="R175" s="1349" t="n"/>
      <c r="S175" s="1351" t="n"/>
    </row>
    <row r="176">
      <c r="A176" s="1349" t="n"/>
      <c r="B176" s="1349" t="n"/>
      <c r="C176" s="1351" t="n"/>
      <c r="D176" s="1351" t="n"/>
      <c r="E176" s="1351" t="n"/>
      <c r="F176" s="1351" t="n"/>
      <c r="G176" s="1351" t="n"/>
      <c r="H176" s="1351" t="n"/>
      <c r="I176" s="1351" t="n"/>
      <c r="J176" s="1351" t="n"/>
      <c r="K176" s="1351" t="n"/>
      <c r="L176" s="1351" t="n"/>
      <c r="M176" s="1351" t="n"/>
      <c r="N176" s="1351" t="n"/>
      <c r="O176" s="1349" t="n"/>
      <c r="P176" s="1349" t="n"/>
      <c r="Q176" s="1349" t="n"/>
      <c r="R176" s="1349" t="n"/>
      <c r="S176" s="1351" t="n"/>
    </row>
    <row r="177">
      <c r="A177" s="1349" t="n"/>
      <c r="B177" s="1349" t="n"/>
      <c r="C177" s="1351" t="n"/>
      <c r="D177" s="1351" t="n"/>
      <c r="E177" s="1351" t="n"/>
      <c r="F177" s="1351" t="n"/>
      <c r="G177" s="1351" t="n"/>
      <c r="H177" s="1351" t="n"/>
      <c r="I177" s="1351" t="n"/>
      <c r="J177" s="1351" t="n"/>
      <c r="K177" s="1351" t="n"/>
      <c r="L177" s="1351" t="n"/>
      <c r="M177" s="1351" t="n"/>
      <c r="N177" s="1351" t="n"/>
      <c r="O177" s="1349" t="n"/>
      <c r="P177" s="1349" t="n"/>
      <c r="Q177" s="1349" t="n"/>
      <c r="R177" s="1349" t="n"/>
      <c r="S177" s="1351" t="n"/>
    </row>
    <row r="178">
      <c r="A178" s="1349" t="n"/>
      <c r="B178" s="1349" t="n"/>
      <c r="C178" s="1351" t="n"/>
      <c r="D178" s="1351" t="n"/>
      <c r="E178" s="1351" t="n"/>
      <c r="F178" s="1351" t="n"/>
      <c r="G178" s="1351" t="n"/>
      <c r="H178" s="1351" t="n"/>
      <c r="I178" s="1351" t="n"/>
      <c r="J178" s="1351" t="n"/>
      <c r="K178" s="1351" t="n"/>
      <c r="L178" s="1351" t="n"/>
      <c r="M178" s="1351" t="n"/>
      <c r="N178" s="1351" t="n"/>
      <c r="O178" s="1349" t="n"/>
      <c r="P178" s="1349" t="n"/>
      <c r="Q178" s="1349" t="n"/>
      <c r="R178" s="1349" t="n"/>
      <c r="S178" s="1351" t="n"/>
    </row>
    <row r="179">
      <c r="A179" s="1349" t="n"/>
      <c r="B179" s="1349" t="n"/>
      <c r="C179" s="1351" t="n"/>
      <c r="D179" s="1351" t="n"/>
      <c r="E179" s="1351" t="n"/>
      <c r="F179" s="1351" t="n"/>
      <c r="G179" s="1351" t="n"/>
      <c r="H179" s="1351" t="n"/>
      <c r="I179" s="1351" t="n"/>
      <c r="J179" s="1351" t="n"/>
      <c r="K179" s="1351" t="n"/>
      <c r="L179" s="1351" t="n"/>
      <c r="M179" s="1351" t="n"/>
      <c r="N179" s="1351" t="n"/>
      <c r="O179" s="1349" t="n"/>
      <c r="P179" s="1349" t="n"/>
      <c r="Q179" s="1349" t="n"/>
      <c r="R179" s="1349" t="n"/>
      <c r="S179" s="1351" t="n"/>
    </row>
    <row r="180">
      <c r="A180" s="1349" t="n"/>
      <c r="B180" s="1349" t="n"/>
      <c r="C180" s="1351" t="n"/>
      <c r="D180" s="1351" t="n"/>
      <c r="E180" s="1351" t="n"/>
      <c r="F180" s="1351" t="n"/>
      <c r="G180" s="1351" t="n"/>
      <c r="H180" s="1351" t="n"/>
      <c r="I180" s="1351" t="n"/>
      <c r="J180" s="1351" t="n"/>
      <c r="K180" s="1351" t="n"/>
      <c r="L180" s="1351" t="n"/>
      <c r="M180" s="1351" t="n"/>
      <c r="N180" s="1351" t="n"/>
      <c r="O180" s="1349" t="n"/>
      <c r="P180" s="1349" t="n"/>
      <c r="Q180" s="1349" t="n"/>
      <c r="R180" s="1349" t="n"/>
      <c r="S180" s="1351" t="n"/>
    </row>
    <row r="181">
      <c r="A181" s="1349" t="n"/>
      <c r="B181" s="1349" t="n"/>
      <c r="C181" s="1351" t="n"/>
      <c r="D181" s="1351" t="n"/>
      <c r="E181" s="1351" t="n"/>
      <c r="F181" s="1351" t="n"/>
      <c r="G181" s="1351" t="n"/>
      <c r="H181" s="1351" t="n"/>
      <c r="I181" s="1351" t="n"/>
      <c r="J181" s="1351" t="n"/>
      <c r="K181" s="1351" t="n"/>
      <c r="L181" s="1351" t="n"/>
      <c r="M181" s="1351" t="n"/>
      <c r="N181" s="1351" t="n"/>
      <c r="O181" s="1349" t="n"/>
      <c r="P181" s="1349" t="n"/>
      <c r="Q181" s="1349" t="n"/>
      <c r="R181" s="1349" t="n"/>
      <c r="S181" s="1351" t="n"/>
    </row>
    <row r="182">
      <c r="A182" s="1349" t="n"/>
      <c r="B182" s="1349" t="n"/>
      <c r="C182" s="1351" t="n"/>
      <c r="D182" s="1351" t="n"/>
      <c r="E182" s="1351" t="n"/>
      <c r="F182" s="1351" t="n"/>
      <c r="G182" s="1351" t="n"/>
      <c r="H182" s="1351" t="n"/>
      <c r="I182" s="1351" t="n"/>
      <c r="J182" s="1351" t="n"/>
      <c r="K182" s="1351" t="n"/>
      <c r="L182" s="1351" t="n"/>
      <c r="M182" s="1351" t="n"/>
      <c r="N182" s="1351" t="n"/>
      <c r="O182" s="1349" t="n"/>
      <c r="P182" s="1349" t="n"/>
      <c r="Q182" s="1349" t="n"/>
      <c r="R182" s="1349" t="n"/>
      <c r="S182" s="1351" t="n"/>
    </row>
    <row r="183">
      <c r="A183" s="1349" t="n"/>
      <c r="B183" s="1349" t="n"/>
      <c r="C183" s="1351" t="n"/>
      <c r="D183" s="1351" t="n"/>
      <c r="E183" s="1351" t="n"/>
      <c r="F183" s="1351" t="n"/>
      <c r="G183" s="1351" t="n"/>
      <c r="H183" s="1351" t="n"/>
      <c r="I183" s="1351" t="n"/>
      <c r="J183" s="1351" t="n"/>
      <c r="K183" s="1351" t="n"/>
      <c r="L183" s="1351" t="n"/>
      <c r="M183" s="1351" t="n"/>
      <c r="N183" s="1351" t="n"/>
      <c r="O183" s="1349" t="n"/>
      <c r="P183" s="1349" t="n"/>
      <c r="Q183" s="1349" t="n"/>
      <c r="R183" s="1349" t="n"/>
      <c r="S183" s="1351" t="n"/>
    </row>
    <row r="184" ht="15.5" customFormat="1" customHeight="1" s="1348">
      <c r="A184" s="1349" t="n"/>
      <c r="B184" s="1355" t="inlineStr">
        <is>
          <t>X-/ Trafic de conteneurs transbordés (en TEU)</t>
        </is>
      </c>
      <c r="C184" s="1356" t="n"/>
      <c r="D184" s="1356" t="n"/>
      <c r="E184" s="1356" t="n"/>
      <c r="F184" s="1375" t="inlineStr">
        <is>
          <t>Objectif annuel DG</t>
        </is>
      </c>
      <c r="G184" s="1356" t="n"/>
      <c r="H184" s="1356" t="n"/>
      <c r="I184" s="1374" t="n"/>
      <c r="J184" s="1358" t="n">
        <v>585000</v>
      </c>
      <c r="K184" s="1374" t="n"/>
      <c r="L184" s="1374" t="n"/>
      <c r="M184" s="1374" t="n"/>
      <c r="N184" s="1374" t="n"/>
      <c r="O184" s="1376" t="n"/>
      <c r="P184" s="1349" t="n"/>
      <c r="Q184" s="1349" t="n"/>
      <c r="R184" s="1349" t="n"/>
      <c r="S184" s="1351" t="n"/>
    </row>
    <row r="185" ht="26" customFormat="1" customHeight="1" s="1348">
      <c r="A185" s="1349" t="n"/>
      <c r="B185" s="1359" t="inlineStr">
        <is>
          <t>Années</t>
        </is>
      </c>
      <c r="C185" s="1360" t="inlineStr">
        <is>
          <t>Janvier</t>
        </is>
      </c>
      <c r="D185" s="1360" t="inlineStr">
        <is>
          <t>Février</t>
        </is>
      </c>
      <c r="E185" s="1360" t="inlineStr">
        <is>
          <t>Mars</t>
        </is>
      </c>
      <c r="F185" s="1360" t="inlineStr">
        <is>
          <t>Avril</t>
        </is>
      </c>
      <c r="G185" s="1360" t="inlineStr">
        <is>
          <t>Mai</t>
        </is>
      </c>
      <c r="H185" s="1361" t="inlineStr">
        <is>
          <t>Juin</t>
        </is>
      </c>
      <c r="I185" s="1360" t="inlineStr">
        <is>
          <t>Juillet</t>
        </is>
      </c>
      <c r="J185" s="1360" t="inlineStr">
        <is>
          <t>Août</t>
        </is>
      </c>
      <c r="K185" s="1360" t="inlineStr">
        <is>
          <t>Septembre</t>
        </is>
      </c>
      <c r="L185" s="1360" t="inlineStr">
        <is>
          <t>Octobre</t>
        </is>
      </c>
      <c r="M185" s="1360" t="inlineStr">
        <is>
          <t>Novembre</t>
        </is>
      </c>
      <c r="N185" s="1360" t="inlineStr">
        <is>
          <t>Décembre</t>
        </is>
      </c>
      <c r="O185" s="1362" t="inlineStr">
        <is>
          <t>Moyenne Annuelle</t>
        </is>
      </c>
      <c r="P185" s="1349" t="n"/>
      <c r="Q185" s="1349" t="n"/>
      <c r="R185" s="1349" t="n"/>
      <c r="S185" s="1351" t="n"/>
    </row>
    <row r="186" ht="13" customFormat="1" customHeight="1" s="1348">
      <c r="A186" s="1349" t="n"/>
      <c r="B186" s="1363" t="n">
        <v>2021</v>
      </c>
      <c r="C186" s="1364" t="n">
        <v>1383</v>
      </c>
      <c r="D186" s="1364" t="n">
        <v>866</v>
      </c>
      <c r="E186" s="1364" t="n">
        <v>1085</v>
      </c>
      <c r="F186" s="1364" t="n">
        <v>2381</v>
      </c>
      <c r="G186" s="1364" t="n">
        <v>1466</v>
      </c>
      <c r="H186" s="1364" t="n">
        <v>1195</v>
      </c>
      <c r="I186" s="1364" t="n">
        <v>1070</v>
      </c>
      <c r="J186" s="1364" t="n">
        <v>1442</v>
      </c>
      <c r="K186" s="1364" t="n">
        <v>1434</v>
      </c>
      <c r="L186" s="1364" t="n">
        <v>1801</v>
      </c>
      <c r="M186" s="1364" t="n">
        <v>1516</v>
      </c>
      <c r="N186" s="1364" t="n">
        <v>1252</v>
      </c>
      <c r="O186" s="515">
        <f>AVERAGE(C186:N186)</f>
        <v/>
      </c>
      <c r="P186" s="1349" t="n"/>
      <c r="Q186" s="1349" t="n"/>
      <c r="R186" s="1349" t="n"/>
      <c r="S186" s="1351" t="n"/>
    </row>
    <row r="187" ht="13" customFormat="1" customHeight="1" s="1348">
      <c r="A187" s="1349" t="n"/>
      <c r="B187" s="1363" t="n">
        <v>2022</v>
      </c>
      <c r="C187" s="1364" t="n">
        <v>1448</v>
      </c>
      <c r="D187" s="1364" t="n">
        <v>1063</v>
      </c>
      <c r="E187" s="1364" t="n">
        <v>1027</v>
      </c>
      <c r="F187" s="1364" t="n">
        <v>1421</v>
      </c>
      <c r="G187" s="1364" t="n">
        <v>1384</v>
      </c>
      <c r="H187" s="1364" t="n">
        <v>945</v>
      </c>
      <c r="I187" s="1364" t="n">
        <v>1761</v>
      </c>
      <c r="J187" s="1364" t="n">
        <v>683</v>
      </c>
      <c r="K187" s="1364" t="n">
        <v>1017</v>
      </c>
      <c r="L187" s="1364" t="n">
        <v>1106</v>
      </c>
      <c r="M187" s="1364" t="n">
        <v>1095</v>
      </c>
      <c r="N187" s="1364" t="n">
        <v>1153</v>
      </c>
      <c r="O187" s="515">
        <f>AVERAGE(C187:N187)</f>
        <v/>
      </c>
      <c r="P187" s="1349" t="n"/>
      <c r="Q187" s="1349" t="n"/>
      <c r="R187" s="1349" t="n"/>
      <c r="S187" s="1351" t="n"/>
    </row>
    <row r="188" ht="13" customHeight="1">
      <c r="A188" s="1349" t="n"/>
      <c r="B188" s="1363" t="n">
        <v>2023</v>
      </c>
      <c r="C188" s="1364" t="n">
        <v>7711</v>
      </c>
      <c r="D188" s="1364" t="n">
        <v>4475</v>
      </c>
      <c r="E188" s="1364" t="n">
        <v>3415</v>
      </c>
      <c r="F188" s="1364" t="n">
        <v>6086</v>
      </c>
      <c r="G188" s="1364" t="n">
        <v>14868</v>
      </c>
      <c r="H188" s="1364" t="n">
        <v>18936</v>
      </c>
      <c r="I188" s="1364" t="n">
        <v>31005</v>
      </c>
      <c r="J188" s="1364" t="n">
        <v>35491</v>
      </c>
      <c r="K188" s="1364" t="n">
        <v>32334</v>
      </c>
      <c r="L188" s="1364" t="n">
        <v>34364</v>
      </c>
      <c r="M188" s="1364" t="n">
        <v>28910</v>
      </c>
      <c r="N188" s="1364" t="n">
        <v>28943</v>
      </c>
      <c r="O188" s="515">
        <f>AVERAGE(C188:N188)</f>
        <v/>
      </c>
      <c r="P188" s="1349" t="n"/>
      <c r="Q188" s="1349" t="n"/>
      <c r="R188" s="1349" t="n"/>
      <c r="S188" s="1351" t="n"/>
    </row>
    <row r="189" ht="13" customHeight="1">
      <c r="A189" s="1349" t="n"/>
      <c r="B189" s="1363" t="n">
        <v>2024</v>
      </c>
      <c r="C189" s="1364" t="n">
        <v>28208</v>
      </c>
      <c r="D189" s="1364" t="n">
        <v>38599</v>
      </c>
      <c r="E189" s="1364" t="n">
        <v>36627</v>
      </c>
      <c r="F189" s="1364" t="n">
        <v>46609</v>
      </c>
      <c r="G189" s="1364" t="n">
        <v>47833</v>
      </c>
      <c r="H189" s="1364" t="n">
        <v>42907</v>
      </c>
      <c r="I189" s="1364" t="n">
        <v>42769</v>
      </c>
      <c r="J189" s="1364" t="n">
        <v>50888</v>
      </c>
      <c r="K189" s="1364" t="n">
        <v>46733</v>
      </c>
      <c r="L189" s="1364" t="n">
        <v>49846</v>
      </c>
      <c r="M189" s="1364" t="n">
        <v>49263</v>
      </c>
      <c r="N189" s="1364" t="n">
        <v>52188</v>
      </c>
      <c r="O189" s="515">
        <f>AVERAGE(C189:N189)</f>
        <v/>
      </c>
      <c r="P189" s="1349" t="n"/>
      <c r="Q189" s="1349" t="n"/>
      <c r="R189" s="1349" t="n"/>
      <c r="S189" s="1351" t="n"/>
    </row>
    <row r="190" ht="13" customHeight="1">
      <c r="A190" s="1349" t="n"/>
      <c r="B190" s="1365" t="n">
        <v>2025</v>
      </c>
      <c r="C190" s="1364" t="n">
        <v>51450</v>
      </c>
      <c r="D190" s="1364" t="n">
        <v>53158</v>
      </c>
      <c r="E190" s="1364" t="n">
        <v>52393</v>
      </c>
      <c r="F190" s="1364" t="n">
        <v>41671</v>
      </c>
      <c r="G190" s="1364" t="n">
        <v>52673</v>
      </c>
      <c r="H190" s="1364" t="n">
        <v>40859</v>
      </c>
      <c r="I190" s="1364" t="n">
        <v>43756</v>
      </c>
      <c r="J190" s="1364" t="n">
        <v>41617</v>
      </c>
      <c r="K190" s="1364" t="n">
        <v>32269</v>
      </c>
      <c r="L190" s="1364" t="n">
        <v>28490</v>
      </c>
      <c r="M190" s="1364" t="n">
        <v>36208</v>
      </c>
      <c r="N190" s="1364" t="n">
        <v>47561</v>
      </c>
      <c r="O190" s="517">
        <f>AVERAGE(C190:N190)</f>
        <v/>
      </c>
      <c r="P190" s="1349" t="n"/>
      <c r="Q190" s="1349" t="n"/>
      <c r="R190" s="1349" t="n"/>
      <c r="S190" s="1351" t="n"/>
    </row>
    <row r="191" ht="13" customHeight="1">
      <c r="A191" s="1349" t="n"/>
      <c r="B191" s="1359" t="inlineStr">
        <is>
          <t>Total</t>
        </is>
      </c>
      <c r="C191" s="518">
        <f>SUM(C186:C190)</f>
        <v/>
      </c>
      <c r="D191" s="518">
        <f>SUM(D186:D190)</f>
        <v/>
      </c>
      <c r="E191" s="518">
        <f>SUM(E186:E190)</f>
        <v/>
      </c>
      <c r="F191" s="518">
        <f>SUM(F186:F190)</f>
        <v/>
      </c>
      <c r="G191" s="518">
        <f>SUM(G186:G190)</f>
        <v/>
      </c>
      <c r="H191" s="518">
        <f>SUM(H186:H190)</f>
        <v/>
      </c>
      <c r="I191" s="518">
        <f>SUM(I186:I190)</f>
        <v/>
      </c>
      <c r="J191" s="518">
        <f>SUM(J186:J190)</f>
        <v/>
      </c>
      <c r="K191" s="518">
        <f>SUM(K186:K190)</f>
        <v/>
      </c>
      <c r="L191" s="518">
        <f>SUM(L186:L190)</f>
        <v/>
      </c>
      <c r="M191" s="518">
        <f>SUM(M186:M190)</f>
        <v/>
      </c>
      <c r="N191" s="518">
        <f>SUM(N186:N190)</f>
        <v/>
      </c>
      <c r="O191" s="1366" t="n"/>
      <c r="P191" s="1349" t="n"/>
      <c r="Q191" s="1349" t="n"/>
      <c r="R191" s="1349" t="n"/>
      <c r="S191" s="1351" t="n"/>
    </row>
    <row r="192" ht="21" customHeight="1">
      <c r="A192" s="1349" t="n"/>
      <c r="B192" s="1369" t="inlineStr">
        <is>
          <t>Moyenne mensuelle</t>
        </is>
      </c>
      <c r="C192" s="522">
        <f>C191/5</f>
        <v/>
      </c>
      <c r="D192" s="522">
        <f>D191/5</f>
        <v/>
      </c>
      <c r="E192" s="522">
        <f>E191/5</f>
        <v/>
      </c>
      <c r="F192" s="522">
        <f>F191/5</f>
        <v/>
      </c>
      <c r="G192" s="522">
        <f>G191/5</f>
        <v/>
      </c>
      <c r="H192" s="522">
        <f>H191/5</f>
        <v/>
      </c>
      <c r="I192" s="522">
        <f>I191/5</f>
        <v/>
      </c>
      <c r="J192" s="522">
        <f>J191/5</f>
        <v/>
      </c>
      <c r="K192" s="522">
        <f>K191/5</f>
        <v/>
      </c>
      <c r="L192" s="522">
        <f>L191/5</f>
        <v/>
      </c>
      <c r="M192" s="522">
        <f>M191/5</f>
        <v/>
      </c>
      <c r="N192" s="522">
        <f>N191/5</f>
        <v/>
      </c>
      <c r="O192" s="522">
        <f>AVERAGE(C192:N192)</f>
        <v/>
      </c>
      <c r="P192" s="1370" t="inlineStr">
        <is>
          <t>Moyenne des moyennes</t>
        </is>
      </c>
      <c r="Q192" s="1349" t="n"/>
      <c r="R192" s="1349" t="n"/>
      <c r="S192" s="1351" t="n"/>
    </row>
    <row r="193" ht="13" customHeight="1">
      <c r="A193" s="1349" t="n"/>
      <c r="B193" s="1371" t="inlineStr">
        <is>
          <t>Coef.</t>
        </is>
      </c>
      <c r="C193" s="1372">
        <f>C192/$O$192</f>
        <v/>
      </c>
      <c r="D193" s="1372">
        <f>D192/$O$192</f>
        <v/>
      </c>
      <c r="E193" s="1372">
        <f>E192/$O$192</f>
        <v/>
      </c>
      <c r="F193" s="1372">
        <f>F192/$O$192</f>
        <v/>
      </c>
      <c r="G193" s="1372">
        <f>G192/$O$192</f>
        <v/>
      </c>
      <c r="H193" s="1372">
        <f>H192/$O$192</f>
        <v/>
      </c>
      <c r="I193" s="1372">
        <f>I192/$O$192</f>
        <v/>
      </c>
      <c r="J193" s="1372">
        <f>J192/$O$192</f>
        <v/>
      </c>
      <c r="K193" s="1372">
        <f>K192/$O$192</f>
        <v/>
      </c>
      <c r="L193" s="1372">
        <f>L192/$O$192</f>
        <v/>
      </c>
      <c r="M193" s="1372">
        <f>M192/$O$192</f>
        <v/>
      </c>
      <c r="N193" s="1372">
        <f>N192/$O$192</f>
        <v/>
      </c>
      <c r="O193" s="526">
        <f>AVERAGE(C193:N193)</f>
        <v/>
      </c>
      <c r="P193" s="1349" t="n"/>
      <c r="Q193" s="1349" t="n"/>
      <c r="R193" s="1349" t="n"/>
      <c r="S193" s="1351" t="n"/>
    </row>
    <row r="194" ht="13" customHeight="1">
      <c r="A194" s="1349" t="n"/>
      <c r="B194" s="1373" t="inlineStr">
        <is>
          <t>Prév. 2024</t>
        </is>
      </c>
      <c r="C194" s="528">
        <f>C193*$O$194</f>
        <v/>
      </c>
      <c r="D194" s="528">
        <f>D193*$O$194</f>
        <v/>
      </c>
      <c r="E194" s="528">
        <f>E193*$O$194</f>
        <v/>
      </c>
      <c r="F194" s="528">
        <f>F193*$O$194</f>
        <v/>
      </c>
      <c r="G194" s="528">
        <f>G193*$O$194</f>
        <v/>
      </c>
      <c r="H194" s="528">
        <f>H193*$O$194</f>
        <v/>
      </c>
      <c r="I194" s="528">
        <f>I193*$O$194</f>
        <v/>
      </c>
      <c r="J194" s="528">
        <f>J193*$O$194</f>
        <v/>
      </c>
      <c r="K194" s="528">
        <f>K193*$O$194</f>
        <v/>
      </c>
      <c r="L194" s="528">
        <f>L193*$O$194</f>
        <v/>
      </c>
      <c r="M194" s="528">
        <f>M193*$O$194</f>
        <v/>
      </c>
      <c r="N194" s="528">
        <f>N193*$O$194</f>
        <v/>
      </c>
      <c r="O194" s="531">
        <f>J184/12</f>
        <v/>
      </c>
      <c r="P194" s="1377" t="n"/>
      <c r="Q194" s="1349" t="n"/>
      <c r="R194" s="1349" t="n"/>
      <c r="S194" s="1351" t="n"/>
    </row>
    <row r="216" hidden="1" ht="12.65" customHeight="1"/>
    <row r="217" hidden="1" ht="12.65" customHeight="1"/>
    <row r="218" hidden="1" ht="12.65" customHeight="1"/>
    <row r="222" hidden="1" ht="12.65" customHeight="1"/>
    <row r="223" hidden="1" ht="12.65" customHeight="1"/>
    <row r="224" hidden="1" ht="12.65" customHeight="1"/>
    <row r="225" ht="13" customHeight="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9">
    <mergeCell ref="F104:H104"/>
    <mergeCell ref="B64:E64"/>
    <mergeCell ref="B124:E124"/>
    <mergeCell ref="B44:D44"/>
    <mergeCell ref="F144:H144"/>
    <mergeCell ref="B4:E4"/>
    <mergeCell ref="B2:O2"/>
    <mergeCell ref="F184:H184"/>
    <mergeCell ref="B24:D24"/>
    <mergeCell ref="B104:D104"/>
    <mergeCell ref="B184:E184"/>
    <mergeCell ref="F4:H4"/>
    <mergeCell ref="F64:H64"/>
    <mergeCell ref="F44:H44"/>
    <mergeCell ref="B144:D144"/>
    <mergeCell ref="F124:H124"/>
    <mergeCell ref="F84:H84"/>
    <mergeCell ref="F24:H24"/>
    <mergeCell ref="F164:H164"/>
  </mergeCells>
  <printOptions horizontalCentered="1" verticalCentered="1"/>
  <pageMargins left="0.2362204724409449" right="0.1574803149606299" top="0.17" bottom="0.1968503937007874" header="0.17" footer="0.1574803149606299"/>
  <pageSetup orientation="landscape" paperSize="9" scale="8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48"/>
  <sheetViews>
    <sheetView zoomScale="70" zoomScaleNormal="70" workbookViewId="0">
      <selection activeCell="E11" sqref="E11"/>
    </sheetView>
  </sheetViews>
  <sheetFormatPr baseColWidth="10" defaultRowHeight="15.5"/>
  <cols>
    <col width="32.81640625" customWidth="1" style="325" min="1" max="1"/>
    <col width="39.26953125" customWidth="1" style="8" min="2" max="2"/>
    <col width="13.26953125" customWidth="1" style="106" min="3" max="6"/>
    <col width="13.26953125" customWidth="1" style="1388" min="7" max="7"/>
    <col width="11.7265625" bestFit="1" customWidth="1" style="325" min="8" max="8"/>
    <col width="11.453125" bestFit="1" customWidth="1" style="325" min="9" max="16"/>
    <col width="11.453125" customWidth="1" style="325" min="17" max="235"/>
    <col width="18.7265625" customWidth="1" style="325" min="236" max="236"/>
    <col width="28.453125" customWidth="1" style="325" min="237" max="237"/>
    <col width="11.453125" bestFit="1" customWidth="1" style="325" min="238" max="238"/>
    <col width="10.453125" customWidth="1" style="325" min="239" max="239"/>
    <col width="10.7265625" customWidth="1" style="325" min="240" max="240"/>
    <col width="11.453125" customWidth="1" style="325" min="241" max="241"/>
    <col width="12" customWidth="1" style="325" min="242" max="242"/>
    <col width="11.453125" bestFit="1" customWidth="1" style="325" min="243" max="244"/>
    <col width="11.453125" customWidth="1" style="325" min="245" max="245"/>
    <col width="11" customWidth="1" style="325" min="246" max="246"/>
    <col width="12.1796875" customWidth="1" style="325" min="247" max="247"/>
    <col width="11.453125" customWidth="1" style="325" min="248" max="491"/>
    <col width="18.7265625" customWidth="1" style="325" min="492" max="492"/>
    <col width="28.453125" customWidth="1" style="325" min="493" max="493"/>
    <col width="11.453125" bestFit="1" customWidth="1" style="325" min="494" max="494"/>
    <col width="10.453125" customWidth="1" style="325" min="495" max="495"/>
    <col width="10.7265625" customWidth="1" style="325" min="496" max="496"/>
    <col width="11.453125" customWidth="1" style="325" min="497" max="497"/>
    <col width="12" customWidth="1" style="325" min="498" max="498"/>
    <col width="11.453125" bestFit="1" customWidth="1" style="325" min="499" max="500"/>
    <col width="11.453125" customWidth="1" style="325" min="501" max="501"/>
    <col width="11" customWidth="1" style="325" min="502" max="502"/>
    <col width="12.1796875" customWidth="1" style="325" min="503" max="503"/>
    <col width="11.453125" customWidth="1" style="325" min="504" max="747"/>
    <col width="18.7265625" customWidth="1" style="325" min="748" max="748"/>
    <col width="28.453125" customWidth="1" style="325" min="749" max="749"/>
    <col width="11.453125" bestFit="1" customWidth="1" style="325" min="750" max="750"/>
    <col width="10.453125" customWidth="1" style="325" min="751" max="751"/>
    <col width="10.7265625" customWidth="1" style="325" min="752" max="752"/>
    <col width="11.453125" customWidth="1" style="325" min="753" max="753"/>
    <col width="12" customWidth="1" style="325" min="754" max="754"/>
    <col width="11.453125" bestFit="1" customWidth="1" style="325" min="755" max="756"/>
    <col width="11.453125" customWidth="1" style="325" min="757" max="757"/>
    <col width="11" customWidth="1" style="325" min="758" max="758"/>
    <col width="12.1796875" customWidth="1" style="325" min="759" max="759"/>
    <col width="11.453125" customWidth="1" style="325" min="760" max="1003"/>
    <col width="18.7265625" customWidth="1" style="325" min="1004" max="1004"/>
    <col width="28.453125" customWidth="1" style="325" min="1005" max="1005"/>
    <col width="11.453125" bestFit="1" customWidth="1" style="325" min="1006" max="1006"/>
    <col width="10.453125" customWidth="1" style="325" min="1007" max="1007"/>
    <col width="10.7265625" customWidth="1" style="325" min="1008" max="1008"/>
    <col width="11.453125" customWidth="1" style="325" min="1009" max="1009"/>
    <col width="12" customWidth="1" style="325" min="1010" max="1010"/>
    <col width="11.453125" bestFit="1" customWidth="1" style="325" min="1011" max="1012"/>
    <col width="11.453125" customWidth="1" style="325" min="1013" max="1013"/>
    <col width="11" customWidth="1" style="325" min="1014" max="1014"/>
    <col width="12.1796875" customWidth="1" style="325" min="1015" max="1015"/>
    <col width="11.453125" customWidth="1" style="325" min="1016" max="1259"/>
    <col width="18.7265625" customWidth="1" style="325" min="1260" max="1260"/>
    <col width="28.453125" customWidth="1" style="325" min="1261" max="1261"/>
    <col width="11.453125" bestFit="1" customWidth="1" style="325" min="1262" max="1262"/>
    <col width="10.453125" customWidth="1" style="325" min="1263" max="1263"/>
    <col width="10.7265625" customWidth="1" style="325" min="1264" max="1264"/>
    <col width="11.453125" customWidth="1" style="325" min="1265" max="1265"/>
    <col width="12" customWidth="1" style="325" min="1266" max="1266"/>
    <col width="11.453125" bestFit="1" customWidth="1" style="325" min="1267" max="1268"/>
    <col width="11.453125" customWidth="1" style="325" min="1269" max="1269"/>
    <col width="11" customWidth="1" style="325" min="1270" max="1270"/>
    <col width="12.1796875" customWidth="1" style="325" min="1271" max="1271"/>
    <col width="11.453125" customWidth="1" style="325" min="1272" max="1515"/>
    <col width="18.7265625" customWidth="1" style="325" min="1516" max="1516"/>
    <col width="28.453125" customWidth="1" style="325" min="1517" max="1517"/>
    <col width="11.453125" bestFit="1" customWidth="1" style="325" min="1518" max="1518"/>
    <col width="10.453125" customWidth="1" style="325" min="1519" max="1519"/>
    <col width="10.7265625" customWidth="1" style="325" min="1520" max="1520"/>
    <col width="11.453125" customWidth="1" style="325" min="1521" max="1521"/>
    <col width="12" customWidth="1" style="325" min="1522" max="1522"/>
    <col width="11.453125" bestFit="1" customWidth="1" style="325" min="1523" max="1524"/>
    <col width="11.453125" customWidth="1" style="325" min="1525" max="1525"/>
    <col width="11" customWidth="1" style="325" min="1526" max="1526"/>
    <col width="12.1796875" customWidth="1" style="325" min="1527" max="1527"/>
    <col width="11.453125" customWidth="1" style="325" min="1528" max="1771"/>
    <col width="18.7265625" customWidth="1" style="325" min="1772" max="1772"/>
    <col width="28.453125" customWidth="1" style="325" min="1773" max="1773"/>
    <col width="11.453125" bestFit="1" customWidth="1" style="325" min="1774" max="1774"/>
    <col width="10.453125" customWidth="1" style="325" min="1775" max="1775"/>
    <col width="10.7265625" customWidth="1" style="325" min="1776" max="1776"/>
    <col width="11.453125" customWidth="1" style="325" min="1777" max="1777"/>
    <col width="12" customWidth="1" style="325" min="1778" max="1778"/>
    <col width="11.453125" bestFit="1" customWidth="1" style="325" min="1779" max="1780"/>
    <col width="11.453125" customWidth="1" style="325" min="1781" max="1781"/>
    <col width="11" customWidth="1" style="325" min="1782" max="1782"/>
    <col width="12.1796875" customWidth="1" style="325" min="1783" max="1783"/>
    <col width="11.453125" customWidth="1" style="325" min="1784" max="2027"/>
    <col width="18.7265625" customWidth="1" style="325" min="2028" max="2028"/>
    <col width="28.453125" customWidth="1" style="325" min="2029" max="2029"/>
    <col width="11.453125" bestFit="1" customWidth="1" style="325" min="2030" max="2030"/>
    <col width="10.453125" customWidth="1" style="325" min="2031" max="2031"/>
    <col width="10.7265625" customWidth="1" style="325" min="2032" max="2032"/>
    <col width="11.453125" customWidth="1" style="325" min="2033" max="2033"/>
    <col width="12" customWidth="1" style="325" min="2034" max="2034"/>
    <col width="11.453125" bestFit="1" customWidth="1" style="325" min="2035" max="2036"/>
    <col width="11.453125" customWidth="1" style="325" min="2037" max="2037"/>
    <col width="11" customWidth="1" style="325" min="2038" max="2038"/>
    <col width="12.1796875" customWidth="1" style="325" min="2039" max="2039"/>
    <col width="11.453125" customWidth="1" style="325" min="2040" max="2283"/>
    <col width="18.7265625" customWidth="1" style="325" min="2284" max="2284"/>
    <col width="28.453125" customWidth="1" style="325" min="2285" max="2285"/>
    <col width="11.453125" bestFit="1" customWidth="1" style="325" min="2286" max="2286"/>
    <col width="10.453125" customWidth="1" style="325" min="2287" max="2287"/>
    <col width="10.7265625" customWidth="1" style="325" min="2288" max="2288"/>
    <col width="11.453125" customWidth="1" style="325" min="2289" max="2289"/>
    <col width="12" customWidth="1" style="325" min="2290" max="2290"/>
    <col width="11.453125" bestFit="1" customWidth="1" style="325" min="2291" max="2292"/>
    <col width="11.453125" customWidth="1" style="325" min="2293" max="2293"/>
    <col width="11" customWidth="1" style="325" min="2294" max="2294"/>
    <col width="12.1796875" customWidth="1" style="325" min="2295" max="2295"/>
    <col width="11.453125" customWidth="1" style="325" min="2296" max="2539"/>
    <col width="18.7265625" customWidth="1" style="325" min="2540" max="2540"/>
    <col width="28.453125" customWidth="1" style="325" min="2541" max="2541"/>
    <col width="11.453125" bestFit="1" customWidth="1" style="325" min="2542" max="2542"/>
    <col width="10.453125" customWidth="1" style="325" min="2543" max="2543"/>
    <col width="10.7265625" customWidth="1" style="325" min="2544" max="2544"/>
    <col width="11.453125" customWidth="1" style="325" min="2545" max="2545"/>
    <col width="12" customWidth="1" style="325" min="2546" max="2546"/>
    <col width="11.453125" bestFit="1" customWidth="1" style="325" min="2547" max="2548"/>
    <col width="11.453125" customWidth="1" style="325" min="2549" max="2549"/>
    <col width="11" customWidth="1" style="325" min="2550" max="2550"/>
    <col width="12.1796875" customWidth="1" style="325" min="2551" max="2551"/>
    <col width="11.453125" customWidth="1" style="325" min="2552" max="2795"/>
    <col width="18.7265625" customWidth="1" style="325" min="2796" max="2796"/>
    <col width="28.453125" customWidth="1" style="325" min="2797" max="2797"/>
    <col width="11.453125" bestFit="1" customWidth="1" style="325" min="2798" max="2798"/>
    <col width="10.453125" customWidth="1" style="325" min="2799" max="2799"/>
    <col width="10.7265625" customWidth="1" style="325" min="2800" max="2800"/>
    <col width="11.453125" customWidth="1" style="325" min="2801" max="2801"/>
    <col width="12" customWidth="1" style="325" min="2802" max="2802"/>
    <col width="11.453125" bestFit="1" customWidth="1" style="325" min="2803" max="2804"/>
    <col width="11.453125" customWidth="1" style="325" min="2805" max="2805"/>
    <col width="11" customWidth="1" style="325" min="2806" max="2806"/>
    <col width="12.1796875" customWidth="1" style="325" min="2807" max="2807"/>
    <col width="11.453125" customWidth="1" style="325" min="2808" max="3051"/>
    <col width="18.7265625" customWidth="1" style="325" min="3052" max="3052"/>
    <col width="28.453125" customWidth="1" style="325" min="3053" max="3053"/>
    <col width="11.453125" bestFit="1" customWidth="1" style="325" min="3054" max="3054"/>
    <col width="10.453125" customWidth="1" style="325" min="3055" max="3055"/>
    <col width="10.7265625" customWidth="1" style="325" min="3056" max="3056"/>
    <col width="11.453125" customWidth="1" style="325" min="3057" max="3057"/>
    <col width="12" customWidth="1" style="325" min="3058" max="3058"/>
    <col width="11.453125" bestFit="1" customWidth="1" style="325" min="3059" max="3060"/>
    <col width="11.453125" customWidth="1" style="325" min="3061" max="3061"/>
    <col width="11" customWidth="1" style="325" min="3062" max="3062"/>
    <col width="12.1796875" customWidth="1" style="325" min="3063" max="3063"/>
    <col width="11.453125" customWidth="1" style="325" min="3064" max="3307"/>
    <col width="18.7265625" customWidth="1" style="325" min="3308" max="3308"/>
    <col width="28.453125" customWidth="1" style="325" min="3309" max="3309"/>
    <col width="11.453125" bestFit="1" customWidth="1" style="325" min="3310" max="3310"/>
    <col width="10.453125" customWidth="1" style="325" min="3311" max="3311"/>
    <col width="10.7265625" customWidth="1" style="325" min="3312" max="3312"/>
    <col width="11.453125" customWidth="1" style="325" min="3313" max="3313"/>
    <col width="12" customWidth="1" style="325" min="3314" max="3314"/>
    <col width="11.453125" bestFit="1" customWidth="1" style="325" min="3315" max="3316"/>
    <col width="11.453125" customWidth="1" style="325" min="3317" max="3317"/>
    <col width="11" customWidth="1" style="325" min="3318" max="3318"/>
    <col width="12.1796875" customWidth="1" style="325" min="3319" max="3319"/>
    <col width="11.453125" customWidth="1" style="325" min="3320" max="3563"/>
    <col width="18.7265625" customWidth="1" style="325" min="3564" max="3564"/>
    <col width="28.453125" customWidth="1" style="325" min="3565" max="3565"/>
    <col width="11.453125" bestFit="1" customWidth="1" style="325" min="3566" max="3566"/>
    <col width="10.453125" customWidth="1" style="325" min="3567" max="3567"/>
    <col width="10.7265625" customWidth="1" style="325" min="3568" max="3568"/>
    <col width="11.453125" customWidth="1" style="325" min="3569" max="3569"/>
    <col width="12" customWidth="1" style="325" min="3570" max="3570"/>
    <col width="11.453125" bestFit="1" customWidth="1" style="325" min="3571" max="3572"/>
    <col width="11.453125" customWidth="1" style="325" min="3573" max="3573"/>
    <col width="11" customWidth="1" style="325" min="3574" max="3574"/>
    <col width="12.1796875" customWidth="1" style="325" min="3575" max="3575"/>
    <col width="11.453125" customWidth="1" style="325" min="3576" max="3819"/>
    <col width="18.7265625" customWidth="1" style="325" min="3820" max="3820"/>
    <col width="28.453125" customWidth="1" style="325" min="3821" max="3821"/>
    <col width="11.453125" bestFit="1" customWidth="1" style="325" min="3822" max="3822"/>
    <col width="10.453125" customWidth="1" style="325" min="3823" max="3823"/>
    <col width="10.7265625" customWidth="1" style="325" min="3824" max="3824"/>
    <col width="11.453125" customWidth="1" style="325" min="3825" max="3825"/>
    <col width="12" customWidth="1" style="325" min="3826" max="3826"/>
    <col width="11.453125" bestFit="1" customWidth="1" style="325" min="3827" max="3828"/>
    <col width="11.453125" customWidth="1" style="325" min="3829" max="3829"/>
    <col width="11" customWidth="1" style="325" min="3830" max="3830"/>
    <col width="12.1796875" customWidth="1" style="325" min="3831" max="3831"/>
    <col width="11.453125" customWidth="1" style="325" min="3832" max="4075"/>
    <col width="18.7265625" customWidth="1" style="325" min="4076" max="4076"/>
    <col width="28.453125" customWidth="1" style="325" min="4077" max="4077"/>
    <col width="11.453125" bestFit="1" customWidth="1" style="325" min="4078" max="4078"/>
    <col width="10.453125" customWidth="1" style="325" min="4079" max="4079"/>
    <col width="10.7265625" customWidth="1" style="325" min="4080" max="4080"/>
    <col width="11.453125" customWidth="1" style="325" min="4081" max="4081"/>
    <col width="12" customWidth="1" style="325" min="4082" max="4082"/>
    <col width="11.453125" bestFit="1" customWidth="1" style="325" min="4083" max="4084"/>
    <col width="11.453125" customWidth="1" style="325" min="4085" max="4085"/>
    <col width="11" customWidth="1" style="325" min="4086" max="4086"/>
    <col width="12.1796875" customWidth="1" style="325" min="4087" max="4087"/>
    <col width="11.453125" customWidth="1" style="325" min="4088" max="4331"/>
    <col width="18.7265625" customWidth="1" style="325" min="4332" max="4332"/>
    <col width="28.453125" customWidth="1" style="325" min="4333" max="4333"/>
    <col width="11.453125" bestFit="1" customWidth="1" style="325" min="4334" max="4334"/>
    <col width="10.453125" customWidth="1" style="325" min="4335" max="4335"/>
    <col width="10.7265625" customWidth="1" style="325" min="4336" max="4336"/>
    <col width="11.453125" customWidth="1" style="325" min="4337" max="4337"/>
    <col width="12" customWidth="1" style="325" min="4338" max="4338"/>
    <col width="11.453125" bestFit="1" customWidth="1" style="325" min="4339" max="4340"/>
    <col width="11.453125" customWidth="1" style="325" min="4341" max="4341"/>
    <col width="11" customWidth="1" style="325" min="4342" max="4342"/>
    <col width="12.1796875" customWidth="1" style="325" min="4343" max="4343"/>
    <col width="11.453125" customWidth="1" style="325" min="4344" max="4587"/>
    <col width="18.7265625" customWidth="1" style="325" min="4588" max="4588"/>
    <col width="28.453125" customWidth="1" style="325" min="4589" max="4589"/>
    <col width="11.453125" bestFit="1" customWidth="1" style="325" min="4590" max="4590"/>
    <col width="10.453125" customWidth="1" style="325" min="4591" max="4591"/>
    <col width="10.7265625" customWidth="1" style="325" min="4592" max="4592"/>
    <col width="11.453125" customWidth="1" style="325" min="4593" max="4593"/>
    <col width="12" customWidth="1" style="325" min="4594" max="4594"/>
    <col width="11.453125" bestFit="1" customWidth="1" style="325" min="4595" max="4596"/>
    <col width="11.453125" customWidth="1" style="325" min="4597" max="4597"/>
    <col width="11" customWidth="1" style="325" min="4598" max="4598"/>
    <col width="12.1796875" customWidth="1" style="325" min="4599" max="4599"/>
    <col width="11.453125" customWidth="1" style="325" min="4600" max="4843"/>
    <col width="18.7265625" customWidth="1" style="325" min="4844" max="4844"/>
    <col width="28.453125" customWidth="1" style="325" min="4845" max="4845"/>
    <col width="11.453125" bestFit="1" customWidth="1" style="325" min="4846" max="4846"/>
    <col width="10.453125" customWidth="1" style="325" min="4847" max="4847"/>
    <col width="10.7265625" customWidth="1" style="325" min="4848" max="4848"/>
    <col width="11.453125" customWidth="1" style="325" min="4849" max="4849"/>
    <col width="12" customWidth="1" style="325" min="4850" max="4850"/>
    <col width="11.453125" bestFit="1" customWidth="1" style="325" min="4851" max="4852"/>
    <col width="11.453125" customWidth="1" style="325" min="4853" max="4853"/>
    <col width="11" customWidth="1" style="325" min="4854" max="4854"/>
    <col width="12.1796875" customWidth="1" style="325" min="4855" max="4855"/>
    <col width="11.453125" customWidth="1" style="325" min="4856" max="5099"/>
    <col width="18.7265625" customWidth="1" style="325" min="5100" max="5100"/>
    <col width="28.453125" customWidth="1" style="325" min="5101" max="5101"/>
    <col width="11.453125" bestFit="1" customWidth="1" style="325" min="5102" max="5102"/>
    <col width="10.453125" customWidth="1" style="325" min="5103" max="5103"/>
    <col width="10.7265625" customWidth="1" style="325" min="5104" max="5104"/>
    <col width="11.453125" customWidth="1" style="325" min="5105" max="5105"/>
    <col width="12" customWidth="1" style="325" min="5106" max="5106"/>
    <col width="11.453125" bestFit="1" customWidth="1" style="325" min="5107" max="5108"/>
    <col width="11.453125" customWidth="1" style="325" min="5109" max="5109"/>
    <col width="11" customWidth="1" style="325" min="5110" max="5110"/>
    <col width="12.1796875" customWidth="1" style="325" min="5111" max="5111"/>
    <col width="11.453125" customWidth="1" style="325" min="5112" max="5355"/>
    <col width="18.7265625" customWidth="1" style="325" min="5356" max="5356"/>
    <col width="28.453125" customWidth="1" style="325" min="5357" max="5357"/>
    <col width="11.453125" bestFit="1" customWidth="1" style="325" min="5358" max="5358"/>
    <col width="10.453125" customWidth="1" style="325" min="5359" max="5359"/>
    <col width="10.7265625" customWidth="1" style="325" min="5360" max="5360"/>
    <col width="11.453125" customWidth="1" style="325" min="5361" max="5361"/>
    <col width="12" customWidth="1" style="325" min="5362" max="5362"/>
    <col width="11.453125" bestFit="1" customWidth="1" style="325" min="5363" max="5364"/>
    <col width="11.453125" customWidth="1" style="325" min="5365" max="5365"/>
    <col width="11" customWidth="1" style="325" min="5366" max="5366"/>
    <col width="12.1796875" customWidth="1" style="325" min="5367" max="5367"/>
    <col width="11.453125" customWidth="1" style="325" min="5368" max="5611"/>
    <col width="18.7265625" customWidth="1" style="325" min="5612" max="5612"/>
    <col width="28.453125" customWidth="1" style="325" min="5613" max="5613"/>
    <col width="11.453125" bestFit="1" customWidth="1" style="325" min="5614" max="5614"/>
    <col width="10.453125" customWidth="1" style="325" min="5615" max="5615"/>
    <col width="10.7265625" customWidth="1" style="325" min="5616" max="5616"/>
    <col width="11.453125" customWidth="1" style="325" min="5617" max="5617"/>
    <col width="12" customWidth="1" style="325" min="5618" max="5618"/>
    <col width="11.453125" bestFit="1" customWidth="1" style="325" min="5619" max="5620"/>
    <col width="11.453125" customWidth="1" style="325" min="5621" max="5621"/>
    <col width="11" customWidth="1" style="325" min="5622" max="5622"/>
    <col width="12.1796875" customWidth="1" style="325" min="5623" max="5623"/>
    <col width="11.453125" customWidth="1" style="325" min="5624" max="5867"/>
    <col width="18.7265625" customWidth="1" style="325" min="5868" max="5868"/>
    <col width="28.453125" customWidth="1" style="325" min="5869" max="5869"/>
    <col width="11.453125" bestFit="1" customWidth="1" style="325" min="5870" max="5870"/>
    <col width="10.453125" customWidth="1" style="325" min="5871" max="5871"/>
    <col width="10.7265625" customWidth="1" style="325" min="5872" max="5872"/>
    <col width="11.453125" customWidth="1" style="325" min="5873" max="5873"/>
    <col width="12" customWidth="1" style="325" min="5874" max="5874"/>
    <col width="11.453125" bestFit="1" customWidth="1" style="325" min="5875" max="5876"/>
    <col width="11.453125" customWidth="1" style="325" min="5877" max="5877"/>
    <col width="11" customWidth="1" style="325" min="5878" max="5878"/>
    <col width="12.1796875" customWidth="1" style="325" min="5879" max="5879"/>
    <col width="11.453125" customWidth="1" style="325" min="5880" max="6123"/>
    <col width="18.7265625" customWidth="1" style="325" min="6124" max="6124"/>
    <col width="28.453125" customWidth="1" style="325" min="6125" max="6125"/>
    <col width="11.453125" bestFit="1" customWidth="1" style="325" min="6126" max="6126"/>
    <col width="10.453125" customWidth="1" style="325" min="6127" max="6127"/>
    <col width="10.7265625" customWidth="1" style="325" min="6128" max="6128"/>
    <col width="11.453125" customWidth="1" style="325" min="6129" max="6129"/>
    <col width="12" customWidth="1" style="325" min="6130" max="6130"/>
    <col width="11.453125" bestFit="1" customWidth="1" style="325" min="6131" max="6132"/>
    <col width="11.453125" customWidth="1" style="325" min="6133" max="6133"/>
    <col width="11" customWidth="1" style="325" min="6134" max="6134"/>
    <col width="12.1796875" customWidth="1" style="325" min="6135" max="6135"/>
    <col width="11.453125" customWidth="1" style="325" min="6136" max="6379"/>
    <col width="18.7265625" customWidth="1" style="325" min="6380" max="6380"/>
    <col width="28.453125" customWidth="1" style="325" min="6381" max="6381"/>
    <col width="11.453125" bestFit="1" customWidth="1" style="325" min="6382" max="6382"/>
    <col width="10.453125" customWidth="1" style="325" min="6383" max="6383"/>
    <col width="10.7265625" customWidth="1" style="325" min="6384" max="6384"/>
    <col width="11.453125" customWidth="1" style="325" min="6385" max="6385"/>
    <col width="12" customWidth="1" style="325" min="6386" max="6386"/>
    <col width="11.453125" bestFit="1" customWidth="1" style="325" min="6387" max="6388"/>
    <col width="11.453125" customWidth="1" style="325" min="6389" max="6389"/>
    <col width="11" customWidth="1" style="325" min="6390" max="6390"/>
    <col width="12.1796875" customWidth="1" style="325" min="6391" max="6391"/>
    <col width="11.453125" customWidth="1" style="325" min="6392" max="6635"/>
    <col width="18.7265625" customWidth="1" style="325" min="6636" max="6636"/>
    <col width="28.453125" customWidth="1" style="325" min="6637" max="6637"/>
    <col width="11.453125" bestFit="1" customWidth="1" style="325" min="6638" max="6638"/>
    <col width="10.453125" customWidth="1" style="325" min="6639" max="6639"/>
    <col width="10.7265625" customWidth="1" style="325" min="6640" max="6640"/>
    <col width="11.453125" customWidth="1" style="325" min="6641" max="6641"/>
    <col width="12" customWidth="1" style="325" min="6642" max="6642"/>
    <col width="11.453125" bestFit="1" customWidth="1" style="325" min="6643" max="6644"/>
    <col width="11.453125" customWidth="1" style="325" min="6645" max="6645"/>
    <col width="11" customWidth="1" style="325" min="6646" max="6646"/>
    <col width="12.1796875" customWidth="1" style="325" min="6647" max="6647"/>
    <col width="11.453125" customWidth="1" style="325" min="6648" max="6891"/>
    <col width="18.7265625" customWidth="1" style="325" min="6892" max="6892"/>
    <col width="28.453125" customWidth="1" style="325" min="6893" max="6893"/>
    <col width="11.453125" bestFit="1" customWidth="1" style="325" min="6894" max="6894"/>
    <col width="10.453125" customWidth="1" style="325" min="6895" max="6895"/>
    <col width="10.7265625" customWidth="1" style="325" min="6896" max="6896"/>
    <col width="11.453125" customWidth="1" style="325" min="6897" max="6897"/>
    <col width="12" customWidth="1" style="325" min="6898" max="6898"/>
    <col width="11.453125" bestFit="1" customWidth="1" style="325" min="6899" max="6900"/>
    <col width="11.453125" customWidth="1" style="325" min="6901" max="6901"/>
    <col width="11" customWidth="1" style="325" min="6902" max="6902"/>
    <col width="12.1796875" customWidth="1" style="325" min="6903" max="6903"/>
    <col width="11.453125" customWidth="1" style="325" min="6904" max="7147"/>
    <col width="18.7265625" customWidth="1" style="325" min="7148" max="7148"/>
    <col width="28.453125" customWidth="1" style="325" min="7149" max="7149"/>
    <col width="11.453125" bestFit="1" customWidth="1" style="325" min="7150" max="7150"/>
    <col width="10.453125" customWidth="1" style="325" min="7151" max="7151"/>
    <col width="10.7265625" customWidth="1" style="325" min="7152" max="7152"/>
    <col width="11.453125" customWidth="1" style="325" min="7153" max="7153"/>
    <col width="12" customWidth="1" style="325" min="7154" max="7154"/>
    <col width="11.453125" bestFit="1" customWidth="1" style="325" min="7155" max="7156"/>
    <col width="11.453125" customWidth="1" style="325" min="7157" max="7157"/>
    <col width="11" customWidth="1" style="325" min="7158" max="7158"/>
    <col width="12.1796875" customWidth="1" style="325" min="7159" max="7159"/>
    <col width="11.453125" customWidth="1" style="325" min="7160" max="7403"/>
    <col width="18.7265625" customWidth="1" style="325" min="7404" max="7404"/>
    <col width="28.453125" customWidth="1" style="325" min="7405" max="7405"/>
    <col width="11.453125" bestFit="1" customWidth="1" style="325" min="7406" max="7406"/>
    <col width="10.453125" customWidth="1" style="325" min="7407" max="7407"/>
    <col width="10.7265625" customWidth="1" style="325" min="7408" max="7408"/>
    <col width="11.453125" customWidth="1" style="325" min="7409" max="7409"/>
    <col width="12" customWidth="1" style="325" min="7410" max="7410"/>
    <col width="11.453125" bestFit="1" customWidth="1" style="325" min="7411" max="7412"/>
    <col width="11.453125" customWidth="1" style="325" min="7413" max="7413"/>
    <col width="11" customWidth="1" style="325" min="7414" max="7414"/>
    <col width="12.1796875" customWidth="1" style="325" min="7415" max="7415"/>
    <col width="11.453125" customWidth="1" style="325" min="7416" max="7659"/>
    <col width="18.7265625" customWidth="1" style="325" min="7660" max="7660"/>
    <col width="28.453125" customWidth="1" style="325" min="7661" max="7661"/>
    <col width="11.453125" bestFit="1" customWidth="1" style="325" min="7662" max="7662"/>
    <col width="10.453125" customWidth="1" style="325" min="7663" max="7663"/>
    <col width="10.7265625" customWidth="1" style="325" min="7664" max="7664"/>
    <col width="11.453125" customWidth="1" style="325" min="7665" max="7665"/>
    <col width="12" customWidth="1" style="325" min="7666" max="7666"/>
    <col width="11.453125" bestFit="1" customWidth="1" style="325" min="7667" max="7668"/>
    <col width="11.453125" customWidth="1" style="325" min="7669" max="7669"/>
    <col width="11" customWidth="1" style="325" min="7670" max="7670"/>
    <col width="12.1796875" customWidth="1" style="325" min="7671" max="7671"/>
    <col width="11.453125" customWidth="1" style="325" min="7672" max="7915"/>
    <col width="18.7265625" customWidth="1" style="325" min="7916" max="7916"/>
    <col width="28.453125" customWidth="1" style="325" min="7917" max="7917"/>
    <col width="11.453125" bestFit="1" customWidth="1" style="325" min="7918" max="7918"/>
    <col width="10.453125" customWidth="1" style="325" min="7919" max="7919"/>
    <col width="10.7265625" customWidth="1" style="325" min="7920" max="7920"/>
    <col width="11.453125" customWidth="1" style="325" min="7921" max="7921"/>
    <col width="12" customWidth="1" style="325" min="7922" max="7922"/>
    <col width="11.453125" bestFit="1" customWidth="1" style="325" min="7923" max="7924"/>
    <col width="11.453125" customWidth="1" style="325" min="7925" max="7925"/>
    <col width="11" customWidth="1" style="325" min="7926" max="7926"/>
    <col width="12.1796875" customWidth="1" style="325" min="7927" max="7927"/>
    <col width="11.453125" customWidth="1" style="325" min="7928" max="8171"/>
    <col width="18.7265625" customWidth="1" style="325" min="8172" max="8172"/>
    <col width="28.453125" customWidth="1" style="325" min="8173" max="8173"/>
    <col width="11.453125" bestFit="1" customWidth="1" style="325" min="8174" max="8174"/>
    <col width="10.453125" customWidth="1" style="325" min="8175" max="8175"/>
    <col width="10.7265625" customWidth="1" style="325" min="8176" max="8176"/>
    <col width="11.453125" customWidth="1" style="325" min="8177" max="8177"/>
    <col width="12" customWidth="1" style="325" min="8178" max="8178"/>
    <col width="11.453125" bestFit="1" customWidth="1" style="325" min="8179" max="8180"/>
    <col width="11.453125" customWidth="1" style="325" min="8181" max="8181"/>
    <col width="11" customWidth="1" style="325" min="8182" max="8182"/>
    <col width="12.1796875" customWidth="1" style="325" min="8183" max="8183"/>
    <col width="11.453125" customWidth="1" style="325" min="8184" max="8427"/>
    <col width="18.7265625" customWidth="1" style="325" min="8428" max="8428"/>
    <col width="28.453125" customWidth="1" style="325" min="8429" max="8429"/>
    <col width="11.453125" bestFit="1" customWidth="1" style="325" min="8430" max="8430"/>
    <col width="10.453125" customWidth="1" style="325" min="8431" max="8431"/>
    <col width="10.7265625" customWidth="1" style="325" min="8432" max="8432"/>
    <col width="11.453125" customWidth="1" style="325" min="8433" max="8433"/>
    <col width="12" customWidth="1" style="325" min="8434" max="8434"/>
    <col width="11.453125" bestFit="1" customWidth="1" style="325" min="8435" max="8436"/>
    <col width="11.453125" customWidth="1" style="325" min="8437" max="8437"/>
    <col width="11" customWidth="1" style="325" min="8438" max="8438"/>
    <col width="12.1796875" customWidth="1" style="325" min="8439" max="8439"/>
    <col width="11.453125" customWidth="1" style="325" min="8440" max="8683"/>
    <col width="18.7265625" customWidth="1" style="325" min="8684" max="8684"/>
    <col width="28.453125" customWidth="1" style="325" min="8685" max="8685"/>
    <col width="11.453125" bestFit="1" customWidth="1" style="325" min="8686" max="8686"/>
    <col width="10.453125" customWidth="1" style="325" min="8687" max="8687"/>
    <col width="10.7265625" customWidth="1" style="325" min="8688" max="8688"/>
    <col width="11.453125" customWidth="1" style="325" min="8689" max="8689"/>
    <col width="12" customWidth="1" style="325" min="8690" max="8690"/>
    <col width="11.453125" bestFit="1" customWidth="1" style="325" min="8691" max="8692"/>
    <col width="11.453125" customWidth="1" style="325" min="8693" max="8693"/>
    <col width="11" customWidth="1" style="325" min="8694" max="8694"/>
    <col width="12.1796875" customWidth="1" style="325" min="8695" max="8695"/>
    <col width="11.453125" customWidth="1" style="325" min="8696" max="8939"/>
    <col width="18.7265625" customWidth="1" style="325" min="8940" max="8940"/>
    <col width="28.453125" customWidth="1" style="325" min="8941" max="8941"/>
    <col width="11.453125" bestFit="1" customWidth="1" style="325" min="8942" max="8942"/>
    <col width="10.453125" customWidth="1" style="325" min="8943" max="8943"/>
    <col width="10.7265625" customWidth="1" style="325" min="8944" max="8944"/>
    <col width="11.453125" customWidth="1" style="325" min="8945" max="8945"/>
    <col width="12" customWidth="1" style="325" min="8946" max="8946"/>
    <col width="11.453125" bestFit="1" customWidth="1" style="325" min="8947" max="8948"/>
    <col width="11.453125" customWidth="1" style="325" min="8949" max="8949"/>
    <col width="11" customWidth="1" style="325" min="8950" max="8950"/>
    <col width="12.1796875" customWidth="1" style="325" min="8951" max="8951"/>
    <col width="11.453125" customWidth="1" style="325" min="8952" max="9195"/>
    <col width="18.7265625" customWidth="1" style="325" min="9196" max="9196"/>
    <col width="28.453125" customWidth="1" style="325" min="9197" max="9197"/>
    <col width="11.453125" bestFit="1" customWidth="1" style="325" min="9198" max="9198"/>
    <col width="10.453125" customWidth="1" style="325" min="9199" max="9199"/>
    <col width="10.7265625" customWidth="1" style="325" min="9200" max="9200"/>
    <col width="11.453125" customWidth="1" style="325" min="9201" max="9201"/>
    <col width="12" customWidth="1" style="325" min="9202" max="9202"/>
    <col width="11.453125" bestFit="1" customWidth="1" style="325" min="9203" max="9204"/>
    <col width="11.453125" customWidth="1" style="325" min="9205" max="9205"/>
    <col width="11" customWidth="1" style="325" min="9206" max="9206"/>
    <col width="12.1796875" customWidth="1" style="325" min="9207" max="9207"/>
    <col width="11.453125" customWidth="1" style="325" min="9208" max="9451"/>
    <col width="18.7265625" customWidth="1" style="325" min="9452" max="9452"/>
    <col width="28.453125" customWidth="1" style="325" min="9453" max="9453"/>
    <col width="11.453125" bestFit="1" customWidth="1" style="325" min="9454" max="9454"/>
    <col width="10.453125" customWidth="1" style="325" min="9455" max="9455"/>
    <col width="10.7265625" customWidth="1" style="325" min="9456" max="9456"/>
    <col width="11.453125" customWidth="1" style="325" min="9457" max="9457"/>
    <col width="12" customWidth="1" style="325" min="9458" max="9458"/>
    <col width="11.453125" bestFit="1" customWidth="1" style="325" min="9459" max="9460"/>
    <col width="11.453125" customWidth="1" style="325" min="9461" max="9461"/>
    <col width="11" customWidth="1" style="325" min="9462" max="9462"/>
    <col width="12.1796875" customWidth="1" style="325" min="9463" max="9463"/>
    <col width="11.453125" customWidth="1" style="325" min="9464" max="9707"/>
    <col width="18.7265625" customWidth="1" style="325" min="9708" max="9708"/>
    <col width="28.453125" customWidth="1" style="325" min="9709" max="9709"/>
    <col width="11.453125" bestFit="1" customWidth="1" style="325" min="9710" max="9710"/>
    <col width="10.453125" customWidth="1" style="325" min="9711" max="9711"/>
    <col width="10.7265625" customWidth="1" style="325" min="9712" max="9712"/>
    <col width="11.453125" customWidth="1" style="325" min="9713" max="9713"/>
    <col width="12" customWidth="1" style="325" min="9714" max="9714"/>
    <col width="11.453125" bestFit="1" customWidth="1" style="325" min="9715" max="9716"/>
    <col width="11.453125" customWidth="1" style="325" min="9717" max="9717"/>
    <col width="11" customWidth="1" style="325" min="9718" max="9718"/>
    <col width="12.1796875" customWidth="1" style="325" min="9719" max="9719"/>
    <col width="11.453125" customWidth="1" style="325" min="9720" max="9963"/>
    <col width="18.7265625" customWidth="1" style="325" min="9964" max="9964"/>
    <col width="28.453125" customWidth="1" style="325" min="9965" max="9965"/>
    <col width="11.453125" bestFit="1" customWidth="1" style="325" min="9966" max="9966"/>
    <col width="10.453125" customWidth="1" style="325" min="9967" max="9967"/>
    <col width="10.7265625" customWidth="1" style="325" min="9968" max="9968"/>
    <col width="11.453125" customWidth="1" style="325" min="9969" max="9969"/>
    <col width="12" customWidth="1" style="325" min="9970" max="9970"/>
    <col width="11.453125" bestFit="1" customWidth="1" style="325" min="9971" max="9972"/>
    <col width="11.453125" customWidth="1" style="325" min="9973" max="9973"/>
    <col width="11" customWidth="1" style="325" min="9974" max="9974"/>
    <col width="12.1796875" customWidth="1" style="325" min="9975" max="9975"/>
    <col width="11.453125" customWidth="1" style="325" min="9976" max="10219"/>
    <col width="18.7265625" customWidth="1" style="325" min="10220" max="10220"/>
    <col width="28.453125" customWidth="1" style="325" min="10221" max="10221"/>
    <col width="11.453125" bestFit="1" customWidth="1" style="325" min="10222" max="10222"/>
    <col width="10.453125" customWidth="1" style="325" min="10223" max="10223"/>
    <col width="10.7265625" customWidth="1" style="325" min="10224" max="10224"/>
    <col width="11.453125" customWidth="1" style="325" min="10225" max="10225"/>
    <col width="12" customWidth="1" style="325" min="10226" max="10226"/>
    <col width="11.453125" bestFit="1" customWidth="1" style="325" min="10227" max="10228"/>
    <col width="11.453125" customWidth="1" style="325" min="10229" max="10229"/>
    <col width="11" customWidth="1" style="325" min="10230" max="10230"/>
    <col width="12.1796875" customWidth="1" style="325" min="10231" max="10231"/>
    <col width="11.453125" customWidth="1" style="325" min="10232" max="10475"/>
    <col width="18.7265625" customWidth="1" style="325" min="10476" max="10476"/>
    <col width="28.453125" customWidth="1" style="325" min="10477" max="10477"/>
    <col width="11.453125" bestFit="1" customWidth="1" style="325" min="10478" max="10478"/>
    <col width="10.453125" customWidth="1" style="325" min="10479" max="10479"/>
    <col width="10.7265625" customWidth="1" style="325" min="10480" max="10480"/>
    <col width="11.453125" customWidth="1" style="325" min="10481" max="10481"/>
    <col width="12" customWidth="1" style="325" min="10482" max="10482"/>
    <col width="11.453125" bestFit="1" customWidth="1" style="325" min="10483" max="10484"/>
    <col width="11.453125" customWidth="1" style="325" min="10485" max="10485"/>
    <col width="11" customWidth="1" style="325" min="10486" max="10486"/>
    <col width="12.1796875" customWidth="1" style="325" min="10487" max="10487"/>
    <col width="11.453125" customWidth="1" style="325" min="10488" max="10731"/>
    <col width="18.7265625" customWidth="1" style="325" min="10732" max="10732"/>
    <col width="28.453125" customWidth="1" style="325" min="10733" max="10733"/>
    <col width="11.453125" bestFit="1" customWidth="1" style="325" min="10734" max="10734"/>
    <col width="10.453125" customWidth="1" style="325" min="10735" max="10735"/>
    <col width="10.7265625" customWidth="1" style="325" min="10736" max="10736"/>
    <col width="11.453125" customWidth="1" style="325" min="10737" max="10737"/>
    <col width="12" customWidth="1" style="325" min="10738" max="10738"/>
    <col width="11.453125" bestFit="1" customWidth="1" style="325" min="10739" max="10740"/>
    <col width="11.453125" customWidth="1" style="325" min="10741" max="10741"/>
    <col width="11" customWidth="1" style="325" min="10742" max="10742"/>
    <col width="12.1796875" customWidth="1" style="325" min="10743" max="10743"/>
    <col width="11.453125" customWidth="1" style="325" min="10744" max="10987"/>
    <col width="18.7265625" customWidth="1" style="325" min="10988" max="10988"/>
    <col width="28.453125" customWidth="1" style="325" min="10989" max="10989"/>
    <col width="11.453125" bestFit="1" customWidth="1" style="325" min="10990" max="10990"/>
    <col width="10.453125" customWidth="1" style="325" min="10991" max="10991"/>
    <col width="10.7265625" customWidth="1" style="325" min="10992" max="10992"/>
    <col width="11.453125" customWidth="1" style="325" min="10993" max="10993"/>
    <col width="12" customWidth="1" style="325" min="10994" max="10994"/>
    <col width="11.453125" bestFit="1" customWidth="1" style="325" min="10995" max="10996"/>
    <col width="11.453125" customWidth="1" style="325" min="10997" max="10997"/>
    <col width="11" customWidth="1" style="325" min="10998" max="10998"/>
    <col width="12.1796875" customWidth="1" style="325" min="10999" max="10999"/>
    <col width="11.453125" customWidth="1" style="325" min="11000" max="11243"/>
    <col width="18.7265625" customWidth="1" style="325" min="11244" max="11244"/>
    <col width="28.453125" customWidth="1" style="325" min="11245" max="11245"/>
    <col width="11.453125" bestFit="1" customWidth="1" style="325" min="11246" max="11246"/>
    <col width="10.453125" customWidth="1" style="325" min="11247" max="11247"/>
    <col width="10.7265625" customWidth="1" style="325" min="11248" max="11248"/>
    <col width="11.453125" customWidth="1" style="325" min="11249" max="11249"/>
    <col width="12" customWidth="1" style="325" min="11250" max="11250"/>
    <col width="11.453125" bestFit="1" customWidth="1" style="325" min="11251" max="11252"/>
    <col width="11.453125" customWidth="1" style="325" min="11253" max="11253"/>
    <col width="11" customWidth="1" style="325" min="11254" max="11254"/>
    <col width="12.1796875" customWidth="1" style="325" min="11255" max="11255"/>
    <col width="11.453125" customWidth="1" style="325" min="11256" max="11499"/>
    <col width="18.7265625" customWidth="1" style="325" min="11500" max="11500"/>
    <col width="28.453125" customWidth="1" style="325" min="11501" max="11501"/>
    <col width="11.453125" bestFit="1" customWidth="1" style="325" min="11502" max="11502"/>
    <col width="10.453125" customWidth="1" style="325" min="11503" max="11503"/>
    <col width="10.7265625" customWidth="1" style="325" min="11504" max="11504"/>
    <col width="11.453125" customWidth="1" style="325" min="11505" max="11505"/>
    <col width="12" customWidth="1" style="325" min="11506" max="11506"/>
    <col width="11.453125" bestFit="1" customWidth="1" style="325" min="11507" max="11508"/>
    <col width="11.453125" customWidth="1" style="325" min="11509" max="11509"/>
    <col width="11" customWidth="1" style="325" min="11510" max="11510"/>
    <col width="12.1796875" customWidth="1" style="325" min="11511" max="11511"/>
    <col width="11.453125" customWidth="1" style="325" min="11512" max="11755"/>
    <col width="18.7265625" customWidth="1" style="325" min="11756" max="11756"/>
    <col width="28.453125" customWidth="1" style="325" min="11757" max="11757"/>
    <col width="11.453125" bestFit="1" customWidth="1" style="325" min="11758" max="11758"/>
    <col width="10.453125" customWidth="1" style="325" min="11759" max="11759"/>
    <col width="10.7265625" customWidth="1" style="325" min="11760" max="11760"/>
    <col width="11.453125" customWidth="1" style="325" min="11761" max="11761"/>
    <col width="12" customWidth="1" style="325" min="11762" max="11762"/>
    <col width="11.453125" bestFit="1" customWidth="1" style="325" min="11763" max="11764"/>
    <col width="11.453125" customWidth="1" style="325" min="11765" max="11765"/>
    <col width="11" customWidth="1" style="325" min="11766" max="11766"/>
    <col width="12.1796875" customWidth="1" style="325" min="11767" max="11767"/>
    <col width="11.453125" customWidth="1" style="325" min="11768" max="12011"/>
    <col width="18.7265625" customWidth="1" style="325" min="12012" max="12012"/>
    <col width="28.453125" customWidth="1" style="325" min="12013" max="12013"/>
    <col width="11.453125" bestFit="1" customWidth="1" style="325" min="12014" max="12014"/>
    <col width="10.453125" customWidth="1" style="325" min="12015" max="12015"/>
    <col width="10.7265625" customWidth="1" style="325" min="12016" max="12016"/>
    <col width="11.453125" customWidth="1" style="325" min="12017" max="12017"/>
    <col width="12" customWidth="1" style="325" min="12018" max="12018"/>
    <col width="11.453125" bestFit="1" customWidth="1" style="325" min="12019" max="12020"/>
    <col width="11.453125" customWidth="1" style="325" min="12021" max="12021"/>
    <col width="11" customWidth="1" style="325" min="12022" max="12022"/>
    <col width="12.1796875" customWidth="1" style="325" min="12023" max="12023"/>
    <col width="11.453125" customWidth="1" style="325" min="12024" max="12267"/>
    <col width="18.7265625" customWidth="1" style="325" min="12268" max="12268"/>
    <col width="28.453125" customWidth="1" style="325" min="12269" max="12269"/>
    <col width="11.453125" bestFit="1" customWidth="1" style="325" min="12270" max="12270"/>
    <col width="10.453125" customWidth="1" style="325" min="12271" max="12271"/>
    <col width="10.7265625" customWidth="1" style="325" min="12272" max="12272"/>
    <col width="11.453125" customWidth="1" style="325" min="12273" max="12273"/>
    <col width="12" customWidth="1" style="325" min="12274" max="12274"/>
    <col width="11.453125" bestFit="1" customWidth="1" style="325" min="12275" max="12276"/>
    <col width="11.453125" customWidth="1" style="325" min="12277" max="12277"/>
    <col width="11" customWidth="1" style="325" min="12278" max="12278"/>
    <col width="12.1796875" customWidth="1" style="325" min="12279" max="12279"/>
    <col width="11.453125" customWidth="1" style="325" min="12280" max="12523"/>
    <col width="18.7265625" customWidth="1" style="325" min="12524" max="12524"/>
    <col width="28.453125" customWidth="1" style="325" min="12525" max="12525"/>
    <col width="11.453125" bestFit="1" customWidth="1" style="325" min="12526" max="12526"/>
    <col width="10.453125" customWidth="1" style="325" min="12527" max="12527"/>
    <col width="10.7265625" customWidth="1" style="325" min="12528" max="12528"/>
    <col width="11.453125" customWidth="1" style="325" min="12529" max="12529"/>
    <col width="12" customWidth="1" style="325" min="12530" max="12530"/>
    <col width="11.453125" bestFit="1" customWidth="1" style="325" min="12531" max="12532"/>
    <col width="11.453125" customWidth="1" style="325" min="12533" max="12533"/>
    <col width="11" customWidth="1" style="325" min="12534" max="12534"/>
    <col width="12.1796875" customWidth="1" style="325" min="12535" max="12535"/>
    <col width="11.453125" customWidth="1" style="325" min="12536" max="12779"/>
    <col width="18.7265625" customWidth="1" style="325" min="12780" max="12780"/>
    <col width="28.453125" customWidth="1" style="325" min="12781" max="12781"/>
    <col width="11.453125" bestFit="1" customWidth="1" style="325" min="12782" max="12782"/>
    <col width="10.453125" customWidth="1" style="325" min="12783" max="12783"/>
    <col width="10.7265625" customWidth="1" style="325" min="12784" max="12784"/>
    <col width="11.453125" customWidth="1" style="325" min="12785" max="12785"/>
    <col width="12" customWidth="1" style="325" min="12786" max="12786"/>
    <col width="11.453125" bestFit="1" customWidth="1" style="325" min="12787" max="12788"/>
    <col width="11.453125" customWidth="1" style="325" min="12789" max="12789"/>
    <col width="11" customWidth="1" style="325" min="12790" max="12790"/>
    <col width="12.1796875" customWidth="1" style="325" min="12791" max="12791"/>
    <col width="11.453125" customWidth="1" style="325" min="12792" max="13035"/>
    <col width="18.7265625" customWidth="1" style="325" min="13036" max="13036"/>
    <col width="28.453125" customWidth="1" style="325" min="13037" max="13037"/>
    <col width="11.453125" bestFit="1" customWidth="1" style="325" min="13038" max="13038"/>
    <col width="10.453125" customWidth="1" style="325" min="13039" max="13039"/>
    <col width="10.7265625" customWidth="1" style="325" min="13040" max="13040"/>
    <col width="11.453125" customWidth="1" style="325" min="13041" max="13041"/>
    <col width="12" customWidth="1" style="325" min="13042" max="13042"/>
    <col width="11.453125" bestFit="1" customWidth="1" style="325" min="13043" max="13044"/>
    <col width="11.453125" customWidth="1" style="325" min="13045" max="13045"/>
    <col width="11" customWidth="1" style="325" min="13046" max="13046"/>
    <col width="12.1796875" customWidth="1" style="325" min="13047" max="13047"/>
    <col width="11.453125" customWidth="1" style="325" min="13048" max="13291"/>
    <col width="18.7265625" customWidth="1" style="325" min="13292" max="13292"/>
    <col width="28.453125" customWidth="1" style="325" min="13293" max="13293"/>
    <col width="11.453125" bestFit="1" customWidth="1" style="325" min="13294" max="13294"/>
    <col width="10.453125" customWidth="1" style="325" min="13295" max="13295"/>
    <col width="10.7265625" customWidth="1" style="325" min="13296" max="13296"/>
    <col width="11.453125" customWidth="1" style="325" min="13297" max="13297"/>
    <col width="12" customWidth="1" style="325" min="13298" max="13298"/>
    <col width="11.453125" bestFit="1" customWidth="1" style="325" min="13299" max="13300"/>
    <col width="11.453125" customWidth="1" style="325" min="13301" max="13301"/>
    <col width="11" customWidth="1" style="325" min="13302" max="13302"/>
    <col width="12.1796875" customWidth="1" style="325" min="13303" max="13303"/>
    <col width="11.453125" customWidth="1" style="325" min="13304" max="13547"/>
    <col width="18.7265625" customWidth="1" style="325" min="13548" max="13548"/>
    <col width="28.453125" customWidth="1" style="325" min="13549" max="13549"/>
    <col width="11.453125" bestFit="1" customWidth="1" style="325" min="13550" max="13550"/>
    <col width="10.453125" customWidth="1" style="325" min="13551" max="13551"/>
    <col width="10.7265625" customWidth="1" style="325" min="13552" max="13552"/>
    <col width="11.453125" customWidth="1" style="325" min="13553" max="13553"/>
    <col width="12" customWidth="1" style="325" min="13554" max="13554"/>
    <col width="11.453125" bestFit="1" customWidth="1" style="325" min="13555" max="13556"/>
    <col width="11.453125" customWidth="1" style="325" min="13557" max="13557"/>
    <col width="11" customWidth="1" style="325" min="13558" max="13558"/>
    <col width="12.1796875" customWidth="1" style="325" min="13559" max="13559"/>
    <col width="11.453125" customWidth="1" style="325" min="13560" max="13803"/>
    <col width="18.7265625" customWidth="1" style="325" min="13804" max="13804"/>
    <col width="28.453125" customWidth="1" style="325" min="13805" max="13805"/>
    <col width="11.453125" bestFit="1" customWidth="1" style="325" min="13806" max="13806"/>
    <col width="10.453125" customWidth="1" style="325" min="13807" max="13807"/>
    <col width="10.7265625" customWidth="1" style="325" min="13808" max="13808"/>
    <col width="11.453125" customWidth="1" style="325" min="13809" max="13809"/>
    <col width="12" customWidth="1" style="325" min="13810" max="13810"/>
    <col width="11.453125" bestFit="1" customWidth="1" style="325" min="13811" max="13812"/>
    <col width="11.453125" customWidth="1" style="325" min="13813" max="13813"/>
    <col width="11" customWidth="1" style="325" min="13814" max="13814"/>
    <col width="12.1796875" customWidth="1" style="325" min="13815" max="13815"/>
    <col width="11.453125" customWidth="1" style="325" min="13816" max="14059"/>
    <col width="18.7265625" customWidth="1" style="325" min="14060" max="14060"/>
    <col width="28.453125" customWidth="1" style="325" min="14061" max="14061"/>
    <col width="11.453125" bestFit="1" customWidth="1" style="325" min="14062" max="14062"/>
    <col width="10.453125" customWidth="1" style="325" min="14063" max="14063"/>
    <col width="10.7265625" customWidth="1" style="325" min="14064" max="14064"/>
    <col width="11.453125" customWidth="1" style="325" min="14065" max="14065"/>
    <col width="12" customWidth="1" style="325" min="14066" max="14066"/>
    <col width="11.453125" bestFit="1" customWidth="1" style="325" min="14067" max="14068"/>
    <col width="11.453125" customWidth="1" style="325" min="14069" max="14069"/>
    <col width="11" customWidth="1" style="325" min="14070" max="14070"/>
    <col width="12.1796875" customWidth="1" style="325" min="14071" max="14071"/>
    <col width="11.453125" customWidth="1" style="325" min="14072" max="14315"/>
    <col width="18.7265625" customWidth="1" style="325" min="14316" max="14316"/>
    <col width="28.453125" customWidth="1" style="325" min="14317" max="14317"/>
    <col width="11.453125" bestFit="1" customWidth="1" style="325" min="14318" max="14318"/>
    <col width="10.453125" customWidth="1" style="325" min="14319" max="14319"/>
    <col width="10.7265625" customWidth="1" style="325" min="14320" max="14320"/>
    <col width="11.453125" customWidth="1" style="325" min="14321" max="14321"/>
    <col width="12" customWidth="1" style="325" min="14322" max="14322"/>
    <col width="11.453125" bestFit="1" customWidth="1" style="325" min="14323" max="14324"/>
    <col width="11.453125" customWidth="1" style="325" min="14325" max="14325"/>
    <col width="11" customWidth="1" style="325" min="14326" max="14326"/>
    <col width="12.1796875" customWidth="1" style="325" min="14327" max="14327"/>
    <col width="11.453125" customWidth="1" style="325" min="14328" max="14571"/>
    <col width="18.7265625" customWidth="1" style="325" min="14572" max="14572"/>
    <col width="28.453125" customWidth="1" style="325" min="14573" max="14573"/>
    <col width="11.453125" bestFit="1" customWidth="1" style="325" min="14574" max="14574"/>
    <col width="10.453125" customWidth="1" style="325" min="14575" max="14575"/>
    <col width="10.7265625" customWidth="1" style="325" min="14576" max="14576"/>
    <col width="11.453125" customWidth="1" style="325" min="14577" max="14577"/>
    <col width="12" customWidth="1" style="325" min="14578" max="14578"/>
    <col width="11.453125" bestFit="1" customWidth="1" style="325" min="14579" max="14580"/>
    <col width="11.453125" customWidth="1" style="325" min="14581" max="14581"/>
    <col width="11" customWidth="1" style="325" min="14582" max="14582"/>
    <col width="12.1796875" customWidth="1" style="325" min="14583" max="14583"/>
    <col width="11.453125" customWidth="1" style="325" min="14584" max="14827"/>
    <col width="18.7265625" customWidth="1" style="325" min="14828" max="14828"/>
    <col width="28.453125" customWidth="1" style="325" min="14829" max="14829"/>
    <col width="11.453125" bestFit="1" customWidth="1" style="325" min="14830" max="14830"/>
    <col width="10.453125" customWidth="1" style="325" min="14831" max="14831"/>
    <col width="10.7265625" customWidth="1" style="325" min="14832" max="14832"/>
    <col width="11.453125" customWidth="1" style="325" min="14833" max="14833"/>
    <col width="12" customWidth="1" style="325" min="14834" max="14834"/>
    <col width="11.453125" bestFit="1" customWidth="1" style="325" min="14835" max="14836"/>
    <col width="11.453125" customWidth="1" style="325" min="14837" max="14837"/>
    <col width="11" customWidth="1" style="325" min="14838" max="14838"/>
    <col width="12.1796875" customWidth="1" style="325" min="14839" max="14839"/>
    <col width="11.453125" customWidth="1" style="325" min="14840" max="15083"/>
    <col width="18.7265625" customWidth="1" style="325" min="15084" max="15084"/>
    <col width="28.453125" customWidth="1" style="325" min="15085" max="15085"/>
    <col width="11.453125" bestFit="1" customWidth="1" style="325" min="15086" max="15086"/>
    <col width="10.453125" customWidth="1" style="325" min="15087" max="15087"/>
    <col width="10.7265625" customWidth="1" style="325" min="15088" max="15088"/>
    <col width="11.453125" customWidth="1" style="325" min="15089" max="15089"/>
    <col width="12" customWidth="1" style="325" min="15090" max="15090"/>
    <col width="11.453125" bestFit="1" customWidth="1" style="325" min="15091" max="15092"/>
    <col width="11.453125" customWidth="1" style="325" min="15093" max="15093"/>
    <col width="11" customWidth="1" style="325" min="15094" max="15094"/>
    <col width="12.1796875" customWidth="1" style="325" min="15095" max="15095"/>
    <col width="11.453125" customWidth="1" style="325" min="15096" max="15339"/>
    <col width="18.7265625" customWidth="1" style="325" min="15340" max="15340"/>
    <col width="28.453125" customWidth="1" style="325" min="15341" max="15341"/>
    <col width="11.453125" bestFit="1" customWidth="1" style="325" min="15342" max="15342"/>
    <col width="10.453125" customWidth="1" style="325" min="15343" max="15343"/>
    <col width="10.7265625" customWidth="1" style="325" min="15344" max="15344"/>
    <col width="11.453125" customWidth="1" style="325" min="15345" max="15345"/>
    <col width="12" customWidth="1" style="325" min="15346" max="15346"/>
    <col width="11.453125" bestFit="1" customWidth="1" style="325" min="15347" max="15348"/>
    <col width="11.453125" customWidth="1" style="325" min="15349" max="15349"/>
    <col width="11" customWidth="1" style="325" min="15350" max="15350"/>
    <col width="12.1796875" customWidth="1" style="325" min="15351" max="15351"/>
    <col width="11.453125" customWidth="1" style="325" min="15352" max="15595"/>
    <col width="18.7265625" customWidth="1" style="325" min="15596" max="15596"/>
    <col width="28.453125" customWidth="1" style="325" min="15597" max="15597"/>
    <col width="11.453125" bestFit="1" customWidth="1" style="325" min="15598" max="15598"/>
    <col width="10.453125" customWidth="1" style="325" min="15599" max="15599"/>
    <col width="10.7265625" customWidth="1" style="325" min="15600" max="15600"/>
    <col width="11.453125" customWidth="1" style="325" min="15601" max="15601"/>
    <col width="12" customWidth="1" style="325" min="15602" max="15602"/>
    <col width="11.453125" bestFit="1" customWidth="1" style="325" min="15603" max="15604"/>
    <col width="11.453125" customWidth="1" style="325" min="15605" max="15605"/>
    <col width="11" customWidth="1" style="325" min="15606" max="15606"/>
    <col width="12.1796875" customWidth="1" style="325" min="15607" max="15607"/>
    <col width="11.453125" customWidth="1" style="325" min="15608" max="15851"/>
    <col width="18.7265625" customWidth="1" style="325" min="15852" max="15852"/>
    <col width="28.453125" customWidth="1" style="325" min="15853" max="15853"/>
    <col width="11.453125" bestFit="1" customWidth="1" style="325" min="15854" max="15854"/>
    <col width="10.453125" customWidth="1" style="325" min="15855" max="15855"/>
    <col width="10.7265625" customWidth="1" style="325" min="15856" max="15856"/>
    <col width="11.453125" customWidth="1" style="325" min="15857" max="15857"/>
    <col width="12" customWidth="1" style="325" min="15858" max="15858"/>
    <col width="11.453125" bestFit="1" customWidth="1" style="325" min="15859" max="15860"/>
    <col width="11.453125" customWidth="1" style="325" min="15861" max="15861"/>
    <col width="11" customWidth="1" style="325" min="15862" max="15862"/>
    <col width="12.1796875" customWidth="1" style="325" min="15863" max="15863"/>
    <col width="11.453125" customWidth="1" style="325" min="15864" max="16107"/>
    <col width="18.7265625" customWidth="1" style="325" min="16108" max="16108"/>
    <col width="28.453125" customWidth="1" style="325" min="16109" max="16109"/>
    <col width="11.453125" bestFit="1" customWidth="1" style="325" min="16110" max="16110"/>
    <col width="10.453125" customWidth="1" style="325" min="16111" max="16111"/>
    <col width="10.7265625" customWidth="1" style="325" min="16112" max="16112"/>
    <col width="11.453125" customWidth="1" style="325" min="16113" max="16113"/>
    <col width="12" customWidth="1" style="325" min="16114" max="16114"/>
    <col width="11.453125" bestFit="1" customWidth="1" style="325" min="16115" max="16116"/>
    <col width="11.453125" customWidth="1" style="325" min="16117" max="16117"/>
    <col width="11" customWidth="1" style="325" min="16118" max="16118"/>
    <col width="12.1796875" customWidth="1" style="325" min="16119" max="16119"/>
    <col width="11.453125" customWidth="1" style="325" min="16120" max="16383"/>
    <col width="11.453125" customWidth="1" style="325" min="16384" max="16384"/>
  </cols>
  <sheetData>
    <row r="1">
      <c r="A1" s="1389" t="n"/>
      <c r="B1" s="1349" t="n"/>
      <c r="C1" s="1351" t="n"/>
      <c r="D1" s="1351" t="n"/>
      <c r="E1" s="1351" t="n"/>
      <c r="F1" s="1351" t="n"/>
      <c r="G1" s="1351" t="n"/>
      <c r="H1" s="1351" t="n"/>
      <c r="I1" s="1351" t="n"/>
      <c r="J1" s="1351" t="n"/>
      <c r="K1" s="1351" t="n"/>
      <c r="L1" s="1351" t="n"/>
      <c r="M1" s="1351" t="n"/>
      <c r="N1" s="1351" t="n"/>
      <c r="O1" s="1351" t="n"/>
      <c r="P1" s="1349" t="n"/>
    </row>
    <row r="2" customFormat="1" s="324">
      <c r="A2" s="1349" t="n"/>
      <c r="B2" s="1390" t="n"/>
      <c r="C2" s="1351" t="n"/>
      <c r="D2" s="1351" t="n"/>
      <c r="E2" s="1351" t="n"/>
      <c r="F2" s="1351" t="n"/>
      <c r="G2" s="1351" t="n"/>
      <c r="H2" s="1391" t="n"/>
      <c r="I2" s="1351" t="n"/>
      <c r="J2" s="1351" t="n"/>
      <c r="K2" s="1351" t="n"/>
      <c r="L2" s="1351" t="n"/>
      <c r="M2" s="1351" t="n"/>
      <c r="N2" s="1351" t="n"/>
      <c r="O2" s="1351" t="n"/>
      <c r="P2" s="1349" t="n"/>
    </row>
    <row r="3">
      <c r="A3" s="1389" t="n"/>
      <c r="B3" s="1392" t="inlineStr">
        <is>
          <t xml:space="preserve">                  POIDS DE LA TARE DES CONTENEURS PAR DESTINATION (en tonne) : EXERCICE </t>
        </is>
      </c>
      <c r="C3" s="1351" t="n"/>
      <c r="D3" s="1351" t="n"/>
      <c r="E3" s="1351" t="n"/>
      <c r="F3" s="1351" t="n"/>
      <c r="G3" s="1393" t="n">
        <v>2025</v>
      </c>
      <c r="H3" s="1351" t="n"/>
      <c r="I3" s="1351" t="n"/>
      <c r="J3" s="1351" t="n"/>
      <c r="K3" s="1351" t="n"/>
      <c r="L3" s="1351" t="n"/>
      <c r="M3" s="1351" t="n"/>
      <c r="N3" s="1351" t="n"/>
      <c r="O3" s="1351" t="n"/>
      <c r="P3" s="1349" t="n"/>
    </row>
    <row r="4">
      <c r="A4" s="1389" t="n"/>
      <c r="B4" s="1349" t="n"/>
      <c r="C4" s="1394" t="n"/>
      <c r="D4" s="1394" t="n"/>
      <c r="E4" s="1394" t="n"/>
      <c r="F4" s="1394" t="n"/>
      <c r="G4" s="1395" t="n"/>
      <c r="H4" s="1351" t="n"/>
      <c r="I4" s="1351" t="n"/>
      <c r="J4" s="1351" t="n"/>
      <c r="K4" s="1351" t="n"/>
      <c r="L4" s="1351" t="n"/>
      <c r="M4" s="1351" t="n"/>
      <c r="N4" s="1351" t="n"/>
      <c r="O4" s="1351" t="n"/>
      <c r="P4" s="1349" t="n"/>
    </row>
    <row r="5">
      <c r="A5" s="1389" t="n"/>
      <c r="B5" s="1396" t="inlineStr">
        <is>
          <t>RUBRIQUES</t>
        </is>
      </c>
      <c r="C5" s="1397" t="inlineStr">
        <is>
          <t xml:space="preserve">SITUATION A FIN </t>
        </is>
      </c>
      <c r="D5" s="1398" t="n"/>
      <c r="E5" s="1398" t="n"/>
      <c r="F5" s="1399" t="inlineStr">
        <is>
          <t>DECEMBRE</t>
        </is>
      </c>
      <c r="G5" s="1400" t="n"/>
      <c r="H5" s="1351" t="n"/>
      <c r="I5" s="1351" t="n"/>
      <c r="J5" s="1351" t="n"/>
      <c r="K5" s="1351" t="n"/>
      <c r="L5" s="1351" t="n"/>
      <c r="M5" s="1351" t="n"/>
      <c r="N5" s="1351" t="n"/>
      <c r="O5" s="1351" t="n"/>
      <c r="P5" s="1349" t="n"/>
    </row>
    <row r="6" ht="30" customHeight="1">
      <c r="A6" s="1389" t="n"/>
      <c r="B6" s="1401" t="n"/>
      <c r="C6" s="1402" t="n">
        <v>2022</v>
      </c>
      <c r="D6" s="1402" t="n">
        <v>2023</v>
      </c>
      <c r="E6" s="1402" t="n">
        <v>2024</v>
      </c>
      <c r="F6" s="1402" t="n">
        <v>2025</v>
      </c>
      <c r="G6" s="1403" t="inlineStr">
        <is>
          <t>Var. %      2025 / 2024</t>
        </is>
      </c>
      <c r="H6" s="1351" t="n"/>
      <c r="I6" s="1351" t="n"/>
      <c r="J6" s="1351" t="n"/>
      <c r="K6" s="1351" t="n"/>
      <c r="L6" s="1351" t="n"/>
      <c r="M6" s="1351" t="n"/>
      <c r="N6" s="1351" t="n"/>
      <c r="O6" s="1351" t="n"/>
      <c r="P6" s="1349" t="n"/>
    </row>
    <row r="7">
      <c r="A7" s="1389" t="n"/>
      <c r="B7" s="1396" t="n"/>
      <c r="C7" s="1404" t="n"/>
      <c r="D7" s="1404" t="n"/>
      <c r="E7" s="1404" t="n"/>
      <c r="F7" s="1404" t="n"/>
      <c r="G7" s="1405" t="n"/>
      <c r="H7" s="1351" t="n"/>
      <c r="I7" s="1351" t="n"/>
      <c r="J7" s="1351" t="n"/>
      <c r="K7" s="1351" t="n"/>
      <c r="L7" s="1351" t="n"/>
      <c r="M7" s="1351" t="n"/>
      <c r="N7" s="1351" t="n"/>
      <c r="O7" s="1351" t="n"/>
      <c r="P7" s="1349" t="n"/>
    </row>
    <row r="8">
      <c r="A8" s="1389" t="n"/>
      <c r="B8" s="1406" t="inlineStr">
        <is>
          <t>IMPORTATIONS</t>
        </is>
      </c>
      <c r="C8" s="1407" t="n">
        <v>911187.2000000001</v>
      </c>
      <c r="D8" s="1407" t="n">
        <v>1379375.8</v>
      </c>
      <c r="E8" s="1407" t="n">
        <v>1847852.6</v>
      </c>
      <c r="F8" s="1407" t="n">
        <v>1930713.4</v>
      </c>
      <c r="G8" s="1408" t="n">
        <v>4.484167189525833</v>
      </c>
      <c r="H8" s="1351" t="n"/>
      <c r="I8" s="1351" t="n"/>
      <c r="J8" s="1351" t="n"/>
      <c r="K8" s="1351" t="n"/>
      <c r="L8" s="1351" t="n"/>
      <c r="M8" s="1351" t="n"/>
      <c r="N8" s="1351" t="n"/>
      <c r="O8" s="1351" t="n"/>
      <c r="P8" s="1349" t="n"/>
    </row>
    <row r="9">
      <c r="A9" s="1389" t="n"/>
      <c r="B9" s="1406" t="n"/>
      <c r="C9" s="1409" t="n"/>
      <c r="D9" s="1409" t="n"/>
      <c r="E9" s="1409" t="n"/>
      <c r="F9" s="1409" t="n"/>
      <c r="G9" s="1410" t="n"/>
      <c r="H9" s="1351" t="n"/>
      <c r="I9" s="1351" t="n"/>
      <c r="J9" s="1351" t="n"/>
      <c r="K9" s="1351" t="n"/>
      <c r="L9" s="1351" t="n"/>
      <c r="M9" s="1351" t="n"/>
      <c r="N9" s="1351" t="n"/>
      <c r="O9" s="1351" t="n"/>
      <c r="P9" s="1349" t="n"/>
    </row>
    <row r="10">
      <c r="A10" s="1389" t="n"/>
      <c r="B10" s="1411" t="inlineStr">
        <is>
          <t xml:space="preserve">        National</t>
        </is>
      </c>
      <c r="C10" s="1412" t="n">
        <v>822749.4</v>
      </c>
      <c r="D10" s="1412" t="n">
        <v>1020923.2</v>
      </c>
      <c r="E10" s="1412" t="n">
        <v>1163298.4</v>
      </c>
      <c r="F10" s="1412" t="n">
        <v>1204786</v>
      </c>
      <c r="G10" s="1413" t="n">
        <v>3.56637643445567</v>
      </c>
      <c r="H10" s="1351" t="n"/>
      <c r="I10" s="1351" t="n"/>
      <c r="J10" s="1351" t="n"/>
      <c r="K10" s="1351" t="n"/>
      <c r="L10" s="1351" t="n"/>
      <c r="M10" s="1351" t="n"/>
      <c r="N10" s="1351" t="n"/>
      <c r="O10" s="1351" t="n"/>
      <c r="P10" s="1349" t="n"/>
    </row>
    <row r="11">
      <c r="A11" s="1389" t="n"/>
      <c r="B11" s="1411" t="inlineStr">
        <is>
          <t xml:space="preserve">         Transbordement</t>
        </is>
      </c>
      <c r="C11" s="1412" t="n">
        <v>14935.8</v>
      </c>
      <c r="D11" s="1412" t="n">
        <v>280097.4</v>
      </c>
      <c r="E11" s="1412" t="n">
        <v>594024.2000000001</v>
      </c>
      <c r="F11" s="1412" t="n">
        <v>589256.8</v>
      </c>
      <c r="G11" s="1413" t="n">
        <v>-0.8025598957079565</v>
      </c>
      <c r="H11" s="1351" t="n"/>
      <c r="I11" s="1351" t="n"/>
      <c r="J11" s="1351" t="n"/>
      <c r="K11" s="1351" t="n"/>
      <c r="L11" s="1351" t="n"/>
      <c r="M11" s="1351" t="n"/>
      <c r="N11" s="1351" t="n"/>
      <c r="O11" s="1351" t="n"/>
      <c r="P11" s="1349" t="n"/>
    </row>
    <row r="12">
      <c r="A12" s="1389" t="n"/>
      <c r="B12" s="1411" t="inlineStr">
        <is>
          <t xml:space="preserve">         Transit</t>
        </is>
      </c>
      <c r="C12" s="1412" t="n">
        <v>73502</v>
      </c>
      <c r="D12" s="1412" t="n">
        <v>78355.20000000001</v>
      </c>
      <c r="E12" s="1412" t="n">
        <v>90530.00000000001</v>
      </c>
      <c r="F12" s="1412" t="n">
        <v>136670.6</v>
      </c>
      <c r="G12" s="1413" t="n">
        <v>50.96719319562574</v>
      </c>
      <c r="H12" s="1351" t="n"/>
      <c r="I12" s="1351" t="n"/>
      <c r="J12" s="1351" t="n"/>
      <c r="K12" s="1351" t="n"/>
      <c r="L12" s="1351" t="n"/>
      <c r="M12" s="1351" t="n"/>
      <c r="N12" s="1351" t="n"/>
      <c r="O12" s="1351" t="n"/>
      <c r="P12" s="1349" t="n"/>
    </row>
    <row r="13">
      <c r="A13" s="1389" t="n"/>
      <c r="B13" s="1411" t="n"/>
      <c r="C13" s="1414" t="n"/>
      <c r="D13" s="1414" t="n"/>
      <c r="E13" s="1414" t="n"/>
      <c r="F13" s="1414" t="n"/>
      <c r="G13" s="1413" t="n"/>
      <c r="H13" s="1351" t="n"/>
      <c r="I13" s="1415" t="inlineStr">
        <is>
          <t xml:space="preserve"> </t>
        </is>
      </c>
      <c r="J13" s="1351" t="n"/>
      <c r="K13" s="1351" t="n"/>
      <c r="L13" s="1351" t="n"/>
      <c r="M13" s="1351" t="n"/>
      <c r="N13" s="1351" t="n"/>
      <c r="O13" s="1351" t="n"/>
      <c r="P13" s="1349" t="n"/>
    </row>
    <row r="14">
      <c r="A14" s="1389" t="n"/>
      <c r="B14" s="1411" t="inlineStr">
        <is>
          <t xml:space="preserve">           *  Pays sans littoral</t>
        </is>
      </c>
      <c r="C14" s="1414" t="n">
        <v>73174.2</v>
      </c>
      <c r="D14" s="1414" t="n">
        <v>77477.39999999999</v>
      </c>
      <c r="E14" s="1414" t="n">
        <v>88963.60000000001</v>
      </c>
      <c r="F14" s="1414" t="n">
        <v>134037.2</v>
      </c>
      <c r="G14" s="1413" t="n">
        <v>50.66521588604778</v>
      </c>
      <c r="H14" s="1351" t="n"/>
      <c r="I14" s="1351" t="n"/>
      <c r="J14" s="1351" t="n"/>
      <c r="K14" s="1351" t="n"/>
      <c r="L14" s="1351" t="n"/>
      <c r="M14" s="1351" t="n"/>
      <c r="N14" s="1351" t="n"/>
      <c r="O14" s="1351" t="n"/>
      <c r="P14" s="1349" t="n"/>
    </row>
    <row r="15">
      <c r="A15" s="1389" t="n"/>
      <c r="B15" s="1416" t="inlineStr">
        <is>
          <t xml:space="preserve">                    - Burkina Faso</t>
        </is>
      </c>
      <c r="C15" s="1417" t="n">
        <v>62939.8</v>
      </c>
      <c r="D15" s="1417" t="n">
        <v>58579.4</v>
      </c>
      <c r="E15" s="1417" t="n">
        <v>59835.60000000001</v>
      </c>
      <c r="F15" s="1417" t="n">
        <v>77446.60000000001</v>
      </c>
      <c r="G15" s="1418" t="n">
        <v>29.43231119935289</v>
      </c>
      <c r="H15" s="1351" t="n"/>
      <c r="I15" s="1351" t="n"/>
      <c r="J15" s="1351" t="n"/>
      <c r="K15" s="1351" t="n"/>
      <c r="L15" s="1351" t="n"/>
      <c r="M15" s="1351" t="n"/>
      <c r="N15" s="1351" t="n"/>
      <c r="O15" s="1351" t="n"/>
      <c r="P15" s="1349" t="n"/>
    </row>
    <row r="16" customFormat="1" s="342">
      <c r="A16" s="1389" t="n"/>
      <c r="B16" s="1416" t="inlineStr">
        <is>
          <t xml:space="preserve">                   - Mali</t>
        </is>
      </c>
      <c r="C16" s="1417" t="n">
        <v>10188.2</v>
      </c>
      <c r="D16" s="1417" t="n">
        <v>18898</v>
      </c>
      <c r="E16" s="1417" t="n">
        <v>28919</v>
      </c>
      <c r="F16" s="1417" t="n">
        <v>56575.2</v>
      </c>
      <c r="G16" s="1418" t="n">
        <v>95.63332065424115</v>
      </c>
      <c r="H16" s="1419" t="n"/>
      <c r="I16" s="1419" t="n"/>
      <c r="J16" s="1351" t="n"/>
      <c r="K16" s="1351" t="n"/>
      <c r="L16" s="1351" t="n"/>
      <c r="M16" s="1351" t="n"/>
      <c r="N16" s="1351" t="n"/>
      <c r="O16" s="1351" t="n"/>
      <c r="P16" s="1349" t="n"/>
    </row>
    <row r="17">
      <c r="A17" s="1389" t="n"/>
      <c r="B17" s="1416" t="inlineStr">
        <is>
          <t xml:space="preserve">                   - Niger</t>
        </is>
      </c>
      <c r="C17" s="1417" t="n">
        <v>46.2</v>
      </c>
      <c r="D17" s="1417" t="n">
        <v>0</v>
      </c>
      <c r="E17" s="1417" t="n">
        <v>209</v>
      </c>
      <c r="F17" s="1417" t="n">
        <v>15.4</v>
      </c>
      <c r="G17" s="1418" t="n">
        <v>-92.63157894736842</v>
      </c>
      <c r="H17" s="1351" t="n"/>
      <c r="I17" s="1415" t="inlineStr">
        <is>
          <t xml:space="preserve"> </t>
        </is>
      </c>
      <c r="J17" s="1351" t="n"/>
      <c r="K17" s="1351" t="n"/>
      <c r="L17" s="1351" t="n"/>
      <c r="M17" s="1351" t="n"/>
      <c r="N17" s="1351" t="n"/>
      <c r="O17" s="1351" t="n"/>
      <c r="P17" s="1349" t="n"/>
    </row>
    <row r="18">
      <c r="A18" s="1389" t="n"/>
      <c r="B18" s="1411" t="inlineStr">
        <is>
          <t xml:space="preserve">           *  Pays côtiers</t>
        </is>
      </c>
      <c r="C18" s="1412" t="n">
        <v>327.8</v>
      </c>
      <c r="D18" s="1412" t="n">
        <v>877.8000000000001</v>
      </c>
      <c r="E18" s="1412" t="n">
        <v>1566.4</v>
      </c>
      <c r="F18" s="1412" t="n">
        <v>2633.4</v>
      </c>
      <c r="G18" s="1413" t="n">
        <v>68.11797752808988</v>
      </c>
      <c r="H18" s="1351" t="n"/>
      <c r="I18" s="1351" t="n"/>
      <c r="J18" s="1351" t="n"/>
      <c r="K18" s="1351" t="n"/>
      <c r="L18" s="1351" t="n"/>
      <c r="M18" s="1351" t="n"/>
      <c r="N18" s="1351" t="n"/>
      <c r="O18" s="1351" t="n"/>
      <c r="P18" s="1349" t="n"/>
    </row>
    <row r="19">
      <c r="A19" s="1389" t="n"/>
      <c r="B19" s="1420" t="n"/>
      <c r="C19" s="1421" t="n"/>
      <c r="D19" s="1421" t="n"/>
      <c r="E19" s="1421" t="n"/>
      <c r="F19" s="1421" t="n"/>
      <c r="G19" s="1422" t="n"/>
      <c r="H19" s="1351" t="n"/>
      <c r="I19" s="1351" t="n"/>
      <c r="J19" s="1351" t="n"/>
      <c r="K19" s="1351" t="n"/>
      <c r="L19" s="1351" t="n"/>
      <c r="M19" s="1351" t="n"/>
      <c r="N19" s="1351" t="n"/>
      <c r="O19" s="1351" t="n"/>
      <c r="P19" s="1349" t="n"/>
    </row>
    <row r="20">
      <c r="A20" s="1389" t="n"/>
      <c r="B20" s="1406" t="inlineStr">
        <is>
          <t>EXPORTATIONS</t>
        </is>
      </c>
      <c r="C20" s="1409" t="n">
        <v>937750.0000000001</v>
      </c>
      <c r="D20" s="1409" t="n">
        <v>1344653.2</v>
      </c>
      <c r="E20" s="1409" t="n">
        <v>1774016.2</v>
      </c>
      <c r="F20" s="1409" t="n">
        <v>1829764.2</v>
      </c>
      <c r="G20" s="1408" t="n">
        <v>3.142474121713206</v>
      </c>
      <c r="H20" s="1351" t="n"/>
      <c r="I20" s="1351" t="n"/>
      <c r="J20" s="1351" t="n"/>
      <c r="K20" s="1351" t="n"/>
      <c r="L20" s="1351" t="n"/>
      <c r="M20" s="1351" t="n"/>
      <c r="N20" s="1351" t="n"/>
      <c r="O20" s="1351" t="n"/>
      <c r="P20" s="1349" t="n"/>
    </row>
    <row r="21">
      <c r="A21" s="1389" t="n"/>
      <c r="B21" s="1406" t="n"/>
      <c r="C21" s="1409" t="n"/>
      <c r="D21" s="1409" t="n"/>
      <c r="E21" s="1409" t="n"/>
      <c r="F21" s="1409" t="n"/>
      <c r="G21" s="1410" t="n"/>
      <c r="H21" s="1351" t="n"/>
      <c r="I21" s="1351" t="n"/>
      <c r="J21" s="1351" t="n"/>
      <c r="K21" s="1351" t="n"/>
      <c r="L21" s="1351" t="n"/>
      <c r="M21" s="1351" t="n"/>
      <c r="N21" s="1351" t="n"/>
      <c r="O21" s="1351" t="n"/>
      <c r="P21" s="1349" t="n"/>
    </row>
    <row r="22">
      <c r="A22" s="1389" t="n"/>
      <c r="B22" s="1411" t="inlineStr">
        <is>
          <t xml:space="preserve">        National</t>
        </is>
      </c>
      <c r="C22" s="1412" t="n">
        <v>897446.0000000001</v>
      </c>
      <c r="D22" s="1412" t="n">
        <v>1055214.6</v>
      </c>
      <c r="E22" s="1412" t="n">
        <v>1158990.8</v>
      </c>
      <c r="F22" s="1417" t="n">
        <v>1243671</v>
      </c>
      <c r="G22" s="1413" t="n">
        <v>7.306373786573625</v>
      </c>
      <c r="H22" s="1351" t="n"/>
      <c r="I22" s="1351" t="n"/>
      <c r="J22" s="1351" t="n"/>
      <c r="K22" s="1351" t="n"/>
      <c r="L22" s="1351" t="n"/>
      <c r="M22" s="1351" t="n"/>
      <c r="N22" s="1351" t="n"/>
      <c r="O22" s="1351" t="n"/>
      <c r="P22" s="1349" t="n"/>
    </row>
    <row r="23">
      <c r="A23" s="1389" t="n"/>
      <c r="B23" s="1411" t="inlineStr">
        <is>
          <t xml:space="preserve">         Transbordement</t>
        </is>
      </c>
      <c r="C23" s="1412" t="n">
        <v>16090.8</v>
      </c>
      <c r="D23" s="1412" t="n">
        <v>262286.2</v>
      </c>
      <c r="E23" s="1412" t="n">
        <v>577409.8</v>
      </c>
      <c r="F23" s="1417" t="n">
        <v>559374.2000000001</v>
      </c>
      <c r="G23" s="1413" t="n">
        <v>-3.123535485542499</v>
      </c>
      <c r="H23" s="1351" t="n"/>
      <c r="I23" s="1351" t="n"/>
      <c r="J23" s="1351" t="n"/>
      <c r="K23" s="1351" t="n"/>
      <c r="L23" s="1351" t="n"/>
      <c r="M23" s="1351" t="n"/>
      <c r="N23" s="1351" t="n"/>
      <c r="O23" s="1351" t="n"/>
      <c r="P23" s="1349" t="n"/>
    </row>
    <row r="24">
      <c r="A24" s="1389" t="n"/>
      <c r="B24" s="1411" t="inlineStr">
        <is>
          <t xml:space="preserve">         Transit</t>
        </is>
      </c>
      <c r="C24" s="1412" t="n">
        <v>24213.2</v>
      </c>
      <c r="D24" s="1412" t="n">
        <v>27152.4</v>
      </c>
      <c r="E24" s="1412" t="n">
        <v>37615.60000000001</v>
      </c>
      <c r="F24" s="1412" t="n">
        <v>26719</v>
      </c>
      <c r="G24" s="1413" t="n">
        <v>-28.96830038601006</v>
      </c>
      <c r="H24" s="1351" t="n"/>
      <c r="I24" s="1415" t="inlineStr">
        <is>
          <t xml:space="preserve"> </t>
        </is>
      </c>
      <c r="J24" s="1351" t="n"/>
      <c r="K24" s="1351" t="n"/>
      <c r="L24" s="1351" t="n"/>
      <c r="M24" s="1351" t="n"/>
      <c r="N24" s="1351" t="n"/>
      <c r="O24" s="1351" t="n"/>
      <c r="P24" s="1349" t="n"/>
    </row>
    <row r="25">
      <c r="A25" s="1389" t="n"/>
      <c r="B25" s="1411" t="n"/>
      <c r="C25" s="1414" t="n"/>
      <c r="D25" s="1414" t="n"/>
      <c r="E25" s="1414" t="n"/>
      <c r="F25" s="1414" t="n"/>
      <c r="G25" s="1413" t="n"/>
      <c r="H25" s="1351" t="n"/>
      <c r="I25" s="1351" t="n"/>
      <c r="J25" s="1351" t="n"/>
      <c r="K25" s="1351" t="n"/>
      <c r="L25" s="1351" t="n"/>
      <c r="M25" s="1351" t="n"/>
      <c r="N25" s="1351" t="n"/>
      <c r="O25" s="1351" t="n"/>
      <c r="P25" s="1349" t="n"/>
    </row>
    <row r="26">
      <c r="A26" s="1389" t="n"/>
      <c r="B26" s="1411" t="inlineStr">
        <is>
          <t xml:space="preserve">           *  Pays sans littoral</t>
        </is>
      </c>
      <c r="C26" s="1414" t="n">
        <v>24191.2</v>
      </c>
      <c r="D26" s="1414" t="n">
        <v>27148</v>
      </c>
      <c r="E26" s="1414" t="n">
        <v>28560.4</v>
      </c>
      <c r="F26" s="1414" t="n">
        <v>26719</v>
      </c>
      <c r="G26" s="1413" t="n">
        <v>-6.447388692035131</v>
      </c>
      <c r="H26" s="1351" t="n"/>
      <c r="I26" s="1351" t="n"/>
      <c r="J26" s="1351" t="n"/>
      <c r="K26" s="1351" t="n"/>
      <c r="L26" s="1351" t="n"/>
      <c r="M26" s="1351" t="n"/>
      <c r="N26" s="1351" t="n"/>
      <c r="O26" s="1351" t="n"/>
      <c r="P26" s="1349" t="n"/>
    </row>
    <row r="27">
      <c r="A27" s="1389" t="n"/>
      <c r="B27" s="1416" t="inlineStr">
        <is>
          <t xml:space="preserve">                    - Burkina Faso</t>
        </is>
      </c>
      <c r="C27" s="1417" t="n">
        <v>15521</v>
      </c>
      <c r="D27" s="1417" t="n">
        <v>15835.6</v>
      </c>
      <c r="E27" s="1417" t="n">
        <v>14907.2</v>
      </c>
      <c r="F27" s="1417" t="n">
        <v>12388.2</v>
      </c>
      <c r="G27" s="1418" t="n">
        <v>-16.8978748524203</v>
      </c>
      <c r="H27" s="1351" t="n"/>
      <c r="I27" s="1351" t="n"/>
      <c r="J27" s="1351" t="n"/>
      <c r="K27" s="1351" t="n"/>
      <c r="L27" s="1351" t="n"/>
      <c r="M27" s="1351" t="n"/>
      <c r="N27" s="1351" t="n"/>
      <c r="O27" s="1351" t="n"/>
      <c r="P27" s="1349" t="n"/>
    </row>
    <row r="28">
      <c r="A28" s="1389" t="n"/>
      <c r="B28" s="1416" t="inlineStr">
        <is>
          <t xml:space="preserve">                   - Mali</t>
        </is>
      </c>
      <c r="C28" s="1417" t="n">
        <v>8670.200000000001</v>
      </c>
      <c r="D28" s="1417" t="n">
        <v>11312.4</v>
      </c>
      <c r="E28" s="1417" t="n">
        <v>13653.2</v>
      </c>
      <c r="F28" s="1417" t="n">
        <v>14330.8</v>
      </c>
      <c r="G28" s="1418" t="n">
        <v>4.962939091202065</v>
      </c>
      <c r="H28" s="1351" t="n"/>
      <c r="I28" s="1351" t="n"/>
      <c r="J28" s="1351" t="n"/>
      <c r="K28" s="1351" t="n"/>
      <c r="L28" s="1351" t="n"/>
      <c r="M28" s="1351" t="n"/>
      <c r="N28" s="1351" t="n"/>
      <c r="O28" s="1351" t="n"/>
      <c r="P28" s="1349" t="n"/>
    </row>
    <row r="29">
      <c r="A29" s="1389" t="n"/>
      <c r="B29" s="1416" t="inlineStr">
        <is>
          <t xml:space="preserve">                   - Niger</t>
        </is>
      </c>
      <c r="C29" s="1417" t="n">
        <v>0</v>
      </c>
      <c r="D29" s="1417" t="n">
        <v>0</v>
      </c>
      <c r="E29" s="1417" t="n">
        <v>0</v>
      </c>
      <c r="F29" s="1417" t="n">
        <v>0</v>
      </c>
      <c r="G29" s="1423" t="inlineStr"/>
      <c r="H29" s="1351" t="n"/>
      <c r="I29" s="1351" t="n"/>
      <c r="J29" s="1351" t="n"/>
      <c r="K29" s="1351" t="n"/>
      <c r="L29" s="1351" t="n"/>
      <c r="M29" s="1351" t="n"/>
      <c r="N29" s="1351" t="n"/>
      <c r="O29" s="1351" t="n"/>
      <c r="P29" s="1349" t="n"/>
    </row>
    <row r="30">
      <c r="A30" s="1389" t="n"/>
      <c r="B30" s="1411" t="inlineStr">
        <is>
          <t xml:space="preserve">           *  Pays côtiers</t>
        </is>
      </c>
      <c r="C30" s="1412" t="n">
        <v>22</v>
      </c>
      <c r="D30" s="1412" t="n">
        <v>4.4</v>
      </c>
      <c r="E30" s="1412" t="n">
        <v>9055.200000000001</v>
      </c>
      <c r="F30" s="1412" t="n">
        <v>0</v>
      </c>
      <c r="G30" s="1413" t="n">
        <v>-100</v>
      </c>
      <c r="H30" s="1351" t="n"/>
      <c r="I30" s="1351" t="n"/>
      <c r="J30" s="1351" t="n"/>
      <c r="K30" s="1351" t="n"/>
      <c r="L30" s="1351" t="n"/>
      <c r="M30" s="1351" t="n"/>
      <c r="N30" s="1351" t="n"/>
      <c r="O30" s="1351" t="n"/>
      <c r="P30" s="1349" t="n"/>
    </row>
    <row r="31">
      <c r="A31" s="1389" t="n"/>
      <c r="B31" s="1420" t="n"/>
      <c r="C31" s="1424" t="n"/>
      <c r="D31" s="1424" t="n"/>
      <c r="E31" s="1424" t="n"/>
      <c r="F31" s="1424" t="n"/>
      <c r="G31" s="1425" t="n"/>
      <c r="H31" s="1351" t="n"/>
      <c r="I31" s="1351" t="n"/>
      <c r="J31" s="1351" t="n"/>
      <c r="K31" s="1351" t="n"/>
      <c r="L31" s="1351" t="n"/>
      <c r="M31" s="1351" t="n"/>
      <c r="N31" s="1351" t="n"/>
      <c r="O31" s="1351" t="n"/>
      <c r="P31" s="1349" t="n"/>
    </row>
    <row r="32">
      <c r="A32" s="1389" t="n"/>
      <c r="B32" s="1426" t="inlineStr">
        <is>
          <t xml:space="preserve"> TRAFIC GLOBAL </t>
        </is>
      </c>
      <c r="C32" s="1427" t="n">
        <v>1848937.2</v>
      </c>
      <c r="D32" s="1427" t="n">
        <v>2724029</v>
      </c>
      <c r="E32" s="1427" t="n">
        <v>3621868.8</v>
      </c>
      <c r="F32" s="1427" t="n">
        <v>3760477.600000001</v>
      </c>
      <c r="G32" s="1428" t="n">
        <v>3.826996715065998</v>
      </c>
      <c r="H32" s="1351" t="n"/>
      <c r="I32" s="1351" t="n"/>
      <c r="J32" s="1351" t="n"/>
      <c r="K32" s="1351" t="n"/>
      <c r="L32" s="1351" t="n"/>
      <c r="M32" s="1351" t="n"/>
      <c r="N32" s="1351" t="n"/>
      <c r="O32" s="1351" t="n"/>
      <c r="P32" s="1349" t="n"/>
    </row>
    <row r="33">
      <c r="A33" s="1389" t="n"/>
      <c r="B33" s="1429" t="n"/>
      <c r="C33" s="1427" t="n"/>
      <c r="D33" s="1427" t="n"/>
      <c r="E33" s="1427" t="n"/>
      <c r="F33" s="1427" t="n"/>
      <c r="G33" s="1410" t="n"/>
      <c r="H33" s="1351" t="n"/>
      <c r="I33" s="1351" t="n"/>
      <c r="J33" s="1351" t="n"/>
      <c r="K33" s="1351" t="n"/>
      <c r="L33" s="1351" t="n"/>
      <c r="M33" s="1351" t="n"/>
      <c r="N33" s="1351" t="n"/>
      <c r="O33" s="1351" t="n"/>
      <c r="P33" s="1349" t="n"/>
    </row>
    <row r="34">
      <c r="A34" s="1389" t="n"/>
      <c r="B34" s="1411" t="inlineStr">
        <is>
          <t xml:space="preserve">        National</t>
        </is>
      </c>
      <c r="C34" s="1414" t="n">
        <v>1720195.4</v>
      </c>
      <c r="D34" s="1414" t="n">
        <v>2076137.8</v>
      </c>
      <c r="E34" s="1414" t="n">
        <v>2322289.2</v>
      </c>
      <c r="F34" s="1414" t="n">
        <v>2448457</v>
      </c>
      <c r="G34" s="1413" t="n">
        <v>5.432906461434682</v>
      </c>
      <c r="H34" s="1351" t="n"/>
      <c r="I34" s="1351" t="n"/>
      <c r="J34" s="1351" t="n"/>
      <c r="K34" s="1351" t="n"/>
      <c r="L34" s="1351" t="n"/>
      <c r="M34" s="1351" t="n"/>
      <c r="N34" s="1351" t="n"/>
      <c r="O34" s="1351" t="n"/>
      <c r="P34" s="1349" t="n"/>
    </row>
    <row r="35">
      <c r="A35" s="1389" t="n"/>
      <c r="B35" s="1411" t="inlineStr">
        <is>
          <t xml:space="preserve">         Transbordement</t>
        </is>
      </c>
      <c r="C35" s="1414" t="n">
        <v>31026.6</v>
      </c>
      <c r="D35" s="1414" t="n">
        <v>542383.6000000001</v>
      </c>
      <c r="E35" s="1414" t="n">
        <v>1171434</v>
      </c>
      <c r="F35" s="1414" t="n">
        <v>1148631</v>
      </c>
      <c r="G35" s="1413" t="n">
        <v>-1.946588540199448</v>
      </c>
      <c r="H35" s="1351" t="n"/>
      <c r="I35" s="1351" t="n"/>
      <c r="J35" s="1351" t="n"/>
      <c r="K35" s="1351" t="n"/>
      <c r="L35" s="1351" t="n"/>
      <c r="M35" s="1351" t="n"/>
      <c r="N35" s="1351" t="n"/>
      <c r="O35" s="1351" t="n"/>
      <c r="P35" s="1349" t="n"/>
    </row>
    <row r="36">
      <c r="A36" s="1389" t="n"/>
      <c r="B36" s="1411" t="inlineStr">
        <is>
          <t xml:space="preserve">         Transit</t>
        </is>
      </c>
      <c r="C36" s="1414" t="n">
        <v>97715.2</v>
      </c>
      <c r="D36" s="1414" t="n">
        <v>105507.6</v>
      </c>
      <c r="E36" s="1414" t="n">
        <v>128145.6</v>
      </c>
      <c r="F36" s="1414" t="n">
        <v>163389.6</v>
      </c>
      <c r="G36" s="1413" t="n">
        <v>27.50309023485784</v>
      </c>
      <c r="H36" s="1351" t="n"/>
      <c r="I36" s="1351" t="n"/>
      <c r="J36" s="1351" t="n"/>
      <c r="K36" s="1351" t="n"/>
      <c r="L36" s="1351" t="n"/>
      <c r="M36" s="1351" t="n"/>
      <c r="N36" s="1351" t="n"/>
      <c r="O36" s="1351" t="n"/>
      <c r="P36" s="1349" t="n"/>
    </row>
    <row r="37">
      <c r="A37" s="1389" t="n"/>
      <c r="B37" s="1411" t="n"/>
      <c r="C37" s="1414" t="n"/>
      <c r="D37" s="1414" t="n"/>
      <c r="E37" s="1414" t="n"/>
      <c r="F37" s="1414" t="n"/>
      <c r="G37" s="1413" t="n"/>
      <c r="H37" s="1351" t="n"/>
      <c r="I37" s="1351" t="n"/>
      <c r="J37" s="1351" t="n"/>
      <c r="K37" s="1351" t="n"/>
      <c r="L37" s="1351" t="n"/>
      <c r="M37" s="1351" t="n"/>
      <c r="N37" s="1351" t="n"/>
      <c r="O37" s="1351" t="n"/>
      <c r="P37" s="1349" t="n"/>
    </row>
    <row r="38">
      <c r="A38" s="1389" t="n"/>
      <c r="B38" s="1411" t="inlineStr">
        <is>
          <t xml:space="preserve">           *  Pays sans littoral</t>
        </is>
      </c>
      <c r="C38" s="1414" t="n">
        <v>97365.39999999999</v>
      </c>
      <c r="D38" s="1414" t="n">
        <v>104625.4</v>
      </c>
      <c r="E38" s="1414" t="n">
        <v>117524</v>
      </c>
      <c r="F38" s="1414" t="n">
        <v>160756.2</v>
      </c>
      <c r="G38" s="1413" t="n">
        <v>36.78584799700488</v>
      </c>
      <c r="H38" s="1351" t="n"/>
      <c r="I38" s="1351" t="n"/>
      <c r="J38" s="1351" t="n"/>
      <c r="K38" s="1351" t="n"/>
      <c r="L38" s="1351" t="n"/>
      <c r="M38" s="1351" t="n"/>
      <c r="N38" s="1351" t="n"/>
      <c r="O38" s="1351" t="n"/>
      <c r="P38" s="1349" t="n"/>
    </row>
    <row r="39">
      <c r="A39" s="1389" t="n"/>
      <c r="B39" s="1416" t="inlineStr">
        <is>
          <t xml:space="preserve">                    - Burkina Faso</t>
        </is>
      </c>
      <c r="C39" s="1430" t="n">
        <v>78460.8</v>
      </c>
      <c r="D39" s="1430" t="n">
        <v>74415</v>
      </c>
      <c r="E39" s="1430" t="n">
        <v>74742.8</v>
      </c>
      <c r="F39" s="1430" t="n">
        <v>89834.8</v>
      </c>
      <c r="G39" s="1418" t="n">
        <v>20.19191146170601</v>
      </c>
      <c r="H39" s="1351" t="n"/>
      <c r="I39" s="1351" t="n"/>
      <c r="J39" s="1351" t="n"/>
      <c r="K39" s="1351" t="n"/>
      <c r="L39" s="1351" t="n"/>
      <c r="M39" s="1351" t="n"/>
      <c r="N39" s="1351" t="n"/>
      <c r="O39" s="1351" t="n"/>
      <c r="P39" s="1349" t="n"/>
    </row>
    <row r="40">
      <c r="A40" s="1389" t="n"/>
      <c r="B40" s="1416" t="inlineStr">
        <is>
          <t xml:space="preserve">                   - Mali</t>
        </is>
      </c>
      <c r="C40" s="1430" t="n">
        <v>18858.4</v>
      </c>
      <c r="D40" s="1430" t="n">
        <v>30210.4</v>
      </c>
      <c r="E40" s="1430" t="n">
        <v>42572.2</v>
      </c>
      <c r="F40" s="1430" t="n">
        <v>70906</v>
      </c>
      <c r="G40" s="1418" t="n">
        <v>66.55470001550306</v>
      </c>
      <c r="H40" s="1351" t="n"/>
      <c r="I40" s="1351" t="n"/>
      <c r="J40" s="1351" t="n"/>
      <c r="K40" s="1351" t="n"/>
      <c r="L40" s="1351" t="n"/>
      <c r="M40" s="1351" t="n"/>
      <c r="N40" s="1351" t="n"/>
      <c r="O40" s="1351" t="n"/>
      <c r="P40" s="1349" t="n"/>
    </row>
    <row r="41">
      <c r="A41" s="1389" t="n"/>
      <c r="B41" s="1416" t="inlineStr">
        <is>
          <t xml:space="preserve">                   - Niger</t>
        </is>
      </c>
      <c r="C41" s="1430" t="n">
        <v>46.2</v>
      </c>
      <c r="D41" s="1430" t="n">
        <v>0</v>
      </c>
      <c r="E41" s="1430" t="n">
        <v>209</v>
      </c>
      <c r="F41" s="1430" t="n">
        <v>15.4</v>
      </c>
      <c r="G41" s="1418" t="n">
        <v>-92.63157894736842</v>
      </c>
      <c r="H41" s="1351" t="n"/>
      <c r="I41" s="1351" t="n"/>
      <c r="J41" s="1351" t="n"/>
      <c r="K41" s="1351" t="n"/>
      <c r="L41" s="1351" t="n"/>
      <c r="M41" s="1351" t="n"/>
      <c r="N41" s="1351" t="n"/>
      <c r="O41" s="1351" t="n"/>
      <c r="P41" s="1349" t="n"/>
    </row>
    <row r="42">
      <c r="A42" s="1389" t="n"/>
      <c r="B42" s="1411" t="inlineStr">
        <is>
          <t xml:space="preserve">           *  Pays côtiers</t>
        </is>
      </c>
      <c r="C42" s="1421" t="n">
        <v>349.8</v>
      </c>
      <c r="D42" s="1421" t="n">
        <v>882.2</v>
      </c>
      <c r="E42" s="1421" t="n">
        <v>10621.6</v>
      </c>
      <c r="F42" s="1421" t="n">
        <v>2633.4</v>
      </c>
      <c r="G42" s="1413" t="n">
        <v>-75.20712510356256</v>
      </c>
      <c r="H42" s="1351" t="n"/>
      <c r="I42" s="1351" t="n"/>
      <c r="J42" s="1351" t="n"/>
      <c r="K42" s="1351" t="n"/>
      <c r="L42" s="1351" t="n"/>
      <c r="M42" s="1351" t="n"/>
      <c r="N42" s="1351" t="n"/>
      <c r="O42" s="1351" t="n"/>
      <c r="P42" s="1349" t="n"/>
    </row>
    <row r="43">
      <c r="A43" s="1389" t="n"/>
      <c r="B43" s="1431" t="n"/>
      <c r="C43" s="1432" t="n"/>
      <c r="D43" s="1432" t="n"/>
      <c r="E43" s="1432" t="n"/>
      <c r="F43" s="1432" t="n"/>
      <c r="G43" s="1433" t="n"/>
      <c r="H43" s="1351" t="n"/>
      <c r="I43" s="1351" t="n"/>
      <c r="J43" s="1351" t="n"/>
      <c r="K43" s="1351" t="n"/>
      <c r="L43" s="1351" t="n"/>
      <c r="M43" s="1351" t="n"/>
      <c r="N43" s="1351" t="n"/>
      <c r="O43" s="1351" t="n"/>
      <c r="P43" s="1349" t="n"/>
    </row>
    <row r="44">
      <c r="A44" s="1389" t="n"/>
      <c r="B44" s="1434" t="n"/>
      <c r="C44" s="1435" t="n"/>
      <c r="D44" s="1435" t="n"/>
      <c r="E44" s="1435" t="n"/>
      <c r="F44" s="1435" t="n"/>
      <c r="G44" s="1436" t="n"/>
      <c r="H44" s="1351" t="n"/>
      <c r="I44" s="1351" t="n"/>
      <c r="J44" s="1351" t="n"/>
      <c r="K44" s="1351" t="n"/>
      <c r="L44" s="1351" t="n"/>
      <c r="M44" s="1351" t="n"/>
      <c r="N44" s="1351" t="n"/>
      <c r="O44" s="1351" t="n"/>
      <c r="P44" s="1349" t="n"/>
    </row>
    <row r="45" ht="22.5" customFormat="1" customHeight="1" s="324">
      <c r="A45" s="1349" t="n"/>
      <c r="B45" s="1392" t="inlineStr">
        <is>
          <t xml:space="preserve">                                         TRAFIC GLOBAL REALISE AU PA (en tonne) : EXERCICE </t>
        </is>
      </c>
      <c r="C45" s="1351" t="n"/>
      <c r="D45" s="1351" t="n"/>
      <c r="E45" s="1351" t="n"/>
      <c r="F45" s="1393" t="n">
        <v>2025</v>
      </c>
      <c r="G45" s="1437" t="n"/>
      <c r="H45" s="1391" t="n"/>
      <c r="I45" s="1351" t="n"/>
      <c r="J45" s="1351" t="n"/>
      <c r="K45" s="1351" t="n"/>
      <c r="L45" s="1351" t="n"/>
      <c r="M45" s="1351" t="n"/>
      <c r="N45" s="1351" t="n"/>
      <c r="O45" s="1351" t="n"/>
      <c r="P45" s="1349" t="n"/>
    </row>
    <row r="46" customFormat="1" s="324">
      <c r="A46" s="1349" t="n"/>
      <c r="B46" s="1438" t="n"/>
      <c r="C46" s="1439" t="n"/>
      <c r="D46" s="1439" t="n"/>
      <c r="E46" s="1439" t="n"/>
      <c r="F46" s="1439" t="n"/>
      <c r="G46" s="1440" t="n"/>
      <c r="H46" s="1391" t="n"/>
      <c r="I46" s="1351" t="n"/>
      <c r="J46" s="1351" t="n"/>
      <c r="K46" s="1351" t="n"/>
      <c r="L46" s="1351" t="n"/>
      <c r="M46" s="1351" t="n"/>
      <c r="N46" s="1351" t="n"/>
      <c r="O46" s="1351" t="n"/>
      <c r="P46" s="1349" t="n"/>
    </row>
    <row r="47">
      <c r="A47" s="1389" t="n"/>
      <c r="B47" s="1441" t="inlineStr">
        <is>
          <t>RUBRIQUES</t>
        </is>
      </c>
      <c r="C47" s="1397" t="inlineStr">
        <is>
          <t xml:space="preserve">SITUATION A FIN </t>
        </is>
      </c>
      <c r="D47" s="1398" t="n"/>
      <c r="E47" s="1398" t="n"/>
      <c r="F47" s="1399" t="inlineStr">
        <is>
          <t>DECEMBRE</t>
        </is>
      </c>
      <c r="G47" s="1400" t="n"/>
      <c r="H47" s="1351" t="n"/>
      <c r="I47" s="1351" t="n"/>
      <c r="J47" s="1351" t="n"/>
      <c r="K47" s="1351" t="n"/>
      <c r="L47" s="1351" t="n"/>
      <c r="M47" s="1351" t="n"/>
      <c r="N47" s="1351" t="n"/>
      <c r="O47" s="1351" t="n"/>
      <c r="P47" s="1349" t="n"/>
    </row>
    <row r="48" ht="30" customHeight="1">
      <c r="A48" s="1389" t="n"/>
      <c r="B48" s="1442" t="n"/>
      <c r="C48" s="1402" t="n">
        <v>2022</v>
      </c>
      <c r="D48" s="1402" t="n">
        <v>2023</v>
      </c>
      <c r="E48" s="1402" t="n">
        <v>2024</v>
      </c>
      <c r="F48" s="1402" t="n">
        <v>2025</v>
      </c>
      <c r="G48" s="1403" t="inlineStr">
        <is>
          <t>Var. %      2025 / 2024</t>
        </is>
      </c>
      <c r="H48" s="1351" t="n"/>
      <c r="I48" s="1351" t="n"/>
      <c r="J48" s="1351" t="n"/>
      <c r="K48" s="1351" t="n"/>
      <c r="L48" s="1351" t="n"/>
      <c r="M48" s="1351" t="n"/>
      <c r="N48" s="1351" t="n"/>
      <c r="O48" s="1351" t="n"/>
      <c r="P48" s="1349" t="n"/>
    </row>
    <row r="49" customFormat="1" s="324">
      <c r="A49" s="1349" t="n"/>
      <c r="B49" s="1443" t="n"/>
      <c r="C49" s="1444" t="n"/>
      <c r="D49" s="1444" t="n"/>
      <c r="E49" s="1444" t="n"/>
      <c r="F49" s="1444" t="n"/>
      <c r="G49" s="1445" t="n"/>
      <c r="H49" s="1391" t="n"/>
      <c r="I49" s="1351" t="n"/>
      <c r="J49" s="1351" t="n"/>
      <c r="K49" s="1351" t="n"/>
      <c r="L49" s="1351" t="n"/>
      <c r="M49" s="1351" t="n"/>
      <c r="N49" s="1351" t="n"/>
      <c r="O49" s="1351" t="n"/>
      <c r="P49" s="1349" t="n"/>
    </row>
    <row r="50" customFormat="1" s="324">
      <c r="A50" s="1349" t="n"/>
      <c r="B50" s="1446" t="inlineStr">
        <is>
          <t>PORT DE COMMERCE</t>
        </is>
      </c>
      <c r="C50" s="1447" t="n">
        <v>30097370.47823204</v>
      </c>
      <c r="D50" s="1447" t="n">
        <v>37119064.33604197</v>
      </c>
      <c r="E50" s="1447" t="n">
        <v>43506758.57363003</v>
      </c>
      <c r="F50" s="1447" t="n">
        <v>50459944.5567072</v>
      </c>
      <c r="G50" s="1408" t="n">
        <v>15.98185250070913</v>
      </c>
      <c r="H50" s="1391" t="n"/>
      <c r="I50" s="1351" t="n"/>
      <c r="J50" s="1351" t="n"/>
      <c r="K50" s="1351" t="n"/>
      <c r="L50" s="1351" t="n"/>
      <c r="M50" s="1351" t="n"/>
      <c r="N50" s="1351" t="n"/>
      <c r="O50" s="1351" t="n"/>
      <c r="P50" s="1349" t="n"/>
    </row>
    <row r="51" customFormat="1" s="324">
      <c r="A51" s="1349" t="n"/>
      <c r="B51" s="1446" t="n"/>
      <c r="C51" s="1448" t="n"/>
      <c r="D51" s="1448" t="n"/>
      <c r="E51" s="1448" t="n"/>
      <c r="F51" s="1417" t="n"/>
      <c r="G51" s="1410" t="n"/>
      <c r="H51" s="1391" t="n"/>
      <c r="I51" s="1351" t="n"/>
      <c r="J51" s="1351" t="n"/>
      <c r="K51" s="1351" t="n"/>
      <c r="L51" s="1351" t="n"/>
      <c r="M51" s="1351" t="n"/>
      <c r="N51" s="1351" t="n"/>
      <c r="O51" s="1351" t="n"/>
      <c r="P51" s="1349" t="n"/>
    </row>
    <row r="52" customFormat="1" s="324">
      <c r="A52" s="1349" t="n"/>
      <c r="B52" s="1449" t="inlineStr">
        <is>
          <t xml:space="preserve">   - Importation</t>
        </is>
      </c>
      <c r="C52" s="1417" t="n">
        <v>21531732.42183904</v>
      </c>
      <c r="D52" s="1417" t="n">
        <v>25406210.52399962</v>
      </c>
      <c r="E52" s="1417" t="n">
        <v>28718255.01152805</v>
      </c>
      <c r="F52" s="1417" t="n">
        <v>34041315.46139323</v>
      </c>
      <c r="G52" s="1418" t="n">
        <v>18.53545923221449</v>
      </c>
      <c r="H52" s="1391" t="n"/>
      <c r="I52" s="1351" t="n"/>
      <c r="J52" s="1351" t="n"/>
      <c r="K52" s="1351" t="n"/>
      <c r="L52" s="1351" t="n"/>
      <c r="M52" s="1351" t="n"/>
      <c r="N52" s="1351" t="n"/>
      <c r="O52" s="1351" t="n"/>
      <c r="P52" s="1349" t="n"/>
    </row>
    <row r="53" customFormat="1" s="324">
      <c r="A53" s="1349" t="n"/>
      <c r="B53" s="1449" t="inlineStr">
        <is>
          <t xml:space="preserve">   - Exportation</t>
        </is>
      </c>
      <c r="C53" s="1417" t="n">
        <v>8565638.056392998</v>
      </c>
      <c r="D53" s="1417" t="n">
        <v>11712853.81204235</v>
      </c>
      <c r="E53" s="1417" t="n">
        <v>14788503.56210198</v>
      </c>
      <c r="F53" s="1417" t="n">
        <v>16418629.09531398</v>
      </c>
      <c r="G53" s="1418" t="n">
        <v>11.02292416786153</v>
      </c>
      <c r="H53" s="1391" t="n"/>
      <c r="I53" s="1351" t="n"/>
      <c r="J53" s="1351" t="n"/>
      <c r="K53" s="1351" t="n"/>
      <c r="L53" s="1351" t="n"/>
      <c r="M53" s="1351" t="n"/>
      <c r="N53" s="1351" t="n"/>
      <c r="O53" s="1351" t="n"/>
      <c r="P53" s="1349" t="n"/>
    </row>
    <row r="54" customFormat="1" s="324">
      <c r="A54" s="1349" t="n"/>
      <c r="B54" s="1449" t="n"/>
      <c r="C54" s="1450" t="n"/>
      <c r="D54" s="1450" t="n"/>
      <c r="E54" s="1450" t="n"/>
      <c r="F54" s="1451" t="n"/>
      <c r="G54" s="1452" t="n"/>
      <c r="H54" s="1391" t="n"/>
      <c r="I54" s="1351" t="n"/>
      <c r="J54" s="1351" t="n"/>
      <c r="K54" s="1351" t="n"/>
      <c r="L54" s="1351" t="n"/>
      <c r="M54" s="1351" t="n"/>
      <c r="N54" s="1351" t="n"/>
      <c r="O54" s="1351" t="n"/>
      <c r="P54" s="1349" t="n"/>
    </row>
    <row r="55" customFormat="1" s="324">
      <c r="A55" s="1349" t="n"/>
      <c r="B55" s="1446" t="inlineStr">
        <is>
          <t>TERMINAL A PECHE</t>
        </is>
      </c>
      <c r="C55" s="1447" t="n">
        <v>420669.0709999999</v>
      </c>
      <c r="D55" s="1447" t="n">
        <v>308964.7645</v>
      </c>
      <c r="E55" s="1447" t="n">
        <v>218018.3585</v>
      </c>
      <c r="F55" s="1447" t="n">
        <v>236134.154</v>
      </c>
      <c r="G55" s="1408" t="n">
        <v>8.309298182336317</v>
      </c>
      <c r="H55" s="1391" t="n"/>
      <c r="I55" s="1351" t="n"/>
      <c r="J55" s="1351" t="n"/>
      <c r="K55" s="1351" t="n"/>
      <c r="L55" s="1351" t="n"/>
      <c r="M55" s="1351" t="n"/>
      <c r="N55" s="1351" t="n"/>
      <c r="O55" s="1351" t="n"/>
      <c r="P55" s="1349" t="n"/>
    </row>
    <row r="56" customFormat="1" s="324">
      <c r="A56" s="1349" t="n"/>
      <c r="B56" s="1446" t="n"/>
      <c r="C56" s="1447" t="n"/>
      <c r="D56" s="1447" t="n"/>
      <c r="E56" s="1447" t="n"/>
      <c r="F56" s="1447" t="n"/>
      <c r="G56" s="1410" t="n"/>
      <c r="H56" s="1391" t="n"/>
      <c r="I56" s="1351" t="n"/>
      <c r="J56" s="1351" t="n"/>
      <c r="K56" s="1351" t="n"/>
      <c r="L56" s="1351" t="n"/>
      <c r="M56" s="1351" t="n"/>
      <c r="N56" s="1351" t="n"/>
      <c r="O56" s="1351" t="n"/>
      <c r="P56" s="1349" t="n"/>
    </row>
    <row r="57" customFormat="1" s="324">
      <c r="A57" s="1349" t="n"/>
      <c r="B57" s="1449" t="inlineStr">
        <is>
          <t xml:space="preserve">   - Importation</t>
        </is>
      </c>
      <c r="C57" s="1417" t="n">
        <v>348018.0109999999</v>
      </c>
      <c r="D57" s="1417" t="n">
        <v>270675.7325</v>
      </c>
      <c r="E57" s="1417" t="n">
        <v>179594.1205</v>
      </c>
      <c r="F57" s="1417" t="n">
        <v>216410.345</v>
      </c>
      <c r="G57" s="1418" t="n">
        <v>20.49968250491807</v>
      </c>
      <c r="H57" s="1391" t="n"/>
      <c r="I57" s="1351" t="n"/>
      <c r="J57" s="1351" t="n"/>
      <c r="K57" s="1351" t="n"/>
      <c r="L57" s="1351" t="n"/>
      <c r="M57" s="1351" t="n"/>
      <c r="N57" s="1351" t="n"/>
      <c r="O57" s="1351" t="n"/>
      <c r="P57" s="1349" t="n"/>
    </row>
    <row r="58" customFormat="1" s="324">
      <c r="A58" s="1349" t="n"/>
      <c r="B58" s="1449" t="inlineStr">
        <is>
          <t xml:space="preserve">   - Exportation</t>
        </is>
      </c>
      <c r="C58" s="1417" t="n">
        <v>72651.06000000001</v>
      </c>
      <c r="D58" s="1417" t="n">
        <v>38289.03199999999</v>
      </c>
      <c r="E58" s="1417" t="n">
        <v>38424.238</v>
      </c>
      <c r="F58" s="1417" t="n">
        <v>19723.809</v>
      </c>
      <c r="G58" s="1418" t="n">
        <v>-48.66831451543685</v>
      </c>
      <c r="H58" s="1391" t="n"/>
      <c r="I58" s="1351" t="n"/>
      <c r="J58" s="1351" t="n"/>
      <c r="K58" s="1351" t="n"/>
      <c r="L58" s="1351" t="n"/>
      <c r="M58" s="1351" t="n"/>
      <c r="N58" s="1351" t="n"/>
      <c r="O58" s="1351" t="n"/>
      <c r="P58" s="1349" t="n"/>
    </row>
    <row r="59" customFormat="1" s="324">
      <c r="A59" s="1349" t="n"/>
      <c r="B59" s="1449" t="n"/>
      <c r="C59" s="1451" t="n"/>
      <c r="D59" s="1451" t="n"/>
      <c r="E59" s="1451" t="n"/>
      <c r="F59" s="1451" t="n"/>
      <c r="G59" s="1452" t="n"/>
      <c r="H59" s="1391" t="n"/>
      <c r="I59" s="1351" t="n"/>
      <c r="J59" s="1351" t="n"/>
      <c r="K59" s="1351" t="n"/>
      <c r="L59" s="1351" t="n"/>
      <c r="M59" s="1351" t="n"/>
      <c r="N59" s="1351" t="n"/>
      <c r="O59" s="1351" t="n"/>
      <c r="P59" s="1349" t="n"/>
    </row>
    <row r="60" customFormat="1" s="324">
      <c r="A60" s="1349" t="n"/>
      <c r="B60" s="1453" t="inlineStr">
        <is>
          <t>TOTAL TRAFIC</t>
        </is>
      </c>
      <c r="C60" s="1454" t="n">
        <v>30518039.54923204</v>
      </c>
      <c r="D60" s="1454" t="n">
        <v>37428029.10054197</v>
      </c>
      <c r="E60" s="1454" t="n">
        <v>43724776.93213002</v>
      </c>
      <c r="F60" s="1454" t="n">
        <v>50696078.7107072</v>
      </c>
      <c r="G60" s="1455" t="n">
        <v>15.94359598311523</v>
      </c>
      <c r="H60" s="1391" t="n"/>
      <c r="I60" s="1351" t="n"/>
      <c r="J60" s="1351" t="n"/>
      <c r="K60" s="1351" t="n"/>
      <c r="L60" s="1351" t="n"/>
      <c r="M60" s="1351" t="n"/>
      <c r="N60" s="1351" t="n"/>
      <c r="O60" s="1351" t="n"/>
      <c r="P60" s="1349" t="n"/>
    </row>
    <row r="61" customFormat="1" s="324">
      <c r="A61" s="1349" t="n"/>
      <c r="B61" s="1449" t="n"/>
      <c r="C61" s="1447" t="n"/>
      <c r="D61" s="1447" t="n"/>
      <c r="E61" s="1447" t="n"/>
      <c r="F61" s="1447" t="n"/>
      <c r="G61" s="1410" t="n"/>
      <c r="H61" s="1391" t="n"/>
      <c r="I61" s="1351" t="n"/>
      <c r="J61" s="1351" t="n"/>
      <c r="K61" s="1351" t="n"/>
      <c r="L61" s="1351" t="n"/>
      <c r="M61" s="1351" t="n"/>
      <c r="N61" s="1351" t="n"/>
      <c r="O61" s="1351" t="n"/>
      <c r="P61" s="1349" t="n"/>
    </row>
    <row r="62" customFormat="1" s="324">
      <c r="A62" s="1349" t="n"/>
      <c r="B62" s="1449" t="inlineStr">
        <is>
          <t xml:space="preserve">   - Importation</t>
        </is>
      </c>
      <c r="C62" s="1451" t="n">
        <v>21879750.43283904</v>
      </c>
      <c r="D62" s="1451" t="n">
        <v>25676886.25649962</v>
      </c>
      <c r="E62" s="1451" t="n">
        <v>28897849.13202805</v>
      </c>
      <c r="F62" s="1451" t="n">
        <v>34257725.80639323</v>
      </c>
      <c r="G62" s="1418" t="n">
        <v>18.54766647122094</v>
      </c>
      <c r="H62" s="1391" t="n"/>
      <c r="I62" s="1351" t="n"/>
      <c r="J62" s="1351" t="n"/>
      <c r="K62" s="1351" t="n"/>
      <c r="L62" s="1351" t="n"/>
      <c r="M62" s="1351" t="n"/>
      <c r="N62" s="1351" t="n"/>
      <c r="O62" s="1351" t="n"/>
      <c r="P62" s="1349" t="n"/>
    </row>
    <row r="63" customFormat="1" s="324">
      <c r="A63" s="1349" t="n"/>
      <c r="B63" s="1449" t="inlineStr">
        <is>
          <t xml:space="preserve">   - Exportation</t>
        </is>
      </c>
      <c r="C63" s="1451" t="n">
        <v>8638289.116392998</v>
      </c>
      <c r="D63" s="1451" t="n">
        <v>11751142.84404235</v>
      </c>
      <c r="E63" s="1451" t="n">
        <v>14826927.80010197</v>
      </c>
      <c r="F63" s="1451" t="n">
        <v>16438352.90431398</v>
      </c>
      <c r="G63" s="1418" t="n">
        <v>10.86823329780374</v>
      </c>
      <c r="H63" s="1391" t="n"/>
      <c r="I63" s="1351" t="n"/>
      <c r="J63" s="1351" t="n"/>
      <c r="K63" s="1351" t="n"/>
      <c r="L63" s="1351" t="n"/>
      <c r="M63" s="1351" t="n"/>
      <c r="N63" s="1351" t="n"/>
      <c r="O63" s="1351" t="n"/>
      <c r="P63" s="1349" t="n"/>
    </row>
    <row r="64" customFormat="1" s="324">
      <c r="A64" s="1349" t="n"/>
      <c r="B64" s="1456" t="n"/>
      <c r="C64" s="1457" t="n"/>
      <c r="D64" s="1457" t="n"/>
      <c r="E64" s="1457" t="n"/>
      <c r="F64" s="1457" t="n"/>
      <c r="G64" s="1458" t="n"/>
      <c r="H64" s="1391" t="n"/>
      <c r="I64" s="1351" t="n"/>
      <c r="J64" s="1351" t="n"/>
      <c r="K64" s="1351" t="n"/>
      <c r="L64" s="1351" t="n"/>
      <c r="M64" s="1351" t="n"/>
      <c r="N64" s="1351" t="n"/>
      <c r="O64" s="1351" t="n"/>
      <c r="P64" s="1349" t="n"/>
    </row>
    <row r="65" customFormat="1" s="324">
      <c r="A65" s="1349" t="n"/>
      <c r="B65" s="1459" t="n"/>
      <c r="C65" s="1439" t="n"/>
      <c r="D65" s="1439" t="n"/>
      <c r="E65" s="1439" t="n"/>
      <c r="F65" s="1439" t="n"/>
      <c r="G65" s="1460" t="n"/>
      <c r="H65" s="1391" t="n"/>
      <c r="I65" s="1351" t="n"/>
      <c r="J65" s="1351" t="n"/>
      <c r="K65" s="1351" t="n"/>
      <c r="L65" s="1351" t="n"/>
      <c r="M65" s="1351" t="n"/>
      <c r="N65" s="1351" t="n"/>
      <c r="O65" s="1351" t="n"/>
      <c r="P65" s="1349" t="n"/>
    </row>
    <row r="66" ht="15.65" customFormat="1" customHeight="1" s="324">
      <c r="A66" s="1349" t="n"/>
      <c r="B66" s="1461" t="inlineStr">
        <is>
          <t xml:space="preserve">TRAFIC GLOBAL PAR DESTINATION REALISE AU PA (en tonne) : EXERCICE </t>
        </is>
      </c>
      <c r="C66" s="1351" t="n"/>
      <c r="D66" s="1351" t="n"/>
      <c r="E66" s="1351" t="n"/>
      <c r="F66" s="1393" t="n">
        <v>2025</v>
      </c>
      <c r="G66" s="1462" t="n"/>
      <c r="H66" s="1391" t="n"/>
      <c r="I66" s="1351" t="n"/>
      <c r="J66" s="1351" t="n"/>
      <c r="K66" s="1351" t="n"/>
      <c r="L66" s="1351" t="n"/>
      <c r="M66" s="1351" t="n"/>
      <c r="N66" s="1351" t="n"/>
      <c r="O66" s="1351" t="n"/>
      <c r="P66" s="1349" t="n"/>
    </row>
    <row r="67" customFormat="1" s="324">
      <c r="A67" s="1349" t="n"/>
      <c r="B67" s="1463" t="n"/>
      <c r="C67" s="1464" t="n"/>
      <c r="D67" s="1439" t="n"/>
      <c r="E67" s="1439" t="n"/>
      <c r="F67" s="1439" t="n"/>
      <c r="G67" s="1440" t="n"/>
      <c r="H67" s="1391" t="n"/>
      <c r="I67" s="1351" t="n"/>
      <c r="J67" s="1351" t="n"/>
      <c r="K67" s="1351" t="n"/>
      <c r="L67" s="1351" t="n"/>
      <c r="M67" s="1351" t="n"/>
      <c r="N67" s="1351" t="n"/>
      <c r="O67" s="1351" t="n"/>
      <c r="P67" s="1349" t="n"/>
    </row>
    <row r="68" customFormat="1" s="324">
      <c r="A68" s="1349" t="n"/>
      <c r="B68" s="1396" t="inlineStr">
        <is>
          <t>RUBRIQUES</t>
        </is>
      </c>
      <c r="C68" s="1397" t="inlineStr">
        <is>
          <t xml:space="preserve">SITUATION A FIN </t>
        </is>
      </c>
      <c r="D68" s="1398" t="n"/>
      <c r="E68" s="1398" t="n"/>
      <c r="F68" s="1399" t="inlineStr">
        <is>
          <t>DECEMBRE</t>
        </is>
      </c>
      <c r="G68" s="1400" t="n"/>
      <c r="H68" s="1391" t="n"/>
      <c r="I68" s="1351" t="n"/>
      <c r="J68" s="1351" t="n"/>
      <c r="K68" s="1351" t="n"/>
      <c r="L68" s="1351" t="n"/>
      <c r="M68" s="1351" t="n"/>
      <c r="N68" s="1351" t="n"/>
      <c r="O68" s="1351" t="n"/>
      <c r="P68" s="1349" t="n"/>
    </row>
    <row r="69" ht="30" customFormat="1" customHeight="1" s="324">
      <c r="A69" s="1349" t="n"/>
      <c r="B69" s="1401" t="n"/>
      <c r="C69" s="1402" t="n">
        <v>2022</v>
      </c>
      <c r="D69" s="1402" t="n">
        <v>2023</v>
      </c>
      <c r="E69" s="1402" t="n">
        <v>2024</v>
      </c>
      <c r="F69" s="1402" t="n">
        <v>2025</v>
      </c>
      <c r="G69" s="1403" t="inlineStr">
        <is>
          <t>Var. %      2025 / 2024</t>
        </is>
      </c>
      <c r="H69" s="1391" t="n"/>
      <c r="I69" s="1351" t="n"/>
      <c r="J69" s="1351" t="n"/>
      <c r="K69" s="1351" t="n"/>
      <c r="L69" s="1351" t="n"/>
      <c r="M69" s="1351" t="n"/>
      <c r="N69" s="1351" t="n"/>
      <c r="O69" s="1351" t="n"/>
      <c r="P69" s="1349" t="n"/>
    </row>
    <row r="70" customFormat="1" s="324">
      <c r="A70" s="1349" t="n"/>
      <c r="B70" s="1396" t="n"/>
      <c r="C70" s="1444" t="n"/>
      <c r="D70" s="1444" t="n"/>
      <c r="E70" s="1444" t="n"/>
      <c r="F70" s="1444" t="n"/>
      <c r="G70" s="1445" t="n"/>
      <c r="H70" s="1391" t="n"/>
      <c r="I70" s="1351" t="n"/>
      <c r="J70" s="1351" t="n"/>
      <c r="K70" s="1351" t="n"/>
      <c r="L70" s="1351" t="n"/>
      <c r="M70" s="1351" t="n"/>
      <c r="N70" s="1351" t="n"/>
      <c r="O70" s="1351" t="n"/>
      <c r="P70" s="1349" t="n"/>
    </row>
    <row r="71" customFormat="1" s="324">
      <c r="A71" s="1349" t="n"/>
      <c r="B71" s="1406" t="inlineStr">
        <is>
          <t>IMPORTATIONS</t>
        </is>
      </c>
      <c r="C71" s="1409" t="n">
        <v>21879750.43283901</v>
      </c>
      <c r="D71" s="1409" t="n">
        <v>25676886.25649961</v>
      </c>
      <c r="E71" s="1409" t="n">
        <v>28897849.13202801</v>
      </c>
      <c r="F71" s="1409" t="n">
        <v>34257725.80639306</v>
      </c>
      <c r="G71" s="1408" t="n">
        <v>18.54766647122056</v>
      </c>
      <c r="H71" s="1391" t="n"/>
      <c r="I71" s="1351" t="n"/>
      <c r="J71" s="1351" t="n"/>
      <c r="K71" s="1351" t="n"/>
      <c r="L71" s="1351" t="n"/>
      <c r="M71" s="1351" t="n"/>
      <c r="N71" s="1351" t="n"/>
      <c r="O71" s="1351" t="n"/>
      <c r="P71" s="1349" t="n"/>
    </row>
    <row r="72" customFormat="1" s="324">
      <c r="A72" s="1349" t="n"/>
      <c r="B72" s="1406" t="n"/>
      <c r="C72" s="1409" t="n"/>
      <c r="D72" s="1409" t="n"/>
      <c r="E72" s="1409" t="n"/>
      <c r="F72" s="1409" t="n"/>
      <c r="G72" s="1410" t="n"/>
      <c r="H72" s="1391" t="n"/>
      <c r="I72" s="1351" t="n"/>
      <c r="J72" s="1351" t="n"/>
      <c r="K72" s="1351" t="n"/>
      <c r="L72" s="1351" t="n"/>
      <c r="M72" s="1351" t="n"/>
      <c r="N72" s="1351" t="n"/>
      <c r="O72" s="1351" t="n"/>
      <c r="P72" s="1349" t="n"/>
    </row>
    <row r="73" customFormat="1" s="324">
      <c r="A73" s="1349" t="n"/>
      <c r="B73" s="1465" t="inlineStr">
        <is>
          <t xml:space="preserve">        National</t>
        </is>
      </c>
      <c r="C73" s="1466" t="n">
        <v>18778403.36333301</v>
      </c>
      <c r="D73" s="1466" t="n">
        <v>20424169.59489525</v>
      </c>
      <c r="E73" s="1466" t="n">
        <v>21112942.55678101</v>
      </c>
      <c r="F73" s="1466" t="n">
        <v>25743478.65626106</v>
      </c>
      <c r="G73" s="1418" t="n">
        <v>21.93221568725784</v>
      </c>
      <c r="H73" s="1391" t="n"/>
      <c r="I73" s="1351" t="n"/>
      <c r="J73" s="1351" t="n"/>
      <c r="K73" s="1351" t="n"/>
      <c r="L73" s="1351" t="n"/>
      <c r="M73" s="1351" t="n"/>
      <c r="N73" s="1351" t="n"/>
      <c r="O73" s="1351" t="n"/>
      <c r="P73" s="1349" t="n"/>
    </row>
    <row r="74" customFormat="1" s="324">
      <c r="A74" s="1349" t="n"/>
      <c r="B74" s="1465" t="inlineStr">
        <is>
          <t xml:space="preserve">         Transbordement</t>
        </is>
      </c>
      <c r="C74" s="1466" t="n">
        <v>209793.7724399999</v>
      </c>
      <c r="D74" s="1466" t="n">
        <v>2467802.97422237</v>
      </c>
      <c r="E74" s="1466" t="n">
        <v>4973755.086594</v>
      </c>
      <c r="F74" s="1466" t="n">
        <v>4949916.633339996</v>
      </c>
      <c r="G74" s="1418" t="n">
        <v>-0.4792848228143949</v>
      </c>
      <c r="H74" s="1391" t="n"/>
      <c r="I74" s="1351" t="n"/>
      <c r="J74" s="1351" t="n"/>
      <c r="K74" s="1351" t="n"/>
      <c r="L74" s="1351" t="n"/>
      <c r="M74" s="1351" t="n"/>
      <c r="N74" s="1351" t="n"/>
      <c r="O74" s="1351" t="n"/>
      <c r="P74" s="1349" t="n"/>
    </row>
    <row r="75" customFormat="1" s="324">
      <c r="A75" s="1349" t="n"/>
      <c r="B75" s="1465" t="inlineStr">
        <is>
          <t xml:space="preserve">         Transit</t>
        </is>
      </c>
      <c r="C75" s="1466" t="n">
        <v>2891553.297066</v>
      </c>
      <c r="D75" s="1466" t="n">
        <v>2784913.687381998</v>
      </c>
      <c r="E75" s="1466" t="n">
        <v>2811151.488653</v>
      </c>
      <c r="F75" s="1466" t="n">
        <v>3564330.516792004</v>
      </c>
      <c r="G75" s="1418" t="n">
        <v>26.79254501862153</v>
      </c>
      <c r="H75" s="1391" t="n"/>
      <c r="I75" s="1351" t="n"/>
      <c r="J75" s="1351" t="n"/>
      <c r="K75" s="1351" t="n"/>
      <c r="L75" s="1351" t="n"/>
      <c r="M75" s="1351" t="n"/>
      <c r="N75" s="1351" t="n"/>
      <c r="O75" s="1351" t="n"/>
      <c r="P75" s="1349" t="n"/>
    </row>
    <row r="76" customFormat="1" s="324">
      <c r="A76" s="1349" t="n"/>
      <c r="B76" s="1467" t="n"/>
      <c r="C76" s="1451" t="n"/>
      <c r="D76" s="1451" t="n"/>
      <c r="E76" s="1451" t="n"/>
      <c r="F76" s="1451" t="n"/>
      <c r="G76" s="1452" t="n"/>
      <c r="H76" s="1391" t="n"/>
      <c r="I76" s="1351" t="n"/>
      <c r="J76" s="1351" t="n"/>
      <c r="K76" s="1351" t="n"/>
      <c r="L76" s="1351" t="n"/>
      <c r="M76" s="1351" t="n"/>
      <c r="N76" s="1351" t="n"/>
      <c r="O76" s="1351" t="n"/>
      <c r="P76" s="1349" t="n"/>
    </row>
    <row r="77" customFormat="1" s="324">
      <c r="A77" s="1349" t="n"/>
      <c r="B77" s="1406" t="inlineStr">
        <is>
          <t>EXPORTATIONS</t>
        </is>
      </c>
      <c r="C77" s="1409" t="n">
        <v>8638289.116393026</v>
      </c>
      <c r="D77" s="1409" t="n">
        <v>11751142.84404243</v>
      </c>
      <c r="E77" s="1409" t="n">
        <v>14826927.80010203</v>
      </c>
      <c r="F77" s="1409" t="n">
        <v>16438352.90431406</v>
      </c>
      <c r="G77" s="1408" t="n">
        <v>10.86823329780389</v>
      </c>
      <c r="H77" s="1391" t="n"/>
      <c r="I77" s="1351" t="n"/>
      <c r="J77" s="1351" t="n"/>
      <c r="K77" s="1351" t="n"/>
      <c r="L77" s="1351" t="n"/>
      <c r="M77" s="1351" t="n"/>
      <c r="N77" s="1351" t="n"/>
      <c r="O77" s="1351" t="n"/>
      <c r="P77" s="1349" t="n"/>
    </row>
    <row r="78" customFormat="1" s="324">
      <c r="A78" s="1349" t="n"/>
      <c r="B78" s="1406" t="n"/>
      <c r="C78" s="1409" t="n"/>
      <c r="D78" s="1409" t="n"/>
      <c r="E78" s="1409" t="n"/>
      <c r="F78" s="1409" t="n"/>
      <c r="G78" s="1410" t="n"/>
      <c r="H78" s="1391" t="n"/>
      <c r="I78" s="1351" t="n"/>
      <c r="J78" s="1351" t="n"/>
      <c r="K78" s="1351" t="n"/>
      <c r="L78" s="1351" t="n"/>
      <c r="M78" s="1351" t="n"/>
      <c r="N78" s="1351" t="n"/>
      <c r="O78" s="1351" t="n"/>
      <c r="P78" s="1349" t="n"/>
    </row>
    <row r="79" customFormat="1" s="324">
      <c r="A79" s="1349" t="n"/>
      <c r="B79" s="1465" t="inlineStr">
        <is>
          <t xml:space="preserve">        National</t>
        </is>
      </c>
      <c r="C79" s="1466" t="n">
        <v>8159152.696841026</v>
      </c>
      <c r="D79" s="1466" t="n">
        <v>9268861.210950058</v>
      </c>
      <c r="E79" s="1466" t="n">
        <v>9761370.070127025</v>
      </c>
      <c r="F79" s="1466" t="n">
        <v>11180166.31101006</v>
      </c>
      <c r="G79" s="1418" t="n">
        <v>14.53480639183027</v>
      </c>
      <c r="H79" s="1391" t="n"/>
      <c r="I79" s="1351" t="n"/>
      <c r="J79" s="1351" t="n"/>
      <c r="K79" s="1351" t="n"/>
      <c r="L79" s="1351" t="n"/>
      <c r="M79" s="1351" t="n"/>
      <c r="N79" s="1351" t="n"/>
      <c r="O79" s="1351" t="n"/>
      <c r="P79" s="1349" t="n"/>
    </row>
    <row r="80" customFormat="1" s="324">
      <c r="A80" s="1349" t="n"/>
      <c r="B80" s="1465" t="inlineStr">
        <is>
          <t xml:space="preserve">         Transbordement</t>
        </is>
      </c>
      <c r="C80" s="1466" t="n">
        <v>199642.22486</v>
      </c>
      <c r="D80" s="1466" t="n">
        <v>2264600.648412371</v>
      </c>
      <c r="E80" s="1466" t="n">
        <v>4829208.506700003</v>
      </c>
      <c r="F80" s="1466" t="n">
        <v>4720419.994494001</v>
      </c>
      <c r="G80" s="1418" t="n">
        <v>-2.252719302864413</v>
      </c>
      <c r="H80" s="1391" t="n"/>
      <c r="I80" s="1351" t="n"/>
      <c r="J80" s="1351" t="n"/>
      <c r="K80" s="1351" t="n"/>
      <c r="L80" s="1351" t="n"/>
      <c r="M80" s="1351" t="n"/>
      <c r="N80" s="1351" t="n"/>
      <c r="O80" s="1351" t="n"/>
      <c r="P80" s="1349" t="n"/>
    </row>
    <row r="81" customFormat="1" s="324">
      <c r="A81" s="1349" t="n"/>
      <c r="B81" s="1465" t="inlineStr">
        <is>
          <t xml:space="preserve">         Transit</t>
        </is>
      </c>
      <c r="C81" s="1466" t="n">
        <v>279494.194692</v>
      </c>
      <c r="D81" s="1466" t="n">
        <v>217680.98468</v>
      </c>
      <c r="E81" s="1466" t="n">
        <v>236349.223275</v>
      </c>
      <c r="F81" s="1466" t="n">
        <v>537766.5988100002</v>
      </c>
      <c r="G81" s="1418" t="n">
        <v>127.5305124164894</v>
      </c>
      <c r="H81" s="1391" t="n"/>
      <c r="I81" s="1351" t="n"/>
      <c r="J81" s="1351" t="n"/>
      <c r="K81" s="1351" t="n"/>
      <c r="L81" s="1351" t="n"/>
      <c r="M81" s="1351" t="n"/>
      <c r="N81" s="1351" t="n"/>
      <c r="O81" s="1351" t="n"/>
      <c r="P81" s="1349" t="n"/>
    </row>
    <row r="82" customFormat="1" s="324">
      <c r="A82" s="1349" t="n"/>
      <c r="B82" s="1467" t="n"/>
      <c r="C82" s="1451" t="n"/>
      <c r="D82" s="1451" t="n"/>
      <c r="E82" s="1451" t="n"/>
      <c r="F82" s="1451" t="n"/>
      <c r="G82" s="1452" t="n"/>
      <c r="H82" s="1391" t="n"/>
      <c r="I82" s="1351" t="n"/>
      <c r="J82" s="1351" t="n"/>
      <c r="K82" s="1351" t="n"/>
      <c r="L82" s="1351" t="n"/>
      <c r="M82" s="1351" t="n"/>
      <c r="N82" s="1351" t="n"/>
      <c r="O82" s="1351" t="n"/>
      <c r="P82" s="1349" t="n"/>
    </row>
    <row r="83" customFormat="1" s="324">
      <c r="A83" s="1349" t="n"/>
      <c r="B83" s="1453" t="inlineStr">
        <is>
          <t>TOTAL TRAFIC</t>
        </is>
      </c>
      <c r="C83" s="1468" t="n">
        <v>30518039.54923204</v>
      </c>
      <c r="D83" s="1468" t="n">
        <v>37428029.10054205</v>
      </c>
      <c r="E83" s="1468" t="n">
        <v>43724776.93213003</v>
      </c>
      <c r="F83" s="1468" t="n">
        <v>50696078.71070712</v>
      </c>
      <c r="G83" s="1469" t="n">
        <v>15.94359598311503</v>
      </c>
      <c r="H83" s="1470" t="n">
        <v>6971301.778577089</v>
      </c>
      <c r="I83" s="1471" t="n">
        <v>0.1594359598311503</v>
      </c>
      <c r="J83" s="1351" t="n"/>
      <c r="K83" s="1351" t="n"/>
      <c r="L83" s="1351" t="n"/>
      <c r="M83" s="1351" t="n"/>
      <c r="N83" s="1351" t="n"/>
      <c r="O83" s="1351" t="n"/>
      <c r="P83" s="1349" t="n"/>
    </row>
    <row r="84" customFormat="1" s="324">
      <c r="A84" s="1349" t="n"/>
      <c r="B84" s="1467" t="n"/>
      <c r="C84" s="1451" t="n"/>
      <c r="D84" s="1451" t="n"/>
      <c r="E84" s="1451" t="n"/>
      <c r="F84" s="1451" t="n"/>
      <c r="G84" s="1410" t="n"/>
      <c r="H84" s="1470" t="n"/>
      <c r="I84" s="1351" t="n"/>
      <c r="J84" s="1351" t="n"/>
      <c r="K84" s="1351" t="n"/>
      <c r="L84" s="1351" t="n"/>
      <c r="M84" s="1351" t="n"/>
      <c r="N84" s="1351" t="n"/>
      <c r="O84" s="1351" t="n"/>
      <c r="P84" s="1349" t="n"/>
    </row>
    <row r="85" customFormat="1" s="324">
      <c r="A85" s="1349" t="n"/>
      <c r="B85" s="1465" t="inlineStr">
        <is>
          <t xml:space="preserve">        National</t>
        </is>
      </c>
      <c r="C85" s="1466" t="n">
        <v>26937556.06017404</v>
      </c>
      <c r="D85" s="1466" t="n">
        <v>29693030.80584531</v>
      </c>
      <c r="E85" s="1466" t="n">
        <v>30874312.62690803</v>
      </c>
      <c r="F85" s="1466" t="n">
        <v>36923644.96727112</v>
      </c>
      <c r="G85" s="1418" t="n">
        <v>19.59341545013341</v>
      </c>
      <c r="H85" s="1470" t="n">
        <v>6049332.340363089</v>
      </c>
      <c r="I85" s="1471" t="n">
        <v>0.1959341545013341</v>
      </c>
      <c r="J85" s="1472" t="n">
        <v>0.7283333525256021</v>
      </c>
      <c r="K85" s="1351" t="n"/>
      <c r="L85" s="1351" t="n"/>
      <c r="M85" s="1351" t="n"/>
      <c r="N85" s="1351" t="n"/>
      <c r="O85" s="1351" t="n"/>
      <c r="P85" s="1349" t="n"/>
    </row>
    <row r="86" customFormat="1" s="324">
      <c r="A86" s="1349" t="n"/>
      <c r="B86" s="1465" t="inlineStr">
        <is>
          <t xml:space="preserve">         Transbordement</t>
        </is>
      </c>
      <c r="C86" s="1466" t="n">
        <v>409435.9972999999</v>
      </c>
      <c r="D86" s="1466" t="n">
        <v>4732403.622634741</v>
      </c>
      <c r="E86" s="1466" t="n">
        <v>9802963.593294002</v>
      </c>
      <c r="F86" s="1466" t="n">
        <v>9670336.627833996</v>
      </c>
      <c r="G86" s="1418" t="n">
        <v>-1.352927246926974</v>
      </c>
      <c r="H86" s="1470" t="n">
        <v>-132626.9654600061</v>
      </c>
      <c r="I86" s="1471" t="n">
        <v>-0.01352927246926974</v>
      </c>
      <c r="J86" s="1472" t="n">
        <v>0.1907511759048851</v>
      </c>
      <c r="K86" s="1351" t="n"/>
      <c r="L86" s="1351" t="n"/>
      <c r="M86" s="1351" t="n"/>
      <c r="N86" s="1351" t="n"/>
      <c r="O86" s="1351" t="n"/>
      <c r="P86" s="1349" t="n"/>
    </row>
    <row r="87" customFormat="1" s="324">
      <c r="A87" s="1349" t="n"/>
      <c r="B87" s="1465" t="inlineStr">
        <is>
          <t xml:space="preserve">         Transit</t>
        </is>
      </c>
      <c r="C87" s="1466" t="n">
        <v>3171047.491758</v>
      </c>
      <c r="D87" s="1466" t="n">
        <v>3002594.672061998</v>
      </c>
      <c r="E87" s="1466" t="n">
        <v>3047500.711928</v>
      </c>
      <c r="F87" s="1466" t="n">
        <v>4102097.115602005</v>
      </c>
      <c r="G87" s="1418" t="n">
        <v>34.60528818077995</v>
      </c>
      <c r="H87" s="1470" t="n">
        <v>1054596.403674005</v>
      </c>
      <c r="I87" s="1471" t="n">
        <v>0.3460528818077995</v>
      </c>
      <c r="J87" s="1472" t="n">
        <v>0.08091547156951279</v>
      </c>
      <c r="K87" s="1351" t="n"/>
      <c r="L87" s="1351" t="n"/>
      <c r="M87" s="1351" t="n"/>
      <c r="N87" s="1351" t="n"/>
      <c r="O87" s="1351" t="n"/>
      <c r="P87" s="1349" t="n"/>
    </row>
    <row r="88" customFormat="1" s="324">
      <c r="A88" s="1349" t="n"/>
      <c r="B88" s="1473" t="n"/>
      <c r="C88" s="1457" t="n"/>
      <c r="D88" s="1457" t="n"/>
      <c r="E88" s="1457" t="n"/>
      <c r="F88" s="1457" t="n"/>
      <c r="G88" s="1458" t="n"/>
      <c r="H88" s="1391" t="n"/>
      <c r="I88" s="1351" t="n"/>
      <c r="J88" s="1351" t="n"/>
      <c r="K88" s="1351" t="n"/>
      <c r="L88" s="1351" t="n"/>
      <c r="M88" s="1351" t="n"/>
      <c r="N88" s="1351" t="n"/>
      <c r="O88" s="1351" t="n"/>
      <c r="P88" s="1349" t="n"/>
    </row>
    <row r="89" customFormat="1" s="324">
      <c r="A89" s="1349" t="n"/>
      <c r="B89" s="1459" t="n"/>
      <c r="C89" s="1439" t="n"/>
      <c r="D89" s="1439" t="n"/>
      <c r="E89" s="1439" t="n"/>
      <c r="F89" s="1439" t="n"/>
      <c r="G89" s="1460" t="n"/>
      <c r="H89" s="1391" t="n"/>
      <c r="I89" s="1351" t="n"/>
      <c r="J89" s="1351" t="n"/>
      <c r="K89" s="1351" t="n"/>
      <c r="L89" s="1351" t="n"/>
      <c r="M89" s="1351" t="n"/>
      <c r="N89" s="1351" t="n"/>
      <c r="O89" s="1351" t="n"/>
      <c r="P89" s="1349" t="n"/>
    </row>
    <row r="90" customFormat="1" s="324">
      <c r="A90" s="1349" t="n"/>
      <c r="B90" s="1474" t="inlineStr">
        <is>
          <t xml:space="preserve">TRAFIC TOTAL NATIONAL PAR GRANDE COMPOSANTE REALISE AU PA (en tonne) : EXERCICE </t>
        </is>
      </c>
      <c r="C90" s="1351" t="n"/>
      <c r="D90" s="1351" t="n"/>
      <c r="E90" s="1351" t="n"/>
      <c r="F90" s="1351" t="n"/>
      <c r="G90" s="1393" t="n">
        <v>2025</v>
      </c>
      <c r="H90" s="1391" t="n"/>
      <c r="I90" s="1351" t="n"/>
      <c r="J90" s="1351" t="n"/>
      <c r="K90" s="1351" t="n"/>
      <c r="L90" s="1351" t="n"/>
      <c r="M90" s="1351" t="n"/>
      <c r="N90" s="1351" t="n"/>
      <c r="O90" s="1351" t="n"/>
      <c r="P90" s="1349" t="n"/>
    </row>
    <row r="91" customFormat="1" s="324">
      <c r="A91" s="1349" t="n"/>
      <c r="B91" s="1475" t="n"/>
      <c r="C91" s="1439" t="n"/>
      <c r="D91" s="1439" t="n"/>
      <c r="E91" s="1439" t="n"/>
      <c r="F91" s="1439" t="n"/>
      <c r="G91" s="1395" t="n"/>
      <c r="H91" s="1391" t="n"/>
      <c r="I91" s="1351" t="n"/>
      <c r="J91" s="1351" t="n"/>
      <c r="K91" s="1351" t="n"/>
      <c r="L91" s="1351" t="n"/>
      <c r="M91" s="1351" t="n"/>
      <c r="N91" s="1351" t="n"/>
      <c r="O91" s="1351" t="n"/>
      <c r="P91" s="1349" t="n"/>
    </row>
    <row r="92" customFormat="1" s="324">
      <c r="A92" s="1349" t="n"/>
      <c r="B92" s="1396" t="inlineStr">
        <is>
          <t>RUBRIQUES</t>
        </is>
      </c>
      <c r="C92" s="1397" t="inlineStr">
        <is>
          <t xml:space="preserve">SITUATION A FIN </t>
        </is>
      </c>
      <c r="D92" s="1398" t="n"/>
      <c r="E92" s="1398" t="n"/>
      <c r="F92" s="1399" t="inlineStr">
        <is>
          <t>DECEMBRE</t>
        </is>
      </c>
      <c r="G92" s="1400" t="n"/>
      <c r="H92" s="1391" t="n"/>
      <c r="I92" s="1351" t="n"/>
      <c r="J92" s="1351" t="n"/>
      <c r="K92" s="1351" t="n"/>
      <c r="L92" s="1351" t="n"/>
      <c r="M92" s="1351" t="n"/>
      <c r="N92" s="1351" t="n"/>
      <c r="O92" s="1351" t="n"/>
      <c r="P92" s="1349" t="n"/>
    </row>
    <row r="93" ht="30" customFormat="1" customHeight="1" s="324">
      <c r="A93" s="1349" t="n"/>
      <c r="B93" s="1401" t="n"/>
      <c r="C93" s="1402" t="n">
        <v>2022</v>
      </c>
      <c r="D93" s="1402" t="n">
        <v>2023</v>
      </c>
      <c r="E93" s="1402" t="n">
        <v>2024</v>
      </c>
      <c r="F93" s="1402" t="n">
        <v>2025</v>
      </c>
      <c r="G93" s="1403" t="inlineStr">
        <is>
          <t>Var. %      2025 / 2024</t>
        </is>
      </c>
      <c r="H93" s="1391" t="n"/>
      <c r="I93" s="1351" t="n"/>
      <c r="J93" s="1351" t="n"/>
      <c r="K93" s="1351" t="n"/>
      <c r="L93" s="1351" t="n"/>
      <c r="M93" s="1351" t="n"/>
      <c r="N93" s="1351" t="n"/>
      <c r="O93" s="1351" t="n"/>
      <c r="P93" s="1349" t="n"/>
    </row>
    <row r="94" customFormat="1" s="324">
      <c r="A94" s="1349" t="n"/>
      <c r="B94" s="1476" t="n"/>
      <c r="C94" s="1477" t="n"/>
      <c r="D94" s="1477" t="n"/>
      <c r="E94" s="1477" t="n"/>
      <c r="F94" s="1477" t="n"/>
      <c r="G94" s="1478" t="n"/>
      <c r="H94" s="1391" t="n"/>
      <c r="I94" s="1351" t="n"/>
      <c r="J94" s="1351" t="n"/>
      <c r="K94" s="1351" t="n"/>
      <c r="L94" s="1351" t="n"/>
      <c r="M94" s="1351" t="n"/>
      <c r="N94" s="1351" t="n"/>
      <c r="O94" s="1351" t="n"/>
      <c r="P94" s="1349" t="n"/>
    </row>
    <row r="95" customFormat="1" s="324">
      <c r="A95" s="1349" t="n"/>
      <c r="B95" s="1479" t="inlineStr">
        <is>
          <t>IMPORTATIONS</t>
        </is>
      </c>
      <c r="C95" s="1480" t="n">
        <v>18778403.36333301</v>
      </c>
      <c r="D95" s="1480" t="n">
        <v>20424169.59489525</v>
      </c>
      <c r="E95" s="1480" t="n">
        <v>21112942.55678101</v>
      </c>
      <c r="F95" s="1480" t="n">
        <v>25743478.65626106</v>
      </c>
      <c r="G95" s="1408" t="n">
        <v>21.93221568725779</v>
      </c>
      <c r="H95" s="1391" t="n"/>
      <c r="I95" s="1351" t="n"/>
      <c r="J95" s="1351" t="n"/>
      <c r="K95" s="1351" t="n"/>
      <c r="L95" s="1351" t="n"/>
      <c r="M95" s="1351" t="n"/>
      <c r="N95" s="1351" t="n"/>
      <c r="O95" s="1351" t="n"/>
      <c r="P95" s="1349" t="n"/>
    </row>
    <row r="96" customFormat="1" s="324">
      <c r="A96" s="1349" t="n"/>
      <c r="B96" s="1481" t="inlineStr">
        <is>
          <t>TARE</t>
        </is>
      </c>
      <c r="C96" s="1482" t="n">
        <v>822749.4</v>
      </c>
      <c r="D96" s="1482" t="n">
        <v>1020923.2</v>
      </c>
      <c r="E96" s="1482" t="n">
        <v>1163298.4</v>
      </c>
      <c r="F96" s="1482" t="n">
        <v>1204786</v>
      </c>
      <c r="G96" s="1408" t="n">
        <v>3.56637643445567</v>
      </c>
      <c r="H96" s="1391" t="n"/>
      <c r="I96" s="1351" t="n"/>
      <c r="J96" s="1351" t="n"/>
      <c r="K96" s="1351" t="n"/>
      <c r="L96" s="1351" t="n"/>
      <c r="M96" s="1351" t="n"/>
      <c r="N96" s="1351" t="n"/>
      <c r="O96" s="1351" t="n"/>
      <c r="P96" s="1349" t="n"/>
    </row>
    <row r="97" customFormat="1" s="324">
      <c r="A97" s="1349" t="n"/>
      <c r="B97" s="1483" t="n"/>
      <c r="C97" s="1407" t="n"/>
      <c r="D97" s="1407" t="n"/>
      <c r="E97" s="1407" t="n"/>
      <c r="F97" s="1407" t="n"/>
      <c r="G97" s="1418" t="n"/>
      <c r="H97" s="1391" t="n"/>
      <c r="I97" s="1351" t="n"/>
      <c r="J97" s="1351" t="n"/>
      <c r="K97" s="1351" t="n"/>
      <c r="L97" s="1351" t="n"/>
      <c r="M97" s="1351" t="n"/>
      <c r="N97" s="1351" t="n"/>
      <c r="O97" s="1351" t="n"/>
      <c r="P97" s="1349" t="n"/>
    </row>
    <row r="98" customFormat="1" s="324">
      <c r="A98" s="1349" t="n"/>
      <c r="B98" s="1484" t="inlineStr">
        <is>
          <t xml:space="preserve">   - Produits Pétroliers</t>
        </is>
      </c>
      <c r="C98" s="1485" t="n">
        <v>5533521.652200999</v>
      </c>
      <c r="D98" s="1485" t="n">
        <v>6162559.466288</v>
      </c>
      <c r="E98" s="1485" t="n">
        <v>6447035.261474002</v>
      </c>
      <c r="F98" s="1485" t="n">
        <v>7386874.488871999</v>
      </c>
      <c r="G98" s="1418" t="n">
        <v>14.57785151283815</v>
      </c>
      <c r="H98" s="1391" t="n"/>
      <c r="I98" s="1351" t="n"/>
      <c r="J98" s="1351" t="n"/>
      <c r="K98" s="1351" t="n"/>
      <c r="L98" s="1351" t="n"/>
      <c r="M98" s="1351" t="n"/>
      <c r="N98" s="1351" t="n"/>
      <c r="O98" s="1351" t="n"/>
      <c r="P98" s="1349" t="n"/>
    </row>
    <row r="99" customFormat="1" s="324">
      <c r="A99" s="1349" t="n"/>
      <c r="B99" s="1484" t="inlineStr">
        <is>
          <t xml:space="preserve">   - Marchandises Générales</t>
        </is>
      </c>
      <c r="C99" s="1485" t="n">
        <v>11677658.66538502</v>
      </c>
      <c r="D99" s="1485" t="n">
        <v>12436427.18603725</v>
      </c>
      <c r="E99" s="1485" t="n">
        <v>12713253.36220701</v>
      </c>
      <c r="F99" s="1485" t="n">
        <v>16249356.90438906</v>
      </c>
      <c r="G99" s="1418" t="n">
        <v>27.81430874880474</v>
      </c>
      <c r="H99" s="1391" t="n"/>
      <c r="I99" s="1351" t="n"/>
      <c r="J99" s="1351" t="n"/>
      <c r="K99" s="1351" t="n"/>
      <c r="L99" s="1351" t="n"/>
      <c r="M99" s="1351" t="n"/>
      <c r="N99" s="1351" t="n"/>
      <c r="O99" s="1351" t="n"/>
      <c r="P99" s="1349" t="n"/>
    </row>
    <row r="100" customFormat="1" s="324">
      <c r="A100" s="1349" t="n"/>
      <c r="B100" s="1484" t="inlineStr">
        <is>
          <t xml:space="preserve">   - Produits de Pêche</t>
        </is>
      </c>
      <c r="C100" s="1485" t="n">
        <v>744473.6457470001</v>
      </c>
      <c r="D100" s="1485" t="n">
        <v>804259.7425699998</v>
      </c>
      <c r="E100" s="1485" t="n">
        <v>789355.5331000001</v>
      </c>
      <c r="F100" s="1485" t="n">
        <v>902461.2630000007</v>
      </c>
      <c r="G100" s="1418" t="n">
        <v>14.32887021844335</v>
      </c>
      <c r="H100" s="1391" t="n"/>
      <c r="I100" s="1351" t="n"/>
      <c r="J100" s="1351" t="n"/>
      <c r="K100" s="1351" t="n"/>
      <c r="L100" s="1351" t="n"/>
      <c r="M100" s="1351" t="n"/>
      <c r="N100" s="1351" t="n"/>
      <c r="O100" s="1351" t="n"/>
      <c r="P100" s="1349" t="n"/>
    </row>
    <row r="101" customFormat="1" s="324">
      <c r="A101" s="1349" t="n"/>
      <c r="B101" s="1484" t="inlineStr">
        <is>
          <t xml:space="preserve">     - Produits de Pêche PC</t>
        </is>
      </c>
      <c r="C101" s="1485" t="n">
        <v>498197.8977470002</v>
      </c>
      <c r="D101" s="1485" t="n">
        <v>584575.2020699998</v>
      </c>
      <c r="E101" s="1485" t="n">
        <v>651367.8956000002</v>
      </c>
      <c r="F101" s="1485" t="n">
        <v>719153.4320000007</v>
      </c>
      <c r="G101" s="1418" t="n">
        <v>10.40664375046619</v>
      </c>
      <c r="H101" s="1391" t="n"/>
      <c r="I101" s="1351" t="n"/>
      <c r="J101" s="1351" t="n"/>
      <c r="K101" s="1351" t="n"/>
      <c r="L101" s="1351" t="n"/>
      <c r="M101" s="1351" t="n"/>
      <c r="N101" s="1351" t="n"/>
      <c r="O101" s="1351" t="n"/>
      <c r="P101" s="1349" t="n"/>
    </row>
    <row r="102" customFormat="1" s="324">
      <c r="A102" s="1349" t="n"/>
      <c r="B102" s="1484" t="inlineStr">
        <is>
          <t xml:space="preserve">     - Produits de Pêche TP</t>
        </is>
      </c>
      <c r="C102" s="1485" t="n">
        <v>246275.748</v>
      </c>
      <c r="D102" s="1485" t="n">
        <v>219684.5405</v>
      </c>
      <c r="E102" s="1485" t="n">
        <v>137987.6375</v>
      </c>
      <c r="F102" s="1485" t="n">
        <v>183307.831</v>
      </c>
      <c r="G102" s="1418" t="n">
        <v>32.84366217227247</v>
      </c>
      <c r="H102" s="1391" t="n"/>
      <c r="I102" s="1351" t="n"/>
      <c r="J102" s="1351" t="n"/>
      <c r="K102" s="1351" t="n"/>
      <c r="L102" s="1351" t="n"/>
      <c r="M102" s="1351" t="n"/>
      <c r="N102" s="1351" t="n"/>
      <c r="O102" s="1351" t="n"/>
      <c r="P102" s="1349" t="n"/>
    </row>
    <row r="103" customFormat="1" s="324">
      <c r="A103" s="1349" t="n"/>
      <c r="B103" s="1484" t="n"/>
      <c r="C103" s="1486" t="n"/>
      <c r="D103" s="1486" t="n"/>
      <c r="E103" s="1486" t="n"/>
      <c r="F103" s="1486" t="n"/>
      <c r="G103" s="1487" t="n"/>
      <c r="H103" s="1391" t="n"/>
      <c r="I103" s="1351" t="n"/>
      <c r="J103" s="1351" t="n"/>
      <c r="K103" s="1351" t="n"/>
      <c r="L103" s="1351" t="n"/>
      <c r="M103" s="1351" t="n"/>
      <c r="N103" s="1351" t="n"/>
      <c r="O103" s="1351" t="n"/>
      <c r="P103" s="1349" t="n"/>
    </row>
    <row r="104" customFormat="1" s="324">
      <c r="A104" s="1349" t="n"/>
      <c r="B104" s="1479" t="inlineStr">
        <is>
          <t>EXPORTATIONS</t>
        </is>
      </c>
      <c r="C104" s="1480" t="n">
        <v>8159152.696841028</v>
      </c>
      <c r="D104" s="1480" t="n">
        <v>9268861.210950058</v>
      </c>
      <c r="E104" s="1480" t="n">
        <v>9761370.070127027</v>
      </c>
      <c r="F104" s="1480" t="n">
        <v>11180166.31101006</v>
      </c>
      <c r="G104" s="1408" t="n">
        <v>14.53480639183025</v>
      </c>
      <c r="H104" s="1391" t="n"/>
      <c r="I104" s="1351" t="n"/>
      <c r="J104" s="1351" t="n"/>
      <c r="K104" s="1351" t="n"/>
      <c r="L104" s="1351" t="n"/>
      <c r="M104" s="1351" t="n"/>
      <c r="N104" s="1351" t="n"/>
      <c r="O104" s="1351" t="n"/>
      <c r="P104" s="1349" t="n"/>
    </row>
    <row r="105" customFormat="1" s="324">
      <c r="A105" s="1349" t="n"/>
      <c r="B105" s="1481" t="inlineStr">
        <is>
          <t>TARE</t>
        </is>
      </c>
      <c r="C105" s="1482" t="n">
        <v>897446.0000000001</v>
      </c>
      <c r="D105" s="1482" t="n">
        <v>1055214.6</v>
      </c>
      <c r="E105" s="1482" t="n">
        <v>1158990.8</v>
      </c>
      <c r="F105" s="1482" t="n">
        <v>1243671</v>
      </c>
      <c r="G105" s="1408" t="n">
        <v>7.306373786573625</v>
      </c>
      <c r="H105" s="1391" t="n"/>
      <c r="I105" s="1351" t="n"/>
      <c r="J105" s="1351" t="n"/>
      <c r="K105" s="1351" t="n"/>
      <c r="L105" s="1351" t="n"/>
      <c r="M105" s="1351" t="n"/>
      <c r="N105" s="1351" t="n"/>
      <c r="O105" s="1351" t="n"/>
      <c r="P105" s="1349" t="n"/>
    </row>
    <row r="106" customFormat="1" s="324">
      <c r="A106" s="1349" t="n"/>
      <c r="B106" s="1484" t="n"/>
      <c r="C106" s="1488" t="n"/>
      <c r="D106" s="1488" t="n"/>
      <c r="E106" s="1488" t="n"/>
      <c r="F106" s="1488" t="n"/>
      <c r="G106" s="1418" t="n"/>
      <c r="H106" s="1391" t="n"/>
      <c r="I106" s="1351" t="n"/>
      <c r="J106" s="1351" t="n"/>
      <c r="K106" s="1351" t="n"/>
      <c r="L106" s="1351" t="n"/>
      <c r="M106" s="1351" t="n"/>
      <c r="N106" s="1351" t="n"/>
      <c r="O106" s="1351" t="n"/>
      <c r="P106" s="1349" t="n"/>
    </row>
    <row r="107" customFormat="1" s="324">
      <c r="A107" s="1349" t="n"/>
      <c r="B107" s="1484" t="inlineStr">
        <is>
          <t xml:space="preserve">   - Produits Pétroliers</t>
        </is>
      </c>
      <c r="C107" s="1485" t="n">
        <v>1704468.906</v>
      </c>
      <c r="D107" s="1485" t="n">
        <v>2209716.078</v>
      </c>
      <c r="E107" s="1485" t="n">
        <v>2992644.438</v>
      </c>
      <c r="F107" s="1485" t="n">
        <v>3955000.444999999</v>
      </c>
      <c r="G107" s="1418" t="n">
        <v>32.15737876441972</v>
      </c>
      <c r="H107" s="1391" t="n"/>
      <c r="I107" s="1351" t="n"/>
      <c r="J107" s="1351" t="n"/>
      <c r="K107" s="1351" t="n"/>
      <c r="L107" s="1351" t="n"/>
      <c r="M107" s="1351" t="n"/>
      <c r="N107" s="1351" t="n"/>
      <c r="O107" s="1351" t="n"/>
      <c r="P107" s="1349" t="n"/>
    </row>
    <row r="108" customFormat="1" s="324">
      <c r="A108" s="1349" t="n"/>
      <c r="B108" s="1484" t="inlineStr">
        <is>
          <t xml:space="preserve">   - Marchandises Générales</t>
        </is>
      </c>
      <c r="C108" s="1485" t="n">
        <v>5537767.593441027</v>
      </c>
      <c r="D108" s="1485" t="n">
        <v>5996293.708750058</v>
      </c>
      <c r="E108" s="1485" t="n">
        <v>5606014.359527026</v>
      </c>
      <c r="F108" s="1485" t="n">
        <v>5973767.180010055</v>
      </c>
      <c r="G108" s="1418" t="n">
        <v>6.559969291874161</v>
      </c>
      <c r="H108" s="1391" t="n"/>
      <c r="I108" s="1351" t="n"/>
      <c r="J108" s="1351" t="n"/>
      <c r="K108" s="1351" t="n"/>
      <c r="L108" s="1351" t="n"/>
      <c r="M108" s="1351" t="n"/>
      <c r="N108" s="1351" t="n"/>
      <c r="O108" s="1351" t="n"/>
      <c r="P108" s="1349" t="n"/>
    </row>
    <row r="109" customFormat="1" s="324">
      <c r="A109" s="1349" t="n"/>
      <c r="B109" s="1484" t="inlineStr">
        <is>
          <t xml:space="preserve">   - Produits de Pêche</t>
        </is>
      </c>
      <c r="C109" s="1485" t="n">
        <v>19470.1974</v>
      </c>
      <c r="D109" s="1485" t="n">
        <v>7636.824199999999</v>
      </c>
      <c r="E109" s="1485" t="n">
        <v>3720.4726</v>
      </c>
      <c r="F109" s="1485" t="n">
        <v>7727.686</v>
      </c>
      <c r="G109" s="1418" t="n">
        <v>107.7071068874422</v>
      </c>
      <c r="H109" s="1391" t="n"/>
      <c r="I109" s="1351" t="n"/>
      <c r="J109" s="1351" t="n"/>
      <c r="K109" s="1351" t="n"/>
      <c r="L109" s="1351" t="n"/>
      <c r="M109" s="1351" t="n"/>
      <c r="N109" s="1351" t="n"/>
      <c r="O109" s="1351" t="n"/>
      <c r="P109" s="1349" t="n"/>
    </row>
    <row r="110" customFormat="1" s="324">
      <c r="A110" s="1349" t="n"/>
      <c r="B110" s="1484" t="inlineStr">
        <is>
          <t xml:space="preserve">     - Produits de Pêche PC</t>
        </is>
      </c>
      <c r="C110" s="1485" t="n">
        <v>19470.1974</v>
      </c>
      <c r="D110" s="1485" t="n">
        <v>7636.824199999999</v>
      </c>
      <c r="E110" s="1485" t="n">
        <v>3720.4726</v>
      </c>
      <c r="F110" s="1485" t="n">
        <v>7727.686</v>
      </c>
      <c r="G110" s="1418" t="n">
        <v>107.7071068874422</v>
      </c>
      <c r="H110" s="1391" t="n"/>
      <c r="I110" s="1351" t="n"/>
      <c r="J110" s="1351" t="n"/>
      <c r="K110" s="1351" t="n"/>
      <c r="L110" s="1351" t="n"/>
      <c r="M110" s="1351" t="n"/>
      <c r="N110" s="1351" t="n"/>
      <c r="O110" s="1351" t="n"/>
      <c r="P110" s="1349" t="n"/>
    </row>
    <row r="111" customFormat="1" s="324">
      <c r="A111" s="1349" t="n"/>
      <c r="B111" s="1484" t="inlineStr">
        <is>
          <t xml:space="preserve">     - Produits de Pêche TP</t>
        </is>
      </c>
      <c r="C111" s="1485" t="n">
        <v>0</v>
      </c>
      <c r="D111" s="1485" t="n">
        <v>0</v>
      </c>
      <c r="E111" s="1485" t="n">
        <v>0</v>
      </c>
      <c r="F111" s="1485" t="n">
        <v>0</v>
      </c>
      <c r="G111" s="1423" t="inlineStr"/>
      <c r="H111" s="1391" t="n"/>
      <c r="I111" s="1351" t="n"/>
      <c r="J111" s="1351" t="n"/>
      <c r="K111" s="1351" t="n"/>
      <c r="L111" s="1351" t="n"/>
      <c r="M111" s="1351" t="n"/>
      <c r="N111" s="1351" t="n"/>
      <c r="O111" s="1351" t="n"/>
      <c r="P111" s="1349" t="n"/>
    </row>
    <row r="112" customFormat="1" s="324">
      <c r="A112" s="1349" t="n"/>
      <c r="B112" s="1484" t="n"/>
      <c r="C112" s="1488" t="n"/>
      <c r="D112" s="1488" t="n"/>
      <c r="E112" s="1488" t="n"/>
      <c r="F112" s="1488" t="n"/>
      <c r="G112" s="1452" t="n"/>
      <c r="H112" s="1391" t="n"/>
      <c r="I112" s="1351" t="n"/>
      <c r="J112" s="1351" t="n"/>
      <c r="K112" s="1351" t="n"/>
      <c r="L112" s="1351" t="n"/>
      <c r="M112" s="1351" t="n"/>
      <c r="N112" s="1351" t="n"/>
      <c r="O112" s="1351" t="n"/>
      <c r="P112" s="1349" t="n"/>
    </row>
    <row r="113" customFormat="1" s="324">
      <c r="A113" s="1349" t="n"/>
      <c r="B113" s="1489" t="inlineStr">
        <is>
          <t>TOTAL TRAFIC</t>
        </is>
      </c>
      <c r="C113" s="1490" t="n">
        <v>26937556.06017404</v>
      </c>
      <c r="D113" s="1490" t="n">
        <v>29693030.80584531</v>
      </c>
      <c r="E113" s="1490" t="n">
        <v>30874312.62690803</v>
      </c>
      <c r="F113" s="1490" t="n">
        <v>36923644.96727112</v>
      </c>
      <c r="G113" s="1491" t="n">
        <v>19.5934154501334</v>
      </c>
      <c r="H113" s="1391" t="n"/>
      <c r="I113" s="1351" t="n"/>
      <c r="J113" s="1351" t="n"/>
      <c r="K113" s="1351" t="n"/>
      <c r="L113" s="1351" t="n"/>
      <c r="M113" s="1351" t="n"/>
      <c r="N113" s="1351" t="n"/>
      <c r="O113" s="1351" t="n"/>
      <c r="P113" s="1349" t="n"/>
    </row>
    <row r="114" customFormat="1" s="324">
      <c r="A114" s="1349" t="n"/>
      <c r="B114" s="1492" t="inlineStr">
        <is>
          <t>TARE</t>
        </is>
      </c>
      <c r="C114" s="1493" t="n">
        <v>1720195.4</v>
      </c>
      <c r="D114" s="1493" t="n">
        <v>2076137.8</v>
      </c>
      <c r="E114" s="1493" t="n">
        <v>2322289.2</v>
      </c>
      <c r="F114" s="1493" t="n">
        <v>2448457</v>
      </c>
      <c r="G114" s="1494" t="n">
        <v>5.432906461434682</v>
      </c>
      <c r="H114" s="1391" t="n"/>
      <c r="I114" s="1351" t="n"/>
      <c r="J114" s="1351" t="n"/>
      <c r="K114" s="1351" t="n"/>
      <c r="L114" s="1351" t="n"/>
      <c r="M114" s="1351" t="n"/>
      <c r="N114" s="1351" t="n"/>
      <c r="O114" s="1351" t="n"/>
      <c r="P114" s="1349" t="n"/>
    </row>
    <row r="115" customFormat="1" s="324">
      <c r="A115" s="1349" t="n"/>
      <c r="B115" s="1495" t="n"/>
      <c r="C115" s="1427" t="n"/>
      <c r="D115" s="1427" t="n"/>
      <c r="E115" s="1427" t="n"/>
      <c r="F115" s="1427" t="n"/>
      <c r="G115" s="1428" t="n"/>
      <c r="H115" s="1391" t="n"/>
      <c r="I115" s="1351" t="n"/>
      <c r="J115" s="1351" t="n"/>
      <c r="K115" s="1351" t="n"/>
      <c r="L115" s="1351" t="n"/>
      <c r="M115" s="1351" t="n"/>
      <c r="N115" s="1351" t="n"/>
      <c r="O115" s="1351" t="n"/>
      <c r="P115" s="1349" t="n"/>
    </row>
    <row r="116" customFormat="1" s="324">
      <c r="A116" s="1349" t="n"/>
      <c r="B116" s="1484" t="inlineStr">
        <is>
          <t xml:space="preserve">   - Produits Pétroliers</t>
        </is>
      </c>
      <c r="C116" s="1485" t="n">
        <v>7237990.558200998</v>
      </c>
      <c r="D116" s="1485" t="n">
        <v>8372275.544288</v>
      </c>
      <c r="E116" s="1485" t="n">
        <v>9439679.699474001</v>
      </c>
      <c r="F116" s="1485" t="n">
        <v>11341874.933872</v>
      </c>
      <c r="G116" s="1496" t="n">
        <v>20.15105697393517</v>
      </c>
      <c r="H116" s="1391" t="n"/>
      <c r="I116" s="1351" t="n"/>
      <c r="J116" s="1351" t="n"/>
      <c r="K116" s="1351" t="n"/>
      <c r="L116" s="1351" t="n"/>
      <c r="M116" s="1351" t="n"/>
      <c r="N116" s="1351" t="n"/>
      <c r="O116" s="1351" t="n"/>
      <c r="P116" s="1349" t="n"/>
    </row>
    <row r="117" customFormat="1" s="324">
      <c r="A117" s="1349" t="n"/>
      <c r="B117" s="1484" t="inlineStr">
        <is>
          <t xml:space="preserve">   - Marchandises Générales</t>
        </is>
      </c>
      <c r="C117" s="1485" t="n">
        <v>17215426.25882604</v>
      </c>
      <c r="D117" s="1485" t="n">
        <v>18432720.8947873</v>
      </c>
      <c r="E117" s="1485" t="n">
        <v>18319267.72173403</v>
      </c>
      <c r="F117" s="1485" t="n">
        <v>22223124.08439912</v>
      </c>
      <c r="G117" s="1496" t="n">
        <v>21.31011141910187</v>
      </c>
      <c r="H117" s="1391" t="n"/>
      <c r="I117" s="1351" t="n"/>
      <c r="J117" s="1351" t="n"/>
      <c r="K117" s="1351" t="n"/>
      <c r="L117" s="1351" t="n"/>
      <c r="M117" s="1351" t="n"/>
      <c r="N117" s="1351" t="n"/>
      <c r="O117" s="1351" t="n"/>
      <c r="P117" s="1349" t="n"/>
    </row>
    <row r="118" customFormat="1" s="324">
      <c r="A118" s="1349" t="n"/>
      <c r="B118" s="1484" t="inlineStr">
        <is>
          <t xml:space="preserve">   - Produits de Pêche</t>
        </is>
      </c>
      <c r="C118" s="1485" t="n">
        <v>763943.8431470001</v>
      </c>
      <c r="D118" s="1485" t="n">
        <v>811896.5667699998</v>
      </c>
      <c r="E118" s="1485" t="n">
        <v>793076.0057000001</v>
      </c>
      <c r="F118" s="1485" t="n">
        <v>910188.9490000007</v>
      </c>
      <c r="G118" s="1496" t="n">
        <v>14.76692554790283</v>
      </c>
      <c r="H118" s="1391" t="n"/>
      <c r="I118" s="1351" t="n"/>
      <c r="J118" s="1351" t="n"/>
      <c r="K118" s="1351" t="n"/>
      <c r="L118" s="1351" t="n"/>
      <c r="M118" s="1351" t="n"/>
      <c r="N118" s="1351" t="n"/>
      <c r="O118" s="1351" t="n"/>
      <c r="P118" s="1349" t="n"/>
    </row>
    <row r="119" customFormat="1" s="324">
      <c r="A119" s="1349" t="n"/>
      <c r="B119" s="1484" t="inlineStr">
        <is>
          <t xml:space="preserve">     - Produits de Pêche PC</t>
        </is>
      </c>
      <c r="C119" s="1485" t="n">
        <v>517668.0951470002</v>
      </c>
      <c r="D119" s="1485" t="n">
        <v>592212.0262699998</v>
      </c>
      <c r="E119" s="1485" t="n">
        <v>655088.3682000001</v>
      </c>
      <c r="F119" s="1485" t="n">
        <v>726881.1180000007</v>
      </c>
      <c r="G119" s="1496" t="n">
        <v>10.95924661237185</v>
      </c>
      <c r="H119" s="1391" t="n"/>
      <c r="I119" s="1351" t="n"/>
      <c r="J119" s="1351" t="n"/>
      <c r="K119" s="1351" t="n"/>
      <c r="L119" s="1351" t="n"/>
      <c r="M119" s="1351" t="n"/>
      <c r="N119" s="1351" t="n"/>
      <c r="O119" s="1351" t="n"/>
      <c r="P119" s="1349" t="n"/>
    </row>
    <row r="120" customFormat="1" s="324">
      <c r="A120" s="1349" t="n"/>
      <c r="B120" s="1497" t="inlineStr">
        <is>
          <t xml:space="preserve">     - Produits de Pêche TP</t>
        </is>
      </c>
      <c r="C120" s="1498" t="n">
        <v>246275.748</v>
      </c>
      <c r="D120" s="1498" t="n">
        <v>219684.5405</v>
      </c>
      <c r="E120" s="1498" t="n">
        <v>137987.6375</v>
      </c>
      <c r="F120" s="1498" t="n">
        <v>183307.831</v>
      </c>
      <c r="G120" s="1499" t="n">
        <v>32.84366217227247</v>
      </c>
      <c r="H120" s="1391" t="n"/>
      <c r="I120" s="1351" t="n"/>
      <c r="J120" s="1351" t="n"/>
      <c r="K120" s="1351" t="n"/>
      <c r="L120" s="1351" t="n"/>
      <c r="M120" s="1351" t="n"/>
      <c r="N120" s="1351" t="n"/>
      <c r="O120" s="1351" t="n"/>
      <c r="P120" s="1349" t="n"/>
    </row>
    <row r="121" customFormat="1" s="324">
      <c r="A121" s="1349" t="n"/>
      <c r="B121" s="1500" t="n"/>
      <c r="C121" s="1439" t="n"/>
      <c r="D121" s="1439" t="n"/>
      <c r="E121" s="1439" t="n"/>
      <c r="F121" s="1439" t="n"/>
      <c r="G121" s="1395" t="n"/>
      <c r="H121" s="1391" t="n"/>
      <c r="I121" s="1351" t="n"/>
      <c r="J121" s="1351" t="n"/>
      <c r="K121" s="1351" t="n"/>
      <c r="L121" s="1351" t="n"/>
      <c r="M121" s="1351" t="n"/>
      <c r="N121" s="1351" t="n"/>
      <c r="O121" s="1351" t="n"/>
      <c r="P121" s="1349" t="n"/>
    </row>
    <row r="122" ht="15.65" customFormat="1" customHeight="1" s="324">
      <c r="A122" s="1349" t="n"/>
      <c r="B122" s="1392" t="inlineStr">
        <is>
          <t xml:space="preserve">                       TRAFIC TOTAL DE TRANSIT PAR PAYS REALISE AU PA (en tonne) : EXERCICE </t>
        </is>
      </c>
      <c r="C122" s="1351" t="n"/>
      <c r="D122" s="1351" t="n"/>
      <c r="E122" s="1351" t="n"/>
      <c r="F122" s="1351" t="n"/>
      <c r="G122" s="1393" t="n">
        <v>2025</v>
      </c>
      <c r="H122" s="1391" t="n"/>
      <c r="I122" s="1351" t="n"/>
      <c r="J122" s="1351" t="n"/>
      <c r="K122" s="1351" t="n"/>
      <c r="L122" s="1351" t="n"/>
      <c r="M122" s="1351" t="n"/>
      <c r="N122" s="1351" t="n"/>
      <c r="O122" s="1351" t="n"/>
      <c r="P122" s="1349" t="n"/>
    </row>
    <row r="123" customFormat="1" s="324">
      <c r="A123" s="1349" t="n"/>
      <c r="B123" s="1501" t="n"/>
      <c r="C123" s="1439" t="n"/>
      <c r="D123" s="1439" t="n"/>
      <c r="E123" s="1439" t="n"/>
      <c r="F123" s="1439" t="n"/>
      <c r="G123" s="1395" t="n"/>
      <c r="H123" s="1391" t="n"/>
      <c r="I123" s="1351" t="n"/>
      <c r="J123" s="1351" t="n"/>
      <c r="K123" s="1351" t="n"/>
      <c r="L123" s="1351" t="n"/>
      <c r="M123" s="1351" t="n"/>
      <c r="N123" s="1351" t="n"/>
      <c r="O123" s="1351" t="n"/>
      <c r="P123" s="1349" t="n"/>
    </row>
    <row r="124" customFormat="1" s="324">
      <c r="A124" s="1349" t="n"/>
      <c r="B124" s="1396" t="inlineStr">
        <is>
          <t>RUBRIQUES</t>
        </is>
      </c>
      <c r="C124" s="1397" t="inlineStr">
        <is>
          <t xml:space="preserve">SITUATION A FIN </t>
        </is>
      </c>
      <c r="D124" s="1398" t="n"/>
      <c r="E124" s="1398" t="n"/>
      <c r="F124" s="1399" t="inlineStr">
        <is>
          <t>DECEMBRE</t>
        </is>
      </c>
      <c r="G124" s="1400" t="n"/>
      <c r="H124" s="1391" t="n"/>
      <c r="I124" s="1351" t="n"/>
      <c r="J124" s="1351" t="n"/>
      <c r="K124" s="1351" t="n"/>
      <c r="L124" s="1351" t="n"/>
      <c r="M124" s="1351" t="n"/>
      <c r="N124" s="1351" t="n"/>
      <c r="O124" s="1351" t="n"/>
      <c r="P124" s="1349" t="n"/>
    </row>
    <row r="125" ht="30" customFormat="1" customHeight="1" s="324">
      <c r="A125" s="1349" t="n"/>
      <c r="B125" s="1401" t="n"/>
      <c r="C125" s="1402" t="n">
        <v>2022</v>
      </c>
      <c r="D125" s="1402" t="n">
        <v>2023</v>
      </c>
      <c r="E125" s="1402" t="n">
        <v>2024</v>
      </c>
      <c r="F125" s="1402" t="n">
        <v>2025</v>
      </c>
      <c r="G125" s="1403" t="inlineStr">
        <is>
          <t>Var. %      2025 / 2024</t>
        </is>
      </c>
      <c r="H125" s="1391" t="n"/>
      <c r="I125" s="1351" t="n"/>
      <c r="J125" s="1351" t="n"/>
      <c r="K125" s="1351" t="n"/>
      <c r="L125" s="1351" t="n"/>
      <c r="M125" s="1351" t="n"/>
      <c r="N125" s="1351" t="n"/>
      <c r="O125" s="1351" t="n"/>
      <c r="P125" s="1349" t="n"/>
    </row>
    <row r="126" customFormat="1" s="324">
      <c r="A126" s="1349" t="n"/>
      <c r="B126" s="1502" t="n"/>
      <c r="C126" s="1444" t="n"/>
      <c r="D126" s="1444" t="n"/>
      <c r="E126" s="1444" t="n"/>
      <c r="F126" s="1444" t="n"/>
      <c r="G126" s="1445" t="n"/>
      <c r="H126" s="1391" t="n"/>
      <c r="I126" s="1351" t="n"/>
      <c r="J126" s="1351" t="n"/>
      <c r="K126" s="1351" t="n"/>
      <c r="L126" s="1351" t="n"/>
      <c r="M126" s="1351" t="n"/>
      <c r="N126" s="1351" t="n"/>
      <c r="O126" s="1351" t="n"/>
      <c r="P126" s="1349" t="n"/>
    </row>
    <row r="127" customFormat="1" s="324">
      <c r="A127" s="1349" t="n"/>
      <c r="B127" s="1503" t="inlineStr">
        <is>
          <t xml:space="preserve">    IMPORTATIONS</t>
        </is>
      </c>
      <c r="C127" s="1504" t="n">
        <v>2891553.297065999</v>
      </c>
      <c r="D127" s="1504" t="n">
        <v>2784913.687381999</v>
      </c>
      <c r="E127" s="1504" t="n">
        <v>2811151.488653</v>
      </c>
      <c r="F127" s="1504" t="n">
        <v>3564330.516792004</v>
      </c>
      <c r="G127" s="1408" t="n">
        <v>26.79254501862152</v>
      </c>
      <c r="H127" s="1391" t="n"/>
      <c r="I127" s="1351" t="n"/>
      <c r="J127" s="1351" t="n"/>
      <c r="K127" s="1351" t="n"/>
      <c r="L127" s="1351" t="n"/>
      <c r="M127" s="1351" t="n"/>
      <c r="N127" s="1351" t="n"/>
      <c r="O127" s="1351" t="n"/>
      <c r="P127" s="1349" t="n"/>
    </row>
    <row r="128" customFormat="1" s="324">
      <c r="A128" s="1349" t="n"/>
      <c r="B128" s="1503" t="n"/>
      <c r="C128" s="1451" t="n"/>
      <c r="D128" s="1451" t="n"/>
      <c r="E128" s="1451" t="n"/>
      <c r="F128" s="1451" t="n"/>
      <c r="G128" s="1418" t="n"/>
      <c r="H128" s="1391" t="n"/>
      <c r="I128" s="1351" t="n"/>
      <c r="J128" s="1351" t="n"/>
      <c r="K128" s="1351" t="n"/>
      <c r="L128" s="1351" t="n"/>
      <c r="M128" s="1351" t="n"/>
      <c r="N128" s="1351" t="n"/>
      <c r="O128" s="1351" t="n"/>
      <c r="P128" s="1349" t="n"/>
    </row>
    <row r="129" customFormat="1" s="324">
      <c r="A129" s="1349" t="n"/>
      <c r="B129" s="1505" t="inlineStr">
        <is>
          <t xml:space="preserve">              - Burkina Faso</t>
        </is>
      </c>
      <c r="C129" s="1417" t="n">
        <v>2267782.208958</v>
      </c>
      <c r="D129" s="1417" t="n">
        <v>2170385.967803998</v>
      </c>
      <c r="E129" s="1417" t="n">
        <v>2021829.533351</v>
      </c>
      <c r="F129" s="1417" t="n">
        <v>2364383.581012005</v>
      </c>
      <c r="G129" s="1418" t="n">
        <v>16.94277593686408</v>
      </c>
      <c r="H129" s="1391" t="n"/>
      <c r="I129" s="1351" t="n"/>
      <c r="J129" s="1351" t="n"/>
      <c r="K129" s="1351" t="n"/>
      <c r="L129" s="1351" t="n"/>
      <c r="M129" s="1351" t="n"/>
      <c r="N129" s="1351" t="n"/>
      <c r="O129" s="1351" t="n"/>
      <c r="P129" s="1349" t="n"/>
    </row>
    <row r="130" customFormat="1" s="324">
      <c r="A130" s="1349" t="n"/>
      <c r="B130" s="1505" t="inlineStr">
        <is>
          <t xml:space="preserve">              - Mali</t>
        </is>
      </c>
      <c r="C130" s="1417" t="n">
        <v>618512.3813079998</v>
      </c>
      <c r="D130" s="1417" t="n">
        <v>603192.5520060001</v>
      </c>
      <c r="E130" s="1417" t="n">
        <v>762249.1310020001</v>
      </c>
      <c r="F130" s="1417" t="n">
        <v>1154190.50978</v>
      </c>
      <c r="G130" s="1418" t="n">
        <v>51.41906534714978</v>
      </c>
      <c r="H130" s="1391" t="n"/>
      <c r="I130" s="1351" t="n"/>
      <c r="J130" s="1351" t="n"/>
      <c r="K130" s="1351" t="n"/>
      <c r="L130" s="1351" t="n"/>
      <c r="M130" s="1351" t="n"/>
      <c r="N130" s="1351" t="n"/>
      <c r="O130" s="1351" t="n"/>
      <c r="P130" s="1349" t="n"/>
    </row>
    <row r="131" customFormat="1" s="324">
      <c r="A131" s="1349" t="n"/>
      <c r="B131" s="1505" t="inlineStr">
        <is>
          <t xml:space="preserve">              - Niger</t>
        </is>
      </c>
      <c r="C131" s="1417" t="n">
        <v>360.3749999999999</v>
      </c>
      <c r="D131" s="1417" t="n">
        <v>6</v>
      </c>
      <c r="E131" s="1417" t="n">
        <v>1332.2483</v>
      </c>
      <c r="F131" s="1417" t="n">
        <v>101.739</v>
      </c>
      <c r="G131" s="1418" t="n">
        <v>-92.36336049368575</v>
      </c>
      <c r="H131" s="1391" t="n"/>
      <c r="I131" s="1351" t="n"/>
      <c r="J131" s="1351" t="n"/>
      <c r="K131" s="1351" t="n"/>
      <c r="L131" s="1351" t="n"/>
      <c r="M131" s="1351" t="n"/>
      <c r="N131" s="1351" t="n"/>
      <c r="O131" s="1351" t="n"/>
      <c r="P131" s="1349" t="n"/>
    </row>
    <row r="132" customFormat="1" s="324">
      <c r="A132" s="1349" t="n"/>
      <c r="B132" s="1505" t="inlineStr">
        <is>
          <t xml:space="preserve">              - Pays cotiers</t>
        </is>
      </c>
      <c r="C132" s="1417" t="n">
        <v>4898.331800000001</v>
      </c>
      <c r="D132" s="1417" t="n">
        <v>11329.167572</v>
      </c>
      <c r="E132" s="1417" t="n">
        <v>25740.576</v>
      </c>
      <c r="F132" s="1417" t="n">
        <v>45654.687</v>
      </c>
      <c r="G132" s="1418" t="n">
        <v>77.36466736408691</v>
      </c>
      <c r="H132" s="1391" t="n"/>
      <c r="I132" s="1351" t="n"/>
      <c r="J132" s="1351" t="n"/>
      <c r="K132" s="1351" t="n"/>
      <c r="L132" s="1351" t="n"/>
      <c r="M132" s="1351" t="n"/>
      <c r="N132" s="1351" t="n"/>
      <c r="O132" s="1351" t="n"/>
      <c r="P132" s="1349" t="n"/>
    </row>
    <row r="133" customFormat="1" s="324">
      <c r="A133" s="1349" t="n"/>
      <c r="B133" s="1506" t="n"/>
      <c r="C133" s="1466" t="n"/>
      <c r="D133" s="1466" t="n"/>
      <c r="E133" s="1466" t="n"/>
      <c r="F133" s="1466" t="n"/>
      <c r="G133" s="1507" t="n"/>
      <c r="H133" s="1391" t="n"/>
      <c r="I133" s="1351" t="n"/>
      <c r="J133" s="1351" t="n"/>
      <c r="K133" s="1351" t="n"/>
      <c r="L133" s="1351" t="n"/>
      <c r="M133" s="1351" t="n"/>
      <c r="N133" s="1351" t="n"/>
      <c r="O133" s="1351" t="n"/>
      <c r="P133" s="1349" t="n"/>
    </row>
    <row r="134" customFormat="1" s="324">
      <c r="A134" s="1349" t="n"/>
      <c r="B134" s="1503" t="inlineStr">
        <is>
          <t xml:space="preserve">    EXPORTATIONS</t>
        </is>
      </c>
      <c r="C134" s="1504" t="n">
        <v>279494.194692</v>
      </c>
      <c r="D134" s="1504" t="n">
        <v>217680.98468</v>
      </c>
      <c r="E134" s="1504" t="n">
        <v>236349.223275</v>
      </c>
      <c r="F134" s="1504" t="n">
        <v>537766.5988100001</v>
      </c>
      <c r="G134" s="1408" t="n">
        <v>127.5305124164894</v>
      </c>
      <c r="H134" s="1391" t="n"/>
      <c r="I134" s="1351" t="n"/>
      <c r="J134" s="1351" t="n"/>
      <c r="K134" s="1351" t="n"/>
      <c r="L134" s="1351" t="n"/>
      <c r="M134" s="1351" t="n"/>
      <c r="N134" s="1351" t="n"/>
      <c r="O134" s="1351" t="n"/>
      <c r="P134" s="1349" t="n"/>
    </row>
    <row r="135" customFormat="1" s="324">
      <c r="A135" s="1349" t="n"/>
      <c r="B135" s="1503" t="n"/>
      <c r="C135" s="1451" t="n"/>
      <c r="D135" s="1451" t="n"/>
      <c r="E135" s="1451" t="n"/>
      <c r="F135" s="1451" t="n"/>
      <c r="G135" s="1418" t="n"/>
      <c r="H135" s="1391" t="n"/>
      <c r="I135" s="1351" t="n"/>
      <c r="J135" s="1351" t="n"/>
      <c r="K135" s="1351" t="n"/>
      <c r="L135" s="1351" t="n"/>
      <c r="M135" s="1351" t="n"/>
      <c r="N135" s="1351" t="n"/>
      <c r="O135" s="1351" t="n"/>
      <c r="P135" s="1349" t="n"/>
    </row>
    <row r="136" customFormat="1" s="324">
      <c r="A136" s="1349" t="n"/>
      <c r="B136" s="1505" t="inlineStr">
        <is>
          <t xml:space="preserve">              - Burkina Faso</t>
        </is>
      </c>
      <c r="C136" s="1417" t="n">
        <v>182031.504606</v>
      </c>
      <c r="D136" s="1417" t="n">
        <v>118676.98868</v>
      </c>
      <c r="E136" s="1417" t="n">
        <v>111715.984275</v>
      </c>
      <c r="F136" s="1417" t="n">
        <v>92136.12880999997</v>
      </c>
      <c r="G136" s="1418" t="n">
        <v>-17.52645835962224</v>
      </c>
      <c r="H136" s="1508" t="n"/>
      <c r="I136" s="1351" t="n"/>
      <c r="J136" s="1351" t="n"/>
      <c r="K136" s="1351" t="n"/>
      <c r="L136" s="1351" t="n"/>
      <c r="M136" s="1351" t="n"/>
      <c r="N136" s="1351" t="n"/>
      <c r="O136" s="1351" t="n"/>
      <c r="P136" s="1349" t="n"/>
    </row>
    <row r="137" customFormat="1" s="324">
      <c r="A137" s="1349" t="n"/>
      <c r="B137" s="1505" t="inlineStr">
        <is>
          <t xml:space="preserve">              - Mali</t>
        </is>
      </c>
      <c r="C137" s="1417" t="n">
        <v>97440.690086</v>
      </c>
      <c r="D137" s="1417" t="n">
        <v>98970.69999999998</v>
      </c>
      <c r="E137" s="1417" t="n">
        <v>115538.699</v>
      </c>
      <c r="F137" s="1417" t="n">
        <v>445630.4700000002</v>
      </c>
      <c r="G137" s="1418" t="n">
        <v>285.6980162118669</v>
      </c>
      <c r="H137" s="1508" t="n"/>
      <c r="I137" s="1351" t="n"/>
      <c r="J137" s="1351" t="n"/>
      <c r="K137" s="1351" t="n"/>
      <c r="L137" s="1351" t="n"/>
      <c r="M137" s="1351" t="n"/>
      <c r="N137" s="1351" t="n"/>
      <c r="O137" s="1351" t="n"/>
      <c r="P137" s="1349" t="n"/>
    </row>
    <row r="138" customFormat="1" s="324">
      <c r="A138" s="1349" t="n"/>
      <c r="B138" s="1505" t="inlineStr">
        <is>
          <t xml:space="preserve">              - Niger</t>
        </is>
      </c>
      <c r="C138" s="1417" t="n">
        <v>0</v>
      </c>
      <c r="D138" s="1417" t="n">
        <v>0</v>
      </c>
      <c r="E138" s="1417" t="n">
        <v>0</v>
      </c>
      <c r="F138" s="1417" t="n">
        <v>0</v>
      </c>
      <c r="G138" s="1423" t="inlineStr"/>
      <c r="H138" s="1391" t="n"/>
      <c r="I138" s="1351" t="n"/>
      <c r="J138" s="1351" t="n"/>
      <c r="K138" s="1351" t="n"/>
      <c r="L138" s="1351" t="n"/>
      <c r="M138" s="1351" t="n"/>
      <c r="N138" s="1351" t="n"/>
      <c r="O138" s="1351" t="n"/>
      <c r="P138" s="1389" t="inlineStr">
        <is>
          <t xml:space="preserve"> </t>
        </is>
      </c>
    </row>
    <row r="139" customFormat="1" s="324">
      <c r="A139" s="1349" t="n"/>
      <c r="B139" s="1505" t="inlineStr">
        <is>
          <t xml:space="preserve">              - Pays cotiers</t>
        </is>
      </c>
      <c r="C139" s="1417" t="n">
        <v>22</v>
      </c>
      <c r="D139" s="1417" t="n">
        <v>33.296</v>
      </c>
      <c r="E139" s="1417" t="n">
        <v>9094.540000000001</v>
      </c>
      <c r="F139" s="1417" t="n">
        <v>0</v>
      </c>
      <c r="G139" s="1418" t="n">
        <v>-100</v>
      </c>
      <c r="H139" s="1391" t="n"/>
      <c r="I139" s="1351" t="n"/>
      <c r="J139" s="1351" t="n"/>
      <c r="K139" s="1351" t="n"/>
      <c r="L139" s="1351" t="n"/>
      <c r="M139" s="1351" t="n"/>
      <c r="N139" s="1351" t="n"/>
      <c r="O139" s="1351" t="n"/>
      <c r="P139" s="1349" t="n"/>
    </row>
    <row r="140">
      <c r="A140" s="1389" t="n"/>
      <c r="B140" s="1505" t="n"/>
      <c r="C140" s="1466" t="n"/>
      <c r="D140" s="1466" t="n"/>
      <c r="E140" s="1466" t="n"/>
      <c r="F140" s="1466" t="n"/>
      <c r="G140" s="1452" t="n"/>
      <c r="H140" s="1351" t="n"/>
      <c r="I140" s="1351" t="n"/>
      <c r="J140" s="1351" t="n"/>
      <c r="K140" s="1351" t="n"/>
      <c r="L140" s="1351" t="n"/>
      <c r="M140" s="1351" t="n"/>
      <c r="N140" s="1351" t="n"/>
      <c r="O140" s="1351" t="n"/>
      <c r="P140" s="1349" t="n"/>
    </row>
    <row r="141">
      <c r="A141" s="1389" t="n"/>
      <c r="B141" s="1453" t="inlineStr">
        <is>
          <t>TOTAL TRAFIC</t>
        </is>
      </c>
      <c r="C141" s="1468" t="n">
        <v>3171047.491757999</v>
      </c>
      <c r="D141" s="1468" t="n">
        <v>3002594.672061998</v>
      </c>
      <c r="E141" s="1468" t="n">
        <v>3047500.711928</v>
      </c>
      <c r="F141" s="1468" t="n">
        <v>4102097.115602004</v>
      </c>
      <c r="G141" s="1469" t="n">
        <v>34.60528818077992</v>
      </c>
      <c r="H141" s="1470" t="n">
        <v>1054596.403674004</v>
      </c>
      <c r="I141" s="1471" t="n">
        <v>0.3460528818077992</v>
      </c>
      <c r="J141" s="1351" t="n"/>
      <c r="K141" s="1351" t="n"/>
      <c r="L141" s="1351" t="n"/>
      <c r="M141" s="1351" t="n"/>
      <c r="N141" s="1351" t="n"/>
      <c r="O141" s="1351" t="n"/>
      <c r="P141" s="1349" t="n"/>
    </row>
    <row r="142" customFormat="1" s="324">
      <c r="A142" s="1349" t="n"/>
      <c r="B142" s="1509" t="n"/>
      <c r="C142" s="1510" t="n"/>
      <c r="D142" s="1510" t="n"/>
      <c r="E142" s="1510" t="n"/>
      <c r="F142" s="1510" t="n"/>
      <c r="G142" s="1418" t="n"/>
      <c r="H142" s="1391" t="n"/>
      <c r="I142" s="1351" t="n"/>
      <c r="J142" s="1351" t="n"/>
      <c r="K142" s="1351" t="n"/>
      <c r="L142" s="1351" t="n"/>
      <c r="M142" s="1351" t="n"/>
      <c r="N142" s="1351" t="n"/>
      <c r="O142" s="1351" t="n"/>
      <c r="P142" s="1349" t="n"/>
    </row>
    <row r="143" customFormat="1" s="324">
      <c r="A143" s="1349" t="n"/>
      <c r="B143" s="1505" t="inlineStr">
        <is>
          <t xml:space="preserve">              - Burkina Faso</t>
        </is>
      </c>
      <c r="C143" s="1510" t="n">
        <v>2449813.713564</v>
      </c>
      <c r="D143" s="1510" t="n">
        <v>2289062.956483998</v>
      </c>
      <c r="E143" s="1510" t="n">
        <v>2133545.517626</v>
      </c>
      <c r="F143" s="1510" t="n">
        <v>2456519.709822005</v>
      </c>
      <c r="G143" s="1418" t="n">
        <v>15.13790962169762</v>
      </c>
      <c r="H143" s="1470" t="n">
        <v>322974.1921960046</v>
      </c>
      <c r="I143" s="1471" t="n">
        <v>0.1513790962169762</v>
      </c>
      <c r="J143" s="1472" t="n">
        <v>0.5988448446232111</v>
      </c>
      <c r="K143" s="1351" t="n"/>
      <c r="L143" s="1351" t="n"/>
      <c r="M143" s="1351" t="n"/>
      <c r="N143" s="1351" t="n"/>
      <c r="O143" s="1351" t="n"/>
      <c r="P143" s="1349" t="n"/>
    </row>
    <row r="144" customFormat="1" s="324">
      <c r="A144" s="1349" t="n"/>
      <c r="B144" s="1505" t="inlineStr">
        <is>
          <t xml:space="preserve">              - Mali</t>
        </is>
      </c>
      <c r="C144" s="1510" t="n">
        <v>715953.0713939999</v>
      </c>
      <c r="D144" s="1510" t="n">
        <v>702163.252006</v>
      </c>
      <c r="E144" s="1510" t="n">
        <v>877787.8300020001</v>
      </c>
      <c r="F144" s="1510" t="n">
        <v>1599820.97978</v>
      </c>
      <c r="G144" s="1418" t="n">
        <v>82.25599912638964</v>
      </c>
      <c r="H144" s="1470" t="n">
        <v>722033.1497779998</v>
      </c>
      <c r="I144" s="1471" t="n">
        <v>0.8225599912638965</v>
      </c>
      <c r="J144" s="1472" t="n">
        <v>0.3900007568556109</v>
      </c>
      <c r="K144" s="1351" t="n"/>
      <c r="L144" s="1351" t="n"/>
      <c r="M144" s="1351" t="n"/>
      <c r="N144" s="1351" t="n"/>
      <c r="O144" s="1351" t="n"/>
      <c r="P144" s="1349" t="n"/>
    </row>
    <row r="145" customFormat="1" s="324">
      <c r="A145" s="1349" t="n"/>
      <c r="B145" s="1505" t="inlineStr">
        <is>
          <t xml:space="preserve">              - Niger</t>
        </is>
      </c>
      <c r="C145" s="1510" t="n">
        <v>360.3749999999999</v>
      </c>
      <c r="D145" s="1510" t="n">
        <v>6</v>
      </c>
      <c r="E145" s="1510" t="n">
        <v>1332.2483</v>
      </c>
      <c r="F145" s="1510" t="n">
        <v>101.739</v>
      </c>
      <c r="G145" s="1418" t="n">
        <v>-92.36336049368575</v>
      </c>
      <c r="H145" s="1470" t="n">
        <v>-1230.5093</v>
      </c>
      <c r="I145" s="1471" t="n">
        <v>-0.9236336049368574</v>
      </c>
      <c r="J145" s="1472" t="n">
        <v>2.48017043801922e-05</v>
      </c>
      <c r="K145" s="1351" t="n"/>
      <c r="L145" s="1351" t="n"/>
      <c r="M145" s="1351" t="n"/>
      <c r="N145" s="1351" t="n"/>
      <c r="O145" s="1351" t="n"/>
      <c r="P145" s="1349" t="n"/>
    </row>
    <row r="146" customFormat="1" s="324">
      <c r="A146" s="1349" t="n"/>
      <c r="B146" s="1505" t="inlineStr">
        <is>
          <t xml:space="preserve">              - Pays cotiers</t>
        </is>
      </c>
      <c r="C146" s="1510" t="n">
        <v>4920.331800000001</v>
      </c>
      <c r="D146" s="1510" t="n">
        <v>11362.463572</v>
      </c>
      <c r="E146" s="1510" t="n">
        <v>34835.11600000001</v>
      </c>
      <c r="F146" s="1510" t="n">
        <v>45654.687</v>
      </c>
      <c r="G146" s="1418" t="n">
        <v>31.05937985106749</v>
      </c>
      <c r="H146" s="1470" t="n">
        <v>10819.57099999999</v>
      </c>
      <c r="I146" s="1471" t="n">
        <v>0.3105937985106749</v>
      </c>
      <c r="J146" s="1472" t="n">
        <v>0.01112959681679792</v>
      </c>
      <c r="K146" s="1351" t="n"/>
      <c r="L146" s="1351" t="n"/>
      <c r="M146" s="1351" t="n"/>
      <c r="N146" s="1351" t="n"/>
      <c r="O146" s="1351" t="n"/>
      <c r="P146" s="1349" t="n"/>
    </row>
    <row r="147" customFormat="1" s="324">
      <c r="A147" s="1349" t="n"/>
      <c r="B147" s="1511" t="n"/>
      <c r="C147" s="1512" t="n"/>
      <c r="D147" s="1512" t="n"/>
      <c r="E147" s="1512" t="n"/>
      <c r="F147" s="1512" t="n"/>
      <c r="G147" s="1458" t="n"/>
      <c r="H147" s="1391" t="n"/>
      <c r="I147" s="1351" t="n"/>
      <c r="J147" s="1351" t="n"/>
      <c r="K147" s="1351" t="n"/>
      <c r="L147" s="1351" t="n"/>
      <c r="M147" s="1351" t="n"/>
      <c r="N147" s="1351" t="n"/>
      <c r="O147" s="1351" t="n"/>
      <c r="P147" s="1349" t="n"/>
    </row>
    <row r="148" customFormat="1" s="324">
      <c r="A148" s="1349" t="n"/>
      <c r="B148" s="1500" t="n"/>
      <c r="C148" s="1439" t="n"/>
      <c r="D148" s="1439" t="n"/>
      <c r="E148" s="1439" t="n"/>
      <c r="F148" s="1439" t="n"/>
      <c r="G148" s="1395" t="n"/>
      <c r="H148" s="1391" t="n"/>
      <c r="I148" s="1351" t="n"/>
      <c r="J148" s="1351" t="n"/>
      <c r="K148" s="1351" t="n"/>
      <c r="L148" s="1351" t="n"/>
      <c r="M148" s="1351" t="n"/>
      <c r="N148" s="1351" t="n"/>
      <c r="O148" s="1351" t="n"/>
      <c r="P148" s="1349" t="n"/>
    </row>
    <row r="149" ht="15.65" customFormat="1" customHeight="1" s="324">
      <c r="A149" s="1349" t="n"/>
      <c r="B149" s="1461" t="inlineStr">
        <is>
          <t xml:space="preserve">                   SYNTHESE DU TRAFIC GLOBAL PAR PAYS REALISE AU PA (en tonne) : EXERCICE </t>
        </is>
      </c>
      <c r="C149" s="1351" t="n"/>
      <c r="D149" s="1351" t="n"/>
      <c r="E149" s="1351" t="n"/>
      <c r="F149" s="1351" t="n"/>
      <c r="G149" s="1393" t="n">
        <v>2025</v>
      </c>
      <c r="H149" s="1391" t="n"/>
      <c r="I149" s="1351" t="n"/>
      <c r="J149" s="1351" t="n"/>
      <c r="K149" s="1351" t="n"/>
      <c r="L149" s="1351" t="n"/>
      <c r="M149" s="1351" t="n"/>
      <c r="N149" s="1351" t="n"/>
      <c r="O149" s="1351" t="n"/>
      <c r="P149" s="1349" t="n"/>
    </row>
    <row r="150" customFormat="1" s="324">
      <c r="A150" s="1349" t="n"/>
      <c r="B150" s="1463" t="n"/>
      <c r="C150" s="1464" t="n"/>
      <c r="D150" s="1439" t="n"/>
      <c r="E150" s="1439" t="n"/>
      <c r="F150" s="1439" t="n"/>
      <c r="G150" s="1440" t="n"/>
      <c r="H150" s="1391" t="n"/>
      <c r="I150" s="1351" t="n"/>
      <c r="J150" s="1351" t="n"/>
      <c r="K150" s="1351" t="n"/>
      <c r="L150" s="1351" t="n"/>
      <c r="M150" s="1351" t="n"/>
      <c r="N150" s="1351" t="n"/>
      <c r="O150" s="1351" t="n"/>
      <c r="P150" s="1349" t="n"/>
    </row>
    <row r="151" customFormat="1" s="324">
      <c r="A151" s="1349" t="n"/>
      <c r="B151" s="1396" t="inlineStr">
        <is>
          <t>RUBRIQUES</t>
        </is>
      </c>
      <c r="C151" s="1397" t="inlineStr">
        <is>
          <t xml:space="preserve">SITUATION A FIN </t>
        </is>
      </c>
      <c r="D151" s="1398" t="n"/>
      <c r="E151" s="1398" t="n"/>
      <c r="F151" s="1399" t="inlineStr">
        <is>
          <t>DECEMBRE</t>
        </is>
      </c>
      <c r="G151" s="1400" t="n"/>
      <c r="H151" s="1391" t="n"/>
      <c r="I151" s="1351" t="n"/>
      <c r="J151" s="1351" t="n"/>
      <c r="K151" s="1351" t="n"/>
      <c r="L151" s="1351" t="n"/>
      <c r="M151" s="1351" t="n"/>
      <c r="N151" s="1351" t="n"/>
      <c r="O151" s="1351" t="n"/>
      <c r="P151" s="1349" t="n"/>
    </row>
    <row r="152" ht="30" customFormat="1" customHeight="1" s="324">
      <c r="A152" s="1349" t="n"/>
      <c r="B152" s="1401" t="n"/>
      <c r="C152" s="1402" t="n">
        <v>2022</v>
      </c>
      <c r="D152" s="1402" t="n">
        <v>2023</v>
      </c>
      <c r="E152" s="1402" t="n">
        <v>2024</v>
      </c>
      <c r="F152" s="1402" t="n">
        <v>2025</v>
      </c>
      <c r="G152" s="1403" t="inlineStr">
        <is>
          <t>Var. %      2025 / 2024</t>
        </is>
      </c>
      <c r="H152" s="1391" t="n"/>
      <c r="I152" s="1351" t="n"/>
      <c r="J152" s="1351" t="n"/>
      <c r="K152" s="1351" t="n"/>
      <c r="L152" s="1351" t="n"/>
      <c r="M152" s="1351" t="n"/>
      <c r="N152" s="1351" t="n"/>
      <c r="O152" s="1351" t="n"/>
      <c r="P152" s="1349" t="n"/>
    </row>
    <row r="153" customFormat="1" s="324">
      <c r="A153" s="1349" t="n"/>
      <c r="B153" s="1396" t="n"/>
      <c r="C153" s="1513" t="n"/>
      <c r="D153" s="1513" t="n"/>
      <c r="E153" s="1513" t="n"/>
      <c r="F153" s="1513" t="n"/>
      <c r="G153" s="1514" t="n"/>
      <c r="H153" s="1391" t="n"/>
      <c r="I153" s="1351" t="n"/>
      <c r="J153" s="1351" t="n"/>
      <c r="K153" s="1351" t="n"/>
      <c r="L153" s="1351" t="n"/>
      <c r="M153" s="1351" t="n"/>
      <c r="N153" s="1351" t="n"/>
      <c r="O153" s="1351" t="n"/>
      <c r="P153" s="1349" t="n"/>
    </row>
    <row r="154" customFormat="1" s="324">
      <c r="A154" s="1349" t="n"/>
      <c r="B154" s="1406" t="inlineStr">
        <is>
          <t>IMPORTATIONS</t>
        </is>
      </c>
      <c r="C154" s="1409" t="n">
        <v>21879750.43283901</v>
      </c>
      <c r="D154" s="1409" t="n">
        <v>25676886.25649961</v>
      </c>
      <c r="E154" s="1409" t="n">
        <v>28897849.13202801</v>
      </c>
      <c r="F154" s="1409" t="n">
        <v>34257725.80639306</v>
      </c>
      <c r="G154" s="1408" t="n">
        <v>18.54766647122054</v>
      </c>
      <c r="H154" s="1391" t="n"/>
      <c r="I154" s="1351" t="n"/>
      <c r="J154" s="1351" t="n"/>
      <c r="K154" s="1351" t="n"/>
      <c r="L154" s="1351" t="n"/>
      <c r="M154" s="1351" t="n"/>
      <c r="N154" s="1351" t="n"/>
      <c r="O154" s="1351" t="n"/>
      <c r="P154" s="1349" t="n"/>
    </row>
    <row r="155" customFormat="1" s="324">
      <c r="A155" s="1349" t="n"/>
      <c r="B155" s="1406" t="n"/>
      <c r="C155" s="1409" t="n"/>
      <c r="D155" s="1409" t="n"/>
      <c r="E155" s="1409" t="n"/>
      <c r="F155" s="1409" t="n"/>
      <c r="G155" s="1408" t="n"/>
      <c r="H155" s="1391" t="n"/>
      <c r="I155" s="1351" t="n"/>
      <c r="J155" s="1351" t="n"/>
      <c r="K155" s="1351" t="n"/>
      <c r="L155" s="1351" t="n"/>
      <c r="M155" s="1351" t="n"/>
      <c r="N155" s="1351" t="n"/>
      <c r="O155" s="1351" t="n"/>
      <c r="P155" s="1349" t="n"/>
    </row>
    <row r="156" customFormat="1" s="324">
      <c r="A156" s="1349" t="n"/>
      <c r="B156" s="1411" t="inlineStr">
        <is>
          <t xml:space="preserve">        National</t>
        </is>
      </c>
      <c r="C156" s="1414" t="n">
        <v>18778403.36333301</v>
      </c>
      <c r="D156" s="1414" t="n">
        <v>20424169.59489525</v>
      </c>
      <c r="E156" s="1414" t="n">
        <v>21112942.55678101</v>
      </c>
      <c r="F156" s="1414" t="n">
        <v>25743478.65626106</v>
      </c>
      <c r="G156" s="1515" t="n">
        <v>21.93221568725779</v>
      </c>
      <c r="H156" s="1391" t="n"/>
      <c r="I156" s="1351" t="n"/>
      <c r="J156" s="1351" t="n"/>
      <c r="K156" s="1351" t="n"/>
      <c r="L156" s="1351" t="n"/>
      <c r="M156" s="1351" t="n"/>
      <c r="N156" s="1351" t="n"/>
      <c r="O156" s="1351" t="n"/>
      <c r="P156" s="1349" t="n"/>
    </row>
    <row r="157" customFormat="1" s="324">
      <c r="A157" s="1349" t="n"/>
      <c r="B157" s="1420" t="inlineStr">
        <is>
          <t xml:space="preserve">        Tare</t>
        </is>
      </c>
      <c r="C157" s="1421" t="n">
        <v>822749.4</v>
      </c>
      <c r="D157" s="1421" t="n">
        <v>1020923.2</v>
      </c>
      <c r="E157" s="1421" t="n">
        <v>1163298.4</v>
      </c>
      <c r="F157" s="1421" t="n">
        <v>1204786</v>
      </c>
      <c r="G157" s="1516" t="n">
        <v>3.56637643445567</v>
      </c>
      <c r="H157" s="1391" t="n"/>
      <c r="I157" s="1351" t="n"/>
      <c r="J157" s="1351" t="n"/>
      <c r="K157" s="1351" t="n"/>
      <c r="L157" s="1351" t="n"/>
      <c r="M157" s="1351" t="n"/>
      <c r="N157" s="1351" t="n"/>
      <c r="O157" s="1351" t="n"/>
      <c r="P157" s="1349" t="n"/>
    </row>
    <row r="158" customFormat="1" s="324">
      <c r="A158" s="1349" t="n"/>
      <c r="B158" s="1420" t="n"/>
      <c r="C158" s="1421" t="n"/>
      <c r="D158" s="1421" t="n"/>
      <c r="E158" s="1421" t="n"/>
      <c r="F158" s="1421" t="n"/>
      <c r="G158" s="1516" t="n"/>
      <c r="H158" s="1391" t="n"/>
      <c r="I158" s="1351" t="n"/>
      <c r="J158" s="1351" t="n"/>
      <c r="K158" s="1351" t="n"/>
      <c r="L158" s="1351" t="n"/>
      <c r="M158" s="1351" t="n"/>
      <c r="N158" s="1351" t="n"/>
      <c r="O158" s="1351" t="n"/>
      <c r="P158" s="1349" t="n"/>
    </row>
    <row r="159" customFormat="1" s="324">
      <c r="A159" s="1349" t="n"/>
      <c r="B159" s="1484" t="inlineStr">
        <is>
          <t xml:space="preserve">          - Produits Pétroliers</t>
        </is>
      </c>
      <c r="C159" s="1466" t="n">
        <v>5533521.652200999</v>
      </c>
      <c r="D159" s="1466" t="n">
        <v>6162559.466288</v>
      </c>
      <c r="E159" s="1466" t="n">
        <v>6447035.261474002</v>
      </c>
      <c r="F159" s="1466" t="n">
        <v>7386874.488871999</v>
      </c>
      <c r="G159" s="1410" t="n">
        <v>14.57785151283815</v>
      </c>
      <c r="H159" s="1391" t="n"/>
      <c r="I159" s="1351" t="n"/>
      <c r="J159" s="1351" t="n"/>
      <c r="K159" s="1351" t="n"/>
      <c r="L159" s="1351" t="n"/>
      <c r="M159" s="1351" t="n"/>
      <c r="N159" s="1351" t="n"/>
      <c r="O159" s="1351" t="n"/>
      <c r="P159" s="1349" t="n"/>
    </row>
    <row r="160" customFormat="1" s="324">
      <c r="A160" s="1349" t="n"/>
      <c r="B160" s="1484" t="inlineStr">
        <is>
          <t xml:space="preserve">          - Marchandises Générales</t>
        </is>
      </c>
      <c r="C160" s="1466" t="n">
        <v>11677658.66538502</v>
      </c>
      <c r="D160" s="1466" t="n">
        <v>12436427.18603725</v>
      </c>
      <c r="E160" s="1466" t="n">
        <v>12713253.36220701</v>
      </c>
      <c r="F160" s="1466" t="n">
        <v>16249356.90438906</v>
      </c>
      <c r="G160" s="1410" t="n">
        <v>27.81430874880474</v>
      </c>
      <c r="H160" s="1391" t="n"/>
      <c r="I160" s="1351" t="n"/>
      <c r="J160" s="1351" t="n"/>
      <c r="K160" s="1351" t="n"/>
      <c r="L160" s="1351" t="n"/>
      <c r="M160" s="1351" t="n"/>
      <c r="N160" s="1351" t="n"/>
      <c r="O160" s="1351" t="n"/>
      <c r="P160" s="1349" t="n"/>
    </row>
    <row r="161" customFormat="1" s="324">
      <c r="A161" s="1349" t="n"/>
      <c r="B161" s="1484" t="inlineStr">
        <is>
          <t xml:space="preserve">          - Produits de Pêche</t>
        </is>
      </c>
      <c r="C161" s="1466" t="n">
        <v>744473.6457470001</v>
      </c>
      <c r="D161" s="1466" t="n">
        <v>804259.7425699998</v>
      </c>
      <c r="E161" s="1466" t="n">
        <v>789355.5331000001</v>
      </c>
      <c r="F161" s="1466" t="n">
        <v>902461.2630000007</v>
      </c>
      <c r="G161" s="1410" t="n">
        <v>14.32887021844335</v>
      </c>
      <c r="H161" s="1391" t="n"/>
      <c r="I161" s="1351" t="n"/>
      <c r="J161" s="1351" t="n"/>
      <c r="K161" s="1351" t="n"/>
      <c r="L161" s="1351" t="n"/>
      <c r="M161" s="1351" t="n"/>
      <c r="N161" s="1351" t="n"/>
      <c r="O161" s="1351" t="n"/>
      <c r="P161" s="1349" t="n"/>
    </row>
    <row r="162" customFormat="1" s="324">
      <c r="A162" s="1349" t="n"/>
      <c r="B162" s="1411" t="n"/>
      <c r="C162" s="1414" t="n"/>
      <c r="D162" s="1414" t="n"/>
      <c r="E162" s="1414" t="n"/>
      <c r="F162" s="1414" t="n"/>
      <c r="G162" s="1515" t="n"/>
      <c r="H162" s="1391" t="n"/>
      <c r="I162" s="1351" t="n"/>
      <c r="J162" s="1351" t="n"/>
      <c r="K162" s="1351" t="n"/>
      <c r="L162" s="1351" t="n"/>
      <c r="M162" s="1351" t="n"/>
      <c r="N162" s="1351" t="n"/>
      <c r="O162" s="1351" t="n"/>
      <c r="P162" s="1349" t="n"/>
    </row>
    <row r="163" customFormat="1" s="324">
      <c r="A163" s="1349" t="n"/>
      <c r="B163" s="1411" t="inlineStr">
        <is>
          <t xml:space="preserve">         Transbordement</t>
        </is>
      </c>
      <c r="C163" s="1414" t="n">
        <v>209793.7724399999</v>
      </c>
      <c r="D163" s="1414" t="n">
        <v>2467802.97422237</v>
      </c>
      <c r="E163" s="1414" t="n">
        <v>4973755.086594</v>
      </c>
      <c r="F163" s="1414" t="n">
        <v>4949916.633339996</v>
      </c>
      <c r="G163" s="1515" t="n">
        <v>-0.4792848228143949</v>
      </c>
      <c r="H163" s="1391" t="n"/>
      <c r="I163" s="1351" t="n"/>
      <c r="J163" s="1351" t="n"/>
      <c r="K163" s="1351" t="n"/>
      <c r="L163" s="1351" t="n"/>
      <c r="M163" s="1351" t="n"/>
      <c r="N163" s="1351" t="n"/>
      <c r="O163" s="1351" t="n"/>
      <c r="P163" s="1349" t="n"/>
    </row>
    <row r="164" customFormat="1" s="324">
      <c r="A164" s="1349" t="n"/>
      <c r="B164" s="1411" t="n"/>
      <c r="C164" s="1414" t="n"/>
      <c r="D164" s="1414" t="n"/>
      <c r="E164" s="1414" t="n"/>
      <c r="F164" s="1414" t="n"/>
      <c r="G164" s="1515" t="n"/>
      <c r="H164" s="1391" t="n"/>
      <c r="I164" s="1351" t="n"/>
      <c r="J164" s="1351" t="n"/>
      <c r="K164" s="1351" t="n"/>
      <c r="L164" s="1351" t="n"/>
      <c r="M164" s="1351" t="n"/>
      <c r="N164" s="1351" t="n"/>
      <c r="O164" s="1351" t="n"/>
      <c r="P164" s="1349" t="n"/>
    </row>
    <row r="165" customFormat="1" s="324">
      <c r="A165" s="1349" t="n"/>
      <c r="B165" s="1411" t="inlineStr">
        <is>
          <t xml:space="preserve">         Transit</t>
        </is>
      </c>
      <c r="C165" s="1414" t="n">
        <v>2891553.297066</v>
      </c>
      <c r="D165" s="1414" t="n">
        <v>2784913.687381998</v>
      </c>
      <c r="E165" s="1414" t="n">
        <v>2811151.488653</v>
      </c>
      <c r="F165" s="1414" t="n">
        <v>3564330.516792004</v>
      </c>
      <c r="G165" s="1515" t="n">
        <v>26.79254501862153</v>
      </c>
      <c r="H165" s="1391" t="n"/>
      <c r="I165" s="1351" t="n"/>
      <c r="J165" s="1351" t="n"/>
      <c r="K165" s="1351" t="n"/>
      <c r="L165" s="1351" t="n"/>
      <c r="M165" s="1351" t="n"/>
      <c r="N165" s="1351" t="n"/>
      <c r="O165" s="1351" t="n"/>
      <c r="P165" s="1349" t="n"/>
    </row>
    <row r="166" customFormat="1" s="324">
      <c r="A166" s="1349" t="n"/>
      <c r="B166" s="1517" t="n"/>
      <c r="C166" s="1451" t="n"/>
      <c r="D166" s="1451" t="n"/>
      <c r="E166" s="1451" t="n"/>
      <c r="F166" s="1451" t="n"/>
      <c r="G166" s="1518" t="n"/>
      <c r="H166" s="1391" t="n"/>
      <c r="I166" s="1351" t="n"/>
      <c r="J166" s="1351" t="n"/>
      <c r="K166" s="1351" t="n"/>
      <c r="L166" s="1351" t="n"/>
      <c r="M166" s="1351" t="n"/>
      <c r="N166" s="1351" t="n"/>
      <c r="O166" s="1351" t="n"/>
      <c r="P166" s="1349" t="n"/>
    </row>
    <row r="167" customFormat="1" s="324">
      <c r="A167" s="1349" t="n"/>
      <c r="B167" s="1411" t="inlineStr">
        <is>
          <t xml:space="preserve">           *  Pays sans littoral</t>
        </is>
      </c>
      <c r="C167" s="1414" t="n">
        <v>2886654.965266</v>
      </c>
      <c r="D167" s="1414" t="n">
        <v>2773584.519809999</v>
      </c>
      <c r="E167" s="1414" t="n">
        <v>2785410.912653</v>
      </c>
      <c r="F167" s="1414" t="n">
        <v>3518675.829792004</v>
      </c>
      <c r="G167" s="1515" t="n">
        <v>26.32519725574696</v>
      </c>
      <c r="H167" s="1391" t="n"/>
      <c r="I167" s="1351" t="n"/>
      <c r="J167" s="1351" t="n"/>
      <c r="K167" s="1351" t="n"/>
      <c r="L167" s="1351" t="n"/>
      <c r="M167" s="1351" t="n"/>
      <c r="N167" s="1351" t="n"/>
      <c r="O167" s="1351" t="n"/>
      <c r="P167" s="1349" t="n"/>
    </row>
    <row r="168" ht="15.65" customFormat="1" customHeight="1" s="324">
      <c r="A168" s="1349" t="n"/>
      <c r="B168" s="1416" t="inlineStr">
        <is>
          <t xml:space="preserve">                    - Burkina Faso</t>
        </is>
      </c>
      <c r="C168" s="1430" t="n">
        <v>2267782.208958</v>
      </c>
      <c r="D168" s="1430" t="n">
        <v>2170385.967803998</v>
      </c>
      <c r="E168" s="1430" t="n">
        <v>2021829.533351</v>
      </c>
      <c r="F168" s="1430" t="n">
        <v>2364383.581012005</v>
      </c>
      <c r="G168" s="1519" t="n">
        <v>16.94277593686408</v>
      </c>
      <c r="H168" s="1391" t="n"/>
      <c r="I168" s="1351" t="n"/>
      <c r="J168" s="1351" t="n"/>
      <c r="K168" s="1351" t="n"/>
      <c r="L168" s="1351" t="n"/>
      <c r="M168" s="1351" t="n"/>
      <c r="N168" s="1351" t="n"/>
      <c r="O168" s="1351" t="n"/>
      <c r="P168" s="1349" t="n"/>
    </row>
    <row r="169" customFormat="1" s="324">
      <c r="A169" s="1349" t="n"/>
      <c r="B169" s="1416" t="inlineStr">
        <is>
          <t xml:space="preserve">                   - Mali</t>
        </is>
      </c>
      <c r="C169" s="1430" t="n">
        <v>618512.3813079998</v>
      </c>
      <c r="D169" s="1430" t="n">
        <v>603192.5520060001</v>
      </c>
      <c r="E169" s="1430" t="n">
        <v>762249.1310020001</v>
      </c>
      <c r="F169" s="1430" t="n">
        <v>1154190.50978</v>
      </c>
      <c r="G169" s="1519" t="n">
        <v>51.41906534714978</v>
      </c>
      <c r="H169" s="1391" t="n"/>
      <c r="I169" s="1351" t="n"/>
      <c r="J169" s="1351" t="n"/>
      <c r="K169" s="1351" t="n"/>
      <c r="L169" s="1351" t="n"/>
      <c r="M169" s="1351" t="n"/>
      <c r="N169" s="1351" t="n"/>
      <c r="O169" s="1351" t="n"/>
      <c r="P169" s="1349" t="n"/>
    </row>
    <row r="170" customFormat="1" s="324">
      <c r="A170" s="1349" t="n"/>
      <c r="B170" s="1416" t="inlineStr">
        <is>
          <t xml:space="preserve">                   - Niger</t>
        </is>
      </c>
      <c r="C170" s="1430" t="n">
        <v>360.3749999999999</v>
      </c>
      <c r="D170" s="1430" t="n">
        <v>6</v>
      </c>
      <c r="E170" s="1430" t="n">
        <v>1332.2483</v>
      </c>
      <c r="F170" s="1430" t="n">
        <v>101.739</v>
      </c>
      <c r="G170" s="1519" t="n">
        <v>-92.36336049368575</v>
      </c>
      <c r="H170" s="1391" t="n"/>
      <c r="I170" s="1351" t="n"/>
      <c r="J170" s="1351" t="n"/>
      <c r="K170" s="1351" t="n"/>
      <c r="L170" s="1351" t="n"/>
      <c r="M170" s="1351" t="n"/>
      <c r="N170" s="1351" t="n"/>
      <c r="O170" s="1351" t="n"/>
      <c r="P170" s="1349" t="n"/>
    </row>
    <row r="171" customFormat="1" s="324">
      <c r="A171" s="1349" t="n"/>
      <c r="B171" s="1420" t="inlineStr">
        <is>
          <t xml:space="preserve">           *  Pays côtiers</t>
        </is>
      </c>
      <c r="C171" s="1421" t="n">
        <v>4898.331800000001</v>
      </c>
      <c r="D171" s="1421" t="n">
        <v>11329.167572</v>
      </c>
      <c r="E171" s="1421" t="n">
        <v>25740.576</v>
      </c>
      <c r="F171" s="1421" t="n">
        <v>45654.687</v>
      </c>
      <c r="G171" s="1516" t="n">
        <v>77.36466736408691</v>
      </c>
      <c r="H171" s="1391" t="n"/>
      <c r="I171" s="1351" t="n"/>
      <c r="J171" s="1351" t="n"/>
      <c r="K171" s="1351" t="n"/>
      <c r="L171" s="1351" t="n"/>
      <c r="M171" s="1351" t="n"/>
      <c r="N171" s="1351" t="n"/>
      <c r="O171" s="1351" t="n"/>
      <c r="P171" s="1349" t="n"/>
    </row>
    <row r="172" customFormat="1" s="324">
      <c r="A172" s="1349" t="n"/>
      <c r="B172" s="1520" t="n"/>
      <c r="C172" s="1417" t="n"/>
      <c r="D172" s="1417" t="n"/>
      <c r="E172" s="1417" t="n"/>
      <c r="F172" s="1417" t="n"/>
      <c r="G172" s="1507" t="n"/>
      <c r="H172" s="1391" t="n"/>
      <c r="I172" s="1351" t="n"/>
      <c r="J172" s="1351" t="n"/>
      <c r="K172" s="1351" t="n"/>
      <c r="L172" s="1351" t="n"/>
      <c r="M172" s="1351" t="n"/>
      <c r="N172" s="1351" t="n"/>
      <c r="O172" s="1351" t="n"/>
      <c r="P172" s="1349" t="n"/>
    </row>
    <row r="173" customFormat="1" s="324">
      <c r="A173" s="1349" t="n"/>
      <c r="B173" s="1406" t="inlineStr">
        <is>
          <t>EXPORTATIONS</t>
        </is>
      </c>
      <c r="C173" s="1409" t="n">
        <v>8638289.116393028</v>
      </c>
      <c r="D173" s="1409" t="n">
        <v>11751142.84404243</v>
      </c>
      <c r="E173" s="1409" t="n">
        <v>14826927.80010203</v>
      </c>
      <c r="F173" s="1409" t="n">
        <v>16438352.90431406</v>
      </c>
      <c r="G173" s="1408" t="n">
        <v>10.86823329780387</v>
      </c>
      <c r="H173" s="1391" t="n"/>
      <c r="I173" s="1351" t="n"/>
      <c r="J173" s="1351" t="n"/>
      <c r="K173" s="1351" t="n"/>
      <c r="L173" s="1351" t="n"/>
      <c r="M173" s="1351" t="n"/>
      <c r="N173" s="1351" t="n"/>
      <c r="O173" s="1351" t="n"/>
      <c r="P173" s="1349" t="n"/>
    </row>
    <row r="174" ht="14.25" customFormat="1" customHeight="1" s="324">
      <c r="A174" s="1349" t="n"/>
      <c r="B174" s="1406" t="n"/>
      <c r="C174" s="1409" t="n"/>
      <c r="D174" s="1409" t="n"/>
      <c r="E174" s="1409" t="n"/>
      <c r="F174" s="1409" t="n"/>
      <c r="G174" s="1408" t="n"/>
      <c r="H174" s="1391" t="n"/>
      <c r="I174" s="1351" t="n"/>
      <c r="J174" s="1351" t="n"/>
      <c r="K174" s="1351" t="n"/>
      <c r="L174" s="1351" t="n"/>
      <c r="M174" s="1351" t="n"/>
      <c r="N174" s="1351" t="n"/>
      <c r="O174" s="1351" t="n"/>
      <c r="P174" s="1349" t="n"/>
    </row>
    <row r="175" customFormat="1" s="324">
      <c r="A175" s="1349" t="n"/>
      <c r="B175" s="1411" t="inlineStr">
        <is>
          <t xml:space="preserve">        National</t>
        </is>
      </c>
      <c r="C175" s="1414" t="n">
        <v>8159152.696841027</v>
      </c>
      <c r="D175" s="1414" t="n">
        <v>9268861.210950058</v>
      </c>
      <c r="E175" s="1414" t="n">
        <v>9761370.070127027</v>
      </c>
      <c r="F175" s="1414" t="n">
        <v>11180166.31101006</v>
      </c>
      <c r="G175" s="1515" t="n">
        <v>14.53480639183025</v>
      </c>
      <c r="H175" s="1391" t="n"/>
      <c r="I175" s="1351" t="n"/>
      <c r="J175" s="1351" t="n"/>
      <c r="K175" s="1351" t="n"/>
      <c r="L175" s="1351" t="n"/>
      <c r="M175" s="1351" t="n"/>
      <c r="N175" s="1351" t="n"/>
      <c r="O175" s="1351" t="n"/>
      <c r="P175" s="1349" t="n"/>
    </row>
    <row r="176" customFormat="1" s="324">
      <c r="A176" s="1349" t="n"/>
      <c r="B176" s="1420" t="inlineStr">
        <is>
          <t xml:space="preserve">        Tare</t>
        </is>
      </c>
      <c r="C176" s="1421" t="n">
        <v>897446.0000000001</v>
      </c>
      <c r="D176" s="1421" t="n">
        <v>1055214.6</v>
      </c>
      <c r="E176" s="1421" t="n">
        <v>1158990.8</v>
      </c>
      <c r="F176" s="1421" t="n">
        <v>1243671</v>
      </c>
      <c r="G176" s="1516" t="n">
        <v>7.306373786573625</v>
      </c>
      <c r="H176" s="1391" t="n"/>
      <c r="I176" s="1351" t="n"/>
      <c r="J176" s="1351" t="n"/>
      <c r="K176" s="1351" t="n"/>
      <c r="L176" s="1351" t="n"/>
      <c r="M176" s="1351" t="n"/>
      <c r="N176" s="1351" t="n"/>
      <c r="O176" s="1351" t="n"/>
      <c r="P176" s="1349" t="n"/>
    </row>
    <row r="177" customFormat="1" s="324">
      <c r="A177" s="1349" t="n"/>
      <c r="B177" s="1420" t="n"/>
      <c r="C177" s="1421" t="n"/>
      <c r="D177" s="1421" t="n"/>
      <c r="E177" s="1421" t="n"/>
      <c r="F177" s="1421" t="n"/>
      <c r="G177" s="1516" t="n"/>
      <c r="H177" s="1391" t="n"/>
      <c r="I177" s="1351" t="n"/>
      <c r="J177" s="1351" t="n"/>
      <c r="K177" s="1351" t="n"/>
      <c r="L177" s="1351" t="n"/>
      <c r="M177" s="1351" t="n"/>
      <c r="N177" s="1351" t="n"/>
      <c r="O177" s="1351" t="n"/>
      <c r="P177" s="1349" t="n"/>
    </row>
    <row r="178" customFormat="1" s="324">
      <c r="A178" s="1349" t="n"/>
      <c r="B178" s="1484" t="inlineStr">
        <is>
          <t xml:space="preserve">          - Produits Pétroliers</t>
        </is>
      </c>
      <c r="C178" s="1466" t="n">
        <v>1704468.906</v>
      </c>
      <c r="D178" s="1466" t="n">
        <v>2209716.078</v>
      </c>
      <c r="E178" s="1466" t="n">
        <v>2992644.438</v>
      </c>
      <c r="F178" s="1466" t="n">
        <v>3955000.444999999</v>
      </c>
      <c r="G178" s="1410" t="n">
        <v>32.15737876441972</v>
      </c>
      <c r="H178" s="1391" t="n"/>
      <c r="I178" s="1351" t="n"/>
      <c r="J178" s="1351" t="n"/>
      <c r="K178" s="1351" t="n"/>
      <c r="L178" s="1351" t="n"/>
      <c r="M178" s="1351" t="n"/>
      <c r="N178" s="1351" t="n"/>
      <c r="O178" s="1351" t="n"/>
      <c r="P178" s="1349" t="n"/>
    </row>
    <row r="179" customFormat="1" s="324">
      <c r="A179" s="1349" t="n"/>
      <c r="B179" s="1484" t="inlineStr">
        <is>
          <t xml:space="preserve">          - Marchandises Générales</t>
        </is>
      </c>
      <c r="C179" s="1466" t="n">
        <v>5537767.593441027</v>
      </c>
      <c r="D179" s="1466" t="n">
        <v>5996293.708750058</v>
      </c>
      <c r="E179" s="1466" t="n">
        <v>5606014.359527026</v>
      </c>
      <c r="F179" s="1466" t="n">
        <v>5973767.180010055</v>
      </c>
      <c r="G179" s="1410" t="n">
        <v>6.559969291874161</v>
      </c>
      <c r="H179" s="1391" t="n"/>
      <c r="I179" s="1351" t="n"/>
      <c r="J179" s="1351" t="n"/>
      <c r="K179" s="1351" t="n"/>
      <c r="L179" s="1351" t="n"/>
      <c r="M179" s="1351" t="n"/>
      <c r="N179" s="1351" t="n"/>
      <c r="O179" s="1351" t="n"/>
      <c r="P179" s="1349" t="n"/>
    </row>
    <row r="180" customFormat="1" s="324">
      <c r="A180" s="1349" t="n"/>
      <c r="B180" s="1484" t="inlineStr">
        <is>
          <t xml:space="preserve">          - Produits de Pêche</t>
        </is>
      </c>
      <c r="C180" s="1466" t="n">
        <v>19470.1974</v>
      </c>
      <c r="D180" s="1466" t="n">
        <v>7636.824199999999</v>
      </c>
      <c r="E180" s="1466" t="n">
        <v>3720.4726</v>
      </c>
      <c r="F180" s="1466" t="n">
        <v>7727.686</v>
      </c>
      <c r="G180" s="1410" t="n">
        <v>107.7071068874422</v>
      </c>
      <c r="H180" s="1391" t="n"/>
      <c r="I180" s="1351" t="n"/>
      <c r="J180" s="1351" t="n"/>
      <c r="K180" s="1351" t="n"/>
      <c r="L180" s="1351" t="n"/>
      <c r="M180" s="1351" t="n"/>
      <c r="N180" s="1351" t="n"/>
      <c r="O180" s="1351" t="n"/>
      <c r="P180" s="1349" t="n"/>
    </row>
    <row r="181" customFormat="1" s="324">
      <c r="A181" s="1349" t="n"/>
      <c r="B181" s="1411" t="n"/>
      <c r="C181" s="1414" t="n"/>
      <c r="D181" s="1414" t="n"/>
      <c r="E181" s="1414" t="n"/>
      <c r="F181" s="1414" t="n"/>
      <c r="G181" s="1515" t="n"/>
      <c r="H181" s="1391" t="n"/>
      <c r="I181" s="1351" t="n"/>
      <c r="J181" s="1351" t="n"/>
      <c r="K181" s="1351" t="n"/>
      <c r="L181" s="1351" t="n"/>
      <c r="M181" s="1351" t="n"/>
      <c r="N181" s="1351" t="n"/>
      <c r="O181" s="1351" t="n"/>
      <c r="P181" s="1349" t="n"/>
    </row>
    <row r="182" customFormat="1" s="324">
      <c r="A182" s="1349" t="n"/>
      <c r="B182" s="1411" t="inlineStr">
        <is>
          <t xml:space="preserve">         Transbordement</t>
        </is>
      </c>
      <c r="C182" s="1414" t="n">
        <v>199642.22486</v>
      </c>
      <c r="D182" s="1414" t="n">
        <v>2264600.648412371</v>
      </c>
      <c r="E182" s="1414" t="n">
        <v>4829208.506700003</v>
      </c>
      <c r="F182" s="1414" t="n">
        <v>4720419.994494001</v>
      </c>
      <c r="G182" s="1515" t="n">
        <v>-2.252719302864413</v>
      </c>
      <c r="H182" s="1391" t="n"/>
      <c r="I182" s="1351" t="n"/>
      <c r="J182" s="1351" t="n"/>
      <c r="K182" s="1351" t="n"/>
      <c r="L182" s="1351" t="n"/>
      <c r="M182" s="1351" t="n"/>
      <c r="N182" s="1351" t="n"/>
      <c r="O182" s="1351" t="n"/>
      <c r="P182" s="1349" t="n"/>
    </row>
    <row r="183" customFormat="1" s="324">
      <c r="A183" s="1349" t="n"/>
      <c r="B183" s="1411" t="n"/>
      <c r="C183" s="1414" t="n"/>
      <c r="D183" s="1414" t="n"/>
      <c r="E183" s="1414" t="n"/>
      <c r="F183" s="1414" t="n"/>
      <c r="G183" s="1515" t="n"/>
      <c r="H183" s="1391" t="n"/>
      <c r="I183" s="1351" t="n"/>
      <c r="J183" s="1351" t="n"/>
      <c r="K183" s="1351" t="n"/>
      <c r="L183" s="1351" t="n"/>
      <c r="M183" s="1351" t="n"/>
      <c r="N183" s="1351" t="n"/>
      <c r="O183" s="1351" t="n"/>
      <c r="P183" s="1349" t="n"/>
    </row>
    <row r="184" customFormat="1" s="324">
      <c r="A184" s="1349" t="n"/>
      <c r="B184" s="1411" t="inlineStr">
        <is>
          <t xml:space="preserve">         Transit</t>
        </is>
      </c>
      <c r="C184" s="1414" t="n">
        <v>279494.194692</v>
      </c>
      <c r="D184" s="1414" t="n">
        <v>217680.98468</v>
      </c>
      <c r="E184" s="1414" t="n">
        <v>236349.223275</v>
      </c>
      <c r="F184" s="1414" t="n">
        <v>537766.5988100002</v>
      </c>
      <c r="G184" s="1515" t="n">
        <v>127.5305124164894</v>
      </c>
      <c r="H184" s="1391" t="n"/>
      <c r="I184" s="1351" t="n"/>
      <c r="J184" s="1351" t="n"/>
      <c r="K184" s="1351" t="n"/>
      <c r="L184" s="1351" t="n"/>
      <c r="M184" s="1351" t="n"/>
      <c r="N184" s="1351" t="n"/>
      <c r="O184" s="1351" t="n"/>
      <c r="P184" s="1349" t="n"/>
    </row>
    <row r="185" customFormat="1" s="324">
      <c r="A185" s="1349" t="n"/>
      <c r="B185" s="1517" t="n"/>
      <c r="C185" s="1451" t="n"/>
      <c r="D185" s="1451" t="n"/>
      <c r="E185" s="1451" t="n"/>
      <c r="F185" s="1451" t="n"/>
      <c r="G185" s="1518" t="n"/>
      <c r="H185" s="1391" t="n"/>
      <c r="I185" s="1351" t="n"/>
      <c r="J185" s="1351" t="n"/>
      <c r="K185" s="1351" t="n"/>
      <c r="L185" s="1351" t="n"/>
      <c r="M185" s="1351" t="n"/>
      <c r="N185" s="1351" t="n"/>
      <c r="O185" s="1351" t="n"/>
      <c r="P185" s="1349" t="n"/>
    </row>
    <row r="186" customFormat="1" s="324">
      <c r="A186" s="1349" t="n"/>
      <c r="B186" s="1411" t="inlineStr">
        <is>
          <t xml:space="preserve">           *  Pays sans littoral</t>
        </is>
      </c>
      <c r="C186" s="1414" t="n">
        <v>279472.194692</v>
      </c>
      <c r="D186" s="1414" t="n">
        <v>217647.68868</v>
      </c>
      <c r="E186" s="1414" t="n">
        <v>227254.683275</v>
      </c>
      <c r="F186" s="1414" t="n">
        <v>537766.5988100001</v>
      </c>
      <c r="G186" s="1515" t="n">
        <v>136.6360908651774</v>
      </c>
      <c r="H186" s="1391" t="n"/>
      <c r="I186" s="1351" t="n"/>
      <c r="J186" s="1351" t="n"/>
      <c r="K186" s="1351" t="n"/>
      <c r="L186" s="1351" t="n"/>
      <c r="M186" s="1351" t="n"/>
      <c r="N186" s="1351" t="n"/>
      <c r="O186" s="1351" t="n"/>
      <c r="P186" s="1349" t="n"/>
    </row>
    <row r="187" customFormat="1" s="324">
      <c r="A187" s="1349" t="n"/>
      <c r="B187" s="1416" t="inlineStr">
        <is>
          <t xml:space="preserve">                    - Burkina Faso</t>
        </is>
      </c>
      <c r="C187" s="1430" t="n">
        <v>182031.504606</v>
      </c>
      <c r="D187" s="1430" t="n">
        <v>118676.98868</v>
      </c>
      <c r="E187" s="1430" t="n">
        <v>111715.984275</v>
      </c>
      <c r="F187" s="1430" t="n">
        <v>92136.12880999997</v>
      </c>
      <c r="G187" s="1519" t="n">
        <v>-17.52645835962224</v>
      </c>
      <c r="H187" s="1391" t="n"/>
      <c r="I187" s="1351" t="n"/>
      <c r="J187" s="1351" t="n"/>
      <c r="K187" s="1351" t="n"/>
      <c r="L187" s="1351" t="n"/>
      <c r="M187" s="1351" t="n"/>
      <c r="N187" s="1351" t="n"/>
      <c r="O187" s="1351" t="n"/>
      <c r="P187" s="1349" t="n"/>
    </row>
    <row r="188" customFormat="1" s="324">
      <c r="A188" s="1349" t="n"/>
      <c r="B188" s="1416" t="inlineStr">
        <is>
          <t xml:space="preserve">                   - Mali</t>
        </is>
      </c>
      <c r="C188" s="1430" t="n">
        <v>97440.690086</v>
      </c>
      <c r="D188" s="1430" t="n">
        <v>98970.69999999998</v>
      </c>
      <c r="E188" s="1430" t="n">
        <v>115538.699</v>
      </c>
      <c r="F188" s="1430" t="n">
        <v>445630.4700000002</v>
      </c>
      <c r="G188" s="1519" t="n">
        <v>285.6980162118669</v>
      </c>
      <c r="H188" s="1419" t="n"/>
      <c r="I188" s="1419" t="n"/>
      <c r="J188" s="1419" t="n"/>
      <c r="K188" s="1419" t="n"/>
      <c r="L188" s="1351" t="n"/>
      <c r="M188" s="1351" t="n"/>
      <c r="N188" s="1351" t="n"/>
      <c r="O188" s="1351" t="n"/>
      <c r="P188" s="1349" t="n"/>
    </row>
    <row r="189" customFormat="1" s="324">
      <c r="A189" s="1349" t="n"/>
      <c r="B189" s="1416" t="inlineStr">
        <is>
          <t xml:space="preserve">                   - Niger</t>
        </is>
      </c>
      <c r="C189" s="1430" t="n">
        <v>0</v>
      </c>
      <c r="D189" s="1430" t="n">
        <v>0</v>
      </c>
      <c r="E189" s="1430" t="n">
        <v>0</v>
      </c>
      <c r="F189" s="1430" t="n">
        <v>0</v>
      </c>
      <c r="G189" s="1521" t="inlineStr"/>
      <c r="H189" s="1419" t="n"/>
      <c r="I189" s="1419" t="n"/>
      <c r="J189" s="1419" t="n"/>
      <c r="K189" s="1419" t="n"/>
      <c r="L189" s="1351" t="n"/>
      <c r="M189" s="1351" t="n"/>
      <c r="N189" s="1351" t="n"/>
      <c r="O189" s="1351" t="n"/>
      <c r="P189" s="1349" t="n"/>
    </row>
    <row r="190">
      <c r="A190" s="1389" t="n"/>
      <c r="B190" s="1420" t="inlineStr">
        <is>
          <t xml:space="preserve">           *  Pays côtiers</t>
        </is>
      </c>
      <c r="C190" s="1421" t="n">
        <v>22</v>
      </c>
      <c r="D190" s="1421" t="n">
        <v>33.296</v>
      </c>
      <c r="E190" s="1421" t="n">
        <v>9094.540000000001</v>
      </c>
      <c r="F190" s="1421" t="n">
        <v>0</v>
      </c>
      <c r="G190" s="1516" t="n">
        <v>-100</v>
      </c>
      <c r="H190" s="1391" t="n"/>
      <c r="I190" s="1522" t="n"/>
      <c r="J190" s="1522" t="n"/>
      <c r="K190" s="1522" t="n"/>
      <c r="L190" s="1351" t="n"/>
      <c r="M190" s="1351" t="n"/>
      <c r="N190" s="1351" t="n"/>
      <c r="O190" s="1351" t="n"/>
      <c r="P190" s="1349" t="n"/>
    </row>
    <row r="191">
      <c r="A191" s="1389" t="n"/>
      <c r="B191" s="1420" t="n"/>
      <c r="C191" s="1421" t="n"/>
      <c r="D191" s="1421" t="n"/>
      <c r="E191" s="1421" t="n"/>
      <c r="F191" s="1421" t="n"/>
      <c r="G191" s="1523" t="n"/>
      <c r="H191" s="1391" t="n"/>
      <c r="I191" s="1522" t="n"/>
      <c r="J191" s="1522" t="n"/>
      <c r="K191" s="1522" t="n"/>
      <c r="L191" s="1351" t="n"/>
      <c r="M191" s="1351" t="n"/>
      <c r="N191" s="1351" t="n"/>
      <c r="O191" s="1351" t="n"/>
      <c r="P191" s="1349" t="n"/>
    </row>
    <row r="192" customFormat="1" s="324">
      <c r="A192" s="1349" t="n"/>
      <c r="B192" s="1453" t="inlineStr">
        <is>
          <t xml:space="preserve"> TRAFIC GLOBAL </t>
        </is>
      </c>
      <c r="C192" s="1524" t="n">
        <v>30518039.54923204</v>
      </c>
      <c r="D192" s="1524" t="n">
        <v>37428029.10054205</v>
      </c>
      <c r="E192" s="1524" t="n">
        <v>43724776.93213004</v>
      </c>
      <c r="F192" s="1524" t="n">
        <v>50696078.71070712</v>
      </c>
      <c r="G192" s="1525" t="n">
        <v>15.943595983115</v>
      </c>
      <c r="H192" s="1391" t="n"/>
      <c r="I192" s="1351" t="n"/>
      <c r="J192" s="1351" t="n"/>
      <c r="K192" s="1351" t="n"/>
      <c r="L192" s="1351" t="n"/>
      <c r="M192" s="1351" t="n"/>
      <c r="N192" s="1351" t="n"/>
      <c r="O192" s="1351" t="n"/>
      <c r="P192" s="1349" t="n"/>
    </row>
    <row r="193" customFormat="1" s="324">
      <c r="A193" s="1349" t="n"/>
      <c r="B193" s="1429" t="n"/>
      <c r="C193" s="1524" t="n"/>
      <c r="D193" s="1524" t="n"/>
      <c r="E193" s="1524" t="n"/>
      <c r="F193" s="1524" t="n"/>
      <c r="G193" s="1408" t="n"/>
      <c r="H193" s="1391" t="n"/>
      <c r="I193" s="1351" t="n"/>
      <c r="J193" s="1351" t="n"/>
      <c r="K193" s="1351" t="n"/>
      <c r="L193" s="1351" t="n"/>
      <c r="M193" s="1351" t="n"/>
      <c r="N193" s="1351" t="n"/>
      <c r="O193" s="1351" t="n"/>
      <c r="P193" s="1349" t="n"/>
    </row>
    <row r="194" customFormat="1" s="324">
      <c r="A194" s="1349" t="n"/>
      <c r="B194" s="1411" t="inlineStr">
        <is>
          <t xml:space="preserve">        National</t>
        </is>
      </c>
      <c r="C194" s="1414" t="n">
        <v>26937556.06017404</v>
      </c>
      <c r="D194" s="1414" t="n">
        <v>29693030.80584531</v>
      </c>
      <c r="E194" s="1414" t="n">
        <v>30874312.62690803</v>
      </c>
      <c r="F194" s="1414" t="n">
        <v>36923644.96727112</v>
      </c>
      <c r="G194" s="1515" t="n">
        <v>19.5934154501334</v>
      </c>
      <c r="H194" s="1391" t="n"/>
      <c r="I194" s="1351" t="n"/>
      <c r="J194" s="1351" t="n"/>
      <c r="K194" s="1351" t="n"/>
      <c r="L194" s="1351" t="n"/>
      <c r="M194" s="1351" t="n"/>
      <c r="N194" s="1351" t="n"/>
      <c r="O194" s="1351" t="n"/>
      <c r="P194" s="1349" t="n"/>
    </row>
    <row r="195" customFormat="1" s="324">
      <c r="A195" s="1349" t="n"/>
      <c r="B195" s="1420" t="inlineStr">
        <is>
          <t xml:space="preserve">        Tare</t>
        </is>
      </c>
      <c r="C195" s="1421" t="n">
        <v>1720195.4</v>
      </c>
      <c r="D195" s="1421" t="n">
        <v>2076137.8</v>
      </c>
      <c r="E195" s="1421" t="n">
        <v>2322289.2</v>
      </c>
      <c r="F195" s="1421" t="n">
        <v>2448457</v>
      </c>
      <c r="G195" s="1516" t="n">
        <v>5.432906461434682</v>
      </c>
      <c r="H195" s="1391" t="n"/>
      <c r="I195" s="1351" t="n"/>
      <c r="J195" s="1351" t="n"/>
      <c r="K195" s="1351" t="n"/>
      <c r="L195" s="1351" t="n"/>
      <c r="M195" s="1351" t="n"/>
      <c r="N195" s="1351" t="n"/>
      <c r="O195" s="1351" t="n"/>
      <c r="P195" s="1349" t="n"/>
    </row>
    <row r="196" customFormat="1" s="324">
      <c r="A196" s="1349" t="n"/>
      <c r="B196" s="1420" t="n"/>
      <c r="C196" s="1430" t="n"/>
      <c r="D196" s="1430" t="n"/>
      <c r="E196" s="1430" t="n"/>
      <c r="F196" s="1430" t="n"/>
      <c r="G196" s="1516" t="n"/>
      <c r="H196" s="1391" t="n"/>
      <c r="I196" s="1351" t="n"/>
      <c r="J196" s="1351" t="n"/>
      <c r="K196" s="1351" t="n"/>
      <c r="L196" s="1351" t="n"/>
      <c r="M196" s="1351" t="n"/>
      <c r="N196" s="1351" t="n"/>
      <c r="O196" s="1351" t="n"/>
      <c r="P196" s="1349" t="n"/>
    </row>
    <row r="197" customFormat="1" s="324">
      <c r="A197" s="1349" t="n"/>
      <c r="B197" s="1484" t="inlineStr">
        <is>
          <t xml:space="preserve">          - Produits Pétroliers</t>
        </is>
      </c>
      <c r="C197" s="1430" t="n">
        <v>7237990.558200998</v>
      </c>
      <c r="D197" s="1430" t="n">
        <v>8372275.544288</v>
      </c>
      <c r="E197" s="1430" t="n">
        <v>9439679.699474001</v>
      </c>
      <c r="F197" s="1430" t="n">
        <v>11341874.933872</v>
      </c>
      <c r="G197" s="1410" t="n">
        <v>20.15105697393517</v>
      </c>
      <c r="H197" s="1391" t="n"/>
      <c r="I197" s="1351" t="n"/>
      <c r="J197" s="1351" t="n"/>
      <c r="K197" s="1351" t="n"/>
      <c r="L197" s="1351" t="n"/>
      <c r="M197" s="1351" t="n"/>
      <c r="N197" s="1351" t="n"/>
      <c r="O197" s="1351" t="n"/>
      <c r="P197" s="1349" t="n"/>
    </row>
    <row r="198" customFormat="1" s="324">
      <c r="A198" s="1349" t="n"/>
      <c r="B198" s="1484" t="inlineStr">
        <is>
          <t xml:space="preserve">          - Marchandises Générales</t>
        </is>
      </c>
      <c r="C198" s="1430" t="n">
        <v>17215426.25882604</v>
      </c>
      <c r="D198" s="1430" t="n">
        <v>18432720.8947873</v>
      </c>
      <c r="E198" s="1430" t="n">
        <v>18319267.72173403</v>
      </c>
      <c r="F198" s="1430" t="n">
        <v>22223124.08439912</v>
      </c>
      <c r="G198" s="1410" t="n">
        <v>21.31011141910187</v>
      </c>
      <c r="H198" s="1391" t="n"/>
      <c r="I198" s="1351" t="n"/>
      <c r="J198" s="1351" t="n"/>
      <c r="K198" s="1351" t="n"/>
      <c r="L198" s="1351" t="n"/>
      <c r="M198" s="1351" t="n"/>
      <c r="N198" s="1351" t="n"/>
      <c r="O198" s="1351" t="n"/>
      <c r="P198" s="1349" t="n"/>
    </row>
    <row r="199" customFormat="1" s="324">
      <c r="A199" s="1349" t="n"/>
      <c r="B199" s="1484" t="inlineStr">
        <is>
          <t xml:space="preserve">          - Produits de Pêche</t>
        </is>
      </c>
      <c r="C199" s="1430" t="n">
        <v>763943.8431470001</v>
      </c>
      <c r="D199" s="1430" t="n">
        <v>811896.5667699998</v>
      </c>
      <c r="E199" s="1430" t="n">
        <v>793076.0057000001</v>
      </c>
      <c r="F199" s="1430" t="n">
        <v>910188.9490000007</v>
      </c>
      <c r="G199" s="1410" t="n">
        <v>14.76692554790283</v>
      </c>
      <c r="H199" s="1391" t="n"/>
      <c r="I199" s="1351" t="n"/>
      <c r="J199" s="1351" t="n"/>
      <c r="K199" s="1351" t="n"/>
      <c r="L199" s="1351" t="n"/>
      <c r="M199" s="1351" t="n"/>
      <c r="N199" s="1351" t="n"/>
      <c r="O199" s="1351" t="n"/>
      <c r="P199" s="1349" t="n"/>
    </row>
    <row r="200" customFormat="1" s="324">
      <c r="A200" s="1349" t="n"/>
      <c r="B200" s="1411" t="n"/>
      <c r="C200" s="1414" t="n"/>
      <c r="D200" s="1414" t="n"/>
      <c r="E200" s="1414" t="n"/>
      <c r="F200" s="1414" t="n"/>
      <c r="G200" s="1515" t="n"/>
      <c r="H200" s="1391" t="n"/>
      <c r="I200" s="1351" t="n"/>
      <c r="J200" s="1351" t="n"/>
      <c r="K200" s="1351" t="n"/>
      <c r="L200" s="1351" t="n"/>
      <c r="M200" s="1351" t="n"/>
      <c r="N200" s="1351" t="n"/>
      <c r="O200" s="1351" t="n"/>
      <c r="P200" s="1349" t="n"/>
    </row>
    <row r="201" customFormat="1" s="324">
      <c r="A201" s="1349" t="n"/>
      <c r="B201" s="1411" t="inlineStr">
        <is>
          <t xml:space="preserve">         Transbordement</t>
        </is>
      </c>
      <c r="C201" s="1414" t="n">
        <v>409435.9972999999</v>
      </c>
      <c r="D201" s="1414" t="n">
        <v>4732403.622634741</v>
      </c>
      <c r="E201" s="1414" t="n">
        <v>9802963.593294002</v>
      </c>
      <c r="F201" s="1414" t="n">
        <v>9670336.627833996</v>
      </c>
      <c r="G201" s="1515" t="n">
        <v>-1.352927246926974</v>
      </c>
      <c r="H201" s="1391" t="n"/>
      <c r="I201" s="1526" t="n">
        <v>0.9896262139715744</v>
      </c>
      <c r="J201" s="1527" t="inlineStr">
        <is>
          <t>part TC</t>
        </is>
      </c>
      <c r="K201" s="1351" t="n"/>
      <c r="L201" s="1351" t="n"/>
      <c r="M201" s="1351" t="n"/>
      <c r="N201" s="1351" t="n"/>
      <c r="O201" s="1351" t="n"/>
      <c r="P201" s="1349" t="n"/>
    </row>
    <row r="202" customFormat="1" s="324">
      <c r="A202" s="1349" t="n"/>
      <c r="B202" s="1411" t="n"/>
      <c r="C202" s="1414" t="n"/>
      <c r="D202" s="1414" t="n"/>
      <c r="E202" s="1414" t="n"/>
      <c r="F202" s="1414" t="n"/>
      <c r="G202" s="1515" t="n"/>
      <c r="H202" s="1391" t="n"/>
      <c r="I202" s="1526" t="n">
        <v>0.01037378602842565</v>
      </c>
      <c r="J202" s="1527" t="inlineStr">
        <is>
          <t>part TNC</t>
        </is>
      </c>
      <c r="K202" s="1351" t="n"/>
      <c r="L202" s="1351" t="n"/>
      <c r="M202" s="1351" t="n"/>
      <c r="N202" s="1351" t="n"/>
      <c r="O202" s="1351" t="n"/>
      <c r="P202" s="1349" t="n"/>
    </row>
    <row r="203" customFormat="1" s="324">
      <c r="A203" s="1349" t="n"/>
      <c r="B203" s="1411" t="inlineStr">
        <is>
          <t xml:space="preserve">         Transit</t>
        </is>
      </c>
      <c r="C203" s="1414" t="n">
        <v>3171047.491758</v>
      </c>
      <c r="D203" s="1414" t="n">
        <v>3002594.672061998</v>
      </c>
      <c r="E203" s="1414" t="n">
        <v>3047500.711928</v>
      </c>
      <c r="F203" s="1414" t="n">
        <v>4102097.115602005</v>
      </c>
      <c r="G203" s="1515" t="n">
        <v>34.60528818077995</v>
      </c>
      <c r="H203" s="1391" t="n"/>
      <c r="I203" s="1351" t="n"/>
      <c r="J203" s="1351" t="n"/>
      <c r="K203" s="1351" t="n"/>
      <c r="L203" s="1351" t="n"/>
      <c r="M203" s="1351" t="n"/>
      <c r="N203" s="1351" t="n"/>
      <c r="O203" s="1351" t="n"/>
      <c r="P203" s="1349" t="n"/>
    </row>
    <row r="204" customFormat="1" s="324">
      <c r="A204" s="1349" t="n"/>
      <c r="B204" s="1517" t="n"/>
      <c r="C204" s="1414" t="n"/>
      <c r="D204" s="1414" t="n"/>
      <c r="E204" s="1414" t="n"/>
      <c r="F204" s="1414" t="n"/>
      <c r="G204" s="1518" t="n"/>
      <c r="H204" s="1391" t="n"/>
      <c r="I204" s="1351" t="n"/>
      <c r="J204" s="1351" t="n"/>
      <c r="K204" s="1351" t="n"/>
      <c r="L204" s="1351" t="n"/>
      <c r="M204" s="1351" t="n"/>
      <c r="N204" s="1351" t="n"/>
      <c r="O204" s="1351" t="n"/>
      <c r="P204" s="1349" t="n"/>
    </row>
    <row r="205" customFormat="1" s="324">
      <c r="A205" s="1349" t="n"/>
      <c r="B205" s="1411" t="inlineStr">
        <is>
          <t xml:space="preserve">           *  Pays sans littoral</t>
        </is>
      </c>
      <c r="C205" s="1421" t="n">
        <v>3166127.159957999</v>
      </c>
      <c r="D205" s="1421" t="n">
        <v>2991232.208489999</v>
      </c>
      <c r="E205" s="1421" t="n">
        <v>3012665.595928</v>
      </c>
      <c r="F205" s="1421" t="n">
        <v>4056442.428602004</v>
      </c>
      <c r="G205" s="1515" t="n">
        <v>34.64628912298799</v>
      </c>
      <c r="H205" s="1391" t="n"/>
      <c r="I205" s="1351" t="n"/>
      <c r="J205" s="1351" t="n"/>
      <c r="K205" s="1351" t="n"/>
      <c r="L205" s="1351" t="n"/>
      <c r="M205" s="1351" t="n"/>
      <c r="N205" s="1351" t="n"/>
      <c r="O205" s="1351" t="n"/>
      <c r="P205" s="1349" t="n"/>
    </row>
    <row r="206" customFormat="1" s="324">
      <c r="A206" s="1349" t="n"/>
      <c r="B206" s="1416" t="inlineStr">
        <is>
          <t xml:space="preserve">                    - Burkina Faso</t>
        </is>
      </c>
      <c r="C206" s="1430" t="n">
        <v>2449813.713564</v>
      </c>
      <c r="D206" s="1430" t="n">
        <v>2289062.956483998</v>
      </c>
      <c r="E206" s="1430" t="n">
        <v>2133545.517626</v>
      </c>
      <c r="F206" s="1430" t="n">
        <v>2456519.709822005</v>
      </c>
      <c r="G206" s="1519" t="n">
        <v>15.13790962169762</v>
      </c>
      <c r="H206" s="1391" t="n"/>
      <c r="I206" s="1351" t="n"/>
      <c r="J206" s="1351" t="n"/>
      <c r="K206" s="1351" t="n"/>
      <c r="L206" s="1351" t="n"/>
      <c r="M206" s="1351" t="n"/>
      <c r="N206" s="1351" t="n"/>
      <c r="O206" s="1351" t="n"/>
      <c r="P206" s="1349" t="n"/>
    </row>
    <row r="207" customFormat="1" s="324">
      <c r="A207" s="1349" t="n"/>
      <c r="B207" s="1416" t="inlineStr">
        <is>
          <t xml:space="preserve">                   - Mali</t>
        </is>
      </c>
      <c r="C207" s="1430" t="n">
        <v>715953.0713939999</v>
      </c>
      <c r="D207" s="1430" t="n">
        <v>702163.252006</v>
      </c>
      <c r="E207" s="1430" t="n">
        <v>877787.8300020001</v>
      </c>
      <c r="F207" s="1430" t="n">
        <v>1599820.97978</v>
      </c>
      <c r="G207" s="1519" t="n">
        <v>82.25599912638964</v>
      </c>
      <c r="H207" s="1391" t="n"/>
      <c r="I207" s="1351" t="n"/>
      <c r="J207" s="1351" t="n"/>
      <c r="K207" s="1351" t="n"/>
      <c r="L207" s="1351" t="n"/>
      <c r="M207" s="1351" t="n"/>
      <c r="N207" s="1351" t="n"/>
      <c r="O207" s="1351" t="n"/>
      <c r="P207" s="1349" t="n"/>
    </row>
    <row r="208" customFormat="1" s="324">
      <c r="A208" s="1349" t="n"/>
      <c r="B208" s="1416" t="inlineStr">
        <is>
          <t xml:space="preserve">                   - Niger</t>
        </is>
      </c>
      <c r="C208" s="1430" t="n">
        <v>360.3749999999999</v>
      </c>
      <c r="D208" s="1430" t="n">
        <v>6</v>
      </c>
      <c r="E208" s="1430" t="n">
        <v>1332.2483</v>
      </c>
      <c r="F208" s="1430" t="n">
        <v>101.739</v>
      </c>
      <c r="G208" s="1519" t="n">
        <v>-92.36336049368575</v>
      </c>
      <c r="H208" s="1391" t="n"/>
      <c r="I208" s="1351" t="n"/>
      <c r="J208" s="1351" t="n"/>
      <c r="K208" s="1351" t="n"/>
      <c r="L208" s="1351" t="n"/>
      <c r="M208" s="1351" t="n"/>
      <c r="N208" s="1351" t="n"/>
      <c r="O208" s="1351" t="n"/>
      <c r="P208" s="1349" t="n"/>
    </row>
    <row r="209" customFormat="1" s="324">
      <c r="A209" s="1349" t="n"/>
      <c r="B209" s="1528" t="inlineStr">
        <is>
          <t xml:space="preserve">           *  Pays côtiers</t>
        </is>
      </c>
      <c r="C209" s="1529" t="n">
        <v>4920.331800000001</v>
      </c>
      <c r="D209" s="1529" t="n">
        <v>11362.463572</v>
      </c>
      <c r="E209" s="1529" t="n">
        <v>34835.11600000001</v>
      </c>
      <c r="F209" s="1529" t="n">
        <v>45654.687</v>
      </c>
      <c r="G209" s="1530" t="n">
        <v>31.05937985106749</v>
      </c>
      <c r="H209" s="1391" t="n"/>
      <c r="I209" s="1351" t="n"/>
      <c r="J209" s="1351" t="n"/>
      <c r="K209" s="1351" t="n"/>
      <c r="L209" s="1351" t="n"/>
      <c r="M209" s="1351" t="n"/>
      <c r="N209" s="1351" t="n"/>
      <c r="O209" s="1351" t="n"/>
      <c r="P209" s="1349" t="n"/>
    </row>
    <row r="210" customFormat="1" s="324">
      <c r="A210" s="1349" t="n"/>
      <c r="B210" s="1531" t="n"/>
      <c r="C210" s="1532" t="n"/>
      <c r="D210" s="1532" t="n"/>
      <c r="E210" s="1532" t="n"/>
      <c r="F210" s="1532" t="n"/>
      <c r="G210" s="1533" t="n"/>
      <c r="H210" s="1391" t="n"/>
      <c r="I210" s="1351" t="n"/>
      <c r="J210" s="1351" t="n"/>
      <c r="K210" s="1351" t="n"/>
      <c r="L210" s="1351" t="n"/>
      <c r="M210" s="1351" t="n"/>
      <c r="N210" s="1351" t="n"/>
      <c r="O210" s="1351" t="n"/>
      <c r="P210" s="1349" t="n"/>
    </row>
    <row r="211" customFormat="1" s="324">
      <c r="A211" s="1349" t="n"/>
      <c r="B211" s="1392" t="inlineStr">
        <is>
          <t>V- TRAFIC DES CONTENEURS REALISE AU PA</t>
        </is>
      </c>
      <c r="C211" s="1351" t="n"/>
      <c r="D211" s="1351" t="n"/>
      <c r="E211" s="1351" t="n"/>
      <c r="F211" s="1351" t="n"/>
      <c r="G211" s="1351" t="n"/>
      <c r="H211" s="1391" t="n"/>
      <c r="I211" s="1351" t="n"/>
      <c r="J211" s="1351" t="n"/>
      <c r="K211" s="1351" t="n"/>
      <c r="L211" s="1351" t="n"/>
      <c r="M211" s="1351" t="n"/>
      <c r="N211" s="1351" t="n"/>
      <c r="O211" s="1351" t="n"/>
      <c r="P211" s="1349" t="n"/>
    </row>
    <row r="212" customFormat="1" s="324">
      <c r="A212" s="1349" t="n"/>
      <c r="B212" s="1500" t="n"/>
      <c r="C212" s="1439" t="n"/>
      <c r="D212" s="1439" t="n"/>
      <c r="E212" s="1439" t="n"/>
      <c r="F212" s="1439" t="n"/>
      <c r="G212" s="1395" t="n"/>
      <c r="H212" s="1391" t="n"/>
      <c r="I212" s="1351" t="n"/>
      <c r="J212" s="1351" t="n"/>
      <c r="K212" s="1351" t="n"/>
      <c r="L212" s="1351" t="n"/>
      <c r="M212" s="1351" t="n"/>
      <c r="N212" s="1351" t="n"/>
      <c r="O212" s="1351" t="n"/>
      <c r="P212" s="1349" t="n"/>
    </row>
    <row r="213" customFormat="1" s="324">
      <c r="A213" s="1349" t="n"/>
      <c r="B213" s="1463" t="inlineStr">
        <is>
          <t xml:space="preserve">                                    TRAFIC TOTAL DES CONTENEURS (en tonne) : EXERCICE </t>
        </is>
      </c>
      <c r="C213" s="1351" t="n"/>
      <c r="D213" s="1351" t="n"/>
      <c r="E213" s="1351" t="n"/>
      <c r="F213" s="1393" t="n">
        <v>2025</v>
      </c>
      <c r="G213" s="1534" t="n"/>
      <c r="H213" s="1391" t="n"/>
      <c r="I213" s="1351" t="n"/>
      <c r="J213" s="1351" t="n"/>
      <c r="K213" s="1351" t="n"/>
      <c r="L213" s="1351" t="n"/>
      <c r="M213" s="1351" t="n"/>
      <c r="N213" s="1351" t="n"/>
      <c r="O213" s="1351" t="n"/>
      <c r="P213" s="1349" t="n"/>
    </row>
    <row r="214" customFormat="1" s="324">
      <c r="A214" s="1349" t="n"/>
      <c r="B214" s="1501" t="n"/>
      <c r="C214" s="1439" t="n"/>
      <c r="D214" s="1439" t="n"/>
      <c r="E214" s="1439" t="n"/>
      <c r="F214" s="1439" t="n"/>
      <c r="G214" s="1440" t="n"/>
      <c r="H214" s="1391" t="n"/>
      <c r="I214" s="1351" t="n"/>
      <c r="J214" s="1351" t="n"/>
      <c r="K214" s="1351" t="n"/>
      <c r="L214" s="1351" t="n"/>
      <c r="M214" s="1351" t="n"/>
      <c r="N214" s="1351" t="n"/>
      <c r="O214" s="1351" t="n"/>
      <c r="P214" s="1349" t="n"/>
    </row>
    <row r="215" customFormat="1" s="324">
      <c r="A215" s="1349" t="n"/>
      <c r="B215" s="1396" t="inlineStr">
        <is>
          <t>RUBRIQUES</t>
        </is>
      </c>
      <c r="C215" s="1397" t="inlineStr">
        <is>
          <t xml:space="preserve">SITUATION A FIN </t>
        </is>
      </c>
      <c r="D215" s="1398" t="n"/>
      <c r="E215" s="1398" t="n"/>
      <c r="F215" s="1399" t="inlineStr">
        <is>
          <t>DECEMBRE</t>
        </is>
      </c>
      <c r="G215" s="1400" t="n"/>
      <c r="H215" s="1391" t="n"/>
      <c r="I215" s="1351" t="n"/>
      <c r="J215" s="1351" t="n"/>
      <c r="K215" s="1351" t="n"/>
      <c r="L215" s="1351" t="n"/>
      <c r="M215" s="1351" t="n"/>
      <c r="N215" s="1351" t="n"/>
      <c r="O215" s="1351" t="n"/>
      <c r="P215" s="1349" t="n"/>
    </row>
    <row r="216" ht="30" customFormat="1" customHeight="1" s="324">
      <c r="A216" s="1349" t="n"/>
      <c r="B216" s="1401" t="n"/>
      <c r="C216" s="1402" t="n">
        <v>2022</v>
      </c>
      <c r="D216" s="1402" t="n">
        <v>2023</v>
      </c>
      <c r="E216" s="1402" t="n">
        <v>2024</v>
      </c>
      <c r="F216" s="1402" t="n">
        <v>2025</v>
      </c>
      <c r="G216" s="1403" t="inlineStr">
        <is>
          <t>Var. %      2025 / 2024</t>
        </is>
      </c>
      <c r="H216" s="1391" t="n"/>
      <c r="I216" s="1351" t="n"/>
      <c r="J216" s="1351" t="n"/>
      <c r="K216" s="1351" t="n"/>
      <c r="L216" s="1351" t="n"/>
      <c r="M216" s="1351" t="n"/>
      <c r="N216" s="1351" t="n"/>
      <c r="O216" s="1351" t="n"/>
      <c r="P216" s="1349" t="n"/>
    </row>
    <row r="217" customFormat="1" s="324">
      <c r="A217" s="1349" t="n"/>
      <c r="B217" s="1535" t="n"/>
      <c r="C217" s="1477" t="n"/>
      <c r="D217" s="1477" t="n"/>
      <c r="E217" s="1477" t="n"/>
      <c r="F217" s="1477" t="n"/>
      <c r="G217" s="1536" t="n"/>
      <c r="H217" s="1391" t="n"/>
      <c r="I217" s="1351" t="n"/>
      <c r="J217" s="1351" t="n"/>
      <c r="K217" s="1351" t="n"/>
      <c r="L217" s="1351" t="n"/>
      <c r="M217" s="1351" t="n"/>
      <c r="N217" s="1351" t="n"/>
      <c r="O217" s="1351" t="n"/>
      <c r="P217" s="1349" t="n"/>
    </row>
    <row r="218" customFormat="1" s="324">
      <c r="A218" s="1349" t="n"/>
      <c r="B218" s="1537" t="inlineStr">
        <is>
          <t xml:space="preserve">    IMPORTATIONS</t>
        </is>
      </c>
      <c r="C218" s="1538" t="n">
        <v>5872626.098348984</v>
      </c>
      <c r="D218" s="1538" t="n">
        <v>8796284.033659639</v>
      </c>
      <c r="E218" s="1538" t="n">
        <v>11859958.726968</v>
      </c>
      <c r="F218" s="1538" t="n">
        <v>13261958.23221003</v>
      </c>
      <c r="G218" s="1408" t="n">
        <v>11.8212848587244</v>
      </c>
      <c r="H218" s="1391" t="n"/>
      <c r="I218" s="1351" t="n"/>
      <c r="J218" s="1351" t="n"/>
      <c r="K218" s="1351" t="n"/>
      <c r="L218" s="1351" t="n"/>
      <c r="M218" s="1351" t="n"/>
      <c r="N218" s="1351" t="n"/>
      <c r="O218" s="1351" t="n"/>
      <c r="P218" s="1349" t="n"/>
    </row>
    <row r="219" customFormat="1" s="324">
      <c r="A219" s="1349" t="n"/>
      <c r="B219" s="1539" t="n"/>
      <c r="C219" s="1447" t="n"/>
      <c r="D219" s="1447" t="n"/>
      <c r="E219" s="1447" t="n"/>
      <c r="F219" s="1447" t="n"/>
      <c r="G219" s="1408" t="n"/>
      <c r="H219" s="1391" t="n"/>
      <c r="I219" s="1351" t="n"/>
      <c r="J219" s="1351" t="n"/>
      <c r="K219" s="1351" t="n"/>
      <c r="L219" s="1351" t="n"/>
      <c r="M219" s="1351" t="n"/>
      <c r="N219" s="1351" t="n"/>
      <c r="O219" s="1351" t="n"/>
      <c r="P219" s="1349" t="n"/>
    </row>
    <row r="220" customFormat="1" s="324">
      <c r="A220" s="1349" t="n"/>
      <c r="B220" s="1520" t="inlineStr">
        <is>
          <t xml:space="preserve">        Pleins Non Transbordés</t>
        </is>
      </c>
      <c r="C220" s="1417" t="n">
        <v>5782126.423478984</v>
      </c>
      <c r="D220" s="1417" t="n">
        <v>6418424.148437271</v>
      </c>
      <c r="E220" s="1417" t="n">
        <v>6959890.651373996</v>
      </c>
      <c r="F220" s="1417" t="n">
        <v>8362046.894870035</v>
      </c>
      <c r="G220" s="1410" t="n">
        <v>20.14623955649692</v>
      </c>
      <c r="H220" s="1391" t="n"/>
      <c r="I220" s="1351" t="n"/>
      <c r="J220" s="1351" t="n"/>
      <c r="K220" s="1351" t="n"/>
      <c r="L220" s="1351" t="n"/>
      <c r="M220" s="1351" t="n"/>
      <c r="N220" s="1351" t="n"/>
      <c r="O220" s="1351" t="n"/>
      <c r="P220" s="1349" t="n"/>
    </row>
    <row r="221" customFormat="1" s="324">
      <c r="A221" s="1349" t="n"/>
      <c r="B221" s="1520" t="inlineStr">
        <is>
          <t xml:space="preserve">        Pleins Transbordés</t>
        </is>
      </c>
      <c r="C221" s="1417" t="n">
        <v>90499.67487</v>
      </c>
      <c r="D221" s="1417" t="n">
        <v>2377859.885222368</v>
      </c>
      <c r="E221" s="1417" t="n">
        <v>4900068.075594005</v>
      </c>
      <c r="F221" s="1417" t="n">
        <v>4899911.337339997</v>
      </c>
      <c r="G221" s="1410" t="n">
        <v>-0.003198695438305374</v>
      </c>
      <c r="H221" s="1391" t="n"/>
      <c r="I221" s="1351" t="n"/>
      <c r="J221" s="1351" t="n"/>
      <c r="K221" s="1351" t="n"/>
      <c r="L221" s="1351" t="n"/>
      <c r="M221" s="1351" t="n"/>
      <c r="N221" s="1351" t="n"/>
      <c r="O221" s="1351" t="n"/>
      <c r="P221" s="1349" t="n"/>
    </row>
    <row r="222" customFormat="1" s="324">
      <c r="A222" s="1349" t="n"/>
      <c r="B222" s="1540" t="n"/>
      <c r="C222" s="1451" t="n"/>
      <c r="D222" s="1451" t="n"/>
      <c r="E222" s="1451" t="n"/>
      <c r="F222" s="1451" t="n"/>
      <c r="G222" s="1425" t="n"/>
      <c r="H222" s="1391" t="n"/>
      <c r="I222" s="1351" t="n"/>
      <c r="J222" s="1351" t="n"/>
      <c r="K222" s="1351" t="n"/>
      <c r="L222" s="1351" t="n"/>
      <c r="M222" s="1351" t="n"/>
      <c r="N222" s="1351" t="n"/>
      <c r="O222" s="1351" t="n"/>
      <c r="P222" s="1349" t="n"/>
    </row>
    <row r="223" ht="14.25" customFormat="1" customHeight="1" s="324">
      <c r="A223" s="1349" t="n"/>
      <c r="B223" s="1537" t="inlineStr">
        <is>
          <t xml:space="preserve">    EXPORTATIONS</t>
        </is>
      </c>
      <c r="C223" s="1538" t="n">
        <v>4418670.652793013</v>
      </c>
      <c r="D223" s="1538" t="n">
        <v>6878238.784572398</v>
      </c>
      <c r="E223" s="1538" t="n">
        <v>9168256.867712006</v>
      </c>
      <c r="F223" s="1538" t="n">
        <v>9179114.735314012</v>
      </c>
      <c r="G223" s="1408" t="n">
        <v>0.1184289201172354</v>
      </c>
      <c r="H223" s="1391" t="n"/>
      <c r="I223" s="1351" t="n"/>
      <c r="J223" s="1351" t="n"/>
      <c r="K223" s="1351" t="n"/>
      <c r="L223" s="1351" t="n"/>
      <c r="M223" s="1351" t="n"/>
      <c r="N223" s="1351" t="n"/>
      <c r="O223" s="1351" t="n"/>
      <c r="P223" s="1349" t="n"/>
    </row>
    <row r="224" customFormat="1" s="324">
      <c r="A224" s="1349" t="n"/>
      <c r="B224" s="1539" t="n"/>
      <c r="C224" s="1447" t="n"/>
      <c r="D224" s="1447" t="n"/>
      <c r="E224" s="1447" t="n"/>
      <c r="F224" s="1447" t="n"/>
      <c r="G224" s="1408" t="n"/>
      <c r="H224" s="1391" t="n"/>
      <c r="I224" s="1351" t="n"/>
      <c r="J224" s="1351" t="n"/>
      <c r="K224" s="1351" t="n"/>
      <c r="L224" s="1351" t="n"/>
      <c r="M224" s="1351" t="n"/>
      <c r="N224" s="1351" t="n"/>
      <c r="O224" s="1351" t="n"/>
      <c r="P224" s="1349" t="n"/>
    </row>
    <row r="225" customFormat="1" s="324">
      <c r="A225" s="1349" t="n"/>
      <c r="B225" s="1520" t="inlineStr">
        <is>
          <t xml:space="preserve">        Pleins Non Transbordés</t>
        </is>
      </c>
      <c r="C225" s="1417" t="n">
        <v>4315104.211393013</v>
      </c>
      <c r="D225" s="1417" t="n">
        <v>4662474.185160028</v>
      </c>
      <c r="E225" s="1417" t="n">
        <v>4394664.474412004</v>
      </c>
      <c r="F225" s="1417" t="n">
        <v>4509007.44782001</v>
      </c>
      <c r="G225" s="1410" t="n">
        <v>2.601859005932528</v>
      </c>
      <c r="H225" s="1391" t="n"/>
      <c r="I225" s="1351" t="n"/>
      <c r="J225" s="1351" t="n"/>
      <c r="K225" s="1351" t="n"/>
      <c r="L225" s="1351" t="n"/>
      <c r="M225" s="1351" t="n"/>
      <c r="N225" s="1351" t="n"/>
      <c r="O225" s="1351" t="n"/>
      <c r="P225" s="1349" t="n"/>
    </row>
    <row r="226" customFormat="1" s="324">
      <c r="A226" s="1349" t="n"/>
      <c r="B226" s="1520" t="inlineStr">
        <is>
          <t xml:space="preserve">        Pleins Transbordés</t>
        </is>
      </c>
      <c r="C226" s="1417" t="n">
        <v>103566.4414</v>
      </c>
      <c r="D226" s="1417" t="n">
        <v>2215764.59941237</v>
      </c>
      <c r="E226" s="1417" t="n">
        <v>4773592.393300002</v>
      </c>
      <c r="F226" s="1417" t="n">
        <v>4670107.287494002</v>
      </c>
      <c r="G226" s="1410" t="n">
        <v>-2.167866405000281</v>
      </c>
      <c r="H226" s="1391" t="n"/>
      <c r="I226" s="1351" t="n"/>
      <c r="J226" s="1351" t="n"/>
      <c r="K226" s="1351" t="n"/>
      <c r="L226" s="1351" t="n"/>
      <c r="M226" s="1351" t="n"/>
      <c r="N226" s="1351" t="n"/>
      <c r="O226" s="1351" t="n"/>
      <c r="P226" s="1349" t="n"/>
    </row>
    <row r="227" customFormat="1" s="324">
      <c r="A227" s="1349" t="n"/>
      <c r="B227" s="1540" t="n"/>
      <c r="C227" s="1451" t="n"/>
      <c r="D227" s="1451" t="n"/>
      <c r="E227" s="1451" t="n"/>
      <c r="F227" s="1451" t="n"/>
      <c r="G227" s="1425" t="n"/>
      <c r="H227" s="1391" t="n"/>
      <c r="I227" s="1351" t="n"/>
      <c r="J227" s="1351" t="n"/>
      <c r="K227" s="1351" t="n"/>
      <c r="L227" s="1351" t="n"/>
      <c r="M227" s="1351" t="n"/>
      <c r="N227" s="1351" t="n"/>
      <c r="O227" s="1351" t="n"/>
      <c r="P227" s="1349" t="n"/>
    </row>
    <row r="228" customFormat="1" s="324">
      <c r="A228" s="1349" t="n"/>
      <c r="B228" s="1426" t="inlineStr">
        <is>
          <t xml:space="preserve"> TOTAL TRAFIC </t>
        </is>
      </c>
      <c r="C228" s="1541" t="n">
        <v>10291296.751142</v>
      </c>
      <c r="D228" s="1541" t="n">
        <v>15674522.81823204</v>
      </c>
      <c r="E228" s="1541" t="n">
        <v>21028215.59468001</v>
      </c>
      <c r="F228" s="1541" t="n">
        <v>22441072.96752404</v>
      </c>
      <c r="G228" s="1542" t="n">
        <v>6.718864786613087</v>
      </c>
      <c r="H228" s="1391" t="n"/>
      <c r="I228" s="1351" t="n"/>
      <c r="J228" s="1351" t="n"/>
      <c r="K228" s="1351" t="n"/>
      <c r="L228" s="1351" t="n"/>
      <c r="M228" s="1351" t="n"/>
      <c r="N228" s="1351" t="n"/>
      <c r="O228" s="1351" t="n"/>
      <c r="P228" s="1349" t="n"/>
    </row>
    <row r="229" customFormat="1" s="324">
      <c r="A229" s="1349" t="n"/>
      <c r="B229" s="1540" t="n"/>
      <c r="C229" s="1451" t="n"/>
      <c r="D229" s="1451" t="n"/>
      <c r="E229" s="1451" t="n"/>
      <c r="F229" s="1451" t="n"/>
      <c r="G229" s="1408" t="n"/>
      <c r="H229" s="1391" t="n"/>
      <c r="I229" s="1351" t="n"/>
      <c r="J229" s="1351" t="n"/>
      <c r="K229" s="1351" t="n"/>
      <c r="L229" s="1351" t="n"/>
      <c r="M229" s="1351" t="n"/>
      <c r="N229" s="1351" t="n"/>
      <c r="O229" s="1351" t="n"/>
      <c r="P229" s="1349" t="n"/>
    </row>
    <row r="230" customFormat="1" s="324">
      <c r="A230" s="1349" t="n"/>
      <c r="B230" s="1520" t="inlineStr">
        <is>
          <t xml:space="preserve">        Pleins Non Transbordés</t>
        </is>
      </c>
      <c r="C230" s="1543" t="n">
        <v>10097230.634872</v>
      </c>
      <c r="D230" s="1543" t="n">
        <v>11080898.3335973</v>
      </c>
      <c r="E230" s="1543" t="n">
        <v>11354555.125786</v>
      </c>
      <c r="F230" s="1543" t="n">
        <v>12871054.34269005</v>
      </c>
      <c r="G230" s="1410" t="n">
        <v>13.35586643513758</v>
      </c>
      <c r="H230" s="1391" t="n"/>
      <c r="I230" s="1351" t="n"/>
      <c r="J230" s="1351" t="n"/>
      <c r="K230" s="1351" t="n"/>
      <c r="L230" s="1351" t="n"/>
      <c r="M230" s="1351" t="n"/>
      <c r="N230" s="1351" t="n"/>
      <c r="O230" s="1351" t="n"/>
      <c r="P230" s="1349" t="n"/>
    </row>
    <row r="231" customFormat="1" s="324">
      <c r="A231" s="1349" t="n"/>
      <c r="B231" s="1520" t="inlineStr">
        <is>
          <t xml:space="preserve">        Pleins Transbordés</t>
        </is>
      </c>
      <c r="C231" s="1543" t="n">
        <v>194066.11627</v>
      </c>
      <c r="D231" s="1543" t="n">
        <v>4593624.484634738</v>
      </c>
      <c r="E231" s="1543" t="n">
        <v>9673660.468894007</v>
      </c>
      <c r="F231" s="1543" t="n">
        <v>9570018.624833999</v>
      </c>
      <c r="G231" s="1410" t="n">
        <v>-1.071381866184693</v>
      </c>
      <c r="H231" s="1419" t="n"/>
      <c r="I231" s="1419" t="n"/>
      <c r="J231" s="1419" t="n"/>
      <c r="K231" s="1419" t="n"/>
      <c r="L231" s="1351" t="n"/>
      <c r="M231" s="1351" t="n"/>
      <c r="N231" s="1351" t="n"/>
      <c r="O231" s="1351" t="n"/>
      <c r="P231" s="1349" t="n"/>
    </row>
    <row r="232" customFormat="1" s="324">
      <c r="A232" s="1349" t="n"/>
      <c r="B232" s="1544" t="n"/>
      <c r="C232" s="1545" t="n"/>
      <c r="D232" s="1545" t="n"/>
      <c r="E232" s="1545" t="n"/>
      <c r="F232" s="1545" t="n"/>
      <c r="G232" s="1546" t="n"/>
      <c r="H232" s="1419" t="n"/>
      <c r="I232" s="1419" t="n"/>
      <c r="J232" s="1419" t="n"/>
      <c r="K232" s="1419" t="n"/>
      <c r="L232" s="1351" t="n"/>
      <c r="M232" s="1351" t="n"/>
      <c r="N232" s="1351" t="n"/>
      <c r="O232" s="1351" t="n"/>
      <c r="P232" s="1349" t="n"/>
    </row>
    <row r="233" customFormat="1" s="324">
      <c r="A233" s="1349" t="n"/>
      <c r="B233" s="1500" t="n"/>
      <c r="C233" s="1439" t="n"/>
      <c r="D233" s="1439" t="n"/>
      <c r="E233" s="1439" t="n"/>
      <c r="F233" s="1439" t="n"/>
      <c r="G233" s="1395" t="n"/>
      <c r="H233" s="1391" t="n"/>
      <c r="I233" s="1351" t="n"/>
      <c r="J233" s="1351" t="n"/>
      <c r="K233" s="1351" t="n"/>
      <c r="L233" s="1351" t="n"/>
      <c r="M233" s="1351" t="n"/>
      <c r="N233" s="1351" t="n"/>
      <c r="O233" s="1351" t="n"/>
      <c r="P233" s="1349" t="n"/>
    </row>
    <row r="234">
      <c r="A234" s="1389" t="n"/>
      <c r="B234" s="1547" t="inlineStr">
        <is>
          <t xml:space="preserve">                      TRAFIC TOTAL  CONTENEURISES PAR DESTINATION (en tonne) : EXERCICE </t>
        </is>
      </c>
      <c r="C234" s="1351" t="n"/>
      <c r="D234" s="1351" t="n"/>
      <c r="E234" s="1351" t="n"/>
      <c r="F234" s="1351" t="n"/>
      <c r="G234" s="1393" t="n">
        <v>2025</v>
      </c>
      <c r="H234" s="1391" t="n"/>
      <c r="I234" s="1522" t="n"/>
      <c r="J234" s="1522" t="n"/>
      <c r="K234" s="1522" t="n"/>
      <c r="L234" s="1351" t="n"/>
      <c r="M234" s="1351" t="n"/>
      <c r="N234" s="1351" t="n"/>
      <c r="O234" s="1351" t="n"/>
      <c r="P234" s="1349" t="n"/>
    </row>
    <row r="235">
      <c r="A235" s="1389" t="n"/>
      <c r="B235" s="1349" t="n"/>
      <c r="C235" s="1351" t="n"/>
      <c r="D235" s="1351" t="n"/>
      <c r="E235" s="1351" t="n"/>
      <c r="F235" s="1351" t="n"/>
      <c r="G235" s="1351" t="n"/>
      <c r="H235" s="1391" t="n"/>
      <c r="I235" s="1522" t="n"/>
      <c r="J235" s="1522" t="n"/>
      <c r="K235" s="1522" t="n"/>
      <c r="L235" s="1351" t="n"/>
      <c r="M235" s="1351" t="n"/>
      <c r="N235" s="1351" t="n"/>
      <c r="O235" s="1351" t="n"/>
      <c r="P235" s="1349" t="n"/>
    </row>
    <row r="236" ht="14.25" customFormat="1" customHeight="1" s="324">
      <c r="A236" s="1349" t="n"/>
      <c r="B236" s="1396" t="inlineStr">
        <is>
          <t>RUBRIQUES</t>
        </is>
      </c>
      <c r="C236" s="1397" t="inlineStr">
        <is>
          <t xml:space="preserve">SITUATION A FIN </t>
        </is>
      </c>
      <c r="D236" s="1398" t="n"/>
      <c r="E236" s="1398" t="n"/>
      <c r="F236" s="1399" t="inlineStr">
        <is>
          <t>DECEMBRE</t>
        </is>
      </c>
      <c r="G236" s="1400" t="n"/>
      <c r="H236" s="1391" t="n"/>
      <c r="I236" s="1351" t="n"/>
      <c r="J236" s="1351" t="n"/>
      <c r="K236" s="1351" t="n"/>
      <c r="L236" s="1351" t="n"/>
      <c r="M236" s="1351" t="n"/>
      <c r="N236" s="1351" t="n"/>
      <c r="O236" s="1351" t="n"/>
      <c r="P236" s="1349" t="n"/>
    </row>
    <row r="237" ht="30" customFormat="1" customHeight="1" s="324">
      <c r="A237" s="1349" t="n"/>
      <c r="B237" s="1401" t="n"/>
      <c r="C237" s="1402" t="n">
        <v>2022</v>
      </c>
      <c r="D237" s="1402" t="n">
        <v>2023</v>
      </c>
      <c r="E237" s="1402" t="n">
        <v>2024</v>
      </c>
      <c r="F237" s="1402" t="n">
        <v>2025</v>
      </c>
      <c r="G237" s="1403" t="inlineStr">
        <is>
          <t>Var. %      2025 / 2024</t>
        </is>
      </c>
      <c r="H237" s="1391" t="n"/>
      <c r="I237" s="1351" t="n"/>
      <c r="J237" s="1351" t="n"/>
      <c r="K237" s="1351" t="n"/>
      <c r="L237" s="1351" t="n"/>
      <c r="M237" s="1351" t="n"/>
      <c r="N237" s="1351" t="n"/>
      <c r="O237" s="1351" t="n"/>
      <c r="P237" s="1349" t="n"/>
    </row>
    <row r="238" customFormat="1" s="324">
      <c r="A238" s="1349" t="n"/>
      <c r="B238" s="1396" t="n"/>
      <c r="C238" s="1548" t="n"/>
      <c r="D238" s="1548" t="n"/>
      <c r="E238" s="1548" t="n"/>
      <c r="F238" s="1548" t="n"/>
      <c r="G238" s="1478" t="n"/>
      <c r="H238" s="1391" t="n"/>
      <c r="I238" s="1351" t="n"/>
      <c r="J238" s="1351" t="n"/>
      <c r="K238" s="1351" t="n"/>
      <c r="L238" s="1351" t="n"/>
      <c r="M238" s="1351" t="n"/>
      <c r="N238" s="1351" t="n"/>
      <c r="O238" s="1351" t="n"/>
      <c r="P238" s="1349" t="n"/>
    </row>
    <row r="239" customFormat="1" s="324">
      <c r="A239" s="1349" t="n"/>
      <c r="B239" s="1406" t="inlineStr">
        <is>
          <t>IMPORTATIONS</t>
        </is>
      </c>
      <c r="C239" s="1549" t="n">
        <v>5872626.098348995</v>
      </c>
      <c r="D239" s="1549" t="n">
        <v>8796284.033659643</v>
      </c>
      <c r="E239" s="1549" t="n">
        <v>11859958.726968</v>
      </c>
      <c r="F239" s="1549" t="n">
        <v>13261958.23221001</v>
      </c>
      <c r="G239" s="1408" t="n">
        <v>11.82128485872424</v>
      </c>
      <c r="H239" s="1391" t="n"/>
      <c r="I239" s="1351" t="n"/>
      <c r="J239" s="1351" t="n"/>
      <c r="K239" s="1351" t="n"/>
      <c r="L239" s="1351" t="n"/>
      <c r="M239" s="1351" t="n"/>
      <c r="N239" s="1351" t="n"/>
      <c r="O239" s="1351" t="n"/>
      <c r="P239" s="1349" t="n"/>
    </row>
    <row r="240" customFormat="1" s="324">
      <c r="A240" s="1349" t="n"/>
      <c r="B240" s="1406" t="n"/>
      <c r="C240" s="1549" t="n"/>
      <c r="D240" s="1549" t="n"/>
      <c r="E240" s="1549" t="n"/>
      <c r="F240" s="1549" t="n"/>
      <c r="G240" s="1408" t="n"/>
      <c r="H240" s="1391" t="n"/>
      <c r="I240" s="1351" t="n"/>
      <c r="J240" s="1351" t="n"/>
      <c r="K240" s="1351" t="n"/>
      <c r="L240" s="1351" t="n"/>
      <c r="M240" s="1351" t="n"/>
      <c r="N240" s="1351" t="n"/>
      <c r="O240" s="1351" t="n"/>
      <c r="P240" s="1349" t="n"/>
    </row>
    <row r="241" customFormat="1" s="324">
      <c r="A241" s="1349" t="n"/>
      <c r="B241" s="1411" t="inlineStr">
        <is>
          <t xml:space="preserve">        National</t>
        </is>
      </c>
      <c r="C241" s="1550" t="n">
        <v>5181003.588902995</v>
      </c>
      <c r="D241" s="1550" t="n">
        <v>5712862.314055272</v>
      </c>
      <c r="E241" s="1550" t="n">
        <v>6149413.013080999</v>
      </c>
      <c r="F241" s="1550" t="n">
        <v>7131457.330078014</v>
      </c>
      <c r="G241" s="1515" t="n">
        <v>15.96972450716866</v>
      </c>
      <c r="H241" s="1391" t="n"/>
      <c r="I241" s="1351" t="n"/>
      <c r="J241" s="1351" t="n"/>
      <c r="K241" s="1351" t="n"/>
      <c r="L241" s="1351" t="n"/>
      <c r="M241" s="1351" t="n"/>
      <c r="N241" s="1351" t="n"/>
      <c r="O241" s="1351" t="n"/>
      <c r="P241" s="1349" t="n"/>
    </row>
    <row r="242" customFormat="1" s="324">
      <c r="A242" s="1349" t="n"/>
      <c r="B242" s="1411" t="inlineStr">
        <is>
          <t xml:space="preserve">        Transbordement</t>
        </is>
      </c>
      <c r="C242" s="1550" t="n">
        <v>90499.67487</v>
      </c>
      <c r="D242" s="1550" t="n">
        <v>2377859.88522237</v>
      </c>
      <c r="E242" s="1550" t="n">
        <v>4900068.075593999</v>
      </c>
      <c r="F242" s="1550" t="n">
        <v>4899911.337339994</v>
      </c>
      <c r="G242" s="1515" t="n">
        <v>-0.003198695438229354</v>
      </c>
      <c r="H242" s="1391" t="n"/>
      <c r="I242" s="1351" t="n"/>
      <c r="J242" s="1351" t="n"/>
      <c r="K242" s="1351" t="n"/>
      <c r="L242" s="1351" t="n"/>
      <c r="M242" s="1351" t="n"/>
      <c r="N242" s="1351" t="n"/>
      <c r="O242" s="1351" t="n"/>
      <c r="P242" s="1349" t="n"/>
    </row>
    <row r="243" customFormat="1" s="324">
      <c r="A243" s="1349" t="n"/>
      <c r="B243" s="1411" t="inlineStr">
        <is>
          <t xml:space="preserve">        Transit</t>
        </is>
      </c>
      <c r="C243" s="1550" t="n">
        <v>601122.8345759999</v>
      </c>
      <c r="D243" s="1550" t="n">
        <v>705561.8343820001</v>
      </c>
      <c r="E243" s="1550" t="n">
        <v>810477.6382929999</v>
      </c>
      <c r="F243" s="1550" t="n">
        <v>1230589.564792002</v>
      </c>
      <c r="G243" s="1515" t="n">
        <v>51.83510397446954</v>
      </c>
      <c r="H243" s="1391" t="n"/>
      <c r="I243" s="1351" t="n"/>
      <c r="J243" s="1351" t="n"/>
      <c r="K243" s="1351" t="n"/>
      <c r="L243" s="1351" t="n"/>
      <c r="M243" s="1351" t="n"/>
      <c r="N243" s="1351" t="n"/>
      <c r="O243" s="1351" t="n"/>
      <c r="P243" s="1349" t="n"/>
    </row>
    <row r="244" customFormat="1" s="324">
      <c r="A244" s="1349" t="n"/>
      <c r="B244" s="1517" t="n"/>
      <c r="C244" s="1551" t="n"/>
      <c r="D244" s="1551" t="n"/>
      <c r="E244" s="1551" t="n"/>
      <c r="F244" s="1551" t="n"/>
      <c r="G244" s="1515" t="n"/>
      <c r="H244" s="1391" t="n"/>
      <c r="I244" s="1351" t="n"/>
      <c r="J244" s="1351" t="n"/>
      <c r="K244" s="1351" t="n"/>
      <c r="L244" s="1351" t="n"/>
      <c r="M244" s="1351" t="n"/>
      <c r="N244" s="1351" t="n"/>
      <c r="O244" s="1351" t="n"/>
      <c r="P244" s="1349" t="n"/>
    </row>
    <row r="245" customFormat="1" s="324">
      <c r="A245" s="1349" t="n"/>
      <c r="B245" s="1411" t="inlineStr">
        <is>
          <t xml:space="preserve">           *  Pays sans littoral</t>
        </is>
      </c>
      <c r="C245" s="1550" t="n">
        <v>597837.871776</v>
      </c>
      <c r="D245" s="1550" t="n">
        <v>696114.2328100002</v>
      </c>
      <c r="E245" s="1550" t="n">
        <v>793398.561293</v>
      </c>
      <c r="F245" s="1550" t="n">
        <v>1205764.541792</v>
      </c>
      <c r="G245" s="1515" t="n">
        <v>51.97463174460106</v>
      </c>
      <c r="H245" s="1391" t="n"/>
      <c r="I245" s="1351" t="n"/>
      <c r="J245" s="1351" t="n"/>
      <c r="K245" s="1351" t="n"/>
      <c r="L245" s="1351" t="n"/>
      <c r="M245" s="1351" t="n"/>
      <c r="N245" s="1351" t="n"/>
      <c r="O245" s="1351" t="n"/>
      <c r="P245" s="1349" t="n"/>
    </row>
    <row r="246" customFormat="1" s="324">
      <c r="A246" s="1349" t="n"/>
      <c r="B246" s="1416" t="inlineStr">
        <is>
          <t xml:space="preserve">                    - Burkina Faso</t>
        </is>
      </c>
      <c r="C246" s="1552" t="n">
        <v>513179.231468</v>
      </c>
      <c r="D246" s="1552" t="n">
        <v>545583.2308040002</v>
      </c>
      <c r="E246" s="1552" t="n">
        <v>569088.083991</v>
      </c>
      <c r="F246" s="1552" t="n">
        <v>758176.0340119993</v>
      </c>
      <c r="G246" s="1410" t="n">
        <v>33.22648204034258</v>
      </c>
      <c r="H246" s="1391" t="n"/>
      <c r="I246" s="1351" t="n"/>
      <c r="J246" s="1351" t="n"/>
      <c r="K246" s="1351" t="n"/>
      <c r="L246" s="1351" t="n"/>
      <c r="M246" s="1351" t="n"/>
      <c r="N246" s="1351" t="n"/>
      <c r="O246" s="1351" t="n"/>
      <c r="P246" s="1349" t="n"/>
    </row>
    <row r="247" customFormat="1" s="324">
      <c r="A247" s="1349" t="n"/>
      <c r="B247" s="1416" t="inlineStr">
        <is>
          <t xml:space="preserve">                   - Mali</t>
        </is>
      </c>
      <c r="C247" s="1552" t="n">
        <v>84357.73330800002</v>
      </c>
      <c r="D247" s="1552" t="n">
        <v>150531.002006</v>
      </c>
      <c r="E247" s="1552" t="n">
        <v>223183.586002</v>
      </c>
      <c r="F247" s="1552" t="n">
        <v>447520.9487800005</v>
      </c>
      <c r="G247" s="1410" t="n">
        <v>100.5169630960182</v>
      </c>
      <c r="H247" s="1391" t="n"/>
      <c r="I247" s="1351" t="n"/>
      <c r="J247" s="1351" t="n"/>
      <c r="K247" s="1351" t="n"/>
      <c r="L247" s="1351" t="n"/>
      <c r="M247" s="1351" t="n"/>
      <c r="N247" s="1351" t="n"/>
      <c r="O247" s="1351" t="n"/>
      <c r="P247" s="1349" t="n"/>
    </row>
    <row r="248" customFormat="1" s="324">
      <c r="A248" s="1349" t="n"/>
      <c r="B248" s="1416" t="inlineStr">
        <is>
          <t xml:space="preserve">                   - Niger</t>
        </is>
      </c>
      <c r="C248" s="1552" t="n">
        <v>300.907</v>
      </c>
      <c r="D248" s="1552" t="n">
        <v>0</v>
      </c>
      <c r="E248" s="1552" t="n">
        <v>1126.8913</v>
      </c>
      <c r="F248" s="1552" t="n">
        <v>67.559</v>
      </c>
      <c r="G248" s="1410" t="n">
        <v>-94.00483436157508</v>
      </c>
      <c r="H248" s="1391" t="n"/>
      <c r="I248" s="1351" t="n"/>
      <c r="J248" s="1351" t="n"/>
      <c r="K248" s="1351" t="n"/>
      <c r="L248" s="1351" t="n"/>
      <c r="M248" s="1351" t="n"/>
      <c r="N248" s="1351" t="n"/>
      <c r="O248" s="1351" t="n"/>
      <c r="P248" s="1349" t="n"/>
    </row>
    <row r="249" customFormat="1" s="324">
      <c r="A249" s="1349" t="n"/>
      <c r="B249" s="1411" t="inlineStr">
        <is>
          <t xml:space="preserve">           *  Pays côtiers</t>
        </is>
      </c>
      <c r="C249" s="1553" t="n">
        <v>3284.9628</v>
      </c>
      <c r="D249" s="1553" t="n">
        <v>9447.601572</v>
      </c>
      <c r="E249" s="1553" t="n">
        <v>17079.077</v>
      </c>
      <c r="F249" s="1553" t="n">
        <v>24825.023</v>
      </c>
      <c r="G249" s="1515" t="n">
        <v>45.35342278742579</v>
      </c>
      <c r="H249" s="1391" t="n"/>
      <c r="I249" s="1351" t="n"/>
      <c r="J249" s="1351" t="n"/>
      <c r="K249" s="1351" t="n"/>
      <c r="L249" s="1351" t="n"/>
      <c r="M249" s="1351" t="n"/>
      <c r="N249" s="1351" t="n"/>
      <c r="O249" s="1351" t="n"/>
      <c r="P249" s="1349" t="n"/>
    </row>
    <row r="250" customFormat="1" s="324">
      <c r="A250" s="1349" t="n"/>
      <c r="B250" s="1520" t="n"/>
      <c r="C250" s="1554" t="n"/>
      <c r="D250" s="1554" t="n"/>
      <c r="E250" s="1554" t="n"/>
      <c r="F250" s="1554" t="n"/>
      <c r="G250" s="1555" t="n"/>
      <c r="H250" s="1391" t="n"/>
      <c r="I250" s="1351" t="n"/>
      <c r="J250" s="1351" t="n"/>
      <c r="K250" s="1351" t="n"/>
      <c r="L250" s="1351" t="n"/>
      <c r="M250" s="1351" t="n"/>
      <c r="N250" s="1351" t="n"/>
      <c r="O250" s="1351" t="n"/>
      <c r="P250" s="1349" t="n"/>
    </row>
    <row r="251" customFormat="1" s="324">
      <c r="A251" s="1349" t="n"/>
      <c r="B251" s="1406" t="inlineStr">
        <is>
          <t>EXPORTATIONS</t>
        </is>
      </c>
      <c r="C251" s="1549" t="n">
        <v>4418670.652793013</v>
      </c>
      <c r="D251" s="1549" t="n">
        <v>6878238.784572394</v>
      </c>
      <c r="E251" s="1549" t="n">
        <v>9168256.867712004</v>
      </c>
      <c r="F251" s="1549" t="n">
        <v>9179114.735314012</v>
      </c>
      <c r="G251" s="1408" t="n">
        <v>0.1184289201172558</v>
      </c>
      <c r="H251" s="1391" t="n"/>
      <c r="I251" s="1351" t="n"/>
      <c r="J251" s="1351" t="n"/>
      <c r="K251" s="1351" t="n"/>
      <c r="L251" s="1351" t="n"/>
      <c r="M251" s="1351" t="n"/>
      <c r="N251" s="1351" t="n"/>
      <c r="O251" s="1351" t="n"/>
      <c r="P251" s="1349" t="n"/>
    </row>
    <row r="252" customFormat="1" s="324">
      <c r="A252" s="1349" t="n"/>
      <c r="B252" s="1406" t="n"/>
      <c r="C252" s="1549" t="n"/>
      <c r="D252" s="1549" t="n"/>
      <c r="E252" s="1549" t="n"/>
      <c r="F252" s="1549" t="n"/>
      <c r="G252" s="1408" t="n"/>
      <c r="H252" s="1391" t="n"/>
      <c r="I252" s="1351" t="n"/>
      <c r="J252" s="1351" t="n"/>
      <c r="K252" s="1351" t="n"/>
      <c r="L252" s="1351" t="n"/>
      <c r="M252" s="1351" t="n"/>
      <c r="N252" s="1351" t="n"/>
      <c r="O252" s="1351" t="n"/>
      <c r="P252" s="1349" t="n"/>
    </row>
    <row r="253" customFormat="1" s="324">
      <c r="A253" s="1349" t="n"/>
      <c r="B253" s="1411" t="inlineStr">
        <is>
          <t xml:space="preserve">        National</t>
        </is>
      </c>
      <c r="C253" s="1550" t="n">
        <v>4143988.134701012</v>
      </c>
      <c r="D253" s="1550" t="n">
        <v>4472438.938480023</v>
      </c>
      <c r="E253" s="1550" t="n">
        <v>4195160.338137002</v>
      </c>
      <c r="F253" s="1550" t="n">
        <v>4321526.67201001</v>
      </c>
      <c r="G253" s="1515" t="n">
        <v>3.012193186616688</v>
      </c>
      <c r="H253" s="1391" t="n"/>
      <c r="I253" s="1351" t="n"/>
      <c r="J253" s="1351" t="n"/>
      <c r="K253" s="1351" t="n"/>
      <c r="L253" s="1351" t="n"/>
      <c r="M253" s="1351" t="n"/>
      <c r="N253" s="1351" t="n"/>
      <c r="O253" s="1351" t="n"/>
      <c r="P253" s="1349" t="n"/>
    </row>
    <row r="254" customFormat="1" s="324">
      <c r="A254" s="1349" t="n"/>
      <c r="B254" s="1411" t="inlineStr">
        <is>
          <t xml:space="preserve">        Transbordement</t>
        </is>
      </c>
      <c r="C254" s="1554" t="n">
        <v>103566.4414</v>
      </c>
      <c r="D254" s="1554" t="n">
        <v>2215764.59941237</v>
      </c>
      <c r="E254" s="1554" t="n">
        <v>4773592.393300002</v>
      </c>
      <c r="F254" s="1554" t="n">
        <v>4670107.287494002</v>
      </c>
      <c r="G254" s="1515" t="n">
        <v>-2.167866405000281</v>
      </c>
      <c r="H254" s="1391" t="n"/>
      <c r="I254" s="1351" t="n"/>
      <c r="J254" s="1351" t="n"/>
      <c r="K254" s="1351" t="n"/>
      <c r="L254" s="1351" t="n"/>
      <c r="M254" s="1351" t="n"/>
      <c r="N254" s="1351" t="n"/>
      <c r="O254" s="1351" t="n"/>
      <c r="P254" s="1349" t="n"/>
    </row>
    <row r="255" customFormat="1" s="324">
      <c r="A255" s="1349" t="n"/>
      <c r="B255" s="1411" t="inlineStr">
        <is>
          <t xml:space="preserve">        Transit</t>
        </is>
      </c>
      <c r="C255" s="1550" t="n">
        <v>171116.0766919999</v>
      </c>
      <c r="D255" s="1550" t="n">
        <v>190035.24668</v>
      </c>
      <c r="E255" s="1550" t="n">
        <v>199504.136275</v>
      </c>
      <c r="F255" s="1550" t="n">
        <v>187480.7758099999</v>
      </c>
      <c r="G255" s="1515" t="n">
        <v>-6.026622149039984</v>
      </c>
      <c r="H255" s="1391" t="n"/>
      <c r="I255" s="1351" t="n"/>
      <c r="J255" s="1351" t="n"/>
      <c r="K255" s="1351" t="n"/>
      <c r="L255" s="1351" t="n"/>
      <c r="M255" s="1351" t="n"/>
      <c r="N255" s="1351" t="n"/>
      <c r="O255" s="1351" t="n"/>
      <c r="P255" s="1349" t="n"/>
    </row>
    <row r="256" customFormat="1" s="324">
      <c r="A256" s="1349" t="n"/>
      <c r="B256" s="1517" t="n"/>
      <c r="C256" s="1551" t="n"/>
      <c r="D256" s="1551" t="n"/>
      <c r="E256" s="1551" t="n"/>
      <c r="F256" s="1551" t="n"/>
      <c r="G256" s="1515" t="n"/>
      <c r="H256" s="1391" t="n"/>
      <c r="I256" s="1351" t="n"/>
      <c r="J256" s="1351" t="n"/>
      <c r="K256" s="1351" t="n"/>
      <c r="L256" s="1351" t="n"/>
      <c r="M256" s="1351" t="n"/>
      <c r="N256" s="1351" t="n"/>
      <c r="O256" s="1351" t="n"/>
      <c r="P256" s="1349" t="n"/>
    </row>
    <row r="257" customFormat="1" s="324">
      <c r="A257" s="1349" t="n"/>
      <c r="B257" s="1411" t="inlineStr">
        <is>
          <t xml:space="preserve">           *  Pays sans littoral</t>
        </is>
      </c>
      <c r="C257" s="1550" t="n">
        <v>171094.076692</v>
      </c>
      <c r="D257" s="1550" t="n">
        <v>190001.95068</v>
      </c>
      <c r="E257" s="1550" t="n">
        <v>199460.3962749999</v>
      </c>
      <c r="F257" s="1550" t="n">
        <v>187480.77581</v>
      </c>
      <c r="G257" s="1515" t="n">
        <v>-6.006014571676398</v>
      </c>
      <c r="H257" s="1391" t="n"/>
      <c r="I257" s="1351" t="n"/>
      <c r="J257" s="1351" t="n"/>
      <c r="K257" s="1351" t="n"/>
      <c r="L257" s="1351" t="n"/>
      <c r="M257" s="1351" t="n"/>
      <c r="N257" s="1351" t="n"/>
      <c r="O257" s="1351" t="n"/>
      <c r="P257" s="1349" t="n"/>
    </row>
    <row r="258" customFormat="1" s="324">
      <c r="A258" s="1349" t="n"/>
      <c r="B258" s="1416" t="inlineStr">
        <is>
          <t xml:space="preserve">                    - Burkina Faso</t>
        </is>
      </c>
      <c r="C258" s="1552" t="n">
        <v>111851.426606</v>
      </c>
      <c r="D258" s="1552" t="n">
        <v>113926.66868</v>
      </c>
      <c r="E258" s="1552" t="n">
        <v>109397.191275</v>
      </c>
      <c r="F258" s="1552" t="n">
        <v>92028.31080999998</v>
      </c>
      <c r="G258" s="1410" t="n">
        <v>-15.8768979921418</v>
      </c>
      <c r="H258" s="1391" t="n"/>
      <c r="I258" s="1351" t="n"/>
      <c r="J258" s="1351" t="n"/>
      <c r="K258" s="1351" t="n"/>
      <c r="L258" s="1351" t="n"/>
      <c r="M258" s="1351" t="n"/>
      <c r="N258" s="1351" t="n"/>
      <c r="O258" s="1351" t="n"/>
      <c r="P258" s="1349" t="n"/>
    </row>
    <row r="259" customFormat="1" s="324">
      <c r="A259" s="1349" t="n"/>
      <c r="B259" s="1416" t="inlineStr">
        <is>
          <t xml:space="preserve">                   - Mali</t>
        </is>
      </c>
      <c r="C259" s="1552" t="n">
        <v>59242.65008599999</v>
      </c>
      <c r="D259" s="1552" t="n">
        <v>76075.28199999998</v>
      </c>
      <c r="E259" s="1552" t="n">
        <v>90063.20499999997</v>
      </c>
      <c r="F259" s="1552" t="n">
        <v>95452.46499999997</v>
      </c>
      <c r="G259" s="1410" t="n">
        <v>5.983864331721258</v>
      </c>
      <c r="H259" s="1391" t="n"/>
      <c r="I259" s="1351" t="n"/>
      <c r="J259" s="1351" t="n"/>
      <c r="K259" s="1351" t="n"/>
      <c r="L259" s="1351" t="n"/>
      <c r="M259" s="1351" t="n"/>
      <c r="N259" s="1351" t="n"/>
      <c r="O259" s="1351" t="n"/>
      <c r="P259" s="1349" t="n"/>
    </row>
    <row r="260" customFormat="1" s="324">
      <c r="A260" s="1349" t="n"/>
      <c r="B260" s="1416" t="inlineStr">
        <is>
          <t xml:space="preserve">                   - Niger</t>
        </is>
      </c>
      <c r="C260" s="1552" t="n">
        <v>0</v>
      </c>
      <c r="D260" s="1552" t="n">
        <v>0</v>
      </c>
      <c r="E260" s="1552" t="n">
        <v>0</v>
      </c>
      <c r="F260" s="1552" t="n">
        <v>0</v>
      </c>
      <c r="G260" s="1556" t="inlineStr"/>
      <c r="H260" s="1391" t="n"/>
      <c r="I260" s="1351" t="n"/>
      <c r="J260" s="1351" t="n"/>
      <c r="K260" s="1351" t="n"/>
      <c r="L260" s="1351" t="n"/>
      <c r="M260" s="1351" t="n"/>
      <c r="N260" s="1351" t="n"/>
      <c r="O260" s="1351" t="n"/>
      <c r="P260" s="1349" t="n"/>
    </row>
    <row r="261" customFormat="1" s="324">
      <c r="A261" s="1349" t="n"/>
      <c r="B261" s="1411" t="inlineStr">
        <is>
          <t xml:space="preserve">           *  Pays côtiers</t>
        </is>
      </c>
      <c r="C261" s="1553" t="n">
        <v>22</v>
      </c>
      <c r="D261" s="1553" t="n">
        <v>33.296</v>
      </c>
      <c r="E261" s="1553" t="n">
        <v>43.74</v>
      </c>
      <c r="F261" s="1553" t="n">
        <v>0</v>
      </c>
      <c r="G261" s="1515" t="n">
        <v>-100</v>
      </c>
      <c r="H261" s="1391" t="n"/>
      <c r="I261" s="1351" t="n"/>
      <c r="J261" s="1351" t="n"/>
      <c r="K261" s="1351" t="n"/>
      <c r="L261" s="1351" t="n"/>
      <c r="M261" s="1351" t="n"/>
      <c r="N261" s="1351" t="n"/>
      <c r="O261" s="1351" t="n"/>
      <c r="P261" s="1349" t="n"/>
    </row>
    <row r="262" customFormat="1" s="324">
      <c r="A262" s="1349" t="n"/>
      <c r="B262" s="1420" t="n"/>
      <c r="C262" s="1557" t="n"/>
      <c r="D262" s="1557" t="n"/>
      <c r="E262" s="1557" t="n"/>
      <c r="F262" s="1557" t="n"/>
      <c r="G262" s="1558" t="n"/>
      <c r="H262" s="1391" t="n"/>
      <c r="I262" s="1351" t="n"/>
      <c r="J262" s="1351" t="n"/>
      <c r="K262" s="1351" t="n"/>
      <c r="L262" s="1351" t="n"/>
      <c r="M262" s="1351" t="n"/>
      <c r="N262" s="1351" t="n"/>
      <c r="O262" s="1351" t="n"/>
      <c r="P262" s="1349" t="n"/>
    </row>
    <row r="263" ht="14.25" customFormat="1" customHeight="1" s="324">
      <c r="A263" s="1349" t="n"/>
      <c r="B263" s="1426" t="inlineStr">
        <is>
          <t xml:space="preserve"> TRAFIC GLOBAL </t>
        </is>
      </c>
      <c r="C263" s="1559" t="n">
        <v>10291296.75114201</v>
      </c>
      <c r="D263" s="1559" t="n">
        <v>15674522.81823204</v>
      </c>
      <c r="E263" s="1559" t="n">
        <v>21028215.59468</v>
      </c>
      <c r="F263" s="1559" t="n">
        <v>22441072.96752402</v>
      </c>
      <c r="G263" s="1560" t="n">
        <v>6.718864786612999</v>
      </c>
      <c r="H263" s="1391" t="n"/>
      <c r="I263" s="1351" t="n"/>
      <c r="J263" s="1351" t="n"/>
      <c r="K263" s="1351" t="n"/>
      <c r="L263" s="1351" t="n"/>
      <c r="M263" s="1351" t="n"/>
      <c r="N263" s="1351" t="n"/>
      <c r="O263" s="1351" t="n"/>
      <c r="P263" s="1349" t="n"/>
    </row>
    <row r="264" customFormat="1" s="324">
      <c r="A264" s="1349" t="n"/>
      <c r="B264" s="1429" t="n"/>
      <c r="C264" s="1559" t="n"/>
      <c r="D264" s="1559" t="n"/>
      <c r="E264" s="1559" t="n"/>
      <c r="F264" s="1559" t="n"/>
      <c r="G264" s="1408" t="n"/>
      <c r="H264" s="1391" t="n"/>
      <c r="I264" s="1351" t="n"/>
      <c r="J264" s="1351" t="n"/>
      <c r="K264" s="1351" t="n"/>
      <c r="L264" s="1351" t="n"/>
      <c r="M264" s="1351" t="n"/>
      <c r="N264" s="1351" t="n"/>
      <c r="O264" s="1351" t="n"/>
      <c r="P264" s="1349" t="n"/>
    </row>
    <row r="265" customFormat="1" s="324">
      <c r="A265" s="1349" t="n"/>
      <c r="B265" s="1411" t="inlineStr">
        <is>
          <t xml:space="preserve">        National</t>
        </is>
      </c>
      <c r="C265" s="1550" t="n">
        <v>9324991.723604007</v>
      </c>
      <c r="D265" s="1550" t="n">
        <v>10185301.25253529</v>
      </c>
      <c r="E265" s="1550" t="n">
        <v>10344573.351218</v>
      </c>
      <c r="F265" s="1550" t="n">
        <v>11452984.00208803</v>
      </c>
      <c r="G265" s="1515" t="n">
        <v>10.71489962164092</v>
      </c>
      <c r="H265" s="1391" t="n"/>
      <c r="I265" s="1351" t="n"/>
      <c r="J265" s="1351" t="n"/>
      <c r="K265" s="1351" t="n"/>
      <c r="L265" s="1351" t="n"/>
      <c r="M265" s="1351" t="n"/>
      <c r="N265" s="1351" t="n"/>
      <c r="O265" s="1351" t="n"/>
      <c r="P265" s="1349" t="n"/>
    </row>
    <row r="266" customFormat="1" s="324">
      <c r="A266" s="1349" t="n"/>
      <c r="B266" s="1411" t="inlineStr">
        <is>
          <t xml:space="preserve">        Transbordement</t>
        </is>
      </c>
      <c r="C266" s="1554" t="n">
        <v>194066.11627</v>
      </c>
      <c r="D266" s="1554" t="n">
        <v>4593624.48463474</v>
      </c>
      <c r="E266" s="1554" t="n">
        <v>9673660.468894001</v>
      </c>
      <c r="F266" s="1554" t="n">
        <v>9570018.624833997</v>
      </c>
      <c r="G266" s="1515" t="n">
        <v>-1.071381866184655</v>
      </c>
      <c r="H266" s="1391" t="n"/>
      <c r="I266" s="1351" t="n"/>
      <c r="J266" s="1351" t="n"/>
      <c r="K266" s="1351" t="n"/>
      <c r="L266" s="1351" t="n"/>
      <c r="M266" s="1351" t="n"/>
      <c r="N266" s="1351" t="n"/>
      <c r="O266" s="1351" t="n"/>
      <c r="P266" s="1349" t="n"/>
    </row>
    <row r="267" customFormat="1" s="324">
      <c r="A267" s="1349" t="n"/>
      <c r="B267" s="1411" t="inlineStr">
        <is>
          <t xml:space="preserve">        Transit</t>
        </is>
      </c>
      <c r="C267" s="1550" t="n">
        <v>772238.9112679998</v>
      </c>
      <c r="D267" s="1550" t="n">
        <v>895597.0810620001</v>
      </c>
      <c r="E267" s="1550" t="n">
        <v>1009981.774568</v>
      </c>
      <c r="F267" s="1550" t="n">
        <v>1418070.340602002</v>
      </c>
      <c r="G267" s="1515" t="n">
        <v>40.40553763542453</v>
      </c>
      <c r="H267" s="1391" t="n"/>
      <c r="I267" s="1351" t="n"/>
      <c r="J267" s="1351" t="n"/>
      <c r="K267" s="1351" t="n"/>
      <c r="L267" s="1351" t="n"/>
      <c r="M267" s="1351" t="n"/>
      <c r="N267" s="1351" t="n"/>
      <c r="O267" s="1351" t="n"/>
      <c r="P267" s="1349" t="n"/>
    </row>
    <row r="268" customFormat="1" s="324">
      <c r="A268" s="1349" t="n"/>
      <c r="B268" s="1517" t="n"/>
      <c r="C268" s="1550" t="n"/>
      <c r="D268" s="1550" t="n"/>
      <c r="E268" s="1550" t="n"/>
      <c r="F268" s="1550" t="n"/>
      <c r="G268" s="1515" t="n"/>
      <c r="H268" s="1391" t="n"/>
      <c r="I268" s="1351" t="n"/>
      <c r="J268" s="1351" t="n"/>
      <c r="K268" s="1351" t="n"/>
      <c r="L268" s="1351" t="n"/>
      <c r="M268" s="1351" t="n"/>
      <c r="N268" s="1351" t="n"/>
      <c r="O268" s="1351" t="n"/>
      <c r="P268" s="1349" t="n"/>
    </row>
    <row r="269" customFormat="1" s="324">
      <c r="A269" s="1349" t="n"/>
      <c r="B269" s="1411" t="inlineStr">
        <is>
          <t xml:space="preserve">           *  Pays sans littoral</t>
        </is>
      </c>
      <c r="C269" s="1557" t="n">
        <v>768931.9484679999</v>
      </c>
      <c r="D269" s="1557" t="n">
        <v>886116.1834900002</v>
      </c>
      <c r="E269" s="1557" t="n">
        <v>992858.957568</v>
      </c>
      <c r="F269" s="1557" t="n">
        <v>1393245.317602</v>
      </c>
      <c r="G269" s="1515" t="n">
        <v>40.32661003681157</v>
      </c>
      <c r="H269" s="1391" t="n"/>
      <c r="I269" s="1351" t="n"/>
      <c r="J269" s="1351" t="n"/>
      <c r="K269" s="1351" t="n"/>
      <c r="L269" s="1351" t="n"/>
      <c r="M269" s="1351" t="n"/>
      <c r="N269" s="1351" t="n"/>
      <c r="O269" s="1351" t="n"/>
      <c r="P269" s="1349" t="n"/>
    </row>
    <row r="270" customFormat="1" s="324">
      <c r="A270" s="1349" t="n"/>
      <c r="B270" s="1416" t="inlineStr">
        <is>
          <t xml:space="preserve">                    - Burkina Faso</t>
        </is>
      </c>
      <c r="C270" s="1561" t="n">
        <v>625030.658074</v>
      </c>
      <c r="D270" s="1561" t="n">
        <v>659509.8994840002</v>
      </c>
      <c r="E270" s="1561" t="n">
        <v>678485.275266</v>
      </c>
      <c r="F270" s="1561" t="n">
        <v>850204.3448219992</v>
      </c>
      <c r="G270" s="1410" t="n">
        <v>25.30918146877644</v>
      </c>
      <c r="H270" s="1391" t="n"/>
      <c r="I270" s="1351" t="n"/>
      <c r="J270" s="1351" t="n"/>
      <c r="K270" s="1351" t="n"/>
      <c r="L270" s="1351" t="n"/>
      <c r="M270" s="1351" t="n"/>
      <c r="N270" s="1351" t="n"/>
      <c r="O270" s="1351" t="n"/>
      <c r="P270" s="1349" t="n"/>
    </row>
    <row r="271" customFormat="1" s="324">
      <c r="A271" s="1349" t="n"/>
      <c r="B271" s="1416" t="inlineStr">
        <is>
          <t xml:space="preserve">                   - Mali</t>
        </is>
      </c>
      <c r="C271" s="1561" t="n">
        <v>143600.383394</v>
      </c>
      <c r="D271" s="1561" t="n">
        <v>226606.284006</v>
      </c>
      <c r="E271" s="1561" t="n">
        <v>313246.791002</v>
      </c>
      <c r="F271" s="1561" t="n">
        <v>542973.4137800005</v>
      </c>
      <c r="G271" s="1410" t="n">
        <v>73.33726294311306</v>
      </c>
      <c r="H271" s="1391" t="n"/>
      <c r="I271" s="1351" t="n"/>
      <c r="J271" s="1351" t="n"/>
      <c r="K271" s="1351" t="n"/>
      <c r="L271" s="1351" t="n"/>
      <c r="M271" s="1351" t="n"/>
      <c r="N271" s="1351" t="n"/>
      <c r="O271" s="1351" t="n"/>
      <c r="P271" s="1349" t="n"/>
    </row>
    <row r="272" customFormat="1" s="324">
      <c r="A272" s="1349" t="n"/>
      <c r="B272" s="1416" t="inlineStr">
        <is>
          <t xml:space="preserve">                   - Niger</t>
        </is>
      </c>
      <c r="C272" s="1561" t="n">
        <v>300.907</v>
      </c>
      <c r="D272" s="1561" t="n">
        <v>0</v>
      </c>
      <c r="E272" s="1561" t="n">
        <v>1126.8913</v>
      </c>
      <c r="F272" s="1561" t="n">
        <v>67.559</v>
      </c>
      <c r="G272" s="1410" t="n">
        <v>-94.00483436157508</v>
      </c>
      <c r="H272" s="1391" t="n"/>
      <c r="I272" s="1351" t="n"/>
      <c r="J272" s="1351" t="n"/>
      <c r="K272" s="1351" t="n"/>
      <c r="L272" s="1351" t="n"/>
      <c r="M272" s="1351" t="n"/>
      <c r="N272" s="1351" t="n"/>
      <c r="O272" s="1351" t="n"/>
      <c r="P272" s="1349" t="n"/>
    </row>
    <row r="273" customFormat="1" s="324">
      <c r="A273" s="1349" t="n"/>
      <c r="B273" s="1411" t="inlineStr">
        <is>
          <t xml:space="preserve">           *  Pays côtiers</t>
        </is>
      </c>
      <c r="C273" s="1557" t="n">
        <v>3306.9628</v>
      </c>
      <c r="D273" s="1557" t="n">
        <v>9480.897572</v>
      </c>
      <c r="E273" s="1557" t="n">
        <v>17122.817</v>
      </c>
      <c r="F273" s="1557" t="n">
        <v>24825.023</v>
      </c>
      <c r="G273" s="1515" t="n">
        <v>44.98211947251433</v>
      </c>
      <c r="H273" s="1391" t="n"/>
      <c r="I273" s="1351" t="n"/>
      <c r="J273" s="1351" t="n"/>
      <c r="K273" s="1351" t="n"/>
      <c r="L273" s="1351" t="n"/>
      <c r="M273" s="1351" t="n"/>
      <c r="N273" s="1351" t="n"/>
      <c r="O273" s="1351" t="n"/>
      <c r="P273" s="1349" t="n"/>
    </row>
    <row r="274" customFormat="1" s="324">
      <c r="A274" s="1349" t="n"/>
      <c r="B274" s="1562" t="n"/>
      <c r="C274" s="1563" t="n"/>
      <c r="D274" s="1563" t="n"/>
      <c r="E274" s="1563" t="n"/>
      <c r="F274" s="1563" t="n"/>
      <c r="G274" s="1564" t="n"/>
      <c r="H274" s="1391" t="n"/>
      <c r="I274" s="1351" t="n"/>
      <c r="J274" s="1351" t="n"/>
      <c r="K274" s="1351" t="n"/>
      <c r="L274" s="1351" t="n"/>
      <c r="M274" s="1351" t="n"/>
      <c r="N274" s="1351" t="n"/>
      <c r="O274" s="1351" t="n"/>
      <c r="P274" s="1349" t="n"/>
    </row>
    <row r="275" customFormat="1" s="324">
      <c r="A275" s="1349" t="n"/>
      <c r="B275" s="1531" t="n"/>
      <c r="C275" s="1565" t="n"/>
      <c r="D275" s="1565" t="n"/>
      <c r="E275" s="1565" t="n"/>
      <c r="F275" s="1565" t="n"/>
      <c r="G275" s="1566" t="n"/>
      <c r="H275" s="1391" t="n"/>
      <c r="I275" s="1351" t="n"/>
      <c r="J275" s="1351" t="n"/>
      <c r="K275" s="1351" t="n"/>
      <c r="L275" s="1351" t="n"/>
      <c r="M275" s="1351" t="n"/>
      <c r="N275" s="1351" t="n"/>
      <c r="O275" s="1351" t="n"/>
      <c r="P275" s="1349" t="n"/>
    </row>
    <row r="276" customFormat="1" s="324">
      <c r="A276" s="1349" t="n"/>
      <c r="B276" s="1501" t="n"/>
      <c r="C276" s="1439" t="n"/>
      <c r="D276" s="1439" t="n"/>
      <c r="E276" s="1439" t="n"/>
      <c r="F276" s="1439" t="n"/>
      <c r="G276" s="1440" t="n"/>
      <c r="H276" s="1391" t="n"/>
      <c r="I276" s="1351" t="n"/>
      <c r="J276" s="1351" t="n"/>
      <c r="K276" s="1351" t="n"/>
      <c r="L276" s="1351" t="n"/>
      <c r="M276" s="1351" t="n"/>
      <c r="N276" s="1351" t="n"/>
      <c r="O276" s="1351" t="n"/>
      <c r="P276" s="1349" t="n"/>
    </row>
    <row r="277" customFormat="1" s="324">
      <c r="A277" s="1349" t="n"/>
      <c r="B277" s="1501" t="n"/>
      <c r="C277" s="1439" t="n"/>
      <c r="D277" s="1439" t="n"/>
      <c r="E277" s="1439" t="n"/>
      <c r="F277" s="1439" t="n"/>
      <c r="G277" s="1440" t="n"/>
      <c r="H277" s="1391" t="n"/>
      <c r="I277" s="1351" t="n"/>
      <c r="J277" s="1351" t="n"/>
      <c r="K277" s="1351" t="n"/>
      <c r="L277" s="1351" t="n"/>
      <c r="M277" s="1351" t="n"/>
      <c r="N277" s="1351" t="n"/>
      <c r="O277" s="1351" t="n"/>
      <c r="P277" s="1349" t="n"/>
    </row>
    <row r="278" customFormat="1" s="324">
      <c r="A278" s="1349" t="n"/>
      <c r="B278" s="1501" t="n"/>
      <c r="C278" s="1439" t="n"/>
      <c r="D278" s="1439" t="n"/>
      <c r="E278" s="1439" t="n"/>
      <c r="F278" s="1439" t="n"/>
      <c r="G278" s="1440" t="n"/>
      <c r="H278" s="1391" t="n"/>
      <c r="I278" s="1351" t="n"/>
      <c r="J278" s="1351" t="n"/>
      <c r="K278" s="1351" t="n"/>
      <c r="L278" s="1351" t="n"/>
      <c r="M278" s="1351" t="n"/>
      <c r="N278" s="1351" t="n"/>
      <c r="O278" s="1351" t="n"/>
      <c r="P278" s="1349" t="n"/>
    </row>
    <row r="279" customFormat="1" s="324">
      <c r="A279" s="1349" t="n"/>
      <c r="B279" s="1501" t="n"/>
      <c r="C279" s="1439" t="n"/>
      <c r="D279" s="1439" t="n"/>
      <c r="E279" s="1439" t="n"/>
      <c r="F279" s="1439" t="n"/>
      <c r="G279" s="1440" t="n"/>
      <c r="H279" s="1391" t="n"/>
      <c r="I279" s="1351" t="n"/>
      <c r="J279" s="1351" t="n"/>
      <c r="K279" s="1351" t="n"/>
      <c r="L279" s="1351" t="n"/>
      <c r="M279" s="1351" t="n"/>
      <c r="N279" s="1351" t="n"/>
      <c r="O279" s="1351" t="n"/>
      <c r="P279" s="1349" t="n"/>
    </row>
    <row r="280" customFormat="1" s="324">
      <c r="A280" s="1349" t="n"/>
      <c r="B280" s="1501" t="n"/>
      <c r="C280" s="1439" t="n"/>
      <c r="D280" s="1439" t="n"/>
      <c r="E280" s="1439" t="n"/>
      <c r="F280" s="1439" t="n"/>
      <c r="G280" s="1440" t="n"/>
      <c r="H280" s="1391" t="n"/>
      <c r="I280" s="1351" t="n"/>
      <c r="J280" s="1351" t="n"/>
      <c r="K280" s="1351" t="n"/>
      <c r="L280" s="1351" t="n"/>
      <c r="M280" s="1351" t="n"/>
      <c r="N280" s="1351" t="n"/>
      <c r="O280" s="1351" t="n"/>
      <c r="P280" s="1349" t="n"/>
    </row>
    <row r="281" customFormat="1" s="324">
      <c r="A281" s="1349" t="n"/>
      <c r="B281" s="1501" t="n"/>
      <c r="C281" s="1439" t="n"/>
      <c r="D281" s="1439" t="n"/>
      <c r="E281" s="1439" t="n"/>
      <c r="F281" s="1439" t="n"/>
      <c r="G281" s="1440" t="n"/>
      <c r="H281" s="1391" t="n"/>
      <c r="I281" s="1351" t="n"/>
      <c r="J281" s="1351" t="n"/>
      <c r="K281" s="1351" t="n"/>
      <c r="L281" s="1351" t="n"/>
      <c r="M281" s="1351" t="n"/>
      <c r="N281" s="1351" t="n"/>
      <c r="O281" s="1351" t="n"/>
      <c r="P281" s="1349" t="n"/>
    </row>
    <row r="282" customFormat="1" s="324">
      <c r="A282" s="1349" t="n"/>
      <c r="B282" s="1501" t="n"/>
      <c r="C282" s="1439" t="n"/>
      <c r="D282" s="1439" t="n"/>
      <c r="E282" s="1439" t="n"/>
      <c r="F282" s="1439" t="n"/>
      <c r="G282" s="1440" t="n"/>
      <c r="H282" s="1391" t="n"/>
      <c r="I282" s="1351" t="n"/>
      <c r="J282" s="1351" t="n"/>
      <c r="K282" s="1351" t="n"/>
      <c r="L282" s="1351" t="n"/>
      <c r="M282" s="1351" t="n"/>
      <c r="N282" s="1351" t="n"/>
      <c r="O282" s="1351" t="n"/>
      <c r="P282" s="1349" t="n"/>
    </row>
    <row r="283" customFormat="1" s="324">
      <c r="A283" s="1349" t="n"/>
      <c r="B283" s="1501" t="n"/>
      <c r="C283" s="1439" t="n"/>
      <c r="D283" s="1439" t="n"/>
      <c r="E283" s="1439" t="n"/>
      <c r="F283" s="1439" t="n"/>
      <c r="G283" s="1440" t="n"/>
      <c r="H283" s="1391" t="n"/>
      <c r="I283" s="1351" t="n"/>
      <c r="J283" s="1351" t="n"/>
      <c r="K283" s="1351" t="n"/>
      <c r="L283" s="1351" t="n"/>
      <c r="M283" s="1351" t="n"/>
      <c r="N283" s="1351" t="n"/>
      <c r="O283" s="1351" t="n"/>
      <c r="P283" s="1349" t="n"/>
    </row>
    <row r="284" customFormat="1" s="324">
      <c r="A284" s="1349" t="n"/>
      <c r="B284" s="1501" t="n"/>
      <c r="C284" s="1439" t="n"/>
      <c r="D284" s="1439" t="n"/>
      <c r="E284" s="1439" t="n"/>
      <c r="F284" s="1439" t="n"/>
      <c r="G284" s="1440" t="n"/>
      <c r="H284" s="1391" t="n"/>
      <c r="I284" s="1351" t="n"/>
      <c r="J284" s="1351" t="n"/>
      <c r="K284" s="1351" t="n"/>
      <c r="L284" s="1351" t="n"/>
      <c r="M284" s="1351" t="n"/>
      <c r="N284" s="1351" t="n"/>
      <c r="O284" s="1351" t="n"/>
      <c r="P284" s="1349" t="n"/>
    </row>
    <row r="285" customFormat="1" s="324">
      <c r="A285" s="1349" t="n"/>
      <c r="B285" s="1501" t="n"/>
      <c r="C285" s="1439" t="n"/>
      <c r="D285" s="1439" t="n"/>
      <c r="E285" s="1439" t="n"/>
      <c r="F285" s="1439" t="n"/>
      <c r="G285" s="1440" t="n"/>
      <c r="H285" s="1391" t="n"/>
      <c r="I285" s="1351" t="n"/>
      <c r="J285" s="1351" t="n"/>
      <c r="K285" s="1351" t="n"/>
      <c r="L285" s="1351" t="n"/>
      <c r="M285" s="1351" t="n"/>
      <c r="N285" s="1351" t="n"/>
      <c r="O285" s="1351" t="n"/>
      <c r="P285" s="1349" t="n"/>
    </row>
    <row r="286" customFormat="1" s="324">
      <c r="A286" s="1349" t="n"/>
      <c r="B286" s="1501" t="n"/>
      <c r="C286" s="1439" t="n"/>
      <c r="D286" s="1439" t="n"/>
      <c r="E286" s="1439" t="n"/>
      <c r="F286" s="1439" t="n"/>
      <c r="G286" s="1440" t="n"/>
      <c r="H286" s="1391" t="n"/>
      <c r="I286" s="1351" t="n"/>
      <c r="J286" s="1351" t="n"/>
      <c r="K286" s="1351" t="n"/>
      <c r="L286" s="1351" t="n"/>
      <c r="M286" s="1351" t="n"/>
      <c r="N286" s="1351" t="n"/>
      <c r="O286" s="1351" t="n"/>
      <c r="P286" s="1349" t="n"/>
    </row>
    <row r="287" customFormat="1" s="324">
      <c r="A287" s="1349" t="n"/>
      <c r="B287" s="1501" t="n"/>
      <c r="C287" s="1439" t="n"/>
      <c r="D287" s="1439" t="n"/>
      <c r="E287" s="1439" t="n"/>
      <c r="F287" s="1439" t="n"/>
      <c r="G287" s="1440" t="n"/>
      <c r="H287" s="1391" t="n"/>
      <c r="I287" s="1351" t="n"/>
      <c r="J287" s="1351" t="n"/>
      <c r="K287" s="1351" t="n"/>
      <c r="L287" s="1351" t="n"/>
      <c r="M287" s="1351" t="n"/>
      <c r="N287" s="1351" t="n"/>
      <c r="O287" s="1351" t="n"/>
      <c r="P287" s="1349" t="n"/>
    </row>
    <row r="288" customFormat="1" s="324">
      <c r="A288" s="1349" t="n"/>
      <c r="B288" s="1501" t="n"/>
      <c r="C288" s="1439" t="n"/>
      <c r="D288" s="1439" t="n"/>
      <c r="E288" s="1439" t="n"/>
      <c r="F288" s="1439" t="n"/>
      <c r="G288" s="1440" t="n"/>
      <c r="H288" s="1391" t="n"/>
      <c r="I288" s="1351" t="n"/>
      <c r="J288" s="1351" t="n"/>
      <c r="K288" s="1351" t="n"/>
      <c r="L288" s="1351" t="n"/>
      <c r="M288" s="1351" t="n"/>
      <c r="N288" s="1351" t="n"/>
      <c r="O288" s="1351" t="n"/>
      <c r="P288" s="1349" t="n"/>
    </row>
    <row r="289" customFormat="1" s="324">
      <c r="A289" s="1349" t="n"/>
      <c r="B289" s="1501" t="n"/>
      <c r="C289" s="1439" t="n"/>
      <c r="D289" s="1439" t="n"/>
      <c r="E289" s="1439" t="n"/>
      <c r="F289" s="1439" t="n"/>
      <c r="G289" s="1440" t="n"/>
      <c r="H289" s="1391" t="n"/>
      <c r="I289" s="1351" t="n"/>
      <c r="J289" s="1351" t="n"/>
      <c r="K289" s="1351" t="n"/>
      <c r="L289" s="1351" t="n"/>
      <c r="M289" s="1351" t="n"/>
      <c r="N289" s="1351" t="n"/>
      <c r="O289" s="1351" t="n"/>
      <c r="P289" s="1349" t="n"/>
    </row>
    <row r="290" customFormat="1" s="324">
      <c r="A290" s="1349" t="n"/>
      <c r="B290" s="1501" t="n"/>
      <c r="C290" s="1439" t="n"/>
      <c r="D290" s="1439" t="n"/>
      <c r="E290" s="1439" t="n"/>
      <c r="F290" s="1439" t="n"/>
      <c r="G290" s="1440" t="n"/>
      <c r="H290" s="1391" t="n"/>
      <c r="I290" s="1351" t="n"/>
      <c r="J290" s="1351" t="n"/>
      <c r="K290" s="1351" t="n"/>
      <c r="L290" s="1351" t="n"/>
      <c r="M290" s="1351" t="n"/>
      <c r="N290" s="1351" t="n"/>
      <c r="O290" s="1351" t="n"/>
      <c r="P290" s="1349" t="n"/>
    </row>
    <row r="291" customFormat="1" s="324">
      <c r="A291" s="1349" t="n"/>
      <c r="B291" s="1501" t="n"/>
      <c r="C291" s="1439" t="n"/>
      <c r="D291" s="1439" t="n"/>
      <c r="E291" s="1439" t="n"/>
      <c r="F291" s="1439" t="n"/>
      <c r="G291" s="1440" t="n"/>
      <c r="H291" s="1391" t="n"/>
      <c r="I291" s="1351" t="n"/>
      <c r="J291" s="1351" t="n"/>
      <c r="K291" s="1351" t="n"/>
      <c r="L291" s="1351" t="n"/>
      <c r="M291" s="1351" t="n"/>
      <c r="N291" s="1351" t="n"/>
      <c r="O291" s="1351" t="n"/>
      <c r="P291" s="1349" t="n"/>
    </row>
    <row r="292" customFormat="1" s="324">
      <c r="A292" s="1349" t="n"/>
      <c r="B292" s="1501" t="n"/>
      <c r="C292" s="1439" t="n"/>
      <c r="D292" s="1439" t="n"/>
      <c r="E292" s="1439" t="n"/>
      <c r="F292" s="1439" t="n"/>
      <c r="G292" s="1440" t="n"/>
      <c r="H292" s="1391" t="n"/>
      <c r="I292" s="1351" t="n"/>
      <c r="J292" s="1351" t="n"/>
      <c r="K292" s="1351" t="n"/>
      <c r="L292" s="1351" t="n"/>
      <c r="M292" s="1351" t="n"/>
      <c r="N292" s="1351" t="n"/>
      <c r="O292" s="1351" t="n"/>
      <c r="P292" s="1349" t="n"/>
    </row>
    <row r="293" customFormat="1" s="324">
      <c r="A293" s="1349" t="n"/>
      <c r="B293" s="1501" t="n"/>
      <c r="C293" s="1439" t="n"/>
      <c r="D293" s="1439" t="n"/>
      <c r="E293" s="1439" t="n"/>
      <c r="F293" s="1439" t="n"/>
      <c r="G293" s="1440" t="n"/>
      <c r="H293" s="1391" t="n"/>
      <c r="I293" s="1351" t="n"/>
      <c r="J293" s="1351" t="n"/>
      <c r="K293" s="1351" t="n"/>
      <c r="L293" s="1351" t="n"/>
      <c r="M293" s="1351" t="n"/>
      <c r="N293" s="1351" t="n"/>
      <c r="O293" s="1351" t="n"/>
      <c r="P293" s="1349" t="n"/>
    </row>
    <row r="294" customFormat="1" s="324">
      <c r="A294" s="1349" t="n"/>
      <c r="B294" s="1501" t="n"/>
      <c r="C294" s="1439" t="n"/>
      <c r="D294" s="1439" t="n"/>
      <c r="E294" s="1439" t="n"/>
      <c r="F294" s="1439" t="n"/>
      <c r="G294" s="1440" t="n"/>
      <c r="H294" s="1391" t="n"/>
      <c r="I294" s="1351" t="n"/>
      <c r="J294" s="1351" t="n"/>
      <c r="K294" s="1351" t="n"/>
      <c r="L294" s="1351" t="n"/>
      <c r="M294" s="1351" t="n"/>
      <c r="N294" s="1351" t="n"/>
      <c r="O294" s="1351" t="n"/>
      <c r="P294" s="1349" t="n"/>
    </row>
    <row r="295" customFormat="1" s="324">
      <c r="A295" s="1349" t="n"/>
      <c r="B295" s="1501" t="n"/>
      <c r="C295" s="1439" t="n"/>
      <c r="D295" s="1439" t="n"/>
      <c r="E295" s="1439" t="n"/>
      <c r="F295" s="1439" t="n"/>
      <c r="G295" s="1440" t="n"/>
      <c r="H295" s="1391" t="n"/>
      <c r="I295" s="1351" t="n"/>
      <c r="J295" s="1351" t="n"/>
      <c r="K295" s="1351" t="n"/>
      <c r="L295" s="1351" t="n"/>
      <c r="M295" s="1351" t="n"/>
      <c r="N295" s="1351" t="n"/>
      <c r="O295" s="1351" t="n"/>
      <c r="P295" s="1349" t="n"/>
    </row>
    <row r="296" customFormat="1" s="324">
      <c r="A296" s="1349" t="n"/>
      <c r="B296" s="1501" t="n"/>
      <c r="C296" s="1439" t="n"/>
      <c r="D296" s="1439" t="n"/>
      <c r="E296" s="1439" t="n"/>
      <c r="F296" s="1439" t="n"/>
      <c r="G296" s="1440" t="n"/>
      <c r="H296" s="1391" t="n"/>
      <c r="I296" s="1351" t="n"/>
      <c r="J296" s="1351" t="n"/>
      <c r="K296" s="1351" t="n"/>
      <c r="L296" s="1351" t="n"/>
      <c r="M296" s="1351" t="n"/>
      <c r="N296" s="1351" t="n"/>
      <c r="O296" s="1351" t="n"/>
      <c r="P296" s="1349" t="n"/>
    </row>
    <row r="297" customFormat="1" s="324">
      <c r="A297" s="1349" t="n"/>
      <c r="B297" s="1501" t="n"/>
      <c r="C297" s="1439" t="n"/>
      <c r="D297" s="1439" t="n"/>
      <c r="E297" s="1439" t="n"/>
      <c r="F297" s="1439" t="n"/>
      <c r="G297" s="1440" t="n"/>
      <c r="H297" s="1391" t="n"/>
      <c r="I297" s="1351" t="n"/>
      <c r="J297" s="1351" t="n"/>
      <c r="K297" s="1351" t="n"/>
      <c r="L297" s="1351" t="n"/>
      <c r="M297" s="1351" t="n"/>
      <c r="N297" s="1351" t="n"/>
      <c r="O297" s="1351" t="n"/>
      <c r="P297" s="1349" t="n"/>
    </row>
    <row r="298" customFormat="1" s="324">
      <c r="A298" s="1349" t="n"/>
      <c r="B298" s="1501" t="n"/>
      <c r="C298" s="1439" t="n"/>
      <c r="D298" s="1439" t="n"/>
      <c r="E298" s="1439" t="n"/>
      <c r="F298" s="1439" t="n"/>
      <c r="G298" s="1440" t="n"/>
      <c r="H298" s="1391" t="n"/>
      <c r="I298" s="1351" t="n"/>
      <c r="J298" s="1351" t="n"/>
      <c r="K298" s="1351" t="n"/>
      <c r="L298" s="1351" t="n"/>
      <c r="M298" s="1351" t="n"/>
      <c r="N298" s="1351" t="n"/>
      <c r="O298" s="1351" t="n"/>
      <c r="P298" s="1349" t="n"/>
    </row>
    <row r="299" customFormat="1" s="324">
      <c r="A299" s="1349" t="n"/>
      <c r="B299" s="1501" t="n"/>
      <c r="C299" s="1439" t="n"/>
      <c r="D299" s="1439" t="n"/>
      <c r="E299" s="1439" t="n"/>
      <c r="F299" s="1439" t="n"/>
      <c r="G299" s="1440" t="n"/>
      <c r="H299" s="1391" t="n"/>
      <c r="I299" s="1351" t="n"/>
      <c r="J299" s="1351" t="n"/>
      <c r="K299" s="1351" t="n"/>
      <c r="L299" s="1351" t="n"/>
      <c r="M299" s="1351" t="n"/>
      <c r="N299" s="1351" t="n"/>
      <c r="O299" s="1351" t="n"/>
      <c r="P299" s="1349" t="n"/>
    </row>
    <row r="300" customFormat="1" s="324">
      <c r="A300" s="1349" t="n"/>
      <c r="B300" s="1501" t="n"/>
      <c r="C300" s="1439" t="n"/>
      <c r="D300" s="1439" t="n"/>
      <c r="E300" s="1439" t="n"/>
      <c r="F300" s="1439" t="n"/>
      <c r="G300" s="1440" t="n"/>
      <c r="H300" s="1391" t="n"/>
      <c r="I300" s="1351" t="n"/>
      <c r="J300" s="1351" t="n"/>
      <c r="K300" s="1351" t="n"/>
      <c r="L300" s="1351" t="n"/>
      <c r="M300" s="1351" t="n"/>
      <c r="N300" s="1351" t="n"/>
      <c r="O300" s="1351" t="n"/>
      <c r="P300" s="1349" t="n"/>
    </row>
    <row r="301" customFormat="1" s="324">
      <c r="A301" s="1349" t="n"/>
      <c r="B301" s="1501" t="n"/>
      <c r="C301" s="1439" t="n"/>
      <c r="D301" s="1439" t="n"/>
      <c r="E301" s="1439" t="n"/>
      <c r="F301" s="1439" t="n"/>
      <c r="G301" s="1440" t="n"/>
      <c r="H301" s="1391" t="n"/>
      <c r="I301" s="1351" t="n"/>
      <c r="J301" s="1351" t="n"/>
      <c r="K301" s="1351" t="n"/>
      <c r="L301" s="1351" t="n"/>
      <c r="M301" s="1351" t="n"/>
      <c r="N301" s="1351" t="n"/>
      <c r="O301" s="1351" t="n"/>
      <c r="P301" s="1349" t="n"/>
    </row>
    <row r="302" customFormat="1" s="324">
      <c r="A302" s="1349" t="n"/>
      <c r="B302" s="1501" t="n"/>
      <c r="C302" s="1439" t="n"/>
      <c r="D302" s="1439" t="n"/>
      <c r="E302" s="1439" t="n"/>
      <c r="F302" s="1439" t="n"/>
      <c r="G302" s="1440" t="n"/>
      <c r="H302" s="1391" t="n"/>
      <c r="I302" s="1351" t="n"/>
      <c r="J302" s="1351" t="n"/>
      <c r="K302" s="1351" t="n"/>
      <c r="L302" s="1351" t="n"/>
      <c r="M302" s="1351" t="n"/>
      <c r="N302" s="1351" t="n"/>
      <c r="O302" s="1351" t="n"/>
      <c r="P302" s="1349" t="n"/>
    </row>
    <row r="303" customFormat="1" s="324">
      <c r="A303" s="1349" t="n"/>
      <c r="B303" s="1501" t="n"/>
      <c r="C303" s="1439" t="n"/>
      <c r="D303" s="1439" t="n"/>
      <c r="E303" s="1439" t="n"/>
      <c r="F303" s="1439" t="n"/>
      <c r="G303" s="1440" t="n"/>
      <c r="H303" s="1391" t="n"/>
      <c r="I303" s="1351" t="n"/>
      <c r="J303" s="1351" t="n"/>
      <c r="K303" s="1351" t="n"/>
      <c r="L303" s="1351" t="n"/>
      <c r="M303" s="1351" t="n"/>
      <c r="N303" s="1351" t="n"/>
      <c r="O303" s="1351" t="n"/>
      <c r="P303" s="1349" t="n"/>
    </row>
    <row r="304" customFormat="1" s="324">
      <c r="A304" s="1349" t="n"/>
      <c r="B304" s="1501" t="n"/>
      <c r="C304" s="1439" t="n"/>
      <c r="D304" s="1439" t="n"/>
      <c r="E304" s="1439" t="n"/>
      <c r="F304" s="1439" t="n"/>
      <c r="G304" s="1440" t="n"/>
      <c r="H304" s="1391" t="n"/>
      <c r="I304" s="1351" t="n"/>
      <c r="J304" s="1351" t="n"/>
      <c r="K304" s="1351" t="n"/>
      <c r="L304" s="1351" t="n"/>
      <c r="M304" s="1351" t="n"/>
      <c r="N304" s="1351" t="n"/>
      <c r="O304" s="1351" t="n"/>
      <c r="P304" s="1349" t="n"/>
    </row>
    <row r="305" customFormat="1" s="324">
      <c r="A305" s="1349" t="n"/>
      <c r="B305" s="1501" t="n"/>
      <c r="C305" s="1439" t="n"/>
      <c r="D305" s="1439" t="n"/>
      <c r="E305" s="1439" t="n"/>
      <c r="F305" s="1439" t="n"/>
      <c r="G305" s="1440" t="n"/>
      <c r="H305" s="1391" t="n"/>
      <c r="I305" s="1351" t="n"/>
      <c r="J305" s="1351" t="n"/>
      <c r="K305" s="1351" t="n"/>
      <c r="L305" s="1351" t="n"/>
      <c r="M305" s="1351" t="n"/>
      <c r="N305" s="1351" t="n"/>
      <c r="O305" s="1351" t="n"/>
      <c r="P305" s="1349" t="n"/>
    </row>
    <row r="306" customFormat="1" s="324">
      <c r="A306" s="1349" t="n"/>
      <c r="B306" s="1501" t="n"/>
      <c r="C306" s="1439" t="n"/>
      <c r="D306" s="1439" t="n"/>
      <c r="E306" s="1439" t="n"/>
      <c r="F306" s="1439" t="n"/>
      <c r="G306" s="1440" t="n"/>
      <c r="H306" s="1391" t="n"/>
      <c r="I306" s="1351" t="n"/>
      <c r="J306" s="1351" t="n"/>
      <c r="K306" s="1351" t="n"/>
      <c r="L306" s="1351" t="n"/>
      <c r="M306" s="1351" t="n"/>
      <c r="N306" s="1351" t="n"/>
      <c r="O306" s="1351" t="n"/>
      <c r="P306" s="1349" t="n"/>
    </row>
    <row r="307" customFormat="1" s="324">
      <c r="A307" s="1349" t="n"/>
      <c r="B307" s="1501" t="n"/>
      <c r="C307" s="1439" t="n"/>
      <c r="D307" s="1439" t="n"/>
      <c r="E307" s="1439" t="n"/>
      <c r="F307" s="1439" t="n"/>
      <c r="G307" s="1440" t="n"/>
      <c r="H307" s="1391" t="n"/>
      <c r="I307" s="1351" t="n"/>
      <c r="J307" s="1351" t="n"/>
      <c r="K307" s="1351" t="n"/>
      <c r="L307" s="1351" t="n"/>
      <c r="M307" s="1351" t="n"/>
      <c r="N307" s="1351" t="n"/>
      <c r="O307" s="1351" t="n"/>
      <c r="P307" s="1349" t="n"/>
    </row>
    <row r="308" customFormat="1" s="324">
      <c r="A308" s="1349" t="n"/>
      <c r="B308" s="1501" t="n"/>
      <c r="C308" s="1439" t="n"/>
      <c r="D308" s="1439" t="n"/>
      <c r="E308" s="1439" t="n"/>
      <c r="F308" s="1439" t="n"/>
      <c r="G308" s="1440" t="n"/>
      <c r="H308" s="1391" t="n"/>
      <c r="I308" s="1351" t="n"/>
      <c r="J308" s="1351" t="n"/>
      <c r="K308" s="1351" t="n"/>
      <c r="L308" s="1351" t="n"/>
      <c r="M308" s="1351" t="n"/>
      <c r="N308" s="1351" t="n"/>
      <c r="O308" s="1351" t="n"/>
      <c r="P308" s="1349" t="n"/>
    </row>
    <row r="309" customFormat="1" s="324">
      <c r="A309" s="1349" t="n"/>
      <c r="B309" s="1501" t="n"/>
      <c r="C309" s="1439" t="n"/>
      <c r="D309" s="1439" t="n"/>
      <c r="E309" s="1439" t="n"/>
      <c r="F309" s="1439" t="n"/>
      <c r="G309" s="1440" t="n"/>
      <c r="H309" s="1391" t="n"/>
      <c r="I309" s="1351" t="n"/>
      <c r="J309" s="1351" t="n"/>
      <c r="K309" s="1351" t="n"/>
      <c r="L309" s="1351" t="n"/>
      <c r="M309" s="1351" t="n"/>
      <c r="N309" s="1351" t="n"/>
      <c r="O309" s="1351" t="n"/>
      <c r="P309" s="1349" t="n"/>
    </row>
    <row r="310" customFormat="1" s="324">
      <c r="A310" s="1349" t="n"/>
      <c r="B310" s="1501" t="n"/>
      <c r="C310" s="1439" t="n"/>
      <c r="D310" s="1439" t="n"/>
      <c r="E310" s="1439" t="n"/>
      <c r="F310" s="1439" t="n"/>
      <c r="G310" s="1440" t="n"/>
      <c r="H310" s="1391" t="n"/>
      <c r="I310" s="1351" t="n"/>
      <c r="J310" s="1351" t="n"/>
      <c r="K310" s="1351" t="n"/>
      <c r="L310" s="1351" t="n"/>
      <c r="M310" s="1351" t="n"/>
      <c r="N310" s="1351" t="n"/>
      <c r="O310" s="1351" t="n"/>
      <c r="P310" s="1349" t="n"/>
    </row>
    <row r="311" customFormat="1" s="324">
      <c r="A311" s="1349" t="n"/>
      <c r="B311" s="1501" t="n"/>
      <c r="C311" s="1439" t="n"/>
      <c r="D311" s="1439" t="n"/>
      <c r="E311" s="1439" t="n"/>
      <c r="F311" s="1439" t="n"/>
      <c r="G311" s="1440" t="n"/>
      <c r="H311" s="1391" t="n"/>
      <c r="I311" s="1351" t="n"/>
      <c r="J311" s="1351" t="n"/>
      <c r="K311" s="1351" t="n"/>
      <c r="L311" s="1351" t="n"/>
      <c r="M311" s="1351" t="n"/>
      <c r="N311" s="1351" t="n"/>
      <c r="O311" s="1351" t="n"/>
      <c r="P311" s="1349" t="n"/>
    </row>
    <row r="312" customFormat="1" s="324">
      <c r="A312" s="1349" t="n"/>
      <c r="B312" s="1501" t="n"/>
      <c r="C312" s="1439" t="n"/>
      <c r="D312" s="1439" t="n"/>
      <c r="E312" s="1439" t="n"/>
      <c r="F312" s="1439" t="n"/>
      <c r="G312" s="1440" t="n"/>
      <c r="H312" s="1391" t="n"/>
      <c r="I312" s="1351" t="n"/>
      <c r="J312" s="1351" t="n"/>
      <c r="K312" s="1351" t="n"/>
      <c r="L312" s="1351" t="n"/>
      <c r="M312" s="1351" t="n"/>
      <c r="N312" s="1351" t="n"/>
      <c r="O312" s="1351" t="n"/>
      <c r="P312" s="1349" t="n"/>
    </row>
    <row r="313">
      <c r="A313" s="1389" t="n"/>
      <c r="B313" s="1349" t="n"/>
      <c r="C313" s="1351" t="n"/>
      <c r="D313" s="1351" t="n"/>
      <c r="E313" s="1351" t="n"/>
      <c r="F313" s="1351" t="n"/>
      <c r="G313" s="1351" t="n"/>
      <c r="H313" s="1351" t="n"/>
      <c r="I313" s="1351" t="n"/>
      <c r="J313" s="1351" t="n"/>
      <c r="K313" s="1351" t="n"/>
      <c r="L313" s="1351" t="n"/>
      <c r="M313" s="1351" t="n"/>
      <c r="N313" s="1351" t="n"/>
      <c r="O313" s="1351" t="n"/>
      <c r="P313" s="1349" t="n"/>
    </row>
    <row r="314">
      <c r="A314" s="1389" t="n"/>
      <c r="B314" s="1349" t="n"/>
      <c r="C314" s="1351" t="n"/>
      <c r="D314" s="1351" t="n"/>
      <c r="E314" s="1351" t="n"/>
      <c r="F314" s="1351" t="n"/>
      <c r="G314" s="1351" t="n"/>
      <c r="H314" s="1351" t="n"/>
      <c r="I314" s="1351" t="n"/>
      <c r="J314" s="1351" t="n"/>
      <c r="K314" s="1351" t="n"/>
      <c r="L314" s="1351" t="n"/>
      <c r="M314" s="1351" t="n"/>
      <c r="N314" s="1351" t="n"/>
      <c r="O314" s="1351" t="n"/>
      <c r="P314" s="1349" t="n"/>
    </row>
    <row r="315" customFormat="1" s="324">
      <c r="A315" s="1349" t="n"/>
      <c r="B315" s="1501" t="n"/>
      <c r="C315" s="1439" t="n"/>
      <c r="D315" s="1439" t="n"/>
      <c r="E315" s="1439" t="n"/>
      <c r="F315" s="1439" t="n"/>
      <c r="G315" s="1440" t="n"/>
      <c r="H315" s="1391" t="n"/>
      <c r="I315" s="1351" t="n"/>
      <c r="J315" s="1351" t="n"/>
      <c r="K315" s="1351" t="n"/>
      <c r="L315" s="1351" t="n"/>
      <c r="M315" s="1351" t="n"/>
      <c r="N315" s="1351" t="n"/>
      <c r="O315" s="1351" t="n"/>
      <c r="P315" s="1349" t="n"/>
    </row>
    <row r="316" customFormat="1" s="324">
      <c r="A316" s="1349" t="n"/>
      <c r="B316" s="1501" t="n"/>
      <c r="C316" s="1439" t="n"/>
      <c r="D316" s="1439" t="n"/>
      <c r="E316" s="1439" t="n"/>
      <c r="F316" s="1439" t="n"/>
      <c r="G316" s="1440" t="n"/>
      <c r="H316" s="1391" t="n"/>
      <c r="I316" s="1351" t="n"/>
      <c r="J316" s="1351" t="n"/>
      <c r="K316" s="1351" t="n"/>
      <c r="L316" s="1351" t="n"/>
      <c r="M316" s="1351" t="n"/>
      <c r="N316" s="1351" t="n"/>
      <c r="O316" s="1351" t="n"/>
      <c r="P316" s="1349" t="n"/>
    </row>
    <row r="317" customFormat="1" s="324">
      <c r="A317" s="1349" t="n"/>
      <c r="B317" s="1501" t="n"/>
      <c r="C317" s="1439" t="n"/>
      <c r="D317" s="1439" t="n"/>
      <c r="E317" s="1439" t="n"/>
      <c r="F317" s="1439" t="n"/>
      <c r="G317" s="1440" t="n"/>
      <c r="H317" s="1391" t="n"/>
      <c r="I317" s="1351" t="n"/>
      <c r="J317" s="1351" t="n"/>
      <c r="K317" s="1351" t="n"/>
      <c r="L317" s="1351" t="n"/>
      <c r="M317" s="1351" t="n"/>
      <c r="N317" s="1351" t="n"/>
      <c r="O317" s="1351" t="n"/>
      <c r="P317" s="1349" t="n"/>
    </row>
    <row r="318" customFormat="1" s="324">
      <c r="A318" s="1349" t="n"/>
      <c r="B318" s="1501" t="n"/>
      <c r="C318" s="1439" t="n"/>
      <c r="D318" s="1439" t="n"/>
      <c r="E318" s="1439" t="n"/>
      <c r="F318" s="1439" t="n"/>
      <c r="G318" s="1440" t="n"/>
      <c r="H318" s="1391" t="n"/>
      <c r="I318" s="1351" t="n"/>
      <c r="J318" s="1351" t="n"/>
      <c r="K318" s="1351" t="n"/>
      <c r="L318" s="1351" t="n"/>
      <c r="M318" s="1351" t="n"/>
      <c r="N318" s="1351" t="n"/>
      <c r="O318" s="1351" t="n"/>
      <c r="P318" s="1349" t="n"/>
    </row>
    <row r="319" customFormat="1" s="324">
      <c r="A319" s="1349" t="n"/>
      <c r="B319" s="1501" t="n"/>
      <c r="C319" s="1439" t="n"/>
      <c r="D319" s="1439" t="n"/>
      <c r="E319" s="1439" t="n"/>
      <c r="F319" s="1439" t="n"/>
      <c r="G319" s="1440" t="n"/>
      <c r="H319" s="1391" t="n"/>
      <c r="I319" s="1351" t="n"/>
      <c r="J319" s="1351" t="n"/>
      <c r="K319" s="1351" t="n"/>
      <c r="L319" s="1351" t="n"/>
      <c r="M319" s="1351" t="n"/>
      <c r="N319" s="1351" t="n"/>
      <c r="O319" s="1351" t="n"/>
      <c r="P319" s="1349" t="n"/>
    </row>
    <row r="320" customFormat="1" s="324">
      <c r="A320" s="1349" t="n"/>
      <c r="B320" s="1501" t="n"/>
      <c r="C320" s="1439" t="n"/>
      <c r="D320" s="1439" t="n"/>
      <c r="E320" s="1439" t="n"/>
      <c r="F320" s="1439" t="n"/>
      <c r="G320" s="1440" t="n"/>
      <c r="H320" s="1391" t="n"/>
      <c r="I320" s="1351" t="n"/>
      <c r="J320" s="1351" t="n"/>
      <c r="K320" s="1351" t="n"/>
      <c r="L320" s="1351" t="n"/>
      <c r="M320" s="1351" t="n"/>
      <c r="N320" s="1351" t="n"/>
      <c r="O320" s="1351" t="n"/>
      <c r="P320" s="1349" t="n"/>
    </row>
    <row r="321" customFormat="1" s="324">
      <c r="A321" s="1349" t="n"/>
      <c r="B321" s="1501" t="n"/>
      <c r="C321" s="1439" t="n"/>
      <c r="D321" s="1439" t="n"/>
      <c r="E321" s="1439" t="n"/>
      <c r="F321" s="1439" t="n"/>
      <c r="G321" s="1440" t="n"/>
      <c r="H321" s="1391" t="n"/>
      <c r="I321" s="1351" t="n"/>
      <c r="J321" s="1351" t="n"/>
      <c r="K321" s="1351" t="n"/>
      <c r="L321" s="1351" t="n"/>
      <c r="M321" s="1351" t="n"/>
      <c r="N321" s="1351" t="n"/>
      <c r="O321" s="1351" t="n"/>
      <c r="P321" s="1349" t="n"/>
    </row>
    <row r="322" customFormat="1" s="324">
      <c r="A322" s="1349" t="n"/>
      <c r="B322" s="1501" t="n"/>
      <c r="C322" s="1439" t="n"/>
      <c r="D322" s="1439" t="n"/>
      <c r="E322" s="1439" t="n"/>
      <c r="F322" s="1439" t="n"/>
      <c r="G322" s="1440" t="n"/>
      <c r="H322" s="1391" t="n"/>
      <c r="I322" s="1351" t="n"/>
      <c r="J322" s="1351" t="n"/>
      <c r="K322" s="1351" t="n"/>
      <c r="L322" s="1351" t="n"/>
      <c r="M322" s="1351" t="n"/>
      <c r="N322" s="1351" t="n"/>
      <c r="O322" s="1351" t="n"/>
      <c r="P322" s="1349" t="n"/>
    </row>
    <row r="323" customFormat="1" s="324">
      <c r="A323" s="1349" t="n"/>
      <c r="B323" s="1501" t="n"/>
      <c r="C323" s="1439" t="n"/>
      <c r="D323" s="1439" t="n"/>
      <c r="E323" s="1439" t="n"/>
      <c r="F323" s="1439" t="n"/>
      <c r="G323" s="1440" t="n"/>
      <c r="H323" s="1391" t="n"/>
      <c r="I323" s="1351" t="n"/>
      <c r="J323" s="1351" t="n"/>
      <c r="K323" s="1351" t="n"/>
      <c r="L323" s="1351" t="n"/>
      <c r="M323" s="1351" t="n"/>
      <c r="N323" s="1351" t="n"/>
      <c r="O323" s="1351" t="n"/>
      <c r="P323" s="1349" t="n"/>
    </row>
    <row r="324" customFormat="1" s="324">
      <c r="A324" s="1349" t="n"/>
      <c r="B324" s="1501" t="n"/>
      <c r="C324" s="1439" t="n"/>
      <c r="D324" s="1439" t="n"/>
      <c r="E324" s="1439" t="n"/>
      <c r="F324" s="1439" t="n"/>
      <c r="G324" s="1440" t="n"/>
      <c r="H324" s="1391" t="n"/>
      <c r="I324" s="1351" t="n"/>
      <c r="J324" s="1351" t="n"/>
      <c r="K324" s="1351" t="n"/>
      <c r="L324" s="1351" t="n"/>
      <c r="M324" s="1351" t="n"/>
      <c r="N324" s="1351" t="n"/>
      <c r="O324" s="1351" t="n"/>
      <c r="P324" s="1349" t="n"/>
    </row>
    <row r="325" customFormat="1" s="324">
      <c r="A325" s="1349" t="n"/>
      <c r="B325" s="1501" t="n"/>
      <c r="C325" s="1439" t="n"/>
      <c r="D325" s="1439" t="n"/>
      <c r="E325" s="1439" t="n"/>
      <c r="F325" s="1439" t="n"/>
      <c r="G325" s="1440" t="n"/>
      <c r="H325" s="1391" t="n"/>
      <c r="I325" s="1351" t="n"/>
      <c r="J325" s="1351" t="n"/>
      <c r="K325" s="1351" t="n"/>
      <c r="L325" s="1351" t="n"/>
      <c r="M325" s="1351" t="n"/>
      <c r="N325" s="1351" t="n"/>
      <c r="O325" s="1351" t="n"/>
      <c r="P325" s="1349" t="n"/>
    </row>
    <row r="326" customFormat="1" s="324">
      <c r="A326" s="1349" t="n"/>
      <c r="B326" s="1501" t="n"/>
      <c r="C326" s="1439" t="n"/>
      <c r="D326" s="1439" t="n"/>
      <c r="E326" s="1439" t="n"/>
      <c r="F326" s="1439" t="n"/>
      <c r="G326" s="1440" t="n"/>
      <c r="H326" s="1391" t="n"/>
      <c r="I326" s="1351" t="n"/>
      <c r="J326" s="1351" t="n"/>
      <c r="K326" s="1351" t="n"/>
      <c r="L326" s="1351" t="n"/>
      <c r="M326" s="1351" t="n"/>
      <c r="N326" s="1351" t="n"/>
      <c r="O326" s="1351" t="n"/>
      <c r="P326" s="1349" t="n"/>
    </row>
    <row r="327" customFormat="1" s="324">
      <c r="A327" s="1349" t="n"/>
      <c r="B327" s="1501" t="n"/>
      <c r="C327" s="1439" t="n"/>
      <c r="D327" s="1439" t="n"/>
      <c r="E327" s="1439" t="n"/>
      <c r="F327" s="1439" t="n"/>
      <c r="G327" s="1440" t="n"/>
      <c r="H327" s="1391" t="n"/>
      <c r="I327" s="1351" t="n"/>
      <c r="J327" s="1351" t="n"/>
      <c r="K327" s="1351" t="n"/>
      <c r="L327" s="1351" t="n"/>
      <c r="M327" s="1351" t="n"/>
      <c r="N327" s="1351" t="n"/>
      <c r="O327" s="1351" t="n"/>
      <c r="P327" s="1349" t="n"/>
    </row>
    <row r="328" customFormat="1" s="324">
      <c r="A328" s="1349" t="n"/>
      <c r="B328" s="1501" t="n"/>
      <c r="C328" s="1439" t="n"/>
      <c r="D328" s="1439" t="n"/>
      <c r="E328" s="1439" t="n"/>
      <c r="F328" s="1439" t="n"/>
      <c r="G328" s="1440" t="n"/>
      <c r="H328" s="1391" t="n"/>
      <c r="I328" s="1351" t="n"/>
      <c r="J328" s="1351" t="n"/>
      <c r="K328" s="1351" t="n"/>
      <c r="L328" s="1351" t="n"/>
      <c r="M328" s="1351" t="n"/>
      <c r="N328" s="1351" t="n"/>
      <c r="O328" s="1351" t="n"/>
      <c r="P328" s="1349" t="n"/>
    </row>
    <row r="329" customFormat="1" s="324">
      <c r="A329" s="1349" t="n"/>
      <c r="B329" s="1501" t="n"/>
      <c r="C329" s="1439" t="n"/>
      <c r="D329" s="1439" t="n"/>
      <c r="E329" s="1439" t="n"/>
      <c r="F329" s="1439" t="n"/>
      <c r="G329" s="1440" t="n"/>
      <c r="H329" s="1391" t="n"/>
      <c r="I329" s="1351" t="n"/>
      <c r="J329" s="1351" t="n"/>
      <c r="K329" s="1351" t="n"/>
      <c r="L329" s="1351" t="n"/>
      <c r="M329" s="1351" t="n"/>
      <c r="N329" s="1351" t="n"/>
      <c r="O329" s="1351" t="n"/>
      <c r="P329" s="1349" t="n"/>
    </row>
    <row r="330" customFormat="1" s="324">
      <c r="A330" s="1349" t="n"/>
      <c r="B330" s="1501" t="n"/>
      <c r="C330" s="1439" t="n"/>
      <c r="D330" s="1439" t="n"/>
      <c r="E330" s="1439" t="n"/>
      <c r="F330" s="1439" t="n"/>
      <c r="G330" s="1440" t="n"/>
      <c r="H330" s="1391" t="n"/>
      <c r="I330" s="1351" t="n"/>
      <c r="J330" s="1351" t="n"/>
      <c r="K330" s="1351" t="n"/>
      <c r="L330" s="1351" t="n"/>
      <c r="M330" s="1351" t="n"/>
      <c r="N330" s="1351" t="n"/>
      <c r="O330" s="1351" t="n"/>
      <c r="P330" s="1349" t="n"/>
    </row>
    <row r="331" customFormat="1" s="324">
      <c r="A331" s="1349" t="n"/>
      <c r="B331" s="1501" t="n"/>
      <c r="C331" s="1439" t="n"/>
      <c r="D331" s="1439" t="n"/>
      <c r="E331" s="1439" t="n"/>
      <c r="F331" s="1439" t="n"/>
      <c r="G331" s="1440" t="n"/>
      <c r="H331" s="1391" t="n"/>
      <c r="I331" s="1351" t="n"/>
      <c r="J331" s="1351" t="n"/>
      <c r="K331" s="1351" t="n"/>
      <c r="L331" s="1351" t="n"/>
      <c r="M331" s="1351" t="n"/>
      <c r="N331" s="1351" t="n"/>
      <c r="O331" s="1351" t="n"/>
      <c r="P331" s="1349" t="n"/>
    </row>
    <row r="332" customFormat="1" s="324">
      <c r="A332" s="1349" t="n"/>
      <c r="B332" s="1501" t="n"/>
      <c r="C332" s="1439" t="n"/>
      <c r="D332" s="1439" t="n"/>
      <c r="E332" s="1439" t="n"/>
      <c r="F332" s="1439" t="n"/>
      <c r="G332" s="1440" t="n"/>
      <c r="H332" s="1391" t="n"/>
      <c r="I332" s="1351" t="n"/>
      <c r="J332" s="1351" t="n"/>
      <c r="K332" s="1351" t="n"/>
      <c r="L332" s="1351" t="n"/>
      <c r="M332" s="1351" t="n"/>
      <c r="N332" s="1351" t="n"/>
      <c r="O332" s="1351" t="n"/>
      <c r="P332" s="1349" t="n"/>
    </row>
    <row r="333" customFormat="1" s="324">
      <c r="A333" s="1349" t="n"/>
      <c r="B333" s="1501" t="n"/>
      <c r="C333" s="1439" t="n"/>
      <c r="D333" s="1439" t="n"/>
      <c r="E333" s="1439" t="n"/>
      <c r="F333" s="1439" t="n"/>
      <c r="G333" s="1440" t="n"/>
      <c r="H333" s="1391" t="n"/>
      <c r="I333" s="1351" t="n"/>
      <c r="J333" s="1351" t="n"/>
      <c r="K333" s="1351" t="n"/>
      <c r="L333" s="1351" t="n"/>
      <c r="M333" s="1351" t="n"/>
      <c r="N333" s="1351" t="n"/>
      <c r="O333" s="1351" t="n"/>
      <c r="P333" s="1349" t="n"/>
    </row>
    <row r="334" customFormat="1" s="324">
      <c r="A334" s="1349" t="n"/>
      <c r="B334" s="1501" t="n"/>
      <c r="C334" s="1439" t="n"/>
      <c r="D334" s="1439" t="n"/>
      <c r="E334" s="1439" t="n"/>
      <c r="F334" s="1439" t="n"/>
      <c r="G334" s="1440" t="n"/>
      <c r="H334" s="1391" t="n"/>
      <c r="I334" s="1351" t="n"/>
      <c r="J334" s="1351" t="n"/>
      <c r="K334" s="1351" t="n"/>
      <c r="L334" s="1351" t="n"/>
      <c r="M334" s="1351" t="n"/>
      <c r="N334" s="1351" t="n"/>
      <c r="O334" s="1351" t="n"/>
      <c r="P334" s="1349" t="n"/>
    </row>
    <row r="335" customFormat="1" s="324">
      <c r="A335" s="1349" t="n"/>
      <c r="B335" s="1501" t="n"/>
      <c r="C335" s="1439" t="n"/>
      <c r="D335" s="1439" t="n"/>
      <c r="E335" s="1439" t="n"/>
      <c r="F335" s="1439" t="n"/>
      <c r="G335" s="1440" t="n"/>
      <c r="H335" s="1391" t="n"/>
      <c r="I335" s="1351" t="n"/>
      <c r="J335" s="1351" t="n"/>
      <c r="K335" s="1351" t="n"/>
      <c r="L335" s="1351" t="n"/>
      <c r="M335" s="1351" t="n"/>
      <c r="N335" s="1351" t="n"/>
      <c r="O335" s="1351" t="n"/>
      <c r="P335" s="1349" t="n"/>
    </row>
    <row r="336" customFormat="1" s="324">
      <c r="A336" s="1349" t="n"/>
      <c r="B336" s="1501" t="n"/>
      <c r="C336" s="1439" t="n"/>
      <c r="D336" s="1439" t="n"/>
      <c r="E336" s="1439" t="n"/>
      <c r="F336" s="1439" t="n"/>
      <c r="G336" s="1440" t="n"/>
      <c r="H336" s="1391" t="n"/>
      <c r="I336" s="1351" t="n"/>
      <c r="J336" s="1351" t="n"/>
      <c r="K336" s="1351" t="n"/>
      <c r="L336" s="1351" t="n"/>
      <c r="M336" s="1351" t="n"/>
      <c r="N336" s="1351" t="n"/>
      <c r="O336" s="1351" t="n"/>
      <c r="P336" s="1349" t="n"/>
    </row>
    <row r="337" customFormat="1" s="324">
      <c r="A337" s="1349" t="n"/>
      <c r="B337" s="1501" t="n"/>
      <c r="C337" s="1439" t="n"/>
      <c r="D337" s="1439" t="n"/>
      <c r="E337" s="1439" t="n"/>
      <c r="F337" s="1439" t="n"/>
      <c r="G337" s="1440" t="n"/>
      <c r="H337" s="1391" t="n"/>
      <c r="I337" s="1351" t="n"/>
      <c r="J337" s="1351" t="n"/>
      <c r="K337" s="1351" t="n"/>
      <c r="L337" s="1351" t="n"/>
      <c r="M337" s="1351" t="n"/>
      <c r="N337" s="1351" t="n"/>
      <c r="O337" s="1351" t="n"/>
      <c r="P337" s="1349" t="n"/>
    </row>
    <row r="338" customFormat="1" s="324">
      <c r="A338" s="1349" t="n"/>
      <c r="B338" s="1501" t="n"/>
      <c r="C338" s="1439" t="n"/>
      <c r="D338" s="1439" t="n"/>
      <c r="E338" s="1439" t="n"/>
      <c r="F338" s="1439" t="n"/>
      <c r="G338" s="1440" t="n"/>
      <c r="H338" s="1391" t="n"/>
      <c r="I338" s="1351" t="n"/>
      <c r="J338" s="1351" t="n"/>
      <c r="K338" s="1351" t="n"/>
      <c r="L338" s="1351" t="n"/>
      <c r="M338" s="1351" t="n"/>
      <c r="N338" s="1351" t="n"/>
      <c r="O338" s="1351" t="n"/>
      <c r="P338" s="1349" t="n"/>
    </row>
    <row r="339" customFormat="1" s="324">
      <c r="A339" s="1349" t="n"/>
      <c r="B339" s="1501" t="n"/>
      <c r="C339" s="1439" t="n"/>
      <c r="D339" s="1439" t="n"/>
      <c r="E339" s="1439" t="n"/>
      <c r="F339" s="1439" t="n"/>
      <c r="G339" s="1440" t="n"/>
      <c r="H339" s="1391" t="n"/>
      <c r="I339" s="1351" t="n"/>
      <c r="J339" s="1351" t="n"/>
      <c r="K339" s="1351" t="n"/>
      <c r="L339" s="1351" t="n"/>
      <c r="M339" s="1351" t="n"/>
      <c r="N339" s="1351" t="n"/>
      <c r="O339" s="1351" t="n"/>
      <c r="P339" s="1349" t="n"/>
    </row>
    <row r="340" customFormat="1" s="324">
      <c r="A340" s="1349" t="n"/>
      <c r="B340" s="1501" t="n"/>
      <c r="C340" s="1439" t="n"/>
      <c r="D340" s="1439" t="n"/>
      <c r="E340" s="1439" t="n"/>
      <c r="F340" s="1439" t="n"/>
      <c r="G340" s="1440" t="n"/>
      <c r="H340" s="1391" t="n"/>
      <c r="I340" s="1351" t="n"/>
      <c r="J340" s="1351" t="n"/>
      <c r="K340" s="1351" t="n"/>
      <c r="L340" s="1351" t="n"/>
      <c r="M340" s="1351" t="n"/>
      <c r="N340" s="1351" t="n"/>
      <c r="O340" s="1351" t="n"/>
      <c r="P340" s="1349" t="n"/>
    </row>
    <row r="341" customFormat="1" s="324">
      <c r="A341" s="1349" t="n"/>
      <c r="B341" s="1501" t="n"/>
      <c r="C341" s="1439" t="n"/>
      <c r="D341" s="1439" t="n"/>
      <c r="E341" s="1439" t="n"/>
      <c r="F341" s="1439" t="n"/>
      <c r="G341" s="1440" t="n"/>
      <c r="H341" s="1391" t="n"/>
      <c r="I341" s="1351" t="n"/>
      <c r="J341" s="1351" t="n"/>
      <c r="K341" s="1351" t="n"/>
      <c r="L341" s="1351" t="n"/>
      <c r="M341" s="1351" t="n"/>
      <c r="N341" s="1351" t="n"/>
      <c r="O341" s="1351" t="n"/>
      <c r="P341" s="1349" t="n"/>
    </row>
    <row r="342" ht="14.25" customFormat="1" customHeight="1" s="324">
      <c r="A342" s="1349" t="n"/>
      <c r="B342" s="1501" t="n"/>
      <c r="C342" s="1439" t="n"/>
      <c r="D342" s="1439" t="n"/>
      <c r="E342" s="1439" t="n"/>
      <c r="F342" s="1439" t="n"/>
      <c r="G342" s="1440" t="n"/>
      <c r="H342" s="1391" t="n"/>
      <c r="I342" s="1351" t="n"/>
      <c r="J342" s="1351" t="n"/>
      <c r="K342" s="1351" t="n"/>
      <c r="L342" s="1351" t="n"/>
      <c r="M342" s="1351" t="n"/>
      <c r="N342" s="1351" t="n"/>
      <c r="O342" s="1351" t="n"/>
      <c r="P342" s="1349" t="n"/>
    </row>
    <row r="343" ht="14.25" customFormat="1" customHeight="1" s="324">
      <c r="A343" s="1349" t="n"/>
      <c r="B343" s="1501" t="n"/>
      <c r="C343" s="1439" t="n"/>
      <c r="D343" s="1439" t="n"/>
      <c r="E343" s="1439" t="n"/>
      <c r="F343" s="1439" t="n"/>
      <c r="G343" s="1440" t="n"/>
      <c r="H343" s="1391" t="n"/>
      <c r="I343" s="1351" t="n"/>
      <c r="J343" s="1351" t="n"/>
      <c r="K343" s="1351" t="n"/>
      <c r="L343" s="1351" t="n"/>
      <c r="M343" s="1351" t="n"/>
      <c r="N343" s="1351" t="n"/>
      <c r="O343" s="1351" t="n"/>
      <c r="P343" s="1349" t="n"/>
    </row>
    <row r="344" customFormat="1" s="324">
      <c r="A344" s="1349" t="n"/>
      <c r="B344" s="1501" t="n"/>
      <c r="C344" s="1439" t="n"/>
      <c r="D344" s="1439" t="n"/>
      <c r="E344" s="1439" t="n"/>
      <c r="F344" s="1439" t="n"/>
      <c r="G344" s="1440" t="n"/>
      <c r="H344" s="1391" t="n"/>
      <c r="I344" s="1351" t="n"/>
      <c r="J344" s="1351" t="n"/>
      <c r="K344" s="1351" t="n"/>
      <c r="L344" s="1351" t="n"/>
      <c r="M344" s="1351" t="n"/>
      <c r="N344" s="1351" t="n"/>
      <c r="O344" s="1351" t="n"/>
      <c r="P344" s="1349" t="n"/>
    </row>
    <row r="345" customFormat="1" s="324">
      <c r="A345" s="1349" t="n"/>
      <c r="B345" s="1501" t="n"/>
      <c r="C345" s="1439" t="n"/>
      <c r="D345" s="1439" t="n"/>
      <c r="E345" s="1439" t="n"/>
      <c r="F345" s="1439" t="n"/>
      <c r="G345" s="1440" t="n"/>
      <c r="H345" s="1391" t="n"/>
      <c r="I345" s="1351" t="n"/>
      <c r="J345" s="1351" t="n"/>
      <c r="K345" s="1351" t="n"/>
      <c r="L345" s="1351" t="n"/>
      <c r="M345" s="1351" t="n"/>
      <c r="N345" s="1351" t="n"/>
      <c r="O345" s="1351" t="n"/>
      <c r="P345" s="1349" t="n"/>
    </row>
    <row r="346" customFormat="1" s="324">
      <c r="A346" s="1349" t="n"/>
      <c r="B346" s="1501" t="n"/>
      <c r="C346" s="1439" t="n"/>
      <c r="D346" s="1439" t="n"/>
      <c r="E346" s="1439" t="n"/>
      <c r="F346" s="1439" t="n"/>
      <c r="G346" s="1440" t="n"/>
      <c r="H346" s="1391" t="n"/>
      <c r="I346" s="1351" t="n"/>
      <c r="J346" s="1351" t="n"/>
      <c r="K346" s="1351" t="n"/>
      <c r="L346" s="1351" t="n"/>
      <c r="M346" s="1351" t="n"/>
      <c r="N346" s="1351" t="n"/>
      <c r="O346" s="1351" t="n"/>
      <c r="P346" s="1349" t="n"/>
    </row>
    <row r="347" customFormat="1" s="324">
      <c r="A347" s="1349" t="n"/>
      <c r="B347" s="1501" t="n"/>
      <c r="C347" s="1439" t="n"/>
      <c r="D347" s="1439" t="n"/>
      <c r="E347" s="1439" t="n"/>
      <c r="F347" s="1439" t="n"/>
      <c r="G347" s="1440" t="n"/>
      <c r="H347" s="1391" t="n"/>
      <c r="I347" s="1351" t="n"/>
      <c r="J347" s="1351" t="n"/>
      <c r="K347" s="1351" t="n"/>
      <c r="L347" s="1351" t="n"/>
      <c r="M347" s="1351" t="n"/>
      <c r="N347" s="1351" t="n"/>
      <c r="O347" s="1351" t="n"/>
      <c r="P347" s="1349" t="n"/>
    </row>
    <row r="348" customFormat="1" s="324">
      <c r="A348" s="1349" t="n"/>
      <c r="B348" s="1501" t="n"/>
      <c r="C348" s="1439" t="n"/>
      <c r="D348" s="1439" t="n"/>
      <c r="E348" s="1439" t="n"/>
      <c r="F348" s="1439" t="n"/>
      <c r="G348" s="1440" t="n"/>
      <c r="H348" s="1391" t="n"/>
      <c r="I348" s="1351" t="n"/>
      <c r="J348" s="1351" t="n"/>
      <c r="K348" s="1351" t="n"/>
      <c r="L348" s="1351" t="n"/>
      <c r="M348" s="1351" t="n"/>
      <c r="N348" s="1351" t="n"/>
      <c r="O348" s="1351" t="n"/>
      <c r="P348" s="1349" t="n"/>
    </row>
    <row r="349" customFormat="1" s="324">
      <c r="A349" s="1349" t="n"/>
      <c r="B349" s="1501" t="n"/>
      <c r="C349" s="1439" t="n"/>
      <c r="D349" s="1439" t="n"/>
      <c r="E349" s="1439" t="n"/>
      <c r="F349" s="1439" t="n"/>
      <c r="G349" s="1440" t="n"/>
      <c r="H349" s="1391" t="n"/>
      <c r="I349" s="1351" t="n"/>
      <c r="J349" s="1351" t="n"/>
      <c r="K349" s="1351" t="n"/>
      <c r="L349" s="1351" t="n"/>
      <c r="M349" s="1351" t="n"/>
      <c r="N349" s="1351" t="n"/>
      <c r="O349" s="1351" t="n"/>
      <c r="P349" s="1349" t="n"/>
    </row>
    <row r="350" customFormat="1" s="324">
      <c r="A350" s="1349" t="n"/>
      <c r="B350" s="1501" t="n"/>
      <c r="C350" s="1439" t="n"/>
      <c r="D350" s="1439" t="n"/>
      <c r="E350" s="1439" t="n"/>
      <c r="F350" s="1439" t="n"/>
      <c r="G350" s="1440" t="n"/>
      <c r="H350" s="1391" t="n"/>
      <c r="I350" s="1351" t="n"/>
      <c r="J350" s="1351" t="n"/>
      <c r="K350" s="1351" t="n"/>
      <c r="L350" s="1351" t="n"/>
      <c r="M350" s="1351" t="n"/>
      <c r="N350" s="1351" t="n"/>
      <c r="O350" s="1351" t="n"/>
      <c r="P350" s="1349" t="n"/>
    </row>
    <row r="351" customFormat="1" s="324">
      <c r="A351" s="1349" t="n"/>
      <c r="B351" s="1501" t="n"/>
      <c r="C351" s="1439" t="n"/>
      <c r="D351" s="1439" t="n"/>
      <c r="E351" s="1439" t="n"/>
      <c r="F351" s="1439" t="n"/>
      <c r="G351" s="1440" t="n"/>
      <c r="H351" s="1391" t="n"/>
      <c r="I351" s="1351" t="n"/>
      <c r="J351" s="1351" t="n"/>
      <c r="K351" s="1351" t="n"/>
      <c r="L351" s="1351" t="n"/>
      <c r="M351" s="1351" t="n"/>
      <c r="N351" s="1351" t="n"/>
      <c r="O351" s="1351" t="n"/>
      <c r="P351" s="1349" t="n"/>
    </row>
    <row r="352" ht="29.25" customFormat="1" customHeight="1" s="324">
      <c r="A352" s="1349" t="n"/>
      <c r="B352" s="1501" t="n"/>
      <c r="C352" s="1439" t="n"/>
      <c r="D352" s="1439" t="n"/>
      <c r="E352" s="1439" t="n"/>
      <c r="F352" s="1439" t="n"/>
      <c r="G352" s="1440" t="n"/>
      <c r="H352" s="1391" t="n"/>
      <c r="I352" s="1351" t="n"/>
      <c r="J352" s="1351" t="n"/>
      <c r="K352" s="1351" t="n"/>
      <c r="L352" s="1351" t="n"/>
      <c r="M352" s="1351" t="n"/>
      <c r="N352" s="1351" t="n"/>
      <c r="O352" s="1351" t="n"/>
      <c r="P352" s="1349" t="n"/>
    </row>
    <row r="353" customFormat="1" s="324">
      <c r="A353" s="1349" t="n"/>
      <c r="B353" s="1501" t="n"/>
      <c r="C353" s="1439" t="n"/>
      <c r="D353" s="1439" t="n"/>
      <c r="E353" s="1439" t="n"/>
      <c r="F353" s="1439" t="n"/>
      <c r="G353" s="1440" t="n"/>
      <c r="H353" s="1391" t="n"/>
      <c r="I353" s="1351" t="n"/>
      <c r="J353" s="1351" t="n"/>
      <c r="K353" s="1351" t="n"/>
      <c r="L353" s="1351" t="n"/>
      <c r="M353" s="1351" t="n"/>
      <c r="N353" s="1351" t="n"/>
      <c r="O353" s="1351" t="n"/>
      <c r="P353" s="1349" t="n"/>
    </row>
    <row r="354">
      <c r="A354" s="1389" t="n"/>
      <c r="B354" s="1349" t="n"/>
      <c r="C354" s="1351" t="n"/>
      <c r="D354" s="1351" t="n"/>
      <c r="E354" s="1351" t="n"/>
      <c r="F354" s="1351" t="n"/>
      <c r="G354" s="1351" t="n"/>
      <c r="H354" s="1351" t="n"/>
      <c r="I354" s="1351" t="n"/>
      <c r="J354" s="1351" t="n"/>
      <c r="K354" s="1351" t="n"/>
      <c r="L354" s="1351" t="n"/>
      <c r="M354" s="1351" t="n"/>
      <c r="N354" s="1351" t="n"/>
      <c r="O354" s="1351" t="n"/>
      <c r="P354" s="1349" t="n"/>
    </row>
    <row r="355">
      <c r="A355" s="1389" t="n"/>
      <c r="B355" s="1349" t="n"/>
      <c r="C355" s="1351" t="n"/>
      <c r="D355" s="1351" t="n"/>
      <c r="E355" s="1351" t="n"/>
      <c r="F355" s="1351" t="n"/>
      <c r="G355" s="1351" t="n"/>
      <c r="H355" s="1351" t="n"/>
      <c r="I355" s="1351" t="n"/>
      <c r="J355" s="1351" t="n"/>
      <c r="K355" s="1351" t="n"/>
      <c r="L355" s="1351" t="n"/>
      <c r="M355" s="1351" t="n"/>
      <c r="N355" s="1351" t="n"/>
      <c r="O355" s="1351" t="n"/>
      <c r="P355" s="1349" t="n"/>
    </row>
    <row r="356" customFormat="1" s="324">
      <c r="A356" s="1349" t="n"/>
      <c r="B356" s="1501" t="n"/>
      <c r="C356" s="1439" t="n"/>
      <c r="D356" s="1439" t="n"/>
      <c r="E356" s="1439" t="n"/>
      <c r="F356" s="1439" t="n"/>
      <c r="G356" s="1440" t="n"/>
      <c r="H356" s="1391" t="n"/>
      <c r="I356" s="1351" t="n"/>
      <c r="J356" s="1351" t="n"/>
      <c r="K356" s="1351" t="n"/>
      <c r="L356" s="1351" t="n"/>
      <c r="M356" s="1351" t="n"/>
      <c r="N356" s="1351" t="n"/>
      <c r="O356" s="1351" t="n"/>
      <c r="P356" s="1349" t="n"/>
    </row>
    <row r="357" customFormat="1" s="324">
      <c r="A357" s="1349" t="n"/>
      <c r="B357" s="1501" t="n"/>
      <c r="C357" s="1439" t="n"/>
      <c r="D357" s="1439" t="n"/>
      <c r="E357" s="1439" t="n"/>
      <c r="F357" s="1439" t="n"/>
      <c r="G357" s="1440" t="n"/>
      <c r="H357" s="1391" t="n"/>
      <c r="I357" s="1351" t="n"/>
      <c r="J357" s="1351" t="n"/>
      <c r="K357" s="1351" t="n"/>
      <c r="L357" s="1351" t="n"/>
      <c r="M357" s="1351" t="n"/>
      <c r="N357" s="1351" t="n"/>
      <c r="O357" s="1351" t="n"/>
      <c r="P357" s="1349" t="n"/>
    </row>
    <row r="358" customFormat="1" s="324">
      <c r="A358" s="1349" t="n"/>
      <c r="B358" s="1501" t="n"/>
      <c r="C358" s="1439" t="n"/>
      <c r="D358" s="1439" t="n"/>
      <c r="E358" s="1439" t="n"/>
      <c r="F358" s="1439" t="n"/>
      <c r="G358" s="1440" t="n"/>
      <c r="H358" s="1391" t="n"/>
      <c r="I358" s="1351" t="n"/>
      <c r="J358" s="1351" t="n"/>
      <c r="K358" s="1351" t="n"/>
      <c r="L358" s="1351" t="n"/>
      <c r="M358" s="1351" t="n"/>
      <c r="N358" s="1351" t="n"/>
      <c r="O358" s="1351" t="n"/>
      <c r="P358" s="1349" t="n"/>
    </row>
    <row r="359" customFormat="1" s="324">
      <c r="A359" s="1349" t="n"/>
      <c r="B359" s="1501" t="n"/>
      <c r="C359" s="1439" t="n"/>
      <c r="D359" s="1439" t="n"/>
      <c r="E359" s="1439" t="n"/>
      <c r="F359" s="1439" t="n"/>
      <c r="G359" s="1440" t="n"/>
      <c r="H359" s="1391" t="n"/>
      <c r="I359" s="1351" t="n"/>
      <c r="J359" s="1351" t="n"/>
      <c r="K359" s="1351" t="n"/>
      <c r="L359" s="1351" t="n"/>
      <c r="M359" s="1351" t="n"/>
      <c r="N359" s="1351" t="n"/>
      <c r="O359" s="1351" t="n"/>
      <c r="P359" s="1349" t="n"/>
    </row>
    <row r="360" customFormat="1" s="324">
      <c r="A360" s="1349" t="n"/>
      <c r="B360" s="1501" t="n"/>
      <c r="C360" s="1439" t="n"/>
      <c r="D360" s="1439" t="n"/>
      <c r="E360" s="1439" t="n"/>
      <c r="F360" s="1439" t="n"/>
      <c r="G360" s="1440" t="n"/>
      <c r="H360" s="1391" t="n"/>
      <c r="I360" s="1351" t="n"/>
      <c r="J360" s="1351" t="n"/>
      <c r="K360" s="1351" t="n"/>
      <c r="L360" s="1351" t="n"/>
      <c r="M360" s="1351" t="n"/>
      <c r="N360" s="1351" t="n"/>
      <c r="O360" s="1351" t="n"/>
      <c r="P360" s="1349" t="n"/>
    </row>
    <row r="361" customFormat="1" s="324">
      <c r="A361" s="1349" t="n"/>
      <c r="B361" s="1501" t="n"/>
      <c r="C361" s="1439" t="n"/>
      <c r="D361" s="1439" t="n"/>
      <c r="E361" s="1439" t="n"/>
      <c r="F361" s="1439" t="n"/>
      <c r="G361" s="1440" t="n"/>
      <c r="H361" s="1391" t="n"/>
      <c r="I361" s="1351" t="n"/>
      <c r="J361" s="1351" t="n"/>
      <c r="K361" s="1351" t="n"/>
      <c r="L361" s="1351" t="n"/>
      <c r="M361" s="1351" t="n"/>
      <c r="N361" s="1351" t="n"/>
      <c r="O361" s="1351" t="n"/>
      <c r="P361" s="1349" t="n"/>
    </row>
    <row r="362" customFormat="1" s="324">
      <c r="A362" s="1349" t="n"/>
      <c r="B362" s="1501" t="n"/>
      <c r="C362" s="1439" t="n"/>
      <c r="D362" s="1439" t="n"/>
      <c r="E362" s="1439" t="n"/>
      <c r="F362" s="1439" t="n"/>
      <c r="G362" s="1440" t="n"/>
      <c r="H362" s="1391" t="n"/>
      <c r="I362" s="1351" t="n"/>
      <c r="J362" s="1351" t="n"/>
      <c r="K362" s="1351" t="n"/>
      <c r="L362" s="1351" t="n"/>
      <c r="M362" s="1351" t="n"/>
      <c r="N362" s="1351" t="n"/>
      <c r="O362" s="1351" t="n"/>
      <c r="P362" s="1349" t="n"/>
    </row>
    <row r="363" customFormat="1" s="324">
      <c r="A363" s="1349" t="n"/>
      <c r="B363" s="1501" t="n"/>
      <c r="C363" s="1439" t="n"/>
      <c r="D363" s="1439" t="n"/>
      <c r="E363" s="1439" t="n"/>
      <c r="F363" s="1439" t="n"/>
      <c r="G363" s="1440" t="n"/>
      <c r="H363" s="1391" t="n"/>
      <c r="I363" s="1351" t="n"/>
      <c r="J363" s="1351" t="n"/>
      <c r="K363" s="1351" t="n"/>
      <c r="L363" s="1351" t="n"/>
      <c r="M363" s="1351" t="n"/>
      <c r="N363" s="1351" t="n"/>
      <c r="O363" s="1351" t="n"/>
      <c r="P363" s="1349" t="n"/>
    </row>
    <row r="364" customFormat="1" s="324">
      <c r="A364" s="1349" t="n"/>
      <c r="B364" s="1501" t="n"/>
      <c r="C364" s="1439" t="n"/>
      <c r="D364" s="1439" t="n"/>
      <c r="E364" s="1439" t="n"/>
      <c r="F364" s="1439" t="n"/>
      <c r="G364" s="1440" t="n"/>
      <c r="H364" s="1391" t="n"/>
      <c r="I364" s="1351" t="n"/>
      <c r="J364" s="1351" t="n"/>
      <c r="K364" s="1351" t="n"/>
      <c r="L364" s="1351" t="n"/>
      <c r="M364" s="1351" t="n"/>
      <c r="N364" s="1351" t="n"/>
      <c r="O364" s="1351" t="n"/>
      <c r="P364" s="1349" t="n"/>
    </row>
    <row r="365" customFormat="1" s="324">
      <c r="A365" s="1349" t="n"/>
      <c r="B365" s="1501" t="n"/>
      <c r="C365" s="1439" t="n"/>
      <c r="D365" s="1439" t="n"/>
      <c r="E365" s="1439" t="n"/>
      <c r="F365" s="1439" t="n"/>
      <c r="G365" s="1440" t="n"/>
      <c r="H365" s="1391" t="n"/>
      <c r="I365" s="1351" t="n"/>
      <c r="J365" s="1351" t="n"/>
      <c r="K365" s="1351" t="n"/>
      <c r="L365" s="1351" t="n"/>
      <c r="M365" s="1351" t="n"/>
      <c r="N365" s="1351" t="n"/>
      <c r="O365" s="1351" t="n"/>
      <c r="P365" s="1349" t="n"/>
    </row>
    <row r="366" customFormat="1" s="324">
      <c r="A366" s="1349" t="n"/>
      <c r="B366" s="1501" t="n"/>
      <c r="C366" s="1439" t="n"/>
      <c r="D366" s="1439" t="n"/>
      <c r="E366" s="1439" t="n"/>
      <c r="F366" s="1439" t="n"/>
      <c r="G366" s="1440" t="n"/>
      <c r="H366" s="1391" t="n"/>
      <c r="I366" s="1351" t="n"/>
      <c r="J366" s="1351" t="n"/>
      <c r="K366" s="1351" t="n"/>
      <c r="L366" s="1351" t="n"/>
      <c r="M366" s="1351" t="n"/>
      <c r="N366" s="1351" t="n"/>
      <c r="O366" s="1351" t="n"/>
      <c r="P366" s="1349" t="n"/>
    </row>
    <row r="367" customFormat="1" s="324">
      <c r="A367" s="1349" t="n"/>
      <c r="B367" s="1501" t="n"/>
      <c r="C367" s="1439" t="n"/>
      <c r="D367" s="1439" t="n"/>
      <c r="E367" s="1439" t="n"/>
      <c r="F367" s="1439" t="n"/>
      <c r="G367" s="1440" t="n"/>
      <c r="H367" s="1391" t="n"/>
      <c r="I367" s="1351" t="n"/>
      <c r="J367" s="1351" t="n"/>
      <c r="K367" s="1351" t="n"/>
      <c r="L367" s="1351" t="n"/>
      <c r="M367" s="1351" t="n"/>
      <c r="N367" s="1351" t="n"/>
      <c r="O367" s="1351" t="n"/>
      <c r="P367" s="1349" t="n"/>
    </row>
    <row r="368" customFormat="1" s="324">
      <c r="A368" s="1349" t="n"/>
      <c r="B368" s="1501" t="n"/>
      <c r="C368" s="1439" t="n"/>
      <c r="D368" s="1439" t="n"/>
      <c r="E368" s="1439" t="n"/>
      <c r="F368" s="1439" t="n"/>
      <c r="G368" s="1440" t="n"/>
      <c r="H368" s="1391" t="n"/>
      <c r="I368" s="1351" t="n"/>
      <c r="J368" s="1351" t="n"/>
      <c r="K368" s="1351" t="n"/>
      <c r="L368" s="1351" t="n"/>
      <c r="M368" s="1351" t="n"/>
      <c r="N368" s="1351" t="n"/>
      <c r="O368" s="1351" t="n"/>
      <c r="P368" s="1349" t="n"/>
    </row>
    <row r="369" customFormat="1" s="324">
      <c r="A369" s="1349" t="n"/>
      <c r="B369" s="1501" t="n"/>
      <c r="C369" s="1439" t="n"/>
      <c r="D369" s="1439" t="n"/>
      <c r="E369" s="1439" t="n"/>
      <c r="F369" s="1439" t="n"/>
      <c r="G369" s="1440" t="n"/>
      <c r="H369" s="1391" t="n"/>
      <c r="I369" s="1351" t="n"/>
      <c r="J369" s="1351" t="n"/>
      <c r="K369" s="1351" t="n"/>
      <c r="L369" s="1351" t="n"/>
      <c r="M369" s="1351" t="n"/>
      <c r="N369" s="1351" t="n"/>
      <c r="O369" s="1351" t="n"/>
      <c r="P369" s="1349" t="n"/>
    </row>
    <row r="370" customFormat="1" s="324">
      <c r="A370" s="1349" t="n"/>
      <c r="B370" s="1501" t="n"/>
      <c r="C370" s="1439" t="n"/>
      <c r="D370" s="1439" t="n"/>
      <c r="E370" s="1439" t="n"/>
      <c r="F370" s="1439" t="n"/>
      <c r="G370" s="1440" t="n"/>
      <c r="H370" s="1391" t="n"/>
      <c r="I370" s="1351" t="n"/>
      <c r="J370" s="1351" t="n"/>
      <c r="K370" s="1351" t="n"/>
      <c r="L370" s="1351" t="n"/>
      <c r="M370" s="1351" t="n"/>
      <c r="N370" s="1351" t="n"/>
      <c r="O370" s="1351" t="n"/>
      <c r="P370" s="1349" t="n"/>
    </row>
    <row r="371" customFormat="1" s="324">
      <c r="A371" s="1349" t="n"/>
      <c r="B371" s="1501" t="n"/>
      <c r="C371" s="1439" t="n"/>
      <c r="D371" s="1439" t="n"/>
      <c r="E371" s="1439" t="n"/>
      <c r="F371" s="1439" t="n"/>
      <c r="G371" s="1440" t="n"/>
      <c r="H371" s="1391" t="n"/>
      <c r="I371" s="1351" t="n"/>
      <c r="J371" s="1351" t="n"/>
      <c r="K371" s="1351" t="n"/>
      <c r="L371" s="1351" t="n"/>
      <c r="M371" s="1351" t="n"/>
      <c r="N371" s="1351" t="n"/>
      <c r="O371" s="1351" t="n"/>
      <c r="P371" s="1349" t="n"/>
    </row>
    <row r="372" customFormat="1" s="324">
      <c r="A372" s="1349" t="n"/>
      <c r="B372" s="1501" t="n"/>
      <c r="C372" s="1439" t="n"/>
      <c r="D372" s="1439" t="n"/>
      <c r="E372" s="1439" t="n"/>
      <c r="F372" s="1439" t="n"/>
      <c r="G372" s="1440" t="n"/>
      <c r="H372" s="1391" t="n"/>
      <c r="I372" s="1351" t="n"/>
      <c r="J372" s="1351" t="n"/>
      <c r="K372" s="1351" t="n"/>
      <c r="L372" s="1351" t="n"/>
      <c r="M372" s="1351" t="n"/>
      <c r="N372" s="1351" t="n"/>
      <c r="O372" s="1351" t="n"/>
      <c r="P372" s="1349" t="n"/>
    </row>
    <row r="373" customFormat="1" s="324">
      <c r="A373" s="1349" t="n"/>
      <c r="B373" s="1501" t="n"/>
      <c r="C373" s="1439" t="n"/>
      <c r="D373" s="1439" t="n"/>
      <c r="E373" s="1439" t="n"/>
      <c r="F373" s="1439" t="n"/>
      <c r="G373" s="1440" t="n"/>
      <c r="H373" s="1391" t="n"/>
      <c r="I373" s="1351" t="n"/>
      <c r="J373" s="1351" t="n"/>
      <c r="K373" s="1351" t="n"/>
      <c r="L373" s="1351" t="n"/>
      <c r="M373" s="1351" t="n"/>
      <c r="N373" s="1351" t="n"/>
      <c r="O373" s="1351" t="n"/>
      <c r="P373" s="1349" t="n"/>
    </row>
    <row r="374" customFormat="1" s="324">
      <c r="A374" s="1349" t="n"/>
      <c r="B374" s="1501" t="n"/>
      <c r="C374" s="1439" t="n"/>
      <c r="D374" s="1439" t="n"/>
      <c r="E374" s="1439" t="n"/>
      <c r="F374" s="1439" t="n"/>
      <c r="G374" s="1440" t="n"/>
      <c r="H374" s="1391" t="n"/>
      <c r="I374" s="1351" t="n"/>
      <c r="J374" s="1351" t="n"/>
      <c r="K374" s="1351" t="n"/>
      <c r="L374" s="1351" t="n"/>
      <c r="M374" s="1351" t="n"/>
      <c r="N374" s="1351" t="n"/>
      <c r="O374" s="1351" t="n"/>
      <c r="P374" s="1349" t="n"/>
    </row>
    <row r="375" customFormat="1" s="324">
      <c r="A375" s="1349" t="n"/>
      <c r="B375" s="1501" t="n"/>
      <c r="C375" s="1439" t="n"/>
      <c r="D375" s="1439" t="n"/>
      <c r="E375" s="1439" t="n"/>
      <c r="F375" s="1439" t="n"/>
      <c r="G375" s="1440" t="n"/>
      <c r="H375" s="1391" t="n"/>
      <c r="I375" s="1351" t="n"/>
      <c r="J375" s="1351" t="n"/>
      <c r="K375" s="1351" t="n"/>
      <c r="L375" s="1351" t="n"/>
      <c r="M375" s="1351" t="n"/>
      <c r="N375" s="1351" t="n"/>
      <c r="O375" s="1351" t="n"/>
      <c r="P375" s="1349" t="n"/>
    </row>
    <row r="376" customFormat="1" s="324">
      <c r="A376" s="1349" t="n"/>
      <c r="B376" s="1501" t="n"/>
      <c r="C376" s="1439" t="n"/>
      <c r="D376" s="1439" t="n"/>
      <c r="E376" s="1439" t="n"/>
      <c r="F376" s="1439" t="n"/>
      <c r="G376" s="1440" t="n"/>
      <c r="H376" s="1391" t="n"/>
      <c r="I376" s="1351" t="n"/>
      <c r="J376" s="1351" t="n"/>
      <c r="K376" s="1351" t="n"/>
      <c r="L376" s="1351" t="n"/>
      <c r="M376" s="1351" t="n"/>
      <c r="N376" s="1351" t="n"/>
      <c r="O376" s="1351" t="n"/>
      <c r="P376" s="1349" t="n"/>
    </row>
    <row r="377" customFormat="1" s="324">
      <c r="A377" s="1349" t="n"/>
      <c r="B377" s="1501" t="n"/>
      <c r="C377" s="1439" t="n"/>
      <c r="D377" s="1439" t="n"/>
      <c r="E377" s="1439" t="n"/>
      <c r="F377" s="1439" t="n"/>
      <c r="G377" s="1440" t="n"/>
      <c r="H377" s="1391" t="n"/>
      <c r="I377" s="1351" t="n"/>
      <c r="J377" s="1351" t="n"/>
      <c r="K377" s="1351" t="n"/>
      <c r="L377" s="1351" t="n"/>
      <c r="M377" s="1351" t="n"/>
      <c r="N377" s="1351" t="n"/>
      <c r="O377" s="1351" t="n"/>
      <c r="P377" s="1349" t="n"/>
    </row>
    <row r="378" customFormat="1" s="324">
      <c r="A378" s="1349" t="n"/>
      <c r="B378" s="1501" t="n"/>
      <c r="C378" s="1439" t="n"/>
      <c r="D378" s="1439" t="n"/>
      <c r="E378" s="1439" t="n"/>
      <c r="F378" s="1439" t="n"/>
      <c r="G378" s="1440" t="n"/>
      <c r="H378" s="1391" t="n"/>
      <c r="I378" s="1351" t="n"/>
      <c r="J378" s="1351" t="n"/>
      <c r="K378" s="1351" t="n"/>
      <c r="L378" s="1351" t="n"/>
      <c r="M378" s="1351" t="n"/>
      <c r="N378" s="1351" t="n"/>
      <c r="O378" s="1351" t="n"/>
      <c r="P378" s="1349" t="n"/>
    </row>
    <row r="379" customFormat="1" s="324">
      <c r="A379" s="1349" t="n"/>
      <c r="B379" s="1501" t="n"/>
      <c r="C379" s="1439" t="n"/>
      <c r="D379" s="1439" t="n"/>
      <c r="E379" s="1439" t="n"/>
      <c r="F379" s="1439" t="n"/>
      <c r="G379" s="1440" t="n"/>
      <c r="H379" s="1391" t="n"/>
      <c r="I379" s="1351" t="n"/>
      <c r="J379" s="1351" t="n"/>
      <c r="K379" s="1351" t="n"/>
      <c r="L379" s="1351" t="n"/>
      <c r="M379" s="1351" t="n"/>
      <c r="N379" s="1351" t="n"/>
      <c r="O379" s="1351" t="n"/>
      <c r="P379" s="1349" t="n"/>
    </row>
    <row r="380" customFormat="1" s="324">
      <c r="A380" s="1349" t="n"/>
      <c r="B380" s="1501" t="n"/>
      <c r="C380" s="1439" t="n"/>
      <c r="D380" s="1439" t="n"/>
      <c r="E380" s="1439" t="n"/>
      <c r="F380" s="1439" t="n"/>
      <c r="G380" s="1440" t="n"/>
      <c r="H380" s="1391" t="n"/>
      <c r="I380" s="1351" t="n"/>
      <c r="J380" s="1351" t="n"/>
      <c r="K380" s="1351" t="n"/>
      <c r="L380" s="1351" t="n"/>
      <c r="M380" s="1351" t="n"/>
      <c r="N380" s="1351" t="n"/>
      <c r="O380" s="1351" t="n"/>
      <c r="P380" s="1349" t="n"/>
    </row>
    <row r="381" customFormat="1" s="324">
      <c r="A381" s="1349" t="n"/>
      <c r="B381" s="1501" t="n"/>
      <c r="C381" s="1439" t="n"/>
      <c r="D381" s="1439" t="n"/>
      <c r="E381" s="1439" t="n"/>
      <c r="F381" s="1439" t="n"/>
      <c r="G381" s="1440" t="n"/>
      <c r="H381" s="1391" t="n"/>
      <c r="I381" s="1351" t="n"/>
      <c r="J381" s="1351" t="n"/>
      <c r="K381" s="1351" t="n"/>
      <c r="L381" s="1351" t="n"/>
      <c r="M381" s="1351" t="n"/>
      <c r="N381" s="1351" t="n"/>
      <c r="O381" s="1351" t="n"/>
      <c r="P381" s="1349" t="n"/>
    </row>
    <row r="382" customFormat="1" s="324">
      <c r="A382" s="1349" t="n"/>
      <c r="B382" s="1501" t="n"/>
      <c r="C382" s="1439" t="n"/>
      <c r="D382" s="1439" t="n"/>
      <c r="E382" s="1439" t="n"/>
      <c r="F382" s="1439" t="n"/>
      <c r="G382" s="1440" t="n"/>
      <c r="H382" s="1391" t="n"/>
      <c r="I382" s="1351" t="n"/>
      <c r="J382" s="1351" t="n"/>
      <c r="K382" s="1351" t="n"/>
      <c r="L382" s="1351" t="n"/>
      <c r="M382" s="1351" t="n"/>
      <c r="N382" s="1351" t="n"/>
      <c r="O382" s="1351" t="n"/>
      <c r="P382" s="1349" t="n"/>
    </row>
    <row r="383" ht="14.25" customFormat="1" customHeight="1" s="324">
      <c r="A383" s="1349" t="n"/>
      <c r="B383" s="1501" t="n"/>
      <c r="C383" s="1439" t="n"/>
      <c r="D383" s="1439" t="n"/>
      <c r="E383" s="1439" t="n"/>
      <c r="F383" s="1439" t="n"/>
      <c r="G383" s="1440" t="n"/>
      <c r="H383" s="1391" t="n"/>
      <c r="I383" s="1351" t="n"/>
      <c r="J383" s="1351" t="n"/>
      <c r="K383" s="1351" t="n"/>
      <c r="L383" s="1351" t="n"/>
      <c r="M383" s="1351" t="n"/>
      <c r="N383" s="1351" t="n"/>
      <c r="O383" s="1351" t="n"/>
      <c r="P383" s="1349" t="n"/>
    </row>
    <row r="384" customFormat="1" s="324">
      <c r="A384" s="1349" t="n"/>
      <c r="B384" s="1501" t="n"/>
      <c r="C384" s="1439" t="n"/>
      <c r="D384" s="1439" t="n"/>
      <c r="E384" s="1439" t="n"/>
      <c r="F384" s="1439" t="n"/>
      <c r="G384" s="1440" t="n"/>
      <c r="H384" s="1391" t="n"/>
      <c r="I384" s="1351" t="n"/>
      <c r="J384" s="1351" t="n"/>
      <c r="K384" s="1351" t="n"/>
      <c r="L384" s="1351" t="n"/>
      <c r="M384" s="1351" t="n"/>
      <c r="N384" s="1351" t="n"/>
      <c r="O384" s="1351" t="n"/>
      <c r="P384" s="1349" t="n"/>
    </row>
    <row r="385" customFormat="1" s="324">
      <c r="A385" s="1349" t="n"/>
      <c r="B385" s="1501" t="n"/>
      <c r="C385" s="1439" t="n"/>
      <c r="D385" s="1439" t="n"/>
      <c r="E385" s="1439" t="n"/>
      <c r="F385" s="1439" t="n"/>
      <c r="G385" s="1440" t="n"/>
      <c r="H385" s="1391" t="n"/>
      <c r="I385" s="1351" t="n"/>
      <c r="J385" s="1351" t="n"/>
      <c r="K385" s="1351" t="n"/>
      <c r="L385" s="1351" t="n"/>
      <c r="M385" s="1351" t="n"/>
      <c r="N385" s="1351" t="n"/>
      <c r="O385" s="1351" t="n"/>
      <c r="P385" s="1349" t="n"/>
    </row>
    <row r="386" customFormat="1" s="324">
      <c r="A386" s="1349" t="n"/>
      <c r="B386" s="1501" t="n"/>
      <c r="C386" s="1439" t="n"/>
      <c r="D386" s="1439" t="n"/>
      <c r="E386" s="1439" t="n"/>
      <c r="F386" s="1439" t="n"/>
      <c r="G386" s="1440" t="n"/>
      <c r="H386" s="1391" t="n"/>
      <c r="I386" s="1351" t="n"/>
      <c r="J386" s="1351" t="n"/>
      <c r="K386" s="1351" t="n"/>
      <c r="L386" s="1351" t="n"/>
      <c r="M386" s="1351" t="n"/>
      <c r="N386" s="1351" t="n"/>
      <c r="O386" s="1351" t="n"/>
      <c r="P386" s="1349" t="n"/>
    </row>
    <row r="387" customFormat="1" s="324">
      <c r="A387" s="1349" t="n"/>
      <c r="B387" s="1501" t="n"/>
      <c r="C387" s="1439" t="n"/>
      <c r="D387" s="1439" t="n"/>
      <c r="E387" s="1439" t="n"/>
      <c r="F387" s="1439" t="n"/>
      <c r="G387" s="1440" t="n"/>
      <c r="H387" s="1391" t="n"/>
      <c r="I387" s="1351" t="n"/>
      <c r="J387" s="1351" t="n"/>
      <c r="K387" s="1351" t="n"/>
      <c r="L387" s="1351" t="n"/>
      <c r="M387" s="1351" t="n"/>
      <c r="N387" s="1351" t="n"/>
      <c r="O387" s="1351" t="n"/>
      <c r="P387" s="1349" t="n"/>
    </row>
    <row r="388" customFormat="1" s="324">
      <c r="A388" s="1349" t="n"/>
      <c r="B388" s="1501" t="n"/>
      <c r="C388" s="1439" t="n"/>
      <c r="D388" s="1439" t="n"/>
      <c r="E388" s="1439" t="n"/>
      <c r="F388" s="1439" t="n"/>
      <c r="G388" s="1440" t="n"/>
      <c r="H388" s="1391" t="n"/>
      <c r="I388" s="1351" t="n"/>
      <c r="J388" s="1351" t="n"/>
      <c r="K388" s="1351" t="n"/>
      <c r="L388" s="1351" t="n"/>
      <c r="M388" s="1351" t="n"/>
      <c r="N388" s="1351" t="n"/>
      <c r="O388" s="1351" t="n"/>
      <c r="P388" s="1349" t="n"/>
    </row>
    <row r="389" customFormat="1" s="324">
      <c r="A389" s="1349" t="n"/>
      <c r="B389" s="1501" t="n"/>
      <c r="C389" s="1439" t="n"/>
      <c r="D389" s="1439" t="n"/>
      <c r="E389" s="1439" t="n"/>
      <c r="F389" s="1439" t="n"/>
      <c r="G389" s="1440" t="n"/>
      <c r="H389" s="1391" t="n"/>
      <c r="I389" s="1351" t="n"/>
      <c r="J389" s="1351" t="n"/>
      <c r="K389" s="1351" t="n"/>
      <c r="L389" s="1351" t="n"/>
      <c r="M389" s="1351" t="n"/>
      <c r="N389" s="1351" t="n"/>
      <c r="O389" s="1351" t="n"/>
      <c r="P389" s="1349" t="n"/>
    </row>
    <row r="390" customFormat="1" s="324">
      <c r="A390" s="1349" t="n"/>
      <c r="B390" s="1501" t="n"/>
      <c r="C390" s="1439" t="n"/>
      <c r="D390" s="1439" t="n"/>
      <c r="E390" s="1439" t="n"/>
      <c r="F390" s="1439" t="n"/>
      <c r="G390" s="1440" t="n"/>
      <c r="H390" s="1391" t="n"/>
      <c r="I390" s="1351" t="n"/>
      <c r="J390" s="1351" t="n"/>
      <c r="K390" s="1351" t="n"/>
      <c r="L390" s="1351" t="n"/>
      <c r="M390" s="1351" t="n"/>
      <c r="N390" s="1351" t="n"/>
      <c r="O390" s="1351" t="n"/>
      <c r="P390" s="1349" t="n"/>
    </row>
    <row r="391" customFormat="1" s="324">
      <c r="A391" s="1349" t="n"/>
      <c r="B391" s="1501" t="n"/>
      <c r="C391" s="1439" t="n"/>
      <c r="D391" s="1439" t="n"/>
      <c r="E391" s="1439" t="n"/>
      <c r="F391" s="1439" t="n"/>
      <c r="G391" s="1440" t="n"/>
      <c r="H391" s="1391" t="n"/>
      <c r="I391" s="1351" t="n"/>
      <c r="J391" s="1351" t="n"/>
      <c r="K391" s="1351" t="n"/>
      <c r="L391" s="1351" t="n"/>
      <c r="M391" s="1351" t="n"/>
      <c r="N391" s="1351" t="n"/>
      <c r="O391" s="1351" t="n"/>
      <c r="P391" s="1349" t="n"/>
    </row>
    <row r="392" customFormat="1" s="324">
      <c r="A392" s="1349" t="n"/>
      <c r="B392" s="1501" t="n"/>
      <c r="C392" s="1439" t="n"/>
      <c r="D392" s="1439" t="n"/>
      <c r="E392" s="1439" t="n"/>
      <c r="F392" s="1439" t="n"/>
      <c r="G392" s="1440" t="n"/>
      <c r="H392" s="1391" t="n"/>
      <c r="I392" s="1351" t="n"/>
      <c r="J392" s="1351" t="n"/>
      <c r="K392" s="1351" t="n"/>
      <c r="L392" s="1351" t="n"/>
      <c r="M392" s="1351" t="n"/>
      <c r="N392" s="1351" t="n"/>
      <c r="O392" s="1351" t="n"/>
      <c r="P392" s="1349" t="n"/>
    </row>
    <row r="393" customFormat="1" s="324">
      <c r="A393" s="1349" t="n"/>
      <c r="B393" s="1501" t="n"/>
      <c r="C393" s="1439" t="n"/>
      <c r="D393" s="1439" t="n"/>
      <c r="E393" s="1439" t="n"/>
      <c r="F393" s="1439" t="n"/>
      <c r="G393" s="1440" t="n"/>
      <c r="H393" s="1391" t="n"/>
      <c r="I393" s="1351" t="n"/>
      <c r="J393" s="1351" t="n"/>
      <c r="K393" s="1351" t="n"/>
      <c r="L393" s="1351" t="n"/>
      <c r="M393" s="1351" t="n"/>
      <c r="N393" s="1351" t="n"/>
      <c r="O393" s="1351" t="n"/>
      <c r="P393" s="1349" t="n"/>
    </row>
    <row r="394" customFormat="1" s="324">
      <c r="A394" s="1349" t="n"/>
      <c r="B394" s="1501" t="n"/>
      <c r="C394" s="1439" t="n"/>
      <c r="D394" s="1439" t="n"/>
      <c r="E394" s="1439" t="n"/>
      <c r="F394" s="1439" t="n"/>
      <c r="G394" s="1440" t="n"/>
      <c r="H394" s="1391" t="n"/>
      <c r="I394" s="1351" t="n"/>
      <c r="J394" s="1351" t="n"/>
      <c r="K394" s="1351" t="n"/>
      <c r="L394" s="1351" t="n"/>
      <c r="M394" s="1351" t="n"/>
      <c r="N394" s="1351" t="n"/>
      <c r="O394" s="1351" t="n"/>
      <c r="P394" s="1349" t="n"/>
    </row>
    <row r="395" customFormat="1" s="324">
      <c r="A395" s="1349" t="n"/>
      <c r="B395" s="1501" t="n"/>
      <c r="C395" s="1439" t="n"/>
      <c r="D395" s="1439" t="n"/>
      <c r="E395" s="1439" t="n"/>
      <c r="F395" s="1439" t="n"/>
      <c r="G395" s="1440" t="n"/>
      <c r="H395" s="1391" t="n"/>
      <c r="I395" s="1351" t="n"/>
      <c r="J395" s="1351" t="n"/>
      <c r="K395" s="1351" t="n"/>
      <c r="L395" s="1351" t="n"/>
      <c r="M395" s="1351" t="n"/>
      <c r="N395" s="1351" t="n"/>
      <c r="O395" s="1351" t="n"/>
      <c r="P395" s="1349" t="n"/>
    </row>
    <row r="396" customFormat="1" s="324">
      <c r="A396" s="1349" t="n"/>
      <c r="B396" s="1501" t="n"/>
      <c r="C396" s="1439" t="n"/>
      <c r="D396" s="1439" t="n"/>
      <c r="E396" s="1439" t="n"/>
      <c r="F396" s="1439" t="n"/>
      <c r="G396" s="1440" t="n"/>
      <c r="H396" s="1391" t="n"/>
      <c r="I396" s="1351" t="n"/>
      <c r="J396" s="1351" t="n"/>
      <c r="K396" s="1351" t="n"/>
      <c r="L396" s="1351" t="n"/>
      <c r="M396" s="1351" t="n"/>
      <c r="N396" s="1351" t="n"/>
      <c r="O396" s="1351" t="n"/>
      <c r="P396" s="1349" t="n"/>
    </row>
    <row r="397" customFormat="1" s="324">
      <c r="A397" s="1349" t="n"/>
      <c r="B397" s="1501" t="n"/>
      <c r="C397" s="1439" t="n"/>
      <c r="D397" s="1439" t="n"/>
      <c r="E397" s="1439" t="n"/>
      <c r="F397" s="1439" t="n"/>
      <c r="G397" s="1440" t="n"/>
      <c r="H397" s="1391" t="n"/>
      <c r="I397" s="1351" t="n"/>
      <c r="J397" s="1351" t="n"/>
      <c r="K397" s="1351" t="n"/>
      <c r="L397" s="1351" t="n"/>
      <c r="M397" s="1351" t="n"/>
      <c r="N397" s="1351" t="n"/>
      <c r="O397" s="1351" t="n"/>
      <c r="P397" s="1349" t="n"/>
    </row>
    <row r="398" customFormat="1" s="324">
      <c r="A398" s="1349" t="n"/>
      <c r="B398" s="1501" t="n"/>
      <c r="C398" s="1439" t="n"/>
      <c r="D398" s="1439" t="n"/>
      <c r="E398" s="1439" t="n"/>
      <c r="F398" s="1439" t="n"/>
      <c r="G398" s="1440" t="n"/>
      <c r="H398" s="1391" t="n"/>
      <c r="I398" s="1351" t="n"/>
      <c r="J398" s="1351" t="n"/>
      <c r="K398" s="1351" t="n"/>
      <c r="L398" s="1351" t="n"/>
      <c r="M398" s="1351" t="n"/>
      <c r="N398" s="1351" t="n"/>
      <c r="O398" s="1351" t="n"/>
      <c r="P398" s="1349" t="n"/>
    </row>
    <row r="399" customFormat="1" s="324">
      <c r="A399" s="1349" t="n"/>
      <c r="B399" s="1501" t="n"/>
      <c r="C399" s="1439" t="n"/>
      <c r="D399" s="1439" t="n"/>
      <c r="E399" s="1439" t="n"/>
      <c r="F399" s="1439" t="n"/>
      <c r="G399" s="1440" t="n"/>
      <c r="H399" s="1391" t="n"/>
      <c r="I399" s="1351" t="n"/>
      <c r="J399" s="1351" t="n"/>
      <c r="K399" s="1351" t="n"/>
      <c r="L399" s="1351" t="n"/>
      <c r="M399" s="1351" t="n"/>
      <c r="N399" s="1351" t="n"/>
      <c r="O399" s="1351" t="n"/>
      <c r="P399" s="1349" t="n"/>
    </row>
    <row r="400" ht="21.75" customFormat="1" customHeight="1" s="324">
      <c r="A400" s="1349" t="n"/>
      <c r="B400" s="1501" t="n"/>
      <c r="C400" s="1439" t="n"/>
      <c r="D400" s="1439" t="n"/>
      <c r="E400" s="1439" t="n"/>
      <c r="F400" s="1439" t="n"/>
      <c r="G400" s="1440" t="n"/>
      <c r="H400" s="1391" t="n"/>
      <c r="I400" s="1351" t="n"/>
      <c r="J400" s="1351" t="n"/>
      <c r="K400" s="1351" t="n"/>
      <c r="L400" s="1351" t="n"/>
      <c r="M400" s="1351" t="n"/>
      <c r="N400" s="1351" t="n"/>
      <c r="O400" s="1351" t="n"/>
      <c r="P400" s="1349" t="n"/>
    </row>
    <row r="401" ht="15.65" customFormat="1" customHeight="1" s="324">
      <c r="A401" s="1349" t="n"/>
      <c r="B401" s="1501" t="n"/>
      <c r="C401" s="1439" t="n"/>
      <c r="D401" s="1439" t="n"/>
      <c r="E401" s="1439" t="n"/>
      <c r="F401" s="1439" t="n"/>
      <c r="G401" s="1440" t="n"/>
      <c r="H401" s="1391" t="n"/>
      <c r="I401" s="1351" t="n"/>
      <c r="J401" s="1351" t="n"/>
      <c r="K401" s="1351" t="n"/>
      <c r="L401" s="1351" t="n"/>
      <c r="M401" s="1351" t="n"/>
      <c r="N401" s="1351" t="n"/>
      <c r="O401" s="1351" t="n"/>
      <c r="P401" s="1349" t="n"/>
    </row>
    <row r="402" customFormat="1" s="324">
      <c r="A402" s="1349" t="n"/>
      <c r="B402" s="1501" t="n"/>
      <c r="C402" s="1439" t="n"/>
      <c r="D402" s="1439" t="n"/>
      <c r="E402" s="1439" t="n"/>
      <c r="F402" s="1439" t="n"/>
      <c r="G402" s="1440" t="n"/>
      <c r="H402" s="1391" t="n"/>
      <c r="I402" s="1351" t="n"/>
      <c r="J402" s="1351" t="n"/>
      <c r="K402" s="1351" t="n"/>
      <c r="L402" s="1351" t="n"/>
      <c r="M402" s="1351" t="n"/>
      <c r="N402" s="1351" t="n"/>
      <c r="O402" s="1351" t="n"/>
      <c r="P402" s="1349" t="n"/>
    </row>
    <row r="403">
      <c r="A403" s="1389" t="n"/>
      <c r="B403" s="1349" t="n"/>
      <c r="C403" s="1351" t="n"/>
      <c r="D403" s="1351" t="n"/>
      <c r="E403" s="1351" t="n"/>
      <c r="F403" s="1351" t="n"/>
      <c r="G403" s="1351" t="n"/>
      <c r="H403" s="1351" t="n"/>
      <c r="I403" s="1351" t="n"/>
      <c r="J403" s="1351" t="n"/>
      <c r="K403" s="1351" t="n"/>
      <c r="L403" s="1351" t="n"/>
      <c r="M403" s="1351" t="n"/>
      <c r="N403" s="1351" t="n"/>
      <c r="O403" s="1351" t="n"/>
      <c r="P403" s="1349" t="n"/>
    </row>
    <row r="404">
      <c r="A404" s="1389" t="n"/>
      <c r="B404" s="1349" t="n"/>
      <c r="C404" s="1351" t="n"/>
      <c r="D404" s="1351" t="n"/>
      <c r="E404" s="1351" t="n"/>
      <c r="F404" s="1351" t="n"/>
      <c r="G404" s="1351" t="n"/>
      <c r="H404" s="1351" t="n"/>
      <c r="I404" s="1351" t="n"/>
      <c r="J404" s="1351" t="n"/>
      <c r="K404" s="1351" t="n"/>
      <c r="L404" s="1351" t="n"/>
      <c r="M404" s="1351" t="n"/>
      <c r="N404" s="1351" t="n"/>
      <c r="O404" s="1351" t="n"/>
      <c r="P404" s="1349" t="n"/>
    </row>
    <row r="405" customFormat="1" s="324">
      <c r="A405" s="1349" t="n"/>
      <c r="B405" s="1501" t="n"/>
      <c r="C405" s="1439" t="n"/>
      <c r="D405" s="1439" t="n"/>
      <c r="E405" s="1439" t="n"/>
      <c r="F405" s="1439" t="n"/>
      <c r="G405" s="1440" t="n"/>
      <c r="H405" s="1391" t="n"/>
      <c r="I405" s="1351" t="n"/>
      <c r="J405" s="1351" t="n"/>
      <c r="K405" s="1351" t="n"/>
      <c r="L405" s="1351" t="n"/>
      <c r="M405" s="1351" t="n"/>
      <c r="N405" s="1351" t="n"/>
      <c r="O405" s="1351" t="n"/>
      <c r="P405" s="1349" t="n"/>
    </row>
    <row r="406" customFormat="1" s="324">
      <c r="A406" s="1349" t="n"/>
      <c r="B406" s="1501" t="n"/>
      <c r="C406" s="1439" t="n"/>
      <c r="D406" s="1439" t="n"/>
      <c r="E406" s="1439" t="n"/>
      <c r="F406" s="1439" t="n"/>
      <c r="G406" s="1440" t="n"/>
      <c r="H406" s="1391" t="n"/>
      <c r="I406" s="1351" t="n"/>
      <c r="J406" s="1351" t="n"/>
      <c r="K406" s="1351" t="n"/>
      <c r="L406" s="1351" t="n"/>
      <c r="M406" s="1351" t="n"/>
      <c r="N406" s="1351" t="n"/>
      <c r="O406" s="1351" t="n"/>
      <c r="P406" s="1349" t="n"/>
    </row>
    <row r="407" customFormat="1" s="324">
      <c r="A407" s="1349" t="n"/>
      <c r="B407" s="1501" t="n"/>
      <c r="C407" s="1439" t="n"/>
      <c r="D407" s="1439" t="n"/>
      <c r="E407" s="1439" t="n"/>
      <c r="F407" s="1439" t="n"/>
      <c r="G407" s="1440" t="n"/>
      <c r="H407" s="1391" t="n"/>
      <c r="I407" s="1351" t="n"/>
      <c r="J407" s="1351" t="n"/>
      <c r="K407" s="1351" t="n"/>
      <c r="L407" s="1351" t="n"/>
      <c r="M407" s="1351" t="n"/>
      <c r="N407" s="1351" t="n"/>
      <c r="O407" s="1351" t="n"/>
      <c r="P407" s="1349" t="n"/>
    </row>
    <row r="408" customFormat="1" s="324">
      <c r="A408" s="1349" t="n"/>
      <c r="B408" s="1501" t="n"/>
      <c r="C408" s="1439" t="n"/>
      <c r="D408" s="1439" t="n"/>
      <c r="E408" s="1439" t="n"/>
      <c r="F408" s="1439" t="n"/>
      <c r="G408" s="1440" t="n"/>
      <c r="H408" s="1391" t="n"/>
      <c r="I408" s="1351" t="n"/>
      <c r="J408" s="1351" t="n"/>
      <c r="K408" s="1351" t="n"/>
      <c r="L408" s="1351" t="n"/>
      <c r="M408" s="1351" t="n"/>
      <c r="N408" s="1351" t="n"/>
      <c r="O408" s="1351" t="n"/>
      <c r="P408" s="1349" t="n"/>
    </row>
    <row r="409" customFormat="1" s="324">
      <c r="A409" s="1349" t="n"/>
      <c r="B409" s="1501" t="n"/>
      <c r="C409" s="1439" t="n"/>
      <c r="D409" s="1439" t="n"/>
      <c r="E409" s="1439" t="n"/>
      <c r="F409" s="1439" t="n"/>
      <c r="G409" s="1440" t="n"/>
      <c r="H409" s="1391" t="n"/>
      <c r="I409" s="1351" t="n"/>
      <c r="J409" s="1351" t="n"/>
      <c r="K409" s="1351" t="n"/>
      <c r="L409" s="1351" t="n"/>
      <c r="M409" s="1351" t="n"/>
      <c r="N409" s="1351" t="n"/>
      <c r="O409" s="1351" t="n"/>
      <c r="P409" s="1349" t="n"/>
    </row>
    <row r="410" customFormat="1" s="324">
      <c r="A410" s="1349" t="n"/>
      <c r="B410" s="1501" t="n"/>
      <c r="C410" s="1439" t="n"/>
      <c r="D410" s="1439" t="n"/>
      <c r="E410" s="1439" t="n"/>
      <c r="F410" s="1439" t="n"/>
      <c r="G410" s="1440" t="n"/>
      <c r="H410" s="1391" t="n"/>
      <c r="I410" s="1351" t="n"/>
      <c r="J410" s="1351" t="n"/>
      <c r="K410" s="1351" t="n"/>
      <c r="L410" s="1351" t="n"/>
      <c r="M410" s="1351" t="n"/>
      <c r="N410" s="1351" t="n"/>
      <c r="O410" s="1351" t="n"/>
      <c r="P410" s="1349" t="n"/>
    </row>
    <row r="411" customFormat="1" s="324">
      <c r="A411" s="1349" t="n"/>
      <c r="B411" s="1501" t="n"/>
      <c r="C411" s="1439" t="n"/>
      <c r="D411" s="1439" t="n"/>
      <c r="E411" s="1439" t="n"/>
      <c r="F411" s="1439" t="n"/>
      <c r="G411" s="1440" t="n"/>
      <c r="H411" s="1391" t="n"/>
      <c r="I411" s="1351" t="n"/>
      <c r="J411" s="1351" t="n"/>
      <c r="K411" s="1351" t="n"/>
      <c r="L411" s="1351" t="n"/>
      <c r="M411" s="1351" t="n"/>
      <c r="N411" s="1351" t="n"/>
      <c r="O411" s="1351" t="n"/>
      <c r="P411" s="1349" t="n"/>
    </row>
    <row r="412" customFormat="1" s="324">
      <c r="A412" s="1349" t="n"/>
      <c r="B412" s="1501" t="n"/>
      <c r="C412" s="1439" t="n"/>
      <c r="D412" s="1439" t="n"/>
      <c r="E412" s="1439" t="n"/>
      <c r="F412" s="1439" t="n"/>
      <c r="G412" s="1440" t="n"/>
      <c r="H412" s="1391" t="n"/>
      <c r="I412" s="1351" t="n"/>
      <c r="J412" s="1351" t="n"/>
      <c r="K412" s="1351" t="n"/>
      <c r="L412" s="1351" t="n"/>
      <c r="M412" s="1351" t="n"/>
      <c r="N412" s="1351" t="n"/>
      <c r="O412" s="1351" t="n"/>
      <c r="P412" s="1349" t="n"/>
    </row>
    <row r="413" customFormat="1" s="324">
      <c r="A413" s="1349" t="n"/>
      <c r="B413" s="1501" t="n"/>
      <c r="C413" s="1439" t="n"/>
      <c r="D413" s="1439" t="n"/>
      <c r="E413" s="1439" t="n"/>
      <c r="F413" s="1439" t="n"/>
      <c r="G413" s="1440" t="n"/>
      <c r="H413" s="1391" t="n"/>
      <c r="I413" s="1351" t="n"/>
      <c r="J413" s="1351" t="n"/>
      <c r="K413" s="1351" t="n"/>
      <c r="L413" s="1351" t="n"/>
      <c r="M413" s="1351" t="n"/>
      <c r="N413" s="1351" t="n"/>
      <c r="O413" s="1351" t="n"/>
      <c r="P413" s="1349" t="n"/>
    </row>
    <row r="414" customFormat="1" s="324">
      <c r="A414" s="1349" t="n"/>
      <c r="B414" s="1501" t="n"/>
      <c r="C414" s="1439" t="n"/>
      <c r="D414" s="1439" t="n"/>
      <c r="E414" s="1439" t="n"/>
      <c r="F414" s="1439" t="n"/>
      <c r="G414" s="1440" t="n"/>
      <c r="H414" s="1391" t="n"/>
      <c r="I414" s="1351" t="n"/>
      <c r="J414" s="1351" t="n"/>
      <c r="K414" s="1351" t="n"/>
      <c r="L414" s="1351" t="n"/>
      <c r="M414" s="1351" t="n"/>
      <c r="N414" s="1351" t="n"/>
      <c r="O414" s="1351" t="n"/>
      <c r="P414" s="1349" t="n"/>
    </row>
    <row r="415" customFormat="1" s="324">
      <c r="A415" s="1349" t="n"/>
      <c r="B415" s="1501" t="n"/>
      <c r="C415" s="1439" t="n"/>
      <c r="D415" s="1439" t="n"/>
      <c r="E415" s="1439" t="n"/>
      <c r="F415" s="1439" t="n"/>
      <c r="G415" s="1440" t="n"/>
      <c r="H415" s="1391" t="n"/>
      <c r="I415" s="1351" t="n"/>
      <c r="J415" s="1351" t="n"/>
      <c r="K415" s="1351" t="n"/>
      <c r="L415" s="1351" t="n"/>
      <c r="M415" s="1351" t="n"/>
      <c r="N415" s="1351" t="n"/>
      <c r="O415" s="1351" t="n"/>
      <c r="P415" s="1349" t="n"/>
    </row>
    <row r="416" customFormat="1" s="324">
      <c r="A416" s="1349" t="n"/>
      <c r="B416" s="1501" t="n"/>
      <c r="C416" s="1439" t="n"/>
      <c r="D416" s="1439" t="n"/>
      <c r="E416" s="1439" t="n"/>
      <c r="F416" s="1439" t="n"/>
      <c r="G416" s="1440" t="n"/>
      <c r="H416" s="1391" t="n"/>
      <c r="I416" s="1351" t="n"/>
      <c r="J416" s="1351" t="n"/>
      <c r="K416" s="1351" t="n"/>
      <c r="L416" s="1351" t="n"/>
      <c r="M416" s="1351" t="n"/>
      <c r="N416" s="1351" t="n"/>
      <c r="O416" s="1351" t="n"/>
      <c r="P416" s="1349" t="n"/>
    </row>
    <row r="417" customFormat="1" s="324">
      <c r="A417" s="1349" t="n"/>
      <c r="B417" s="1501" t="n"/>
      <c r="C417" s="1439" t="n"/>
      <c r="D417" s="1439" t="n"/>
      <c r="E417" s="1439" t="n"/>
      <c r="F417" s="1439" t="n"/>
      <c r="G417" s="1440" t="n"/>
      <c r="H417" s="1391" t="n"/>
      <c r="I417" s="1351" t="n"/>
      <c r="J417" s="1351" t="n"/>
      <c r="K417" s="1351" t="n"/>
      <c r="L417" s="1351" t="n"/>
      <c r="M417" s="1351" t="n"/>
      <c r="N417" s="1351" t="n"/>
      <c r="O417" s="1351" t="n"/>
      <c r="P417" s="1349" t="n"/>
    </row>
    <row r="418" customFormat="1" s="324">
      <c r="A418" s="1349" t="n"/>
      <c r="B418" s="1501" t="n"/>
      <c r="C418" s="1439" t="n"/>
      <c r="D418" s="1439" t="n"/>
      <c r="E418" s="1439" t="n"/>
      <c r="F418" s="1439" t="n"/>
      <c r="G418" s="1440" t="n"/>
      <c r="H418" s="1391" t="n"/>
      <c r="I418" s="1351" t="n"/>
      <c r="J418" s="1351" t="n"/>
      <c r="K418" s="1351" t="n"/>
      <c r="L418" s="1351" t="n"/>
      <c r="M418" s="1351" t="n"/>
      <c r="N418" s="1351" t="n"/>
      <c r="O418" s="1351" t="n"/>
      <c r="P418" s="1349" t="n"/>
    </row>
    <row r="419" customFormat="1" s="324">
      <c r="A419" s="1349" t="n"/>
      <c r="B419" s="1501" t="n"/>
      <c r="C419" s="1439" t="n"/>
      <c r="D419" s="1439" t="n"/>
      <c r="E419" s="1439" t="n"/>
      <c r="F419" s="1439" t="n"/>
      <c r="G419" s="1440" t="n"/>
      <c r="H419" s="1391" t="n"/>
      <c r="I419" s="1351" t="n"/>
      <c r="J419" s="1351" t="n"/>
      <c r="K419" s="1351" t="n"/>
      <c r="L419" s="1351" t="n"/>
      <c r="M419" s="1351" t="n"/>
      <c r="N419" s="1351" t="n"/>
      <c r="O419" s="1351" t="n"/>
      <c r="P419" s="1349" t="n"/>
    </row>
    <row r="420" customFormat="1" s="324">
      <c r="A420" s="1349" t="n"/>
      <c r="B420" s="1501" t="n"/>
      <c r="C420" s="1439" t="n"/>
      <c r="D420" s="1439" t="n"/>
      <c r="E420" s="1439" t="n"/>
      <c r="F420" s="1439" t="n"/>
      <c r="G420" s="1440" t="n"/>
      <c r="H420" s="1391" t="n"/>
      <c r="I420" s="1351" t="n"/>
      <c r="J420" s="1351" t="n"/>
      <c r="K420" s="1351" t="n"/>
      <c r="L420" s="1351" t="n"/>
      <c r="M420" s="1351" t="n"/>
      <c r="N420" s="1351" t="n"/>
      <c r="O420" s="1351" t="n"/>
      <c r="P420" s="1349" t="n"/>
    </row>
    <row r="421" customFormat="1" s="324">
      <c r="A421" s="1349" t="n"/>
      <c r="B421" s="1501" t="n"/>
      <c r="C421" s="1439" t="n"/>
      <c r="D421" s="1439" t="n"/>
      <c r="E421" s="1439" t="n"/>
      <c r="F421" s="1439" t="n"/>
      <c r="G421" s="1440" t="n"/>
      <c r="H421" s="1391" t="n"/>
      <c r="I421" s="1351" t="n"/>
      <c r="J421" s="1351" t="n"/>
      <c r="K421" s="1351" t="n"/>
      <c r="L421" s="1351" t="n"/>
      <c r="M421" s="1351" t="n"/>
      <c r="N421" s="1351" t="n"/>
      <c r="O421" s="1351" t="n"/>
      <c r="P421" s="1349" t="n"/>
    </row>
    <row r="422" customFormat="1" s="324">
      <c r="A422" s="1349" t="n"/>
      <c r="B422" s="1501" t="n"/>
      <c r="C422" s="1439" t="n"/>
      <c r="D422" s="1439" t="n"/>
      <c r="E422" s="1439" t="n"/>
      <c r="F422" s="1439" t="n"/>
      <c r="G422" s="1440" t="n"/>
      <c r="H422" s="1391" t="n"/>
      <c r="I422" s="1351" t="n"/>
      <c r="J422" s="1351" t="n"/>
      <c r="K422" s="1351" t="n"/>
      <c r="L422" s="1351" t="n"/>
      <c r="M422" s="1351" t="n"/>
      <c r="N422" s="1351" t="n"/>
      <c r="O422" s="1351" t="n"/>
      <c r="P422" s="1349" t="n"/>
    </row>
    <row r="423" customFormat="1" s="324">
      <c r="A423" s="1349" t="n"/>
      <c r="B423" s="1501" t="n"/>
      <c r="C423" s="1439" t="n"/>
      <c r="D423" s="1439" t="n"/>
      <c r="E423" s="1439" t="n"/>
      <c r="F423" s="1439" t="n"/>
      <c r="G423" s="1440" t="n"/>
      <c r="H423" s="1391" t="n"/>
      <c r="I423" s="1351" t="n"/>
      <c r="J423" s="1351" t="n"/>
      <c r="K423" s="1351" t="n"/>
      <c r="L423" s="1351" t="n"/>
      <c r="M423" s="1351" t="n"/>
      <c r="N423" s="1351" t="n"/>
      <c r="O423" s="1351" t="n"/>
      <c r="P423" s="1349" t="n"/>
    </row>
    <row r="424" customFormat="1" s="324">
      <c r="A424" s="1349" t="n"/>
      <c r="B424" s="1501" t="n"/>
      <c r="C424" s="1439" t="n"/>
      <c r="D424" s="1439" t="n"/>
      <c r="E424" s="1439" t="n"/>
      <c r="F424" s="1439" t="n"/>
      <c r="G424" s="1440" t="n"/>
      <c r="H424" s="1391" t="n"/>
      <c r="I424" s="1351" t="n"/>
      <c r="J424" s="1351" t="n"/>
      <c r="K424" s="1351" t="n"/>
      <c r="L424" s="1351" t="n"/>
      <c r="M424" s="1351" t="n"/>
      <c r="N424" s="1351" t="n"/>
      <c r="O424" s="1351" t="n"/>
      <c r="P424" s="1349" t="n"/>
    </row>
    <row r="425" customFormat="1" s="324">
      <c r="A425" s="1349" t="n"/>
      <c r="B425" s="1501" t="n"/>
      <c r="C425" s="1439" t="n"/>
      <c r="D425" s="1439" t="n"/>
      <c r="E425" s="1439" t="n"/>
      <c r="F425" s="1439" t="n"/>
      <c r="G425" s="1440" t="n"/>
      <c r="H425" s="1391" t="n"/>
      <c r="I425" s="1351" t="n"/>
      <c r="J425" s="1351" t="n"/>
      <c r="K425" s="1351" t="n"/>
      <c r="L425" s="1351" t="n"/>
      <c r="M425" s="1351" t="n"/>
      <c r="N425" s="1351" t="n"/>
      <c r="O425" s="1351" t="n"/>
      <c r="P425" s="1349" t="n"/>
    </row>
    <row r="426" customFormat="1" s="324">
      <c r="A426" s="1349" t="n"/>
      <c r="B426" s="1501" t="n"/>
      <c r="C426" s="1439" t="n"/>
      <c r="D426" s="1439" t="n"/>
      <c r="E426" s="1439" t="n"/>
      <c r="F426" s="1439" t="n"/>
      <c r="G426" s="1440" t="n"/>
      <c r="H426" s="1391" t="n"/>
      <c r="I426" s="1351" t="n"/>
      <c r="J426" s="1351" t="n"/>
      <c r="K426" s="1351" t="n"/>
      <c r="L426" s="1351" t="n"/>
      <c r="M426" s="1351" t="n"/>
      <c r="N426" s="1351" t="n"/>
      <c r="O426" s="1351" t="n"/>
      <c r="P426" s="1349" t="n"/>
    </row>
    <row r="427" customFormat="1" s="324">
      <c r="A427" s="1349" t="n"/>
      <c r="B427" s="1501" t="n"/>
      <c r="C427" s="1439" t="n"/>
      <c r="D427" s="1439" t="n"/>
      <c r="E427" s="1439" t="n"/>
      <c r="F427" s="1439" t="n"/>
      <c r="G427" s="1440" t="n"/>
      <c r="H427" s="1391" t="n"/>
      <c r="I427" s="1351" t="n"/>
      <c r="J427" s="1351" t="n"/>
      <c r="K427" s="1351" t="n"/>
      <c r="L427" s="1351" t="n"/>
      <c r="M427" s="1351" t="n"/>
      <c r="N427" s="1351" t="n"/>
      <c r="O427" s="1351" t="n"/>
      <c r="P427" s="1349" t="n"/>
    </row>
    <row r="428" customFormat="1" s="324">
      <c r="A428" s="1349" t="n"/>
      <c r="B428" s="1501" t="n"/>
      <c r="C428" s="1439" t="n"/>
      <c r="D428" s="1439" t="n"/>
      <c r="E428" s="1439" t="n"/>
      <c r="F428" s="1439" t="n"/>
      <c r="G428" s="1440" t="n"/>
      <c r="H428" s="1391" t="n"/>
      <c r="I428" s="1351" t="n"/>
      <c r="J428" s="1351" t="n"/>
      <c r="K428" s="1351" t="n"/>
      <c r="L428" s="1351" t="n"/>
      <c r="M428" s="1351" t="n"/>
      <c r="N428" s="1351" t="n"/>
      <c r="O428" s="1351" t="n"/>
      <c r="P428" s="1349" t="n"/>
    </row>
    <row r="429" customFormat="1" s="324">
      <c r="A429" s="1349" t="n"/>
      <c r="B429" s="1501" t="n"/>
      <c r="C429" s="1439" t="n"/>
      <c r="D429" s="1439" t="n"/>
      <c r="E429" s="1439" t="n"/>
      <c r="F429" s="1439" t="n"/>
      <c r="G429" s="1440" t="n"/>
      <c r="H429" s="1391" t="n"/>
      <c r="I429" s="1351" t="n"/>
      <c r="J429" s="1351" t="n"/>
      <c r="K429" s="1351" t="n"/>
      <c r="L429" s="1351" t="n"/>
      <c r="M429" s="1351" t="n"/>
      <c r="N429" s="1351" t="n"/>
      <c r="O429" s="1351" t="n"/>
      <c r="P429" s="1349" t="n"/>
    </row>
    <row r="430" customFormat="1" s="3">
      <c r="A430" s="1389" t="n"/>
      <c r="B430" s="1501" t="n"/>
      <c r="C430" s="1439" t="n"/>
      <c r="D430" s="1439" t="n"/>
      <c r="E430" s="1439" t="n"/>
      <c r="F430" s="1439" t="n"/>
      <c r="G430" s="1440" t="n"/>
      <c r="H430" s="1567" t="n"/>
      <c r="I430" s="1351" t="n"/>
      <c r="J430" s="1351" t="n"/>
      <c r="K430" s="1351" t="n"/>
      <c r="L430" s="1351" t="n"/>
      <c r="M430" s="1351" t="n"/>
      <c r="N430" s="1351" t="n"/>
      <c r="O430" s="1351" t="n"/>
      <c r="P430" s="1349" t="n"/>
    </row>
    <row r="431" customFormat="1" s="324">
      <c r="A431" s="1349" t="n"/>
      <c r="B431" s="1501" t="n"/>
      <c r="C431" s="1439" t="n"/>
      <c r="D431" s="1439" t="n"/>
      <c r="E431" s="1439" t="n"/>
      <c r="F431" s="1439" t="n"/>
      <c r="G431" s="1440" t="n"/>
      <c r="H431" s="1391" t="n"/>
      <c r="I431" s="1351" t="n"/>
      <c r="J431" s="1351" t="n"/>
      <c r="K431" s="1351" t="n"/>
      <c r="L431" s="1351" t="n"/>
      <c r="M431" s="1351" t="n"/>
      <c r="N431" s="1351" t="n"/>
      <c r="O431" s="1351" t="n"/>
      <c r="P431" s="1349" t="n"/>
    </row>
    <row r="432" ht="14.25" customFormat="1" customHeight="1" s="324">
      <c r="A432" s="1349" t="n"/>
      <c r="B432" s="1501" t="n"/>
      <c r="C432" s="1439" t="n"/>
      <c r="D432" s="1439" t="n"/>
      <c r="E432" s="1439" t="n"/>
      <c r="F432" s="1439" t="n"/>
      <c r="G432" s="1440" t="n"/>
      <c r="H432" s="1391" t="n"/>
      <c r="I432" s="1351" t="n"/>
      <c r="J432" s="1351" t="n"/>
      <c r="K432" s="1351" t="n"/>
      <c r="L432" s="1351" t="n"/>
      <c r="M432" s="1351" t="n"/>
      <c r="N432" s="1351" t="n"/>
      <c r="O432" s="1351" t="n"/>
      <c r="P432" s="1349" t="n"/>
    </row>
    <row r="433" customFormat="1" s="324">
      <c r="A433" s="1349" t="n"/>
      <c r="B433" s="1501" t="n"/>
      <c r="C433" s="1439" t="n"/>
      <c r="D433" s="1439" t="n"/>
      <c r="E433" s="1439" t="n"/>
      <c r="F433" s="1439" t="n"/>
      <c r="G433" s="1440" t="n"/>
      <c r="H433" s="1391" t="n"/>
      <c r="I433" s="1351" t="n"/>
      <c r="J433" s="1351" t="n"/>
      <c r="K433" s="1351" t="n"/>
      <c r="L433" s="1351" t="n"/>
      <c r="M433" s="1351" t="n"/>
      <c r="N433" s="1351" t="n"/>
      <c r="O433" s="1351" t="n"/>
      <c r="P433" s="1349" t="n"/>
    </row>
    <row r="434" customFormat="1" s="324">
      <c r="A434" s="1349" t="n"/>
      <c r="B434" s="1501" t="n"/>
      <c r="C434" s="1439" t="n"/>
      <c r="D434" s="1439" t="n"/>
      <c r="E434" s="1439" t="n"/>
      <c r="F434" s="1439" t="n"/>
      <c r="G434" s="1440" t="n"/>
      <c r="H434" s="1391" t="n"/>
      <c r="I434" s="1351" t="n"/>
      <c r="J434" s="1351" t="n"/>
      <c r="K434" s="1351" t="n"/>
      <c r="L434" s="1351" t="n"/>
      <c r="M434" s="1351" t="n"/>
      <c r="N434" s="1351" t="n"/>
      <c r="O434" s="1351" t="n"/>
      <c r="P434" s="1349" t="n"/>
    </row>
    <row r="435" customFormat="1" s="324">
      <c r="A435" s="1349" t="n"/>
      <c r="B435" s="1501" t="n"/>
      <c r="C435" s="1439" t="n"/>
      <c r="D435" s="1439" t="n"/>
      <c r="E435" s="1439" t="n"/>
      <c r="F435" s="1439" t="n"/>
      <c r="G435" s="1440" t="n"/>
      <c r="H435" s="1391" t="n"/>
      <c r="I435" s="1351" t="n"/>
      <c r="J435" s="1351" t="n"/>
      <c r="K435" s="1351" t="n"/>
      <c r="L435" s="1351" t="n"/>
      <c r="M435" s="1351" t="n"/>
      <c r="N435" s="1351" t="n"/>
      <c r="O435" s="1351" t="n"/>
      <c r="P435" s="1349" t="n"/>
    </row>
    <row r="436" customFormat="1" s="324">
      <c r="A436" s="1349" t="n"/>
      <c r="B436" s="1501" t="n"/>
      <c r="C436" s="1439" t="n"/>
      <c r="D436" s="1439" t="n"/>
      <c r="E436" s="1439" t="n"/>
      <c r="F436" s="1439" t="n"/>
      <c r="G436" s="1440" t="n"/>
      <c r="H436" s="1391" t="n"/>
      <c r="I436" s="1351" t="n"/>
      <c r="J436" s="1351" t="n"/>
      <c r="K436" s="1351" t="n"/>
      <c r="L436" s="1351" t="n"/>
      <c r="M436" s="1351" t="n"/>
      <c r="N436" s="1351" t="n"/>
      <c r="O436" s="1351" t="n"/>
      <c r="P436" s="1349" t="n"/>
    </row>
    <row r="437" ht="19.5" customFormat="1" customHeight="1" s="324">
      <c r="A437" s="1349" t="n"/>
      <c r="B437" s="1501" t="n"/>
      <c r="C437" s="1439" t="n"/>
      <c r="D437" s="1439" t="n"/>
      <c r="E437" s="1439" t="n"/>
      <c r="F437" s="1439" t="n"/>
      <c r="G437" s="1440" t="n"/>
      <c r="H437" s="1567" t="n"/>
      <c r="I437" s="1351" t="n"/>
      <c r="J437" s="1351" t="n"/>
      <c r="K437" s="1351" t="n"/>
      <c r="L437" s="1351" t="n"/>
      <c r="M437" s="1351" t="n"/>
      <c r="N437" s="1351" t="n"/>
      <c r="O437" s="1351" t="n"/>
      <c r="P437" s="1349" t="n"/>
    </row>
    <row r="438" customFormat="1" s="324">
      <c r="A438" s="1349" t="n"/>
      <c r="B438" s="1501" t="n"/>
      <c r="C438" s="1439" t="n"/>
      <c r="D438" s="1439" t="n"/>
      <c r="E438" s="1439" t="n"/>
      <c r="F438" s="1439" t="n"/>
      <c r="G438" s="1440" t="n"/>
      <c r="H438" s="1567" t="n"/>
      <c r="I438" s="1351" t="n"/>
      <c r="J438" s="1351" t="n"/>
      <c r="K438" s="1351" t="n"/>
      <c r="L438" s="1351" t="n"/>
      <c r="M438" s="1351" t="n"/>
      <c r="N438" s="1351" t="n"/>
      <c r="O438" s="1351" t="n"/>
      <c r="P438" s="1349" t="n"/>
    </row>
    <row r="439">
      <c r="A439" s="1389" t="n"/>
      <c r="B439" s="1349" t="n"/>
      <c r="C439" s="1351" t="n"/>
      <c r="D439" s="1351" t="n"/>
      <c r="E439" s="1351" t="n"/>
      <c r="F439" s="1351" t="n"/>
      <c r="G439" s="1351" t="n"/>
      <c r="H439" s="1351" t="n"/>
      <c r="I439" s="1351" t="n"/>
      <c r="J439" s="1351" t="n"/>
      <c r="K439" s="1351" t="n"/>
      <c r="L439" s="1351" t="n"/>
      <c r="M439" s="1351" t="n"/>
      <c r="N439" s="1351" t="n"/>
      <c r="O439" s="1351" t="n"/>
      <c r="P439" s="1349" t="n"/>
    </row>
    <row r="440">
      <c r="A440" s="1389" t="n"/>
      <c r="B440" s="1349" t="n"/>
      <c r="C440" s="1351" t="n"/>
      <c r="D440" s="1351" t="n"/>
      <c r="E440" s="1351" t="n"/>
      <c r="F440" s="1351" t="n"/>
      <c r="G440" s="1351" t="n"/>
      <c r="H440" s="1351" t="n"/>
      <c r="I440" s="1351" t="n"/>
      <c r="J440" s="1351" t="n"/>
      <c r="K440" s="1351" t="n"/>
      <c r="L440" s="1351" t="n"/>
      <c r="M440" s="1351" t="n"/>
      <c r="N440" s="1351" t="n"/>
      <c r="O440" s="1568" t="n"/>
      <c r="P440" s="1349" t="n"/>
    </row>
    <row r="441" customFormat="1" s="324">
      <c r="A441" s="1349" t="n"/>
      <c r="B441" s="1501" t="n"/>
      <c r="C441" s="1439" t="n"/>
      <c r="D441" s="1439" t="n"/>
      <c r="E441" s="1439" t="n"/>
      <c r="F441" s="1439" t="n"/>
      <c r="G441" s="1440" t="n"/>
      <c r="H441" s="1567" t="n"/>
      <c r="I441" s="1351" t="n"/>
      <c r="J441" s="1351" t="n"/>
      <c r="K441" s="1351" t="n"/>
      <c r="L441" s="1351" t="n"/>
      <c r="M441" s="1351" t="n"/>
      <c r="N441" s="1351" t="n"/>
      <c r="O441" s="1351" t="n"/>
      <c r="P441" s="1349" t="n"/>
    </row>
    <row r="442" customFormat="1" s="324">
      <c r="A442" s="1349" t="n"/>
      <c r="B442" s="1501" t="n"/>
      <c r="C442" s="1439" t="n"/>
      <c r="D442" s="1439" t="n"/>
      <c r="E442" s="1439" t="n"/>
      <c r="F442" s="1439" t="n"/>
      <c r="G442" s="1440" t="n"/>
      <c r="H442" s="1567" t="n"/>
      <c r="I442" s="1351" t="n"/>
      <c r="J442" s="1351" t="n"/>
      <c r="K442" s="1351" t="n"/>
      <c r="L442" s="1351" t="n"/>
      <c r="M442" s="1351" t="n"/>
      <c r="N442" s="1351" t="n"/>
      <c r="O442" s="1351" t="n"/>
      <c r="P442" s="1349" t="n"/>
    </row>
    <row r="443" customFormat="1" s="324">
      <c r="A443" s="1349" t="n"/>
      <c r="B443" s="1501" t="n"/>
      <c r="C443" s="1439" t="n"/>
      <c r="D443" s="1439" t="n"/>
      <c r="E443" s="1439" t="n"/>
      <c r="F443" s="1439" t="n"/>
      <c r="G443" s="1440" t="n"/>
      <c r="H443" s="1567" t="n"/>
      <c r="I443" s="1351" t="n"/>
      <c r="J443" s="1351" t="n"/>
      <c r="K443" s="1351" t="n"/>
      <c r="L443" s="1351" t="n"/>
      <c r="M443" s="1351" t="n"/>
      <c r="N443" s="1351" t="n"/>
      <c r="O443" s="1351" t="n"/>
      <c r="P443" s="1349" t="n"/>
    </row>
    <row r="444" customFormat="1" s="324">
      <c r="A444" s="1349" t="n"/>
      <c r="B444" s="1501" t="n"/>
      <c r="C444" s="1439" t="n"/>
      <c r="D444" s="1439" t="n"/>
      <c r="E444" s="1439" t="n"/>
      <c r="F444" s="1439" t="n"/>
      <c r="G444" s="1440" t="n"/>
      <c r="H444" s="1567" t="n"/>
      <c r="I444" s="1351" t="n"/>
      <c r="J444" s="1351" t="n"/>
      <c r="K444" s="1351" t="n"/>
      <c r="L444" s="1351" t="n"/>
      <c r="M444" s="1351" t="n"/>
      <c r="N444" s="1351" t="n"/>
      <c r="O444" s="1351" t="n"/>
      <c r="P444" s="1349" t="n"/>
    </row>
    <row r="445" customFormat="1" s="324">
      <c r="A445" s="1349" t="n"/>
      <c r="B445" s="1501" t="n"/>
      <c r="C445" s="1439" t="n"/>
      <c r="D445" s="1439" t="n"/>
      <c r="E445" s="1439" t="n"/>
      <c r="F445" s="1439" t="n"/>
      <c r="G445" s="1440" t="n"/>
      <c r="H445" s="1567" t="n"/>
      <c r="I445" s="1351" t="n"/>
      <c r="J445" s="1351" t="n"/>
      <c r="K445" s="1351" t="n"/>
      <c r="L445" s="1351" t="n"/>
      <c r="M445" s="1351" t="n"/>
      <c r="N445" s="1351" t="n"/>
      <c r="O445" s="1351" t="n"/>
      <c r="P445" s="1349" t="n"/>
    </row>
    <row r="446" customFormat="1" s="324">
      <c r="A446" s="1349" t="n"/>
      <c r="B446" s="1501" t="n"/>
      <c r="C446" s="1439" t="n"/>
      <c r="D446" s="1439" t="n"/>
      <c r="E446" s="1439" t="n"/>
      <c r="F446" s="1439" t="n"/>
      <c r="G446" s="1440" t="n"/>
      <c r="H446" s="1567" t="n"/>
      <c r="I446" s="1351" t="n"/>
      <c r="J446" s="1351" t="n"/>
      <c r="K446" s="1351" t="n"/>
      <c r="L446" s="1351" t="n"/>
      <c r="M446" s="1351" t="n"/>
      <c r="N446" s="1351" t="n"/>
      <c r="O446" s="1351" t="n"/>
      <c r="P446" s="1349" t="n"/>
    </row>
    <row r="447" customFormat="1" s="324">
      <c r="A447" s="1349" t="n"/>
      <c r="B447" s="1501" t="n"/>
      <c r="C447" s="1439" t="n"/>
      <c r="D447" s="1439" t="n"/>
      <c r="E447" s="1439" t="n"/>
      <c r="F447" s="1439" t="n"/>
      <c r="G447" s="1440" t="n"/>
      <c r="H447" s="1567" t="n"/>
      <c r="I447" s="1351" t="n"/>
      <c r="J447" s="1351" t="n"/>
      <c r="K447" s="1351" t="n"/>
      <c r="L447" s="1351" t="n"/>
      <c r="M447" s="1351" t="n"/>
      <c r="N447" s="1351" t="n"/>
      <c r="O447" s="1351" t="n"/>
      <c r="P447" s="1349" t="n"/>
    </row>
    <row r="448" customFormat="1" s="324">
      <c r="A448" s="1349" t="n"/>
      <c r="B448" s="1501" t="n"/>
      <c r="C448" s="1439" t="n"/>
      <c r="D448" s="1439" t="n"/>
      <c r="E448" s="1439" t="n"/>
      <c r="F448" s="1439" t="n"/>
      <c r="G448" s="1440" t="n"/>
      <c r="H448" s="1567" t="n"/>
      <c r="I448" s="1351" t="n"/>
      <c r="J448" s="1351" t="n"/>
      <c r="K448" s="1351" t="n"/>
      <c r="L448" s="1351" t="n"/>
      <c r="M448" s="1351" t="n"/>
      <c r="N448" s="1351" t="n"/>
      <c r="O448" s="1351" t="n"/>
      <c r="P448" s="1349" t="n"/>
    </row>
    <row r="449" customFormat="1" s="324">
      <c r="A449" s="1349" t="n"/>
      <c r="B449" s="1501" t="n"/>
      <c r="C449" s="1439" t="n"/>
      <c r="D449" s="1439" t="n"/>
      <c r="E449" s="1439" t="n"/>
      <c r="F449" s="1439" t="n"/>
      <c r="G449" s="1440" t="n"/>
      <c r="H449" s="1567" t="n"/>
      <c r="I449" s="1351" t="n"/>
      <c r="J449" s="1351" t="n"/>
      <c r="K449" s="1351" t="n"/>
      <c r="L449" s="1351" t="n"/>
      <c r="M449" s="1351" t="n"/>
      <c r="N449" s="1351" t="n"/>
      <c r="O449" s="1351" t="n"/>
      <c r="P449" s="1349" t="n"/>
    </row>
    <row r="450" customFormat="1" s="324">
      <c r="A450" s="1349" t="n"/>
      <c r="B450" s="1501" t="n"/>
      <c r="C450" s="1439" t="n"/>
      <c r="D450" s="1439" t="n"/>
      <c r="E450" s="1439" t="n"/>
      <c r="F450" s="1439" t="n"/>
      <c r="G450" s="1440" t="n"/>
      <c r="H450" s="1567" t="n"/>
      <c r="I450" s="1351" t="n"/>
      <c r="J450" s="1351" t="n"/>
      <c r="K450" s="1351" t="n"/>
      <c r="L450" s="1351" t="n"/>
      <c r="M450" s="1351" t="n"/>
      <c r="N450" s="1351" t="n"/>
      <c r="O450" s="1351" t="n"/>
      <c r="P450" s="1349" t="n"/>
    </row>
    <row r="451" customFormat="1" s="324">
      <c r="A451" s="1349" t="n"/>
      <c r="B451" s="1501" t="n"/>
      <c r="C451" s="1439" t="n"/>
      <c r="D451" s="1439" t="n"/>
      <c r="E451" s="1439" t="n"/>
      <c r="F451" s="1439" t="n"/>
      <c r="G451" s="1440" t="n"/>
      <c r="H451" s="1567" t="n"/>
      <c r="I451" s="1351" t="n"/>
      <c r="J451" s="1351" t="n"/>
      <c r="K451" s="1351" t="n"/>
      <c r="L451" s="1351" t="n"/>
      <c r="M451" s="1351" t="n"/>
      <c r="N451" s="1351" t="n"/>
      <c r="O451" s="1351" t="n"/>
      <c r="P451" s="1349" t="n"/>
    </row>
    <row r="452" customFormat="1" s="324">
      <c r="A452" s="1349" t="n"/>
      <c r="B452" s="1501" t="n"/>
      <c r="C452" s="1439" t="n"/>
      <c r="D452" s="1439" t="n"/>
      <c r="E452" s="1439" t="n"/>
      <c r="F452" s="1439" t="n"/>
      <c r="G452" s="1440" t="n"/>
      <c r="H452" s="1567" t="n"/>
      <c r="I452" s="1351" t="n"/>
      <c r="J452" s="1351" t="n"/>
      <c r="K452" s="1351" t="n"/>
      <c r="L452" s="1351" t="n"/>
      <c r="M452" s="1351" t="n"/>
      <c r="N452" s="1351" t="n"/>
      <c r="O452" s="1351" t="n"/>
      <c r="P452" s="1349" t="n"/>
    </row>
    <row r="453" customFormat="1" s="324">
      <c r="A453" s="1349" t="n"/>
      <c r="B453" s="1501" t="n"/>
      <c r="C453" s="1439" t="n"/>
      <c r="D453" s="1439" t="n"/>
      <c r="E453" s="1439" t="n"/>
      <c r="F453" s="1439" t="n"/>
      <c r="G453" s="1440" t="n"/>
      <c r="H453" s="1567" t="n"/>
      <c r="I453" s="1351" t="n"/>
      <c r="J453" s="1351" t="n"/>
      <c r="K453" s="1351" t="n"/>
      <c r="L453" s="1351" t="n"/>
      <c r="M453" s="1351" t="n"/>
      <c r="N453" s="1351" t="n"/>
      <c r="O453" s="1351" t="n"/>
      <c r="P453" s="1349" t="n"/>
    </row>
    <row r="454" customFormat="1" s="324">
      <c r="A454" s="1349" t="n"/>
      <c r="B454" s="1501" t="n"/>
      <c r="C454" s="1439" t="n"/>
      <c r="D454" s="1439" t="n"/>
      <c r="E454" s="1439" t="n"/>
      <c r="F454" s="1439" t="n"/>
      <c r="G454" s="1440" t="n"/>
      <c r="H454" s="1567" t="n"/>
      <c r="I454" s="1351" t="n"/>
      <c r="J454" s="1351" t="n"/>
      <c r="K454" s="1351" t="n"/>
      <c r="L454" s="1351" t="n"/>
      <c r="M454" s="1351" t="n"/>
      <c r="N454" s="1351" t="n"/>
      <c r="O454" s="1351" t="n"/>
      <c r="P454" s="1349" t="n"/>
    </row>
    <row r="455" customFormat="1" s="324">
      <c r="A455" s="1349" t="n"/>
      <c r="B455" s="1501" t="n"/>
      <c r="C455" s="1439" t="n"/>
      <c r="D455" s="1439" t="n"/>
      <c r="E455" s="1439" t="n"/>
      <c r="F455" s="1439" t="n"/>
      <c r="G455" s="1440" t="n"/>
      <c r="H455" s="1567" t="n"/>
      <c r="I455" s="1351" t="n"/>
      <c r="J455" s="1351" t="n"/>
      <c r="K455" s="1351" t="n"/>
      <c r="L455" s="1351" t="n"/>
      <c r="M455" s="1351" t="n"/>
      <c r="N455" s="1351" t="n"/>
      <c r="O455" s="1351" t="n"/>
      <c r="P455" s="1349" t="n"/>
    </row>
    <row r="456" customFormat="1" s="324">
      <c r="A456" s="1349" t="n"/>
      <c r="B456" s="1501" t="n"/>
      <c r="C456" s="1439" t="n"/>
      <c r="D456" s="1439" t="n"/>
      <c r="E456" s="1439" t="n"/>
      <c r="F456" s="1439" t="n"/>
      <c r="G456" s="1440" t="n"/>
      <c r="H456" s="1567" t="n"/>
      <c r="I456" s="1351" t="n"/>
      <c r="J456" s="1351" t="n"/>
      <c r="K456" s="1351" t="n"/>
      <c r="L456" s="1351" t="n"/>
      <c r="M456" s="1351" t="n"/>
      <c r="N456" s="1351" t="n"/>
      <c r="O456" s="1351" t="n"/>
      <c r="P456" s="1349" t="n"/>
    </row>
    <row r="457" customFormat="1" s="324">
      <c r="A457" s="1349" t="n"/>
      <c r="B457" s="1501" t="n"/>
      <c r="C457" s="1439" t="n"/>
      <c r="D457" s="1439" t="n"/>
      <c r="E457" s="1439" t="n"/>
      <c r="F457" s="1439" t="n"/>
      <c r="G457" s="1440" t="n"/>
      <c r="H457" s="1567" t="n"/>
      <c r="I457" s="1351" t="n"/>
      <c r="J457" s="1351" t="n"/>
      <c r="K457" s="1351" t="n"/>
      <c r="L457" s="1351" t="n"/>
      <c r="M457" s="1351" t="n"/>
      <c r="N457" s="1351" t="n"/>
      <c r="O457" s="1351" t="n"/>
      <c r="P457" s="1349" t="n"/>
    </row>
    <row r="458" customFormat="1" s="324">
      <c r="A458" s="1349" t="n"/>
      <c r="B458" s="1501" t="n"/>
      <c r="C458" s="1439" t="n"/>
      <c r="D458" s="1439" t="n"/>
      <c r="E458" s="1439" t="n"/>
      <c r="F458" s="1439" t="n"/>
      <c r="G458" s="1440" t="n"/>
      <c r="H458" s="1567" t="n"/>
      <c r="I458" s="1351" t="n"/>
      <c r="J458" s="1351" t="n"/>
      <c r="K458" s="1351" t="n"/>
      <c r="L458" s="1351" t="n"/>
      <c r="M458" s="1351" t="n"/>
      <c r="N458" s="1351" t="n"/>
      <c r="O458" s="1351" t="n"/>
      <c r="P458" s="1349" t="n"/>
    </row>
    <row r="459" customFormat="1" s="324">
      <c r="A459" s="1349" t="n"/>
      <c r="B459" s="1501" t="n"/>
      <c r="C459" s="1439" t="n"/>
      <c r="D459" s="1439" t="n"/>
      <c r="E459" s="1439" t="n"/>
      <c r="F459" s="1439" t="n"/>
      <c r="G459" s="1440" t="n"/>
      <c r="H459" s="1567" t="n"/>
      <c r="I459" s="1351" t="n"/>
      <c r="J459" s="1351" t="n"/>
      <c r="K459" s="1351" t="n"/>
      <c r="L459" s="1351" t="n"/>
      <c r="M459" s="1351" t="n"/>
      <c r="N459" s="1351" t="n"/>
      <c r="O459" s="1351" t="n"/>
      <c r="P459" s="1349" t="n"/>
    </row>
    <row r="460" customFormat="1" s="324">
      <c r="A460" s="1349" t="n"/>
      <c r="B460" s="1501" t="n"/>
      <c r="C460" s="1439" t="n"/>
      <c r="D460" s="1439" t="n"/>
      <c r="E460" s="1439" t="n"/>
      <c r="F460" s="1439" t="n"/>
      <c r="G460" s="1440" t="n"/>
      <c r="H460" s="1567" t="n"/>
      <c r="I460" s="1351" t="n"/>
      <c r="J460" s="1351" t="n"/>
      <c r="K460" s="1351" t="n"/>
      <c r="L460" s="1351" t="n"/>
      <c r="M460" s="1351" t="n"/>
      <c r="N460" s="1351" t="n"/>
      <c r="O460" s="1351" t="n"/>
      <c r="P460" s="1349" t="n"/>
    </row>
    <row r="461" customFormat="1" s="324">
      <c r="A461" s="1349" t="n"/>
      <c r="B461" s="1501" t="n"/>
      <c r="C461" s="1439" t="n"/>
      <c r="D461" s="1439" t="n"/>
      <c r="E461" s="1439" t="n"/>
      <c r="F461" s="1439" t="n"/>
      <c r="G461" s="1440" t="n"/>
      <c r="H461" s="1567" t="n"/>
      <c r="I461" s="1351" t="n"/>
      <c r="J461" s="1351" t="n"/>
      <c r="K461" s="1351" t="n"/>
      <c r="L461" s="1351" t="n"/>
      <c r="M461" s="1351" t="n"/>
      <c r="N461" s="1351" t="n"/>
      <c r="O461" s="1351" t="n"/>
      <c r="P461" s="1349" t="n"/>
    </row>
    <row r="462" customFormat="1" s="324">
      <c r="A462" s="1349" t="n"/>
      <c r="B462" s="1501" t="n"/>
      <c r="C462" s="1439" t="n"/>
      <c r="D462" s="1439" t="n"/>
      <c r="E462" s="1439" t="n"/>
      <c r="F462" s="1439" t="n"/>
      <c r="G462" s="1440" t="n"/>
      <c r="H462" s="1567" t="n"/>
      <c r="I462" s="1351" t="n"/>
      <c r="J462" s="1351" t="n"/>
      <c r="K462" s="1351" t="n"/>
      <c r="L462" s="1351" t="n"/>
      <c r="M462" s="1351" t="n"/>
      <c r="N462" s="1351" t="n"/>
      <c r="O462" s="1351" t="n"/>
      <c r="P462" s="1349" t="n"/>
    </row>
    <row r="463" customFormat="1" s="324">
      <c r="A463" s="1349" t="n"/>
      <c r="B463" s="1501" t="n"/>
      <c r="C463" s="1439" t="n"/>
      <c r="D463" s="1439" t="n"/>
      <c r="E463" s="1439" t="n"/>
      <c r="F463" s="1439" t="n"/>
      <c r="G463" s="1440" t="n"/>
      <c r="H463" s="1567" t="n"/>
      <c r="I463" s="1351" t="n"/>
      <c r="J463" s="1351" t="n"/>
      <c r="K463" s="1351" t="n"/>
      <c r="L463" s="1351" t="n"/>
      <c r="M463" s="1351" t="n"/>
      <c r="N463" s="1351" t="n"/>
      <c r="O463" s="1351" t="n"/>
      <c r="P463" s="1349" t="n"/>
    </row>
    <row r="464" customFormat="1" s="324">
      <c r="A464" s="1349" t="n"/>
      <c r="B464" s="1501" t="n"/>
      <c r="C464" s="1439" t="n"/>
      <c r="D464" s="1439" t="n"/>
      <c r="E464" s="1439" t="n"/>
      <c r="F464" s="1439" t="n"/>
      <c r="G464" s="1440" t="n"/>
      <c r="H464" s="1567" t="n"/>
      <c r="I464" s="1351" t="n"/>
      <c r="J464" s="1351" t="n"/>
      <c r="K464" s="1351" t="n"/>
      <c r="L464" s="1351" t="n"/>
      <c r="M464" s="1351" t="n"/>
      <c r="N464" s="1351" t="n"/>
      <c r="O464" s="1351" t="n"/>
      <c r="P464" s="1349" t="n"/>
    </row>
    <row r="465" customFormat="1" s="324">
      <c r="A465" s="1349" t="n"/>
      <c r="B465" s="1501" t="n"/>
      <c r="C465" s="1439" t="n"/>
      <c r="D465" s="1439" t="n"/>
      <c r="E465" s="1439" t="n"/>
      <c r="F465" s="1439" t="n"/>
      <c r="G465" s="1440" t="n"/>
      <c r="H465" s="1567" t="n"/>
      <c r="I465" s="1351" t="n"/>
      <c r="J465" s="1351" t="n"/>
      <c r="K465" s="1351" t="n"/>
      <c r="L465" s="1351" t="n"/>
      <c r="M465" s="1351" t="n"/>
      <c r="N465" s="1351" t="n"/>
      <c r="O465" s="1351" t="n"/>
      <c r="P465" s="1349" t="n"/>
    </row>
    <row r="466" customFormat="1" s="324">
      <c r="A466" s="1349" t="n"/>
      <c r="B466" s="1501" t="n"/>
      <c r="C466" s="1439" t="n"/>
      <c r="D466" s="1439" t="n"/>
      <c r="E466" s="1439" t="n"/>
      <c r="F466" s="1439" t="n"/>
      <c r="G466" s="1440" t="n"/>
      <c r="H466" s="1567" t="n"/>
      <c r="I466" s="1351" t="n"/>
      <c r="J466" s="1351" t="n"/>
      <c r="K466" s="1351" t="n"/>
      <c r="L466" s="1351" t="n"/>
      <c r="M466" s="1351" t="n"/>
      <c r="N466" s="1351" t="n"/>
      <c r="O466" s="1351" t="n"/>
      <c r="P466" s="1349" t="n"/>
    </row>
    <row r="467" customFormat="1" s="324">
      <c r="A467" s="1349" t="n"/>
      <c r="B467" s="1501" t="n"/>
      <c r="C467" s="1439" t="n"/>
      <c r="D467" s="1439" t="n"/>
      <c r="E467" s="1439" t="n"/>
      <c r="F467" s="1439" t="n"/>
      <c r="G467" s="1440" t="n"/>
      <c r="H467" s="1567" t="n"/>
      <c r="I467" s="1351" t="n"/>
      <c r="J467" s="1351" t="n"/>
      <c r="K467" s="1351" t="n"/>
      <c r="L467" s="1351" t="n"/>
      <c r="M467" s="1351" t="n"/>
      <c r="N467" s="1351" t="n"/>
      <c r="O467" s="1351" t="n"/>
      <c r="P467" s="1349" t="n"/>
    </row>
    <row r="468" customFormat="1" s="324">
      <c r="A468" s="1349" t="n"/>
      <c r="B468" s="1501" t="n"/>
      <c r="C468" s="1439" t="n"/>
      <c r="D468" s="1439" t="n"/>
      <c r="E468" s="1439" t="n"/>
      <c r="F468" s="1439" t="n"/>
      <c r="G468" s="1440" t="n"/>
      <c r="H468" s="1567" t="n"/>
      <c r="I468" s="1351" t="n"/>
      <c r="J468" s="1351" t="n"/>
      <c r="K468" s="1351" t="n"/>
      <c r="L468" s="1351" t="n"/>
      <c r="M468" s="1351" t="n"/>
      <c r="N468" s="1351" t="n"/>
      <c r="O468" s="1351" t="n"/>
      <c r="P468" s="1349" t="n"/>
    </row>
    <row r="469" customFormat="1" s="324">
      <c r="A469" s="1349" t="n"/>
      <c r="B469" s="1501" t="n"/>
      <c r="C469" s="1439" t="n"/>
      <c r="D469" s="1439" t="n"/>
      <c r="E469" s="1439" t="n"/>
      <c r="F469" s="1439" t="n"/>
      <c r="G469" s="1440" t="n"/>
      <c r="H469" s="1567" t="n"/>
      <c r="I469" s="1351" t="n"/>
      <c r="J469" s="1351" t="n"/>
      <c r="K469" s="1351" t="n"/>
      <c r="L469" s="1351" t="n"/>
      <c r="M469" s="1351" t="n"/>
      <c r="N469" s="1351" t="n"/>
      <c r="O469" s="1351" t="n"/>
      <c r="P469" s="1349" t="n"/>
    </row>
    <row r="470" customFormat="1" s="324">
      <c r="A470" s="1349" t="n"/>
      <c r="B470" s="1501" t="n"/>
      <c r="C470" s="1439" t="n"/>
      <c r="D470" s="1439" t="n"/>
      <c r="E470" s="1439" t="n"/>
      <c r="F470" s="1439" t="n"/>
      <c r="G470" s="1440" t="n"/>
      <c r="H470" s="1567" t="n"/>
      <c r="I470" s="1351" t="n"/>
      <c r="J470" s="1351" t="n"/>
      <c r="K470" s="1351" t="n"/>
      <c r="L470" s="1351" t="n"/>
      <c r="M470" s="1351" t="n"/>
      <c r="N470" s="1351" t="n"/>
      <c r="O470" s="1351" t="n"/>
      <c r="P470" s="1349" t="n"/>
    </row>
    <row r="471" customFormat="1" s="324">
      <c r="A471" s="1349" t="n"/>
      <c r="B471" s="1501" t="n"/>
      <c r="C471" s="1439" t="n"/>
      <c r="D471" s="1439" t="n"/>
      <c r="E471" s="1439" t="n"/>
      <c r="F471" s="1439" t="n"/>
      <c r="G471" s="1440" t="n"/>
      <c r="H471" s="1567" t="n"/>
      <c r="I471" s="1351" t="n"/>
      <c r="J471" s="1351" t="n"/>
      <c r="K471" s="1351" t="n"/>
      <c r="L471" s="1351" t="n"/>
      <c r="M471" s="1351" t="n"/>
      <c r="N471" s="1351" t="n"/>
      <c r="O471" s="1351" t="n"/>
      <c r="P471" s="1349" t="n"/>
    </row>
    <row r="472" customFormat="1" s="324">
      <c r="A472" s="1349" t="n"/>
      <c r="B472" s="1501" t="n"/>
      <c r="C472" s="1439" t="n"/>
      <c r="D472" s="1439" t="n"/>
      <c r="E472" s="1439" t="n"/>
      <c r="F472" s="1439" t="n"/>
      <c r="G472" s="1440" t="n"/>
      <c r="H472" s="1567" t="n"/>
      <c r="I472" s="1351" t="n"/>
      <c r="J472" s="1351" t="n"/>
      <c r="K472" s="1351" t="n"/>
      <c r="L472" s="1351" t="n"/>
      <c r="M472" s="1351" t="n"/>
      <c r="N472" s="1351" t="n"/>
      <c r="O472" s="1351" t="n"/>
      <c r="P472" s="1349" t="n"/>
    </row>
    <row r="473" customFormat="1" s="324">
      <c r="A473" s="1349" t="n"/>
      <c r="B473" s="1501" t="n"/>
      <c r="C473" s="1439" t="n"/>
      <c r="D473" s="1439" t="n"/>
      <c r="E473" s="1439" t="n"/>
      <c r="F473" s="1439" t="n"/>
      <c r="G473" s="1440" t="n"/>
      <c r="H473" s="1567" t="n"/>
      <c r="I473" s="1351" t="n"/>
      <c r="J473" s="1351" t="n"/>
      <c r="K473" s="1351" t="n"/>
      <c r="L473" s="1351" t="n"/>
      <c r="M473" s="1351" t="n"/>
      <c r="N473" s="1351" t="n"/>
      <c r="O473" s="1351" t="n"/>
      <c r="P473" s="1349" t="n"/>
    </row>
    <row r="474" customFormat="1" s="324">
      <c r="A474" s="1349" t="n"/>
      <c r="B474" s="1501" t="n"/>
      <c r="C474" s="1439" t="n"/>
      <c r="D474" s="1439" t="n"/>
      <c r="E474" s="1439" t="n"/>
      <c r="F474" s="1439" t="n"/>
      <c r="G474" s="1440" t="n"/>
      <c r="H474" s="1567" t="n"/>
      <c r="I474" s="1351" t="n"/>
      <c r="J474" s="1351" t="n"/>
      <c r="K474" s="1351" t="n"/>
      <c r="L474" s="1351" t="n"/>
      <c r="M474" s="1351" t="n"/>
      <c r="N474" s="1351" t="n"/>
      <c r="O474" s="1351" t="n"/>
      <c r="P474" s="1349" t="n"/>
    </row>
    <row r="475" customFormat="1" s="324">
      <c r="A475" s="1349" t="n"/>
      <c r="B475" s="1501" t="n"/>
      <c r="C475" s="1439" t="n"/>
      <c r="D475" s="1439" t="n"/>
      <c r="E475" s="1439" t="n"/>
      <c r="F475" s="1439" t="n"/>
      <c r="G475" s="1440" t="n"/>
      <c r="H475" s="1567" t="n"/>
      <c r="I475" s="1351" t="n"/>
      <c r="J475" s="1351" t="n"/>
      <c r="K475" s="1351" t="n"/>
      <c r="L475" s="1351" t="n"/>
      <c r="M475" s="1351" t="n"/>
      <c r="N475" s="1351" t="n"/>
      <c r="O475" s="1351" t="n"/>
      <c r="P475" s="1349" t="n"/>
    </row>
    <row r="476" customFormat="1" s="324">
      <c r="A476" s="1349" t="n"/>
      <c r="B476" s="1501" t="n"/>
      <c r="C476" s="1439" t="n"/>
      <c r="D476" s="1439" t="n"/>
      <c r="E476" s="1439" t="n"/>
      <c r="F476" s="1439" t="n"/>
      <c r="G476" s="1440" t="n"/>
      <c r="H476" s="1567" t="n"/>
      <c r="I476" s="1351" t="n"/>
      <c r="J476" s="1351" t="n"/>
      <c r="K476" s="1351" t="n"/>
      <c r="L476" s="1351" t="n"/>
      <c r="M476" s="1351" t="n"/>
      <c r="N476" s="1351" t="n"/>
      <c r="O476" s="1351" t="n"/>
      <c r="P476" s="1349" t="n"/>
    </row>
    <row r="477" customFormat="1" s="324">
      <c r="A477" s="1349" t="n"/>
      <c r="B477" s="1501" t="n"/>
      <c r="C477" s="1439" t="n"/>
      <c r="D477" s="1439" t="n"/>
      <c r="E477" s="1439" t="n"/>
      <c r="F477" s="1439" t="n"/>
      <c r="G477" s="1440" t="n"/>
      <c r="H477" s="1567" t="n"/>
      <c r="I477" s="1351" t="n"/>
      <c r="J477" s="1351" t="n"/>
      <c r="K477" s="1351" t="n"/>
      <c r="L477" s="1351" t="n"/>
      <c r="M477" s="1351" t="n"/>
      <c r="N477" s="1351" t="n"/>
      <c r="O477" s="1351" t="n"/>
      <c r="P477" s="1349" t="n"/>
    </row>
    <row r="478" customFormat="1" s="324">
      <c r="A478" s="1349" t="n"/>
      <c r="B478" s="1501" t="n"/>
      <c r="C478" s="1439" t="n"/>
      <c r="D478" s="1439" t="n"/>
      <c r="E478" s="1439" t="n"/>
      <c r="F478" s="1439" t="n"/>
      <c r="G478" s="1440" t="n"/>
      <c r="H478" s="1569" t="n"/>
      <c r="I478" s="1351" t="n"/>
      <c r="J478" s="1351" t="n"/>
      <c r="K478" s="1351" t="n"/>
      <c r="L478" s="1351" t="n"/>
      <c r="M478" s="1351" t="n"/>
      <c r="N478" s="1351" t="n"/>
      <c r="O478" s="1351" t="n"/>
      <c r="P478" s="1349" t="n"/>
    </row>
    <row r="479" customFormat="1" s="324">
      <c r="A479" s="1349" t="n"/>
      <c r="B479" s="1501" t="n"/>
      <c r="C479" s="1439" t="n"/>
      <c r="D479" s="1439" t="n"/>
      <c r="E479" s="1439" t="n"/>
      <c r="F479" s="1439" t="n"/>
      <c r="G479" s="1440" t="n"/>
      <c r="H479" s="1569" t="n"/>
      <c r="I479" s="1351" t="n"/>
      <c r="J479" s="1351" t="n"/>
      <c r="K479" s="1351" t="n"/>
      <c r="L479" s="1351" t="n"/>
      <c r="M479" s="1351" t="n"/>
      <c r="N479" s="1351" t="n"/>
      <c r="O479" s="1351" t="n"/>
      <c r="P479" s="1349" t="n"/>
    </row>
    <row r="480" customFormat="1" s="324">
      <c r="A480" s="1349" t="n"/>
      <c r="B480" s="1501" t="n"/>
      <c r="C480" s="1439" t="n"/>
      <c r="D480" s="1439" t="n"/>
      <c r="E480" s="1439" t="n"/>
      <c r="F480" s="1439" t="n"/>
      <c r="G480" s="1440" t="n"/>
      <c r="H480" s="1567" t="n"/>
      <c r="I480" s="1351" t="n"/>
      <c r="J480" s="1351" t="n"/>
      <c r="K480" s="1351" t="n"/>
      <c r="L480" s="1351" t="n"/>
      <c r="M480" s="1351" t="n"/>
      <c r="N480" s="1351" t="n"/>
      <c r="O480" s="1351" t="n"/>
      <c r="P480" s="1349" t="n"/>
    </row>
    <row r="481" customFormat="1" s="324">
      <c r="A481" s="1349" t="n"/>
      <c r="B481" s="1501" t="n"/>
      <c r="C481" s="1439" t="n"/>
      <c r="D481" s="1439" t="n"/>
      <c r="E481" s="1439" t="n"/>
      <c r="F481" s="1439" t="n"/>
      <c r="G481" s="1440" t="n"/>
      <c r="H481" s="1569" t="n"/>
      <c r="I481" s="1351" t="n"/>
      <c r="J481" s="1351" t="n"/>
      <c r="K481" s="1351" t="n"/>
      <c r="L481" s="1351" t="n"/>
      <c r="M481" s="1351" t="n"/>
      <c r="N481" s="1351" t="n"/>
      <c r="O481" s="1351" t="n"/>
      <c r="P481" s="1349" t="n"/>
    </row>
    <row r="482" customFormat="1" s="324">
      <c r="A482" s="1349" t="n"/>
      <c r="B482" s="1501" t="n"/>
      <c r="C482" s="1439" t="n"/>
      <c r="D482" s="1439" t="n"/>
      <c r="E482" s="1439" t="n"/>
      <c r="F482" s="1439" t="n"/>
      <c r="G482" s="1440" t="n"/>
      <c r="H482" s="1567" t="n"/>
      <c r="I482" s="1351" t="n"/>
      <c r="J482" s="1351" t="n"/>
      <c r="K482" s="1351" t="n"/>
      <c r="L482" s="1351" t="n"/>
      <c r="M482" s="1351" t="n"/>
      <c r="N482" s="1351" t="n"/>
      <c r="O482" s="1351" t="n"/>
      <c r="P482" s="1349" t="n"/>
    </row>
    <row r="483" customFormat="1" s="324">
      <c r="A483" s="1349" t="n"/>
      <c r="B483" s="1501" t="n"/>
      <c r="C483" s="1439" t="n"/>
      <c r="D483" s="1439" t="n"/>
      <c r="E483" s="1439" t="n"/>
      <c r="F483" s="1439" t="n"/>
      <c r="G483" s="1440" t="n"/>
      <c r="H483" s="1567" t="n"/>
      <c r="I483" s="1351" t="n"/>
      <c r="J483" s="1351" t="n"/>
      <c r="K483" s="1351" t="n"/>
      <c r="L483" s="1351" t="n"/>
      <c r="M483" s="1351" t="n"/>
      <c r="N483" s="1351" t="n"/>
      <c r="O483" s="1351" t="n"/>
      <c r="P483" s="1349" t="n"/>
    </row>
    <row r="484" customFormat="1" s="324">
      <c r="A484" s="1349" t="n"/>
      <c r="B484" s="1501" t="n"/>
      <c r="C484" s="1439" t="n"/>
      <c r="D484" s="1439" t="n"/>
      <c r="E484" s="1439" t="n"/>
      <c r="F484" s="1439" t="n"/>
      <c r="G484" s="1440" t="n"/>
      <c r="H484" s="1567" t="n"/>
      <c r="I484" s="1351" t="n"/>
      <c r="J484" s="1351" t="n"/>
      <c r="K484" s="1351" t="n"/>
      <c r="L484" s="1351" t="n"/>
      <c r="M484" s="1351" t="n"/>
      <c r="N484" s="1351" t="n"/>
      <c r="O484" s="1351" t="n"/>
      <c r="P484" s="1349" t="n"/>
    </row>
    <row r="485" customFormat="1" s="324">
      <c r="A485" s="1349" t="n"/>
      <c r="B485" s="1501" t="n"/>
      <c r="C485" s="1439" t="n"/>
      <c r="D485" s="1439" t="n"/>
      <c r="E485" s="1439" t="n"/>
      <c r="F485" s="1439" t="n"/>
      <c r="G485" s="1440" t="n"/>
      <c r="H485" s="1567" t="n"/>
      <c r="I485" s="1351" t="n"/>
      <c r="J485" s="1351" t="n"/>
      <c r="K485" s="1351" t="n"/>
      <c r="L485" s="1351" t="n"/>
      <c r="M485" s="1351" t="n"/>
      <c r="N485" s="1351" t="n"/>
      <c r="O485" s="1351" t="n"/>
      <c r="P485" s="1349" t="n"/>
    </row>
    <row r="486" customFormat="1" s="324">
      <c r="A486" s="1349" t="n"/>
      <c r="B486" s="1501" t="n"/>
      <c r="C486" s="1439" t="n"/>
      <c r="D486" s="1439" t="n"/>
      <c r="E486" s="1439" t="n"/>
      <c r="F486" s="1439" t="n"/>
      <c r="G486" s="1440" t="n"/>
      <c r="H486" s="1567" t="n"/>
      <c r="I486" s="1351" t="n"/>
      <c r="J486" s="1351" t="n"/>
      <c r="K486" s="1351" t="n"/>
      <c r="L486" s="1351" t="n"/>
      <c r="M486" s="1351" t="n"/>
      <c r="N486" s="1351" t="n"/>
      <c r="O486" s="1351" t="n"/>
      <c r="P486" s="1349" t="n"/>
    </row>
    <row r="487" customFormat="1" s="324">
      <c r="A487" s="1349" t="n"/>
      <c r="B487" s="1501" t="n"/>
      <c r="C487" s="1439" t="n"/>
      <c r="D487" s="1439" t="n"/>
      <c r="E487" s="1439" t="n"/>
      <c r="F487" s="1439" t="n"/>
      <c r="G487" s="1440" t="n"/>
      <c r="H487" s="1567" t="n"/>
      <c r="I487" s="1351" t="n"/>
      <c r="J487" s="1351" t="n"/>
      <c r="K487" s="1351" t="n"/>
      <c r="L487" s="1351" t="n"/>
      <c r="M487" s="1351" t="n"/>
      <c r="N487" s="1351" t="n"/>
      <c r="O487" s="1351" t="n"/>
      <c r="P487" s="1349" t="n"/>
    </row>
    <row r="488" customFormat="1" s="324">
      <c r="A488" s="1349" t="n"/>
      <c r="B488" s="1501" t="n"/>
      <c r="C488" s="1439" t="n"/>
      <c r="D488" s="1439" t="n"/>
      <c r="E488" s="1439" t="n"/>
      <c r="F488" s="1439" t="n"/>
      <c r="G488" s="1440" t="n"/>
      <c r="H488" s="1567" t="n"/>
      <c r="I488" s="1351" t="n"/>
      <c r="J488" s="1351" t="n"/>
      <c r="K488" s="1351" t="n"/>
      <c r="L488" s="1351" t="n"/>
      <c r="M488" s="1351" t="n"/>
      <c r="N488" s="1351" t="n"/>
      <c r="O488" s="1351" t="n"/>
      <c r="P488" s="1349" t="n"/>
    </row>
    <row r="489" customFormat="1" s="324">
      <c r="A489" s="1349" t="n"/>
      <c r="B489" s="1501" t="n"/>
      <c r="C489" s="1439" t="n"/>
      <c r="D489" s="1439" t="n"/>
      <c r="E489" s="1439" t="n"/>
      <c r="F489" s="1439" t="n"/>
      <c r="G489" s="1440" t="n"/>
      <c r="H489" s="1567" t="n"/>
      <c r="I489" s="1351" t="n"/>
      <c r="J489" s="1351" t="n"/>
      <c r="K489" s="1351" t="n"/>
      <c r="L489" s="1351" t="n"/>
      <c r="M489" s="1351" t="n"/>
      <c r="N489" s="1351" t="n"/>
      <c r="O489" s="1351" t="n"/>
      <c r="P489" s="1349" t="n"/>
    </row>
    <row r="490" customFormat="1" s="324">
      <c r="A490" s="1349" t="n"/>
      <c r="B490" s="1501" t="n"/>
      <c r="C490" s="1439" t="n"/>
      <c r="D490" s="1439" t="n"/>
      <c r="E490" s="1439" t="n"/>
      <c r="F490" s="1439" t="n"/>
      <c r="G490" s="1440" t="n"/>
      <c r="H490" s="1567" t="n"/>
      <c r="I490" s="1351" t="n"/>
      <c r="J490" s="1351" t="n"/>
      <c r="K490" s="1351" t="n"/>
      <c r="L490" s="1351" t="n"/>
      <c r="M490" s="1351" t="n"/>
      <c r="N490" s="1351" t="n"/>
      <c r="O490" s="1351" t="n"/>
      <c r="P490" s="1349" t="n"/>
    </row>
    <row r="491" customFormat="1" s="324">
      <c r="A491" s="1349" t="n"/>
      <c r="B491" s="1501" t="n"/>
      <c r="C491" s="1439" t="n"/>
      <c r="D491" s="1439" t="n"/>
      <c r="E491" s="1439" t="n"/>
      <c r="F491" s="1439" t="n"/>
      <c r="G491" s="1440" t="n"/>
      <c r="H491" s="1569" t="n"/>
      <c r="I491" s="1351" t="n"/>
      <c r="J491" s="1351" t="n"/>
      <c r="K491" s="1351" t="n"/>
      <c r="L491" s="1351" t="n"/>
      <c r="M491" s="1351" t="n"/>
      <c r="N491" s="1351" t="n"/>
      <c r="O491" s="1351" t="n"/>
      <c r="P491" s="1349" t="n"/>
    </row>
    <row r="492" customFormat="1" s="324">
      <c r="A492" s="1349" t="n"/>
      <c r="B492" s="1501" t="n"/>
      <c r="C492" s="1439" t="n"/>
      <c r="D492" s="1439" t="n"/>
      <c r="E492" s="1439" t="n"/>
      <c r="F492" s="1439" t="n"/>
      <c r="G492" s="1440" t="n"/>
      <c r="H492" s="1567" t="n"/>
      <c r="I492" s="1351" t="n"/>
      <c r="J492" s="1351" t="n"/>
      <c r="K492" s="1351" t="n"/>
      <c r="L492" s="1351" t="n"/>
      <c r="M492" s="1351" t="n"/>
      <c r="N492" s="1351" t="n"/>
      <c r="O492" s="1351" t="n"/>
      <c r="P492" s="1349" t="n"/>
    </row>
    <row r="493" customFormat="1" s="324">
      <c r="A493" s="1349" t="n"/>
      <c r="B493" s="1501" t="n"/>
      <c r="C493" s="1439" t="n"/>
      <c r="D493" s="1439" t="n"/>
      <c r="E493" s="1439" t="n"/>
      <c r="F493" s="1439" t="n"/>
      <c r="G493" s="1440" t="n"/>
      <c r="H493" s="1567" t="n"/>
      <c r="I493" s="1351" t="n"/>
      <c r="J493" s="1351" t="n"/>
      <c r="K493" s="1351" t="n"/>
      <c r="L493" s="1351" t="n"/>
      <c r="M493" s="1351" t="n"/>
      <c r="N493" s="1351" t="n"/>
      <c r="O493" s="1351" t="n"/>
      <c r="P493" s="1349" t="n"/>
    </row>
    <row r="494" customFormat="1" s="324">
      <c r="A494" s="1349" t="n"/>
      <c r="B494" s="1501" t="n"/>
      <c r="C494" s="1439" t="n"/>
      <c r="D494" s="1439" t="n"/>
      <c r="E494" s="1439" t="n"/>
      <c r="F494" s="1439" t="n"/>
      <c r="G494" s="1440" t="n"/>
      <c r="H494" s="1567" t="n"/>
      <c r="I494" s="1351" t="n"/>
      <c r="J494" s="1351" t="n"/>
      <c r="K494" s="1351" t="n"/>
      <c r="L494" s="1351" t="n"/>
      <c r="M494" s="1351" t="n"/>
      <c r="N494" s="1351" t="n"/>
      <c r="O494" s="1351" t="n"/>
      <c r="P494" s="1349" t="n"/>
    </row>
    <row r="495" customFormat="1" s="324">
      <c r="A495" s="1349" t="n"/>
      <c r="B495" s="1501" t="n"/>
      <c r="C495" s="1439" t="n"/>
      <c r="D495" s="1439" t="n"/>
      <c r="E495" s="1439" t="n"/>
      <c r="F495" s="1439" t="n"/>
      <c r="G495" s="1440" t="n"/>
      <c r="H495" s="1567" t="n"/>
      <c r="I495" s="1351" t="n"/>
      <c r="J495" s="1351" t="n"/>
      <c r="K495" s="1351" t="n"/>
      <c r="L495" s="1351" t="n"/>
      <c r="M495" s="1351" t="n"/>
      <c r="N495" s="1351" t="n"/>
      <c r="O495" s="1351" t="n"/>
      <c r="P495" s="1349" t="n"/>
    </row>
    <row r="496" customFormat="1" s="324">
      <c r="A496" s="1349" t="n"/>
      <c r="B496" s="1501" t="n"/>
      <c r="C496" s="1439" t="n"/>
      <c r="D496" s="1439" t="n"/>
      <c r="E496" s="1439" t="n"/>
      <c r="F496" s="1439" t="n"/>
      <c r="G496" s="1440" t="n"/>
      <c r="H496" s="1567" t="n"/>
      <c r="I496" s="1351" t="n"/>
      <c r="J496" s="1351" t="n"/>
      <c r="K496" s="1351" t="n"/>
      <c r="L496" s="1351" t="n"/>
      <c r="M496" s="1351" t="n"/>
      <c r="N496" s="1351" t="n"/>
      <c r="O496" s="1351" t="n"/>
      <c r="P496" s="1349" t="n"/>
    </row>
    <row r="497" customFormat="1" s="324">
      <c r="A497" s="1349" t="n"/>
      <c r="B497" s="1501" t="n"/>
      <c r="C497" s="1439" t="n"/>
      <c r="D497" s="1439" t="n"/>
      <c r="E497" s="1439" t="n"/>
      <c r="F497" s="1439" t="n"/>
      <c r="G497" s="1440" t="n"/>
      <c r="H497" s="1567" t="n"/>
      <c r="I497" s="1351" t="n"/>
      <c r="J497" s="1351" t="n"/>
      <c r="K497" s="1351" t="n"/>
      <c r="L497" s="1351" t="n"/>
      <c r="M497" s="1351" t="n"/>
      <c r="N497" s="1351" t="n"/>
      <c r="O497" s="1351" t="n"/>
      <c r="P497" s="1349" t="n"/>
    </row>
    <row r="498" customFormat="1" s="324">
      <c r="A498" s="1349" t="n"/>
      <c r="B498" s="1501" t="n"/>
      <c r="C498" s="1439" t="n"/>
      <c r="D498" s="1439" t="n"/>
      <c r="E498" s="1439" t="n"/>
      <c r="F498" s="1439" t="n"/>
      <c r="G498" s="1440" t="n"/>
      <c r="H498" s="1567" t="n"/>
      <c r="I498" s="1351" t="n"/>
      <c r="J498" s="1351" t="n"/>
      <c r="K498" s="1351" t="n"/>
      <c r="L498" s="1351" t="n"/>
      <c r="M498" s="1351" t="n"/>
      <c r="N498" s="1351" t="n"/>
      <c r="O498" s="1351" t="n"/>
      <c r="P498" s="1349" t="n"/>
    </row>
    <row r="499" customFormat="1" s="324">
      <c r="A499" s="1349" t="n"/>
      <c r="B499" s="1501" t="n"/>
      <c r="C499" s="1439" t="n"/>
      <c r="D499" s="1439" t="n"/>
      <c r="E499" s="1439" t="n"/>
      <c r="F499" s="1439" t="n"/>
      <c r="G499" s="1440" t="n"/>
      <c r="H499" s="1567" t="n"/>
      <c r="I499" s="1351" t="n"/>
      <c r="J499" s="1351" t="n"/>
      <c r="K499" s="1351" t="n"/>
      <c r="L499" s="1351" t="n"/>
      <c r="M499" s="1351" t="n"/>
      <c r="N499" s="1351" t="n"/>
      <c r="O499" s="1351" t="n"/>
      <c r="P499" s="1349" t="n"/>
    </row>
    <row r="500" customFormat="1" s="324">
      <c r="A500" s="1349" t="n"/>
      <c r="B500" s="1501" t="n"/>
      <c r="C500" s="1439" t="n"/>
      <c r="D500" s="1439" t="n"/>
      <c r="E500" s="1439" t="n"/>
      <c r="F500" s="1439" t="n"/>
      <c r="G500" s="1440" t="n"/>
      <c r="H500" s="1567" t="n"/>
      <c r="I500" s="1351" t="n"/>
      <c r="J500" s="1351" t="n"/>
      <c r="K500" s="1351" t="n"/>
      <c r="L500" s="1351" t="n"/>
      <c r="M500" s="1351" t="n"/>
      <c r="N500" s="1351" t="n"/>
      <c r="O500" s="1351" t="n"/>
      <c r="P500" s="1349" t="n"/>
    </row>
    <row r="501" customFormat="1" s="324">
      <c r="A501" s="1349" t="n"/>
      <c r="B501" s="1501" t="n"/>
      <c r="C501" s="1439" t="n"/>
      <c r="D501" s="1439" t="n"/>
      <c r="E501" s="1439" t="n"/>
      <c r="F501" s="1439" t="n"/>
      <c r="G501" s="1440" t="n"/>
      <c r="H501" s="1567" t="n"/>
      <c r="I501" s="1351" t="n"/>
      <c r="J501" s="1351" t="n"/>
      <c r="K501" s="1351" t="n"/>
      <c r="L501" s="1351" t="n"/>
      <c r="M501" s="1351" t="n"/>
      <c r="N501" s="1351" t="n"/>
      <c r="O501" s="1351" t="n"/>
      <c r="P501" s="1349" t="n"/>
    </row>
    <row r="502" customFormat="1" s="324">
      <c r="A502" s="1349" t="n"/>
      <c r="B502" s="1501" t="n"/>
      <c r="C502" s="1439" t="n"/>
      <c r="D502" s="1439" t="n"/>
      <c r="E502" s="1439" t="n"/>
      <c r="F502" s="1439" t="n"/>
      <c r="G502" s="1440" t="n"/>
      <c r="H502" s="1567" t="n"/>
      <c r="I502" s="1351" t="n"/>
      <c r="J502" s="1351" t="n"/>
      <c r="K502" s="1351" t="n"/>
      <c r="L502" s="1351" t="n"/>
      <c r="M502" s="1351" t="n"/>
      <c r="N502" s="1351" t="n"/>
      <c r="O502" s="1351" t="n"/>
      <c r="P502" s="1349" t="n"/>
    </row>
    <row r="503" customFormat="1" s="324">
      <c r="A503" s="1349" t="n"/>
      <c r="B503" s="1501" t="n"/>
      <c r="C503" s="1439" t="n"/>
      <c r="D503" s="1439" t="n"/>
      <c r="E503" s="1439" t="n"/>
      <c r="F503" s="1439" t="n"/>
      <c r="G503" s="1440" t="n"/>
      <c r="H503" s="1567" t="n"/>
      <c r="I503" s="1351" t="n"/>
      <c r="J503" s="1351" t="n"/>
      <c r="K503" s="1351" t="n"/>
      <c r="L503" s="1351" t="n"/>
      <c r="M503" s="1351" t="n"/>
      <c r="N503" s="1351" t="n"/>
      <c r="O503" s="1351" t="n"/>
      <c r="P503" s="1349" t="n"/>
    </row>
    <row r="504" customFormat="1" s="324">
      <c r="A504" s="1349" t="n"/>
      <c r="B504" s="1501" t="n"/>
      <c r="C504" s="1439" t="n"/>
      <c r="D504" s="1439" t="n"/>
      <c r="E504" s="1439" t="n"/>
      <c r="F504" s="1439" t="n"/>
      <c r="G504" s="1440" t="n"/>
      <c r="H504" s="1567" t="n"/>
      <c r="I504" s="1351" t="n"/>
      <c r="J504" s="1351" t="n"/>
      <c r="K504" s="1351" t="n"/>
      <c r="L504" s="1351" t="n"/>
      <c r="M504" s="1351" t="n"/>
      <c r="N504" s="1351" t="n"/>
      <c r="O504" s="1351" t="n"/>
      <c r="P504" s="1349" t="n"/>
    </row>
    <row r="505" customFormat="1" s="324">
      <c r="A505" s="1349" t="n"/>
      <c r="B505" s="1501" t="n"/>
      <c r="C505" s="1439" t="n"/>
      <c r="D505" s="1439" t="n"/>
      <c r="E505" s="1439" t="n"/>
      <c r="F505" s="1439" t="n"/>
      <c r="G505" s="1440" t="n"/>
      <c r="H505" s="1567" t="n"/>
      <c r="I505" s="1351" t="n"/>
      <c r="J505" s="1351" t="n"/>
      <c r="K505" s="1351" t="n"/>
      <c r="L505" s="1351" t="n"/>
      <c r="M505" s="1351" t="n"/>
      <c r="N505" s="1351" t="n"/>
      <c r="O505" s="1351" t="n"/>
      <c r="P505" s="1349" t="n"/>
    </row>
    <row r="506" customFormat="1" s="324">
      <c r="A506" s="1349" t="n"/>
      <c r="B506" s="1501" t="n"/>
      <c r="C506" s="1439" t="n"/>
      <c r="D506" s="1439" t="n"/>
      <c r="E506" s="1439" t="n"/>
      <c r="F506" s="1439" t="n"/>
      <c r="G506" s="1440" t="n"/>
      <c r="H506" s="1567" t="n"/>
      <c r="I506" s="1351" t="n"/>
      <c r="J506" s="1351" t="n"/>
      <c r="K506" s="1351" t="n"/>
      <c r="L506" s="1351" t="n"/>
      <c r="M506" s="1351" t="n"/>
      <c r="N506" s="1351" t="n"/>
      <c r="O506" s="1351" t="n"/>
      <c r="P506" s="1349" t="n"/>
    </row>
    <row r="507" customFormat="1" s="324">
      <c r="A507" s="1349" t="n"/>
      <c r="B507" s="1501" t="n"/>
      <c r="C507" s="1439" t="n"/>
      <c r="D507" s="1439" t="n"/>
      <c r="E507" s="1439" t="n"/>
      <c r="F507" s="1439" t="n"/>
      <c r="G507" s="1440" t="n"/>
      <c r="H507" s="1567" t="n"/>
      <c r="I507" s="1351" t="n"/>
      <c r="J507" s="1351" t="n"/>
      <c r="K507" s="1351" t="n"/>
      <c r="L507" s="1351" t="n"/>
      <c r="M507" s="1351" t="n"/>
      <c r="N507" s="1351" t="n"/>
      <c r="O507" s="1351" t="n"/>
      <c r="P507" s="1349" t="n"/>
    </row>
    <row r="508" customFormat="1" s="324">
      <c r="A508" s="1349" t="n"/>
      <c r="B508" s="1501" t="n"/>
      <c r="C508" s="1439" t="n"/>
      <c r="D508" s="1439" t="n"/>
      <c r="E508" s="1439" t="n"/>
      <c r="F508" s="1439" t="n"/>
      <c r="G508" s="1440" t="n"/>
      <c r="H508" s="1567" t="n"/>
      <c r="I508" s="1351" t="n"/>
      <c r="J508" s="1351" t="n"/>
      <c r="K508" s="1351" t="n"/>
      <c r="L508" s="1351" t="n"/>
      <c r="M508" s="1351" t="n"/>
      <c r="N508" s="1351" t="n"/>
      <c r="O508" s="1351" t="n"/>
      <c r="P508" s="1349" t="n"/>
    </row>
    <row r="509" customFormat="1" s="324">
      <c r="A509" s="1349" t="n"/>
      <c r="B509" s="1501" t="n"/>
      <c r="C509" s="1439" t="n"/>
      <c r="D509" s="1439" t="n"/>
      <c r="E509" s="1439" t="n"/>
      <c r="F509" s="1439" t="n"/>
      <c r="G509" s="1440" t="n"/>
      <c r="H509" s="1567" t="n"/>
      <c r="I509" s="1351" t="n"/>
      <c r="J509" s="1351" t="n"/>
      <c r="K509" s="1351" t="n"/>
      <c r="L509" s="1351" t="n"/>
      <c r="M509" s="1351" t="n"/>
      <c r="N509" s="1351" t="n"/>
      <c r="O509" s="1351" t="n"/>
      <c r="P509" s="1349" t="n"/>
    </row>
    <row r="510" customFormat="1" s="324">
      <c r="A510" s="1349" t="n"/>
      <c r="B510" s="1501" t="n"/>
      <c r="C510" s="1439" t="n"/>
      <c r="D510" s="1439" t="n"/>
      <c r="E510" s="1439" t="n"/>
      <c r="F510" s="1439" t="n"/>
      <c r="G510" s="1440" t="n"/>
      <c r="H510" s="1567" t="n"/>
      <c r="I510" s="1351" t="n"/>
      <c r="J510" s="1351" t="n"/>
      <c r="K510" s="1351" t="n"/>
      <c r="L510" s="1351" t="n"/>
      <c r="M510" s="1351" t="n"/>
      <c r="N510" s="1351" t="n"/>
      <c r="O510" s="1351" t="n"/>
      <c r="P510" s="1349" t="n"/>
    </row>
    <row r="511" customFormat="1" s="324">
      <c r="A511" s="1349" t="n"/>
      <c r="B511" s="1501" t="n"/>
      <c r="C511" s="1439" t="n"/>
      <c r="D511" s="1439" t="n"/>
      <c r="E511" s="1439" t="n"/>
      <c r="F511" s="1439" t="n"/>
      <c r="G511" s="1440" t="n"/>
      <c r="H511" s="1567" t="n"/>
      <c r="I511" s="1351" t="n"/>
      <c r="J511" s="1351" t="n"/>
      <c r="K511" s="1351" t="n"/>
      <c r="L511" s="1351" t="n"/>
      <c r="M511" s="1351" t="n"/>
      <c r="N511" s="1351" t="n"/>
      <c r="O511" s="1351" t="n"/>
      <c r="P511" s="1349" t="n"/>
    </row>
    <row r="512" ht="38.25" customFormat="1" customHeight="1" s="324">
      <c r="A512" s="1349" t="n"/>
      <c r="B512" s="1501" t="n"/>
      <c r="C512" s="1439" t="n"/>
      <c r="D512" s="1439" t="n"/>
      <c r="E512" s="1439" t="n"/>
      <c r="F512" s="1439" t="n"/>
      <c r="G512" s="1440" t="n"/>
      <c r="H512" s="1567" t="n"/>
      <c r="I512" s="1351" t="n"/>
      <c r="J512" s="1351" t="n"/>
      <c r="K512" s="1351" t="n"/>
      <c r="L512" s="1351" t="n"/>
      <c r="M512" s="1351" t="n"/>
      <c r="N512" s="1351" t="n"/>
      <c r="O512" s="1351" t="n"/>
      <c r="P512" s="1349" t="n"/>
    </row>
    <row r="513" customFormat="1" s="324">
      <c r="A513" s="1349" t="n"/>
      <c r="B513" s="1501" t="n"/>
      <c r="C513" s="1439" t="n"/>
      <c r="D513" s="1439" t="n"/>
      <c r="E513" s="1439" t="n"/>
      <c r="F513" s="1439" t="n"/>
      <c r="G513" s="1440" t="n"/>
      <c r="H513" s="1567" t="n"/>
      <c r="I513" s="1351" t="n"/>
      <c r="J513" s="1351" t="n"/>
      <c r="K513" s="1351" t="n"/>
      <c r="L513" s="1351" t="n"/>
      <c r="M513" s="1351" t="n"/>
      <c r="N513" s="1351" t="n"/>
      <c r="O513" s="1351" t="n"/>
      <c r="P513" s="1349" t="n"/>
    </row>
    <row r="514">
      <c r="A514" s="1389" t="n"/>
      <c r="B514" s="1349" t="n"/>
      <c r="C514" s="1351" t="n"/>
      <c r="D514" s="1351" t="n"/>
      <c r="E514" s="1351" t="n"/>
      <c r="F514" s="1351" t="n"/>
      <c r="G514" s="1351" t="n"/>
      <c r="H514" s="1351" t="n"/>
      <c r="I514" s="1351" t="n"/>
      <c r="J514" s="1351" t="n"/>
      <c r="K514" s="1351" t="n"/>
      <c r="L514" s="1351" t="n"/>
      <c r="M514" s="1351" t="n"/>
      <c r="N514" s="1351" t="n"/>
      <c r="O514" s="1351" t="n"/>
      <c r="P514" s="1349" t="n"/>
    </row>
    <row r="515">
      <c r="A515" s="1389" t="n"/>
      <c r="B515" s="1349" t="n"/>
      <c r="C515" s="1351" t="n"/>
      <c r="D515" s="1351" t="n"/>
      <c r="E515" s="1351" t="n"/>
      <c r="F515" s="1351" t="n"/>
      <c r="G515" s="1351" t="n"/>
      <c r="H515" s="1351" t="n"/>
      <c r="I515" s="1351" t="n"/>
      <c r="J515" s="1351" t="n"/>
      <c r="K515" s="1351" t="n"/>
      <c r="L515" s="1351" t="n"/>
      <c r="M515" s="1351" t="n"/>
      <c r="N515" s="1351" t="n"/>
      <c r="O515" s="1351" t="n"/>
      <c r="P515" s="1349" t="n"/>
    </row>
    <row r="516" customFormat="1" s="324">
      <c r="A516" s="1349" t="n"/>
      <c r="B516" s="1501" t="n"/>
      <c r="C516" s="1439" t="n"/>
      <c r="D516" s="1439" t="n"/>
      <c r="E516" s="1439" t="n"/>
      <c r="F516" s="1439" t="n"/>
      <c r="G516" s="1440" t="n"/>
      <c r="H516" s="1567" t="n"/>
      <c r="I516" s="1351" t="n"/>
      <c r="J516" s="1351" t="n"/>
      <c r="K516" s="1351" t="n"/>
      <c r="L516" s="1351" t="n"/>
      <c r="M516" s="1351" t="n"/>
      <c r="N516" s="1351" t="n"/>
      <c r="O516" s="1351" t="n"/>
      <c r="P516" s="1349" t="n"/>
    </row>
    <row r="517" customFormat="1" s="324">
      <c r="A517" s="1349" t="n"/>
      <c r="B517" s="1501" t="n"/>
      <c r="C517" s="1439" t="n"/>
      <c r="D517" s="1439" t="n"/>
      <c r="E517" s="1439" t="n"/>
      <c r="F517" s="1439" t="n"/>
      <c r="G517" s="1440" t="n"/>
      <c r="H517" s="1567" t="n"/>
      <c r="I517" s="1351" t="n"/>
      <c r="J517" s="1351" t="n"/>
      <c r="K517" s="1351" t="n"/>
      <c r="L517" s="1351" t="n"/>
      <c r="M517" s="1351" t="n"/>
      <c r="N517" s="1351" t="n"/>
      <c r="O517" s="1351" t="n"/>
      <c r="P517" s="1349" t="n"/>
    </row>
    <row r="518" customFormat="1" s="324">
      <c r="A518" s="1349" t="n"/>
      <c r="B518" s="1501" t="n"/>
      <c r="C518" s="1439" t="n"/>
      <c r="D518" s="1439" t="n"/>
      <c r="E518" s="1439" t="n"/>
      <c r="F518" s="1439" t="n"/>
      <c r="G518" s="1440" t="n"/>
      <c r="H518" s="1567" t="n"/>
      <c r="I518" s="1351" t="n"/>
      <c r="J518" s="1351" t="n"/>
      <c r="K518" s="1351" t="n"/>
      <c r="L518" s="1351" t="n"/>
      <c r="M518" s="1351" t="n"/>
      <c r="N518" s="1351" t="n"/>
      <c r="O518" s="1351" t="n"/>
      <c r="P518" s="1349" t="n"/>
    </row>
    <row r="519" customFormat="1" s="324">
      <c r="A519" s="1349" t="n"/>
      <c r="B519" s="1501" t="n"/>
      <c r="C519" s="1439" t="n"/>
      <c r="D519" s="1439" t="n"/>
      <c r="E519" s="1439" t="n"/>
      <c r="F519" s="1439" t="n"/>
      <c r="G519" s="1440" t="n"/>
      <c r="H519" s="1567" t="n"/>
      <c r="I519" s="1351" t="n"/>
      <c r="J519" s="1351" t="n"/>
      <c r="K519" s="1351" t="n"/>
      <c r="L519" s="1351" t="n"/>
      <c r="M519" s="1351" t="n"/>
      <c r="N519" s="1351" t="n"/>
      <c r="O519" s="1351" t="n"/>
      <c r="P519" s="1349" t="n"/>
    </row>
    <row r="520" customFormat="1" s="324">
      <c r="A520" s="1349" t="n"/>
      <c r="B520" s="1501" t="n"/>
      <c r="C520" s="1439" t="n"/>
      <c r="D520" s="1439" t="n"/>
      <c r="E520" s="1439" t="n"/>
      <c r="F520" s="1439" t="n"/>
      <c r="G520" s="1440" t="n"/>
      <c r="H520" s="1567" t="n"/>
      <c r="I520" s="1351" t="n"/>
      <c r="J520" s="1351" t="n"/>
      <c r="K520" s="1351" t="n"/>
      <c r="L520" s="1351" t="n"/>
      <c r="M520" s="1351" t="n"/>
      <c r="N520" s="1351" t="n"/>
      <c r="O520" s="1351" t="n"/>
      <c r="P520" s="1349" t="n"/>
    </row>
    <row r="521" customFormat="1" s="324">
      <c r="A521" s="1349" t="n"/>
      <c r="B521" s="1501" t="n"/>
      <c r="C521" s="1439" t="n"/>
      <c r="D521" s="1439" t="n"/>
      <c r="E521" s="1439" t="n"/>
      <c r="F521" s="1439" t="n"/>
      <c r="G521" s="1440" t="n"/>
      <c r="H521" s="1567" t="n"/>
      <c r="I521" s="1351" t="n"/>
      <c r="J521" s="1351" t="n"/>
      <c r="K521" s="1351" t="n"/>
      <c r="L521" s="1351" t="n"/>
      <c r="M521" s="1351" t="n"/>
      <c r="N521" s="1351" t="n"/>
      <c r="O521" s="1351" t="n"/>
      <c r="P521" s="1349" t="n"/>
    </row>
    <row r="522" customFormat="1" s="324">
      <c r="A522" s="1349" t="n"/>
      <c r="B522" s="1501" t="n"/>
      <c r="C522" s="1439" t="n"/>
      <c r="D522" s="1439" t="n"/>
      <c r="E522" s="1439" t="n"/>
      <c r="F522" s="1439" t="n"/>
      <c r="G522" s="1440" t="n"/>
      <c r="H522" s="1567" t="n"/>
      <c r="I522" s="1351" t="n"/>
      <c r="J522" s="1351" t="n"/>
      <c r="K522" s="1351" t="n"/>
      <c r="L522" s="1351" t="n"/>
      <c r="M522" s="1351" t="n"/>
      <c r="N522" s="1351" t="n"/>
      <c r="O522" s="1351" t="n"/>
      <c r="P522" s="1349" t="n"/>
    </row>
    <row r="523" ht="11.15" customFormat="1" customHeight="1" s="324">
      <c r="A523" s="1349" t="n"/>
      <c r="B523" s="1501" t="n"/>
      <c r="C523" s="1439" t="n"/>
      <c r="D523" s="1439" t="n"/>
      <c r="E523" s="1439" t="n"/>
      <c r="F523" s="1439" t="n"/>
      <c r="G523" s="1440" t="n"/>
      <c r="H523" s="1567" t="n"/>
      <c r="I523" s="1351" t="n"/>
      <c r="J523" s="1351" t="n"/>
      <c r="K523" s="1351" t="n"/>
      <c r="L523" s="1351" t="n"/>
      <c r="M523" s="1351" t="n"/>
      <c r="N523" s="1351" t="n"/>
      <c r="O523" s="1351" t="n"/>
      <c r="P523" s="1349" t="n"/>
    </row>
    <row r="524" customFormat="1" s="324">
      <c r="A524" s="1349" t="n"/>
      <c r="B524" s="1501" t="n"/>
      <c r="C524" s="1439" t="n"/>
      <c r="D524" s="1439" t="n"/>
      <c r="E524" s="1439" t="n"/>
      <c r="F524" s="1439" t="n"/>
      <c r="G524" s="1440" t="n"/>
      <c r="H524" s="1567" t="n"/>
      <c r="I524" s="1351" t="n"/>
      <c r="J524" s="1351" t="n"/>
      <c r="K524" s="1351" t="n"/>
      <c r="L524" s="1351" t="n"/>
      <c r="M524" s="1351" t="n"/>
      <c r="N524" s="1351" t="n"/>
      <c r="O524" s="1351" t="n"/>
      <c r="P524" s="1349" t="n"/>
    </row>
    <row r="525" customFormat="1" s="324">
      <c r="A525" s="1349" t="n"/>
      <c r="B525" s="1501" t="n"/>
      <c r="C525" s="1439" t="n"/>
      <c r="D525" s="1439" t="n"/>
      <c r="E525" s="1439" t="n"/>
      <c r="F525" s="1439" t="n"/>
      <c r="G525" s="1440" t="n"/>
      <c r="H525" s="1567" t="n"/>
      <c r="I525" s="1351" t="n"/>
      <c r="J525" s="1351" t="n"/>
      <c r="K525" s="1351" t="n"/>
      <c r="L525" s="1351" t="n"/>
      <c r="M525" s="1351" t="n"/>
      <c r="N525" s="1351" t="n"/>
      <c r="O525" s="1351" t="n"/>
      <c r="P525" s="1349" t="n"/>
    </row>
    <row r="526" customFormat="1" s="324">
      <c r="A526" s="1349" t="n"/>
      <c r="B526" s="1501" t="n"/>
      <c r="C526" s="1439" t="n"/>
      <c r="D526" s="1439" t="n"/>
      <c r="E526" s="1439" t="n"/>
      <c r="F526" s="1439" t="n"/>
      <c r="G526" s="1440" t="n"/>
      <c r="H526" s="1567" t="n"/>
      <c r="I526" s="1351" t="n"/>
      <c r="J526" s="1351" t="n"/>
      <c r="K526" s="1351" t="n"/>
      <c r="L526" s="1351" t="n"/>
      <c r="M526" s="1351" t="n"/>
      <c r="N526" s="1351" t="n"/>
      <c r="O526" s="1351" t="n"/>
      <c r="P526" s="1349" t="n"/>
    </row>
    <row r="527" customFormat="1" s="324">
      <c r="A527" s="1349" t="n"/>
      <c r="B527" s="1501" t="n"/>
      <c r="C527" s="1439" t="n"/>
      <c r="D527" s="1439" t="n"/>
      <c r="E527" s="1439" t="n"/>
      <c r="F527" s="1439" t="n"/>
      <c r="G527" s="1440" t="n"/>
      <c r="H527" s="1567" t="n"/>
      <c r="I527" s="1351" t="n"/>
      <c r="J527" s="1351" t="n"/>
      <c r="K527" s="1351" t="n"/>
      <c r="L527" s="1351" t="n"/>
      <c r="M527" s="1351" t="n"/>
      <c r="N527" s="1351" t="n"/>
      <c r="O527" s="1351" t="n"/>
      <c r="P527" s="1349" t="n"/>
    </row>
    <row r="528" customFormat="1" s="324">
      <c r="A528" s="1349" t="n"/>
      <c r="B528" s="1501" t="n"/>
      <c r="C528" s="1439" t="n"/>
      <c r="D528" s="1439" t="n"/>
      <c r="E528" s="1439" t="n"/>
      <c r="F528" s="1439" t="n"/>
      <c r="G528" s="1440" t="n"/>
      <c r="H528" s="1567" t="n"/>
      <c r="I528" s="1351" t="n"/>
      <c r="J528" s="1351" t="n"/>
      <c r="K528" s="1351" t="n"/>
      <c r="L528" s="1351" t="n"/>
      <c r="M528" s="1351" t="n"/>
      <c r="N528" s="1351" t="n"/>
      <c r="O528" s="1351" t="n"/>
      <c r="P528" s="1349" t="n"/>
    </row>
    <row r="529" customFormat="1" s="324">
      <c r="A529" s="1349" t="n"/>
      <c r="B529" s="1501" t="n"/>
      <c r="C529" s="1439" t="n"/>
      <c r="D529" s="1439" t="n"/>
      <c r="E529" s="1439" t="n"/>
      <c r="F529" s="1439" t="n"/>
      <c r="G529" s="1440" t="n"/>
      <c r="H529" s="1567" t="n"/>
      <c r="I529" s="1351" t="n"/>
      <c r="J529" s="1351" t="n"/>
      <c r="K529" s="1351" t="n"/>
      <c r="L529" s="1351" t="n"/>
      <c r="M529" s="1351" t="n"/>
      <c r="N529" s="1351" t="n"/>
      <c r="O529" s="1351" t="n"/>
      <c r="P529" s="1349" t="n"/>
    </row>
    <row r="530" customFormat="1" s="324">
      <c r="A530" s="1349" t="n"/>
      <c r="B530" s="1501" t="n"/>
      <c r="C530" s="1439" t="n"/>
      <c r="D530" s="1439" t="n"/>
      <c r="E530" s="1439" t="n"/>
      <c r="F530" s="1439" t="n"/>
      <c r="G530" s="1440" t="n"/>
      <c r="H530" s="1567" t="n"/>
      <c r="I530" s="1351" t="n"/>
      <c r="J530" s="1351" t="n"/>
      <c r="K530" s="1351" t="n"/>
      <c r="L530" s="1351" t="n"/>
      <c r="M530" s="1351" t="n"/>
      <c r="N530" s="1351" t="n"/>
      <c r="O530" s="1351" t="n"/>
      <c r="P530" s="1349" t="n"/>
    </row>
    <row r="531" customFormat="1" s="324">
      <c r="A531" s="1349" t="n"/>
      <c r="B531" s="1501" t="n"/>
      <c r="C531" s="1439" t="n"/>
      <c r="D531" s="1439" t="n"/>
      <c r="E531" s="1439" t="n"/>
      <c r="F531" s="1439" t="n"/>
      <c r="G531" s="1440" t="n"/>
      <c r="H531" s="1567" t="n"/>
      <c r="I531" s="1351" t="n"/>
      <c r="J531" s="1351" t="n"/>
      <c r="K531" s="1351" t="n"/>
      <c r="L531" s="1351" t="n"/>
      <c r="M531" s="1351" t="n"/>
      <c r="N531" s="1351" t="n"/>
      <c r="O531" s="1351" t="n"/>
      <c r="P531" s="1349" t="n"/>
    </row>
    <row r="532" customFormat="1" s="324">
      <c r="A532" s="1349" t="n"/>
      <c r="B532" s="1501" t="n"/>
      <c r="C532" s="1439" t="n"/>
      <c r="D532" s="1439" t="n"/>
      <c r="E532" s="1439" t="n"/>
      <c r="F532" s="1439" t="n"/>
      <c r="G532" s="1440" t="n"/>
      <c r="H532" s="1567" t="n"/>
      <c r="I532" s="1351" t="n"/>
      <c r="J532" s="1351" t="n"/>
      <c r="K532" s="1351" t="n"/>
      <c r="L532" s="1351" t="n"/>
      <c r="M532" s="1351" t="n"/>
      <c r="N532" s="1351" t="n"/>
      <c r="O532" s="1351" t="n"/>
      <c r="P532" s="1349" t="n"/>
    </row>
    <row r="533" customFormat="1" s="324">
      <c r="A533" s="1349" t="n"/>
      <c r="B533" s="1501" t="n"/>
      <c r="C533" s="1439" t="n"/>
      <c r="D533" s="1439" t="n"/>
      <c r="E533" s="1439" t="n"/>
      <c r="F533" s="1439" t="n"/>
      <c r="G533" s="1440" t="n"/>
      <c r="H533" s="1567" t="n"/>
      <c r="I533" s="1351" t="n"/>
      <c r="J533" s="1351" t="n"/>
      <c r="K533" s="1351" t="n"/>
      <c r="L533" s="1351" t="n"/>
      <c r="M533" s="1351" t="n"/>
      <c r="N533" s="1351" t="n"/>
      <c r="O533" s="1351" t="n"/>
      <c r="P533" s="1349" t="n"/>
    </row>
    <row r="534" customFormat="1" s="324">
      <c r="A534" s="1349" t="n"/>
      <c r="B534" s="1501" t="n"/>
      <c r="C534" s="1439" t="n"/>
      <c r="D534" s="1439" t="n"/>
      <c r="E534" s="1439" t="n"/>
      <c r="F534" s="1439" t="n"/>
      <c r="G534" s="1440" t="n"/>
      <c r="H534" s="1567" t="n"/>
      <c r="I534" s="1351" t="n"/>
      <c r="J534" s="1351" t="n"/>
      <c r="K534" s="1351" t="n"/>
      <c r="L534" s="1351" t="n"/>
      <c r="M534" s="1351" t="n"/>
      <c r="N534" s="1351" t="n"/>
      <c r="O534" s="1351" t="n"/>
      <c r="P534" s="1349" t="n"/>
    </row>
    <row r="535" customFormat="1" s="324">
      <c r="A535" s="1349" t="n"/>
      <c r="B535" s="1501" t="n"/>
      <c r="C535" s="1439" t="n"/>
      <c r="D535" s="1439" t="n"/>
      <c r="E535" s="1439" t="n"/>
      <c r="F535" s="1439" t="n"/>
      <c r="G535" s="1440" t="n"/>
      <c r="H535" s="1567" t="n"/>
      <c r="I535" s="1351" t="n"/>
      <c r="J535" s="1351" t="n"/>
      <c r="K535" s="1351" t="n"/>
      <c r="L535" s="1351" t="n"/>
      <c r="M535" s="1351" t="n"/>
      <c r="N535" s="1351" t="n"/>
      <c r="O535" s="1351" t="n"/>
      <c r="P535" s="1349" t="n"/>
    </row>
    <row r="536" customFormat="1" s="324">
      <c r="A536" s="1349" t="n"/>
      <c r="B536" s="1501" t="n"/>
      <c r="C536" s="1439" t="n"/>
      <c r="D536" s="1439" t="n"/>
      <c r="E536" s="1439" t="n"/>
      <c r="F536" s="1439" t="n"/>
      <c r="G536" s="1440" t="n"/>
      <c r="H536" s="1567" t="n"/>
      <c r="I536" s="1351" t="n"/>
      <c r="J536" s="1351" t="n"/>
      <c r="K536" s="1351" t="n"/>
      <c r="L536" s="1351" t="n"/>
      <c r="M536" s="1351" t="n"/>
      <c r="N536" s="1351" t="n"/>
      <c r="O536" s="1351" t="n"/>
      <c r="P536" s="1349" t="n"/>
    </row>
    <row r="537" customFormat="1" s="324">
      <c r="A537" s="1349" t="n"/>
      <c r="B537" s="1501" t="n"/>
      <c r="C537" s="1439" t="n"/>
      <c r="D537" s="1439" t="n"/>
      <c r="E537" s="1439" t="n"/>
      <c r="F537" s="1439" t="n"/>
      <c r="G537" s="1440" t="n"/>
      <c r="H537" s="1567" t="n"/>
      <c r="I537" s="1351" t="n"/>
      <c r="J537" s="1351" t="n"/>
      <c r="K537" s="1351" t="n"/>
      <c r="L537" s="1351" t="n"/>
      <c r="M537" s="1351" t="n"/>
      <c r="N537" s="1351" t="n"/>
      <c r="O537" s="1351" t="n"/>
      <c r="P537" s="1349" t="n"/>
    </row>
    <row r="538" customFormat="1" s="324">
      <c r="A538" s="1349" t="n"/>
      <c r="B538" s="1501" t="n"/>
      <c r="C538" s="1439" t="n"/>
      <c r="D538" s="1439" t="n"/>
      <c r="E538" s="1439" t="n"/>
      <c r="F538" s="1439" t="n"/>
      <c r="G538" s="1440" t="n"/>
      <c r="H538" s="1567" t="n"/>
      <c r="I538" s="1351" t="n"/>
      <c r="J538" s="1351" t="n"/>
      <c r="K538" s="1351" t="n"/>
      <c r="L538" s="1351" t="n"/>
      <c r="M538" s="1351" t="n"/>
      <c r="N538" s="1351" t="n"/>
      <c r="O538" s="1351" t="n"/>
      <c r="P538" s="1349" t="n"/>
    </row>
    <row r="539" customFormat="1" s="324">
      <c r="A539" s="1349" t="n"/>
      <c r="B539" s="1501" t="n"/>
      <c r="C539" s="1439" t="n"/>
      <c r="D539" s="1439" t="n"/>
      <c r="E539" s="1439" t="n"/>
      <c r="F539" s="1439" t="n"/>
      <c r="G539" s="1440" t="n"/>
      <c r="H539" s="1567" t="n"/>
      <c r="I539" s="1351" t="n"/>
      <c r="J539" s="1351" t="n"/>
      <c r="K539" s="1351" t="n"/>
      <c r="L539" s="1351" t="n"/>
      <c r="M539" s="1351" t="n"/>
      <c r="N539" s="1351" t="n"/>
      <c r="O539" s="1351" t="n"/>
      <c r="P539" s="1349" t="n"/>
    </row>
    <row r="540" customFormat="1" s="324">
      <c r="A540" s="1349" t="n"/>
      <c r="B540" s="1501" t="n"/>
      <c r="C540" s="1439" t="n"/>
      <c r="D540" s="1439" t="n"/>
      <c r="E540" s="1439" t="n"/>
      <c r="F540" s="1439" t="n"/>
      <c r="G540" s="1440" t="n"/>
      <c r="H540" s="1567" t="n"/>
      <c r="I540" s="1351" t="n"/>
      <c r="J540" s="1351" t="n"/>
      <c r="K540" s="1351" t="n"/>
      <c r="L540" s="1351" t="n"/>
      <c r="M540" s="1351" t="n"/>
      <c r="N540" s="1351" t="n"/>
      <c r="O540" s="1351" t="n"/>
      <c r="P540" s="1349" t="n"/>
    </row>
    <row r="541" customFormat="1" s="324">
      <c r="A541" s="1349" t="n"/>
      <c r="B541" s="1501" t="n"/>
      <c r="C541" s="1439" t="n"/>
      <c r="D541" s="1439" t="n"/>
      <c r="E541" s="1439" t="n"/>
      <c r="F541" s="1439" t="n"/>
      <c r="G541" s="1440" t="n"/>
      <c r="H541" s="1567" t="n"/>
      <c r="I541" s="1351" t="n"/>
      <c r="J541" s="1351" t="n"/>
      <c r="K541" s="1351" t="n"/>
      <c r="L541" s="1351" t="n"/>
      <c r="M541" s="1351" t="n"/>
      <c r="N541" s="1351" t="n"/>
      <c r="O541" s="1351" t="n"/>
      <c r="P541" s="1349" t="n"/>
    </row>
    <row r="542" customFormat="1" s="324">
      <c r="A542" s="1349" t="n"/>
      <c r="B542" s="1501" t="n"/>
      <c r="C542" s="1439" t="n"/>
      <c r="D542" s="1439" t="n"/>
      <c r="E542" s="1439" t="n"/>
      <c r="F542" s="1439" t="n"/>
      <c r="G542" s="1440" t="n"/>
      <c r="H542" s="1567" t="n"/>
      <c r="I542" s="1351" t="n"/>
      <c r="J542" s="1351" t="n"/>
      <c r="K542" s="1351" t="n"/>
      <c r="L542" s="1351" t="n"/>
      <c r="M542" s="1351" t="n"/>
      <c r="N542" s="1351" t="n"/>
      <c r="O542" s="1351" t="n"/>
      <c r="P542" s="1349" t="n"/>
    </row>
    <row r="543" customFormat="1" s="324">
      <c r="A543" s="1349" t="n"/>
      <c r="B543" s="1501" t="n"/>
      <c r="C543" s="1439" t="n"/>
      <c r="D543" s="1439" t="n"/>
      <c r="E543" s="1439" t="n"/>
      <c r="F543" s="1439" t="n"/>
      <c r="G543" s="1440" t="n"/>
      <c r="H543" s="1567" t="n"/>
      <c r="I543" s="1351" t="n"/>
      <c r="J543" s="1351" t="n"/>
      <c r="K543" s="1351" t="n"/>
      <c r="L543" s="1351" t="n"/>
      <c r="M543" s="1351" t="n"/>
      <c r="N543" s="1351" t="n"/>
      <c r="O543" s="1351" t="n"/>
      <c r="P543" s="1349" t="n"/>
    </row>
    <row r="544" customFormat="1" s="324">
      <c r="A544" s="1349" t="n"/>
      <c r="B544" s="1501" t="n"/>
      <c r="C544" s="1439" t="n"/>
      <c r="D544" s="1439" t="n"/>
      <c r="E544" s="1439" t="n"/>
      <c r="F544" s="1439" t="n"/>
      <c r="G544" s="1440" t="n"/>
      <c r="H544" s="1567" t="n"/>
      <c r="I544" s="1351" t="n"/>
      <c r="J544" s="1351" t="n"/>
      <c r="K544" s="1351" t="n"/>
      <c r="L544" s="1351" t="n"/>
      <c r="M544" s="1351" t="n"/>
      <c r="N544" s="1351" t="n"/>
      <c r="O544" s="1351" t="n"/>
      <c r="P544" s="1349" t="n"/>
    </row>
    <row r="545" customFormat="1" s="324">
      <c r="A545" s="1349" t="n"/>
      <c r="B545" s="1501" t="n"/>
      <c r="C545" s="1439" t="n"/>
      <c r="D545" s="1439" t="n"/>
      <c r="E545" s="1439" t="n"/>
      <c r="F545" s="1439" t="n"/>
      <c r="G545" s="1440" t="n"/>
      <c r="H545" s="1567" t="n"/>
      <c r="I545" s="1351" t="n"/>
      <c r="J545" s="1351" t="n"/>
      <c r="K545" s="1351" t="n"/>
      <c r="L545" s="1351" t="n"/>
      <c r="M545" s="1351" t="n"/>
      <c r="N545" s="1351" t="n"/>
      <c r="O545" s="1351" t="n"/>
      <c r="P545" s="1349" t="n"/>
    </row>
    <row r="546" customFormat="1" s="324">
      <c r="A546" s="1349" t="n"/>
      <c r="B546" s="1501" t="n"/>
      <c r="C546" s="1439" t="n"/>
      <c r="D546" s="1439" t="n"/>
      <c r="E546" s="1439" t="n"/>
      <c r="F546" s="1439" t="n"/>
      <c r="G546" s="1440" t="n"/>
      <c r="H546" s="1567" t="n"/>
      <c r="I546" s="1351" t="n"/>
      <c r="J546" s="1351" t="n"/>
      <c r="K546" s="1351" t="n"/>
      <c r="L546" s="1351" t="n"/>
      <c r="M546" s="1351" t="n"/>
      <c r="N546" s="1351" t="n"/>
      <c r="O546" s="1351" t="n"/>
      <c r="P546" s="1349" t="n"/>
    </row>
    <row r="547" customFormat="1" s="324">
      <c r="A547" s="1349" t="n"/>
      <c r="B547" s="1501" t="n"/>
      <c r="C547" s="1439" t="n"/>
      <c r="D547" s="1439" t="n"/>
      <c r="E547" s="1439" t="n"/>
      <c r="F547" s="1439" t="n"/>
      <c r="G547" s="1440" t="n"/>
      <c r="H547" s="1567" t="n"/>
      <c r="I547" s="1351" t="n"/>
      <c r="J547" s="1351" t="n"/>
      <c r="K547" s="1351" t="n"/>
      <c r="L547" s="1351" t="n"/>
      <c r="M547" s="1351" t="n"/>
      <c r="N547" s="1351" t="n"/>
      <c r="O547" s="1351" t="n"/>
      <c r="P547" s="1349" t="n"/>
    </row>
    <row r="548" customFormat="1" s="324">
      <c r="A548" s="1349" t="n"/>
      <c r="B548" s="1501" t="n"/>
      <c r="C548" s="1439" t="n"/>
      <c r="D548" s="1439" t="n"/>
      <c r="E548" s="1439" t="n"/>
      <c r="F548" s="1439" t="n"/>
      <c r="G548" s="1440" t="n"/>
      <c r="H548" s="1567" t="n"/>
      <c r="I548" s="1351" t="n"/>
      <c r="J548" s="1351" t="n"/>
      <c r="K548" s="1351" t="n"/>
      <c r="L548" s="1351" t="n"/>
      <c r="M548" s="1351" t="n"/>
      <c r="N548" s="1351" t="n"/>
      <c r="O548" s="1351" t="n"/>
      <c r="P548" s="1349" t="n"/>
    </row>
    <row r="549" customFormat="1" s="324">
      <c r="A549" s="1349" t="n"/>
      <c r="B549" s="1501" t="n"/>
      <c r="C549" s="1439" t="n"/>
      <c r="D549" s="1439" t="n"/>
      <c r="E549" s="1439" t="n"/>
      <c r="F549" s="1439" t="n"/>
      <c r="G549" s="1440" t="n"/>
      <c r="H549" s="1567" t="n"/>
      <c r="I549" s="1351" t="n"/>
      <c r="J549" s="1351" t="n"/>
      <c r="K549" s="1351" t="n"/>
      <c r="L549" s="1351" t="n"/>
      <c r="M549" s="1351" t="n"/>
      <c r="N549" s="1351" t="n"/>
      <c r="O549" s="1351" t="n"/>
      <c r="P549" s="1349" t="n"/>
    </row>
    <row r="550" customFormat="1" s="324">
      <c r="A550" s="1349" t="n"/>
      <c r="B550" s="1501" t="n"/>
      <c r="C550" s="1439" t="n"/>
      <c r="D550" s="1439" t="n"/>
      <c r="E550" s="1439" t="n"/>
      <c r="F550" s="1439" t="n"/>
      <c r="G550" s="1440" t="n"/>
      <c r="H550" s="1567" t="n"/>
      <c r="I550" s="1351" t="n"/>
      <c r="J550" s="1351" t="n"/>
      <c r="K550" s="1351" t="n"/>
      <c r="L550" s="1351" t="n"/>
      <c r="M550" s="1351" t="n"/>
      <c r="N550" s="1351" t="n"/>
      <c r="O550" s="1351" t="n"/>
      <c r="P550" s="1349" t="n"/>
    </row>
    <row r="551" customFormat="1" s="324">
      <c r="A551" s="1349" t="n"/>
      <c r="B551" s="1501" t="n"/>
      <c r="C551" s="1439" t="n"/>
      <c r="D551" s="1439" t="n"/>
      <c r="E551" s="1439" t="n"/>
      <c r="F551" s="1439" t="n"/>
      <c r="G551" s="1440" t="n"/>
      <c r="H551" s="1567" t="n"/>
      <c r="I551" s="1351" t="n"/>
      <c r="J551" s="1351" t="n"/>
      <c r="K551" s="1351" t="n"/>
      <c r="L551" s="1351" t="n"/>
      <c r="M551" s="1351" t="n"/>
      <c r="N551" s="1351" t="n"/>
      <c r="O551" s="1351" t="n"/>
      <c r="P551" s="1349" t="n"/>
    </row>
    <row r="552" customFormat="1" s="324">
      <c r="A552" s="1349" t="n"/>
      <c r="B552" s="1501" t="n"/>
      <c r="C552" s="1439" t="n"/>
      <c r="D552" s="1439" t="n"/>
      <c r="E552" s="1439" t="n"/>
      <c r="F552" s="1439" t="n"/>
      <c r="G552" s="1440" t="n"/>
      <c r="H552" s="1567" t="n"/>
      <c r="I552" s="1351" t="n"/>
      <c r="J552" s="1351" t="n"/>
      <c r="K552" s="1351" t="n"/>
      <c r="L552" s="1351" t="n"/>
      <c r="M552" s="1351" t="n"/>
      <c r="N552" s="1351" t="n"/>
      <c r="O552" s="1351" t="n"/>
      <c r="P552" s="1349" t="n"/>
    </row>
    <row r="553" customFormat="1" s="324">
      <c r="A553" s="1349" t="n"/>
      <c r="B553" s="1501" t="n"/>
      <c r="C553" s="1439" t="n"/>
      <c r="D553" s="1439" t="n"/>
      <c r="E553" s="1439" t="n"/>
      <c r="F553" s="1439" t="n"/>
      <c r="G553" s="1440" t="n"/>
      <c r="H553" s="1567" t="n"/>
      <c r="I553" s="1351" t="n"/>
      <c r="J553" s="1351" t="n"/>
      <c r="K553" s="1351" t="n"/>
      <c r="L553" s="1351" t="n"/>
      <c r="M553" s="1351" t="n"/>
      <c r="N553" s="1351" t="n"/>
      <c r="O553" s="1351" t="n"/>
      <c r="P553" s="1349" t="n"/>
    </row>
    <row r="554" customFormat="1" s="324">
      <c r="A554" s="1349" t="n"/>
      <c r="B554" s="1501" t="n"/>
      <c r="C554" s="1439" t="n"/>
      <c r="D554" s="1439" t="n"/>
      <c r="E554" s="1439" t="n"/>
      <c r="F554" s="1439" t="n"/>
      <c r="G554" s="1440" t="n"/>
      <c r="H554" s="1567" t="n"/>
      <c r="I554" s="1351" t="n"/>
      <c r="J554" s="1351" t="n"/>
      <c r="K554" s="1351" t="n"/>
      <c r="L554" s="1351" t="n"/>
      <c r="M554" s="1351" t="n"/>
      <c r="N554" s="1351" t="n"/>
      <c r="O554" s="1351" t="n"/>
      <c r="P554" s="1349" t="n"/>
    </row>
    <row r="555" customFormat="1" s="324">
      <c r="A555" s="1349" t="n"/>
      <c r="B555" s="1501" t="n"/>
      <c r="C555" s="1439" t="n"/>
      <c r="D555" s="1439" t="n"/>
      <c r="E555" s="1439" t="n"/>
      <c r="F555" s="1439" t="n"/>
      <c r="G555" s="1440" t="n"/>
      <c r="H555" s="1567" t="n"/>
      <c r="I555" s="1351" t="n"/>
      <c r="J555" s="1351" t="n"/>
      <c r="K555" s="1351" t="n"/>
      <c r="L555" s="1351" t="n"/>
      <c r="M555" s="1351" t="n"/>
      <c r="N555" s="1351" t="n"/>
      <c r="O555" s="1351" t="n"/>
      <c r="P555" s="1349" t="n"/>
    </row>
    <row r="556" customFormat="1" s="324">
      <c r="A556" s="1349" t="n"/>
      <c r="B556" s="1501" t="n"/>
      <c r="C556" s="1439" t="n"/>
      <c r="D556" s="1439" t="n"/>
      <c r="E556" s="1439" t="n"/>
      <c r="F556" s="1439" t="n"/>
      <c r="G556" s="1440" t="n"/>
      <c r="H556" s="1567" t="n"/>
      <c r="I556" s="1351" t="n"/>
      <c r="J556" s="1351" t="n"/>
      <c r="K556" s="1351" t="n"/>
      <c r="L556" s="1351" t="n"/>
      <c r="M556" s="1351" t="n"/>
      <c r="N556" s="1351" t="n"/>
      <c r="O556" s="1351" t="n"/>
      <c r="P556" s="1349" t="n"/>
    </row>
    <row r="557" customFormat="1" s="324">
      <c r="A557" s="1349" t="n"/>
      <c r="B557" s="1501" t="n"/>
      <c r="C557" s="1439" t="n"/>
      <c r="D557" s="1439" t="n"/>
      <c r="E557" s="1439" t="n"/>
      <c r="F557" s="1439" t="n"/>
      <c r="G557" s="1440" t="n"/>
      <c r="H557" s="1567" t="n"/>
      <c r="I557" s="1351" t="n"/>
      <c r="J557" s="1351" t="n"/>
      <c r="K557" s="1351" t="n"/>
      <c r="L557" s="1351" t="n"/>
      <c r="M557" s="1351" t="n"/>
      <c r="N557" s="1351" t="n"/>
      <c r="O557" s="1351" t="n"/>
      <c r="P557" s="1349" t="n"/>
    </row>
    <row r="558" customFormat="1" s="324">
      <c r="A558" s="1349" t="n"/>
      <c r="B558" s="1501" t="n"/>
      <c r="C558" s="1439" t="n"/>
      <c r="D558" s="1439" t="n"/>
      <c r="E558" s="1439" t="n"/>
      <c r="F558" s="1439" t="n"/>
      <c r="G558" s="1440" t="n"/>
      <c r="H558" s="1567" t="n"/>
      <c r="I558" s="1351" t="n"/>
      <c r="J558" s="1351" t="n"/>
      <c r="K558" s="1351" t="n"/>
      <c r="L558" s="1351" t="n"/>
      <c r="M558" s="1351" t="n"/>
      <c r="N558" s="1351" t="n"/>
      <c r="O558" s="1351" t="n"/>
      <c r="P558" s="1349" t="n"/>
    </row>
    <row r="559" customFormat="1" s="324">
      <c r="A559" s="1349" t="n"/>
      <c r="B559" s="1501" t="n"/>
      <c r="C559" s="1439" t="n"/>
      <c r="D559" s="1439" t="n"/>
      <c r="E559" s="1439" t="n"/>
      <c r="F559" s="1439" t="n"/>
      <c r="G559" s="1440" t="n"/>
      <c r="H559" s="1567" t="n"/>
      <c r="I559" s="1351" t="n"/>
      <c r="J559" s="1351" t="n"/>
      <c r="K559" s="1351" t="n"/>
      <c r="L559" s="1351" t="n"/>
      <c r="M559" s="1351" t="n"/>
      <c r="N559" s="1351" t="n"/>
      <c r="O559" s="1351" t="n"/>
      <c r="P559" s="1349" t="n"/>
    </row>
    <row r="560" customFormat="1" s="324">
      <c r="A560" s="1349" t="n"/>
      <c r="B560" s="1501" t="n"/>
      <c r="C560" s="1439" t="n"/>
      <c r="D560" s="1439" t="n"/>
      <c r="E560" s="1439" t="n"/>
      <c r="F560" s="1439" t="n"/>
      <c r="G560" s="1440" t="n"/>
      <c r="H560" s="1567" t="n"/>
      <c r="I560" s="1351" t="n"/>
      <c r="J560" s="1351" t="n"/>
      <c r="K560" s="1351" t="n"/>
      <c r="L560" s="1351" t="n"/>
      <c r="M560" s="1351" t="n"/>
      <c r="N560" s="1351" t="n"/>
      <c r="O560" s="1351" t="n"/>
      <c r="P560" s="1349" t="n"/>
    </row>
    <row r="561" customFormat="1" s="324">
      <c r="A561" s="1349" t="n"/>
      <c r="B561" s="1501" t="n"/>
      <c r="C561" s="1439" t="n"/>
      <c r="D561" s="1439" t="n"/>
      <c r="E561" s="1439" t="n"/>
      <c r="F561" s="1439" t="n"/>
      <c r="G561" s="1440" t="n"/>
      <c r="H561" s="1567" t="n"/>
      <c r="I561" s="1351" t="n"/>
      <c r="J561" s="1351" t="n"/>
      <c r="K561" s="1351" t="n"/>
      <c r="L561" s="1351" t="n"/>
      <c r="M561" s="1351" t="n"/>
      <c r="N561" s="1351" t="n"/>
      <c r="O561" s="1351" t="n"/>
      <c r="P561" s="1349" t="n"/>
    </row>
    <row r="562" customFormat="1" s="324">
      <c r="A562" s="1349" t="n"/>
      <c r="B562" s="1501" t="n"/>
      <c r="C562" s="1439" t="n"/>
      <c r="D562" s="1439" t="n"/>
      <c r="E562" s="1439" t="n"/>
      <c r="F562" s="1439" t="n"/>
      <c r="G562" s="1440" t="n"/>
      <c r="H562" s="1567" t="n"/>
      <c r="I562" s="1351" t="n"/>
      <c r="J562" s="1351" t="n"/>
      <c r="K562" s="1351" t="n"/>
      <c r="L562" s="1351" t="n"/>
      <c r="M562" s="1351" t="n"/>
      <c r="N562" s="1351" t="n"/>
      <c r="O562" s="1351" t="n"/>
      <c r="P562" s="1349" t="n"/>
    </row>
    <row r="563" customFormat="1" s="324">
      <c r="A563" s="1349" t="n"/>
      <c r="B563" s="1501" t="n"/>
      <c r="C563" s="1439" t="n"/>
      <c r="D563" s="1439" t="n"/>
      <c r="E563" s="1439" t="n"/>
      <c r="F563" s="1439" t="n"/>
      <c r="G563" s="1440" t="n"/>
      <c r="H563" s="1567" t="n"/>
      <c r="I563" s="1351" t="n"/>
      <c r="J563" s="1351" t="n"/>
      <c r="K563" s="1351" t="n"/>
      <c r="L563" s="1351" t="n"/>
      <c r="M563" s="1351" t="n"/>
      <c r="N563" s="1351" t="n"/>
      <c r="O563" s="1351" t="n"/>
      <c r="P563" s="1349" t="n"/>
    </row>
    <row r="564" customFormat="1" s="324">
      <c r="A564" s="1349" t="n"/>
      <c r="B564" s="1501" t="n"/>
      <c r="C564" s="1439" t="n"/>
      <c r="D564" s="1439" t="n"/>
      <c r="E564" s="1439" t="n"/>
      <c r="F564" s="1439" t="n"/>
      <c r="G564" s="1440" t="n"/>
      <c r="H564" s="1567" t="n"/>
      <c r="I564" s="1351" t="n"/>
      <c r="J564" s="1351" t="n"/>
      <c r="K564" s="1351" t="n"/>
      <c r="L564" s="1351" t="n"/>
      <c r="M564" s="1351" t="n"/>
      <c r="N564" s="1351" t="n"/>
      <c r="O564" s="1351" t="n"/>
      <c r="P564" s="1349" t="n"/>
    </row>
    <row r="565" customFormat="1" s="324">
      <c r="A565" s="1349" t="n"/>
      <c r="B565" s="1501" t="n"/>
      <c r="C565" s="1439" t="n"/>
      <c r="D565" s="1439" t="n"/>
      <c r="E565" s="1439" t="n"/>
      <c r="F565" s="1439" t="n"/>
      <c r="G565" s="1440" t="n"/>
      <c r="H565" s="1567" t="n"/>
      <c r="I565" s="1351" t="n"/>
      <c r="J565" s="1351" t="n"/>
      <c r="K565" s="1351" t="n"/>
      <c r="L565" s="1351" t="n"/>
      <c r="M565" s="1351" t="n"/>
      <c r="N565" s="1351" t="n"/>
      <c r="O565" s="1351" t="n"/>
      <c r="P565" s="1349" t="n"/>
    </row>
    <row r="566" customFormat="1" s="324">
      <c r="A566" s="1349" t="n"/>
      <c r="B566" s="1501" t="n"/>
      <c r="C566" s="1439" t="n"/>
      <c r="D566" s="1439" t="n"/>
      <c r="E566" s="1439" t="n"/>
      <c r="F566" s="1439" t="n"/>
      <c r="G566" s="1440" t="n"/>
      <c r="H566" s="1567" t="n"/>
      <c r="I566" s="1351" t="n"/>
      <c r="J566" s="1351" t="n"/>
      <c r="K566" s="1351" t="n"/>
      <c r="L566" s="1351" t="n"/>
      <c r="M566" s="1351" t="n"/>
      <c r="N566" s="1351" t="n"/>
      <c r="O566" s="1351" t="n"/>
      <c r="P566" s="1349" t="n"/>
    </row>
    <row r="567" customFormat="1" s="324">
      <c r="A567" s="1349" t="n"/>
      <c r="B567" s="1501" t="n"/>
      <c r="C567" s="1439" t="n"/>
      <c r="D567" s="1439" t="n"/>
      <c r="E567" s="1439" t="n"/>
      <c r="F567" s="1439" t="n"/>
      <c r="G567" s="1440" t="n"/>
      <c r="H567" s="1567" t="n"/>
      <c r="I567" s="1351" t="n"/>
      <c r="J567" s="1351" t="n"/>
      <c r="K567" s="1351" t="n"/>
      <c r="L567" s="1351" t="n"/>
      <c r="M567" s="1351" t="n"/>
      <c r="N567" s="1351" t="n"/>
      <c r="O567" s="1351" t="n"/>
      <c r="P567" s="1349" t="n"/>
    </row>
    <row r="568" customFormat="1" s="324">
      <c r="A568" s="1349" t="n"/>
      <c r="B568" s="1501" t="n"/>
      <c r="C568" s="1439" t="n"/>
      <c r="D568" s="1439" t="n"/>
      <c r="E568" s="1439" t="n"/>
      <c r="F568" s="1439" t="n"/>
      <c r="G568" s="1440" t="n"/>
      <c r="H568" s="1567" t="n"/>
      <c r="I568" s="1351" t="n"/>
      <c r="J568" s="1351" t="n"/>
      <c r="K568" s="1351" t="n"/>
      <c r="L568" s="1351" t="n"/>
      <c r="M568" s="1351" t="n"/>
      <c r="N568" s="1351" t="n"/>
      <c r="O568" s="1351" t="n"/>
      <c r="P568" s="1349" t="n"/>
    </row>
    <row r="569" customFormat="1" s="324">
      <c r="A569" s="1349" t="n"/>
      <c r="B569" s="1501" t="n"/>
      <c r="C569" s="1439" t="n"/>
      <c r="D569" s="1439" t="n"/>
      <c r="E569" s="1439" t="n"/>
      <c r="F569" s="1439" t="n"/>
      <c r="G569" s="1440" t="n"/>
      <c r="H569" s="1567" t="n"/>
      <c r="I569" s="1351" t="n"/>
      <c r="J569" s="1351" t="n"/>
      <c r="K569" s="1351" t="n"/>
      <c r="L569" s="1351" t="n"/>
      <c r="M569" s="1351" t="n"/>
      <c r="N569" s="1351" t="n"/>
      <c r="O569" s="1351" t="n"/>
      <c r="P569" s="1349" t="n"/>
    </row>
    <row r="570" customFormat="1" s="324">
      <c r="A570" s="1349" t="n"/>
      <c r="B570" s="1501" t="n"/>
      <c r="C570" s="1439" t="n"/>
      <c r="D570" s="1439" t="n"/>
      <c r="E570" s="1439" t="n"/>
      <c r="F570" s="1439" t="n"/>
      <c r="G570" s="1440" t="n"/>
      <c r="H570" s="1567" t="n"/>
      <c r="I570" s="1351" t="n"/>
      <c r="J570" s="1351" t="n"/>
      <c r="K570" s="1351" t="n"/>
      <c r="L570" s="1351" t="n"/>
      <c r="M570" s="1351" t="n"/>
      <c r="N570" s="1351" t="n"/>
      <c r="O570" s="1351" t="n"/>
      <c r="P570" s="1349" t="n"/>
    </row>
    <row r="571" customFormat="1" s="324">
      <c r="A571" s="1349" t="n"/>
      <c r="B571" s="1501" t="n"/>
      <c r="C571" s="1439" t="n"/>
      <c r="D571" s="1439" t="n"/>
      <c r="E571" s="1439" t="n"/>
      <c r="F571" s="1439" t="n"/>
      <c r="G571" s="1440" t="n"/>
      <c r="H571" s="1567" t="n"/>
      <c r="I571" s="1351" t="n"/>
      <c r="J571" s="1351" t="n"/>
      <c r="K571" s="1351" t="n"/>
      <c r="L571" s="1351" t="n"/>
      <c r="M571" s="1351" t="n"/>
      <c r="N571" s="1351" t="n"/>
      <c r="O571" s="1351" t="n"/>
      <c r="P571" s="1349" t="n"/>
    </row>
    <row r="572" customFormat="1" s="324">
      <c r="A572" s="1349" t="n"/>
      <c r="B572" s="1501" t="n"/>
      <c r="C572" s="1439" t="n"/>
      <c r="D572" s="1439" t="n"/>
      <c r="E572" s="1439" t="n"/>
      <c r="F572" s="1439" t="n"/>
      <c r="G572" s="1440" t="n"/>
      <c r="H572" s="1567" t="n"/>
      <c r="I572" s="1351" t="n"/>
      <c r="J572" s="1351" t="n"/>
      <c r="K572" s="1351" t="n"/>
      <c r="L572" s="1351" t="n"/>
      <c r="M572" s="1351" t="n"/>
      <c r="N572" s="1351" t="n"/>
      <c r="O572" s="1351" t="n"/>
      <c r="P572" s="1349" t="n"/>
    </row>
    <row r="573" customFormat="1" s="324">
      <c r="A573" s="1349" t="n"/>
      <c r="B573" s="1501" t="n"/>
      <c r="C573" s="1439" t="n"/>
      <c r="D573" s="1439" t="n"/>
      <c r="E573" s="1439" t="n"/>
      <c r="F573" s="1439" t="n"/>
      <c r="G573" s="1440" t="n"/>
      <c r="H573" s="1567" t="n"/>
      <c r="I573" s="1351" t="n"/>
      <c r="J573" s="1351" t="n"/>
      <c r="K573" s="1351" t="n"/>
      <c r="L573" s="1351" t="n"/>
      <c r="M573" s="1351" t="n"/>
      <c r="N573" s="1351" t="n"/>
      <c r="O573" s="1351" t="n"/>
      <c r="P573" s="1349" t="n"/>
    </row>
    <row r="574" customFormat="1" s="324">
      <c r="A574" s="1349" t="n"/>
      <c r="B574" s="1501" t="n"/>
      <c r="C574" s="1439" t="n"/>
      <c r="D574" s="1439" t="n"/>
      <c r="E574" s="1439" t="n"/>
      <c r="F574" s="1439" t="n"/>
      <c r="G574" s="1440" t="n"/>
      <c r="H574" s="1567" t="n"/>
      <c r="I574" s="1351" t="n"/>
      <c r="J574" s="1351" t="n"/>
      <c r="K574" s="1351" t="n"/>
      <c r="L574" s="1351" t="n"/>
      <c r="M574" s="1351" t="n"/>
      <c r="N574" s="1351" t="n"/>
      <c r="O574" s="1351" t="n"/>
      <c r="P574" s="1349" t="n"/>
    </row>
    <row r="575" customFormat="1" s="324">
      <c r="A575" s="1349" t="n"/>
      <c r="B575" s="1501" t="n"/>
      <c r="C575" s="1439" t="n"/>
      <c r="D575" s="1439" t="n"/>
      <c r="E575" s="1439" t="n"/>
      <c r="F575" s="1439" t="n"/>
      <c r="G575" s="1440" t="n"/>
      <c r="H575" s="1567" t="n"/>
      <c r="I575" s="1351" t="n"/>
      <c r="J575" s="1351" t="n"/>
      <c r="K575" s="1351" t="n"/>
      <c r="L575" s="1351" t="n"/>
      <c r="M575" s="1351" t="n"/>
      <c r="N575" s="1351" t="n"/>
      <c r="O575" s="1351" t="n"/>
      <c r="P575" s="1349" t="n"/>
    </row>
    <row r="576" customFormat="1" s="324">
      <c r="A576" s="1349" t="n"/>
      <c r="B576" s="1501" t="n"/>
      <c r="C576" s="1439" t="n"/>
      <c r="D576" s="1439" t="n"/>
      <c r="E576" s="1439" t="n"/>
      <c r="F576" s="1439" t="n"/>
      <c r="G576" s="1440" t="n"/>
      <c r="H576" s="1567" t="n"/>
      <c r="I576" s="1351" t="n"/>
      <c r="J576" s="1351" t="n"/>
      <c r="K576" s="1351" t="n"/>
      <c r="L576" s="1351" t="n"/>
      <c r="M576" s="1351" t="n"/>
      <c r="N576" s="1351" t="n"/>
      <c r="O576" s="1351" t="n"/>
      <c r="P576" s="1349" t="n"/>
    </row>
    <row r="577" customFormat="1" s="324">
      <c r="A577" s="1349" t="n"/>
      <c r="B577" s="1501" t="n"/>
      <c r="C577" s="1439" t="n"/>
      <c r="D577" s="1439" t="n"/>
      <c r="E577" s="1439" t="n"/>
      <c r="F577" s="1439" t="n"/>
      <c r="G577" s="1440" t="n"/>
      <c r="H577" s="1567" t="n"/>
      <c r="I577" s="1351" t="n"/>
      <c r="J577" s="1351" t="n"/>
      <c r="K577" s="1351" t="n"/>
      <c r="L577" s="1351" t="n"/>
      <c r="M577" s="1351" t="n"/>
      <c r="N577" s="1351" t="n"/>
      <c r="O577" s="1351" t="n"/>
      <c r="P577" s="1349" t="n"/>
    </row>
    <row r="578" customFormat="1" s="324">
      <c r="A578" s="1349" t="n"/>
      <c r="B578" s="1501" t="n"/>
      <c r="C578" s="1439" t="n"/>
      <c r="D578" s="1439" t="n"/>
      <c r="E578" s="1439" t="n"/>
      <c r="F578" s="1439" t="n"/>
      <c r="G578" s="1440" t="n"/>
      <c r="H578" s="1567" t="n"/>
      <c r="I578" s="1351" t="n"/>
      <c r="J578" s="1351" t="n"/>
      <c r="K578" s="1351" t="n"/>
      <c r="L578" s="1351" t="n"/>
      <c r="M578" s="1351" t="n"/>
      <c r="N578" s="1351" t="n"/>
      <c r="O578" s="1351" t="n"/>
      <c r="P578" s="1349" t="n"/>
    </row>
    <row r="579" customFormat="1" s="324">
      <c r="A579" s="1349" t="n"/>
      <c r="B579" s="1501" t="n"/>
      <c r="C579" s="1439" t="n"/>
      <c r="D579" s="1439" t="n"/>
      <c r="E579" s="1439" t="n"/>
      <c r="F579" s="1439" t="n"/>
      <c r="G579" s="1440" t="n"/>
      <c r="H579" s="1567" t="n"/>
      <c r="I579" s="1351" t="n"/>
      <c r="J579" s="1351" t="n"/>
      <c r="K579" s="1351" t="n"/>
      <c r="L579" s="1351" t="n"/>
      <c r="M579" s="1351" t="n"/>
      <c r="N579" s="1351" t="n"/>
      <c r="O579" s="1351" t="n"/>
      <c r="P579" s="1349" t="n"/>
    </row>
    <row r="580" customFormat="1" s="324">
      <c r="A580" s="1349" t="n"/>
      <c r="B580" s="1501" t="n"/>
      <c r="C580" s="1439" t="n"/>
      <c r="D580" s="1439" t="n"/>
      <c r="E580" s="1439" t="n"/>
      <c r="F580" s="1439" t="n"/>
      <c r="G580" s="1440" t="n"/>
      <c r="H580" s="1567" t="n"/>
      <c r="I580" s="1351" t="n"/>
      <c r="J580" s="1351" t="n"/>
      <c r="K580" s="1351" t="n"/>
      <c r="L580" s="1351" t="n"/>
      <c r="M580" s="1351" t="n"/>
      <c r="N580" s="1351" t="n"/>
      <c r="O580" s="1351" t="n"/>
      <c r="P580" s="1349" t="n"/>
    </row>
    <row r="581" customFormat="1" s="324">
      <c r="A581" s="1349" t="n"/>
      <c r="B581" s="1501" t="n"/>
      <c r="C581" s="1439" t="n"/>
      <c r="D581" s="1439" t="n"/>
      <c r="E581" s="1439" t="n"/>
      <c r="F581" s="1439" t="n"/>
      <c r="G581" s="1440" t="n"/>
      <c r="H581" s="1567" t="n"/>
      <c r="I581" s="1351" t="n"/>
      <c r="J581" s="1351" t="n"/>
      <c r="K581" s="1351" t="n"/>
      <c r="L581" s="1351" t="n"/>
      <c r="M581" s="1351" t="n"/>
      <c r="N581" s="1351" t="n"/>
      <c r="O581" s="1351" t="n"/>
      <c r="P581" s="1349" t="n"/>
    </row>
    <row r="582" customFormat="1" s="324">
      <c r="A582" s="1349" t="n"/>
      <c r="B582" s="1501" t="n"/>
      <c r="C582" s="1439" t="n"/>
      <c r="D582" s="1439" t="n"/>
      <c r="E582" s="1439" t="n"/>
      <c r="F582" s="1439" t="n"/>
      <c r="G582" s="1440" t="n"/>
      <c r="H582" s="1567" t="n"/>
      <c r="I582" s="1351" t="n"/>
      <c r="J582" s="1351" t="n"/>
      <c r="K582" s="1351" t="n"/>
      <c r="L582" s="1351" t="n"/>
      <c r="M582" s="1351" t="n"/>
      <c r="N582" s="1351" t="n"/>
      <c r="O582" s="1351" t="n"/>
      <c r="P582" s="1349" t="n"/>
    </row>
    <row r="583" customFormat="1" s="324">
      <c r="A583" s="1349" t="n"/>
      <c r="B583" s="1501" t="n"/>
      <c r="C583" s="1439" t="n"/>
      <c r="D583" s="1439" t="n"/>
      <c r="E583" s="1439" t="n"/>
      <c r="F583" s="1439" t="n"/>
      <c r="G583" s="1440" t="n"/>
      <c r="H583" s="1567" t="n"/>
      <c r="I583" s="1351" t="n"/>
      <c r="J583" s="1351" t="n"/>
      <c r="K583" s="1351" t="n"/>
      <c r="L583" s="1351" t="n"/>
      <c r="M583" s="1351" t="n"/>
      <c r="N583" s="1351" t="n"/>
      <c r="O583" s="1351" t="n"/>
      <c r="P583" s="1349" t="n"/>
    </row>
    <row r="584" customFormat="1" s="324">
      <c r="A584" s="1349" t="n"/>
      <c r="B584" s="1501" t="n"/>
      <c r="C584" s="1439" t="n"/>
      <c r="D584" s="1439" t="n"/>
      <c r="E584" s="1439" t="n"/>
      <c r="F584" s="1439" t="n"/>
      <c r="G584" s="1440" t="n"/>
      <c r="H584" s="1567" t="n"/>
      <c r="I584" s="1351" t="n"/>
      <c r="J584" s="1351" t="n"/>
      <c r="K584" s="1351" t="n"/>
      <c r="L584" s="1351" t="n"/>
      <c r="M584" s="1351" t="n"/>
      <c r="N584" s="1351" t="n"/>
      <c r="O584" s="1351" t="n"/>
      <c r="P584" s="1349" t="n"/>
    </row>
    <row r="585" customFormat="1" s="324">
      <c r="A585" s="1349" t="n"/>
      <c r="B585" s="1501" t="n"/>
      <c r="C585" s="1439" t="n"/>
      <c r="D585" s="1439" t="n"/>
      <c r="E585" s="1439" t="n"/>
      <c r="F585" s="1439" t="n"/>
      <c r="G585" s="1440" t="n"/>
      <c r="H585" s="1567" t="n"/>
      <c r="I585" s="1351" t="n"/>
      <c r="J585" s="1351" t="n"/>
      <c r="K585" s="1351" t="n"/>
      <c r="L585" s="1351" t="n"/>
      <c r="M585" s="1351" t="n"/>
      <c r="N585" s="1351" t="n"/>
      <c r="O585" s="1351" t="n"/>
      <c r="P585" s="1349" t="n"/>
    </row>
    <row r="586" customFormat="1" s="324">
      <c r="A586" s="1349" t="n"/>
      <c r="B586" s="1501" t="n"/>
      <c r="C586" s="1439" t="n"/>
      <c r="D586" s="1439" t="n"/>
      <c r="E586" s="1439" t="n"/>
      <c r="F586" s="1439" t="n"/>
      <c r="G586" s="1440" t="n"/>
      <c r="H586" s="1567" t="n"/>
      <c r="I586" s="1351" t="n"/>
      <c r="J586" s="1351" t="n"/>
      <c r="K586" s="1351" t="n"/>
      <c r="L586" s="1351" t="n"/>
      <c r="M586" s="1351" t="n"/>
      <c r="N586" s="1351" t="n"/>
      <c r="O586" s="1351" t="n"/>
      <c r="P586" s="1349" t="n"/>
    </row>
    <row r="587" ht="31.5" customFormat="1" customHeight="1" s="324">
      <c r="A587" s="1349" t="n"/>
      <c r="B587" s="1501" t="n"/>
      <c r="C587" s="1439" t="n"/>
      <c r="D587" s="1439" t="n"/>
      <c r="E587" s="1439" t="n"/>
      <c r="F587" s="1439" t="n"/>
      <c r="G587" s="1440" t="n"/>
      <c r="H587" s="1567" t="n"/>
      <c r="I587" s="1351" t="n"/>
      <c r="J587" s="1351" t="n"/>
      <c r="K587" s="1351" t="n"/>
      <c r="L587" s="1351" t="n"/>
      <c r="M587" s="1351" t="n"/>
      <c r="N587" s="1351" t="n"/>
      <c r="O587" s="1351" t="n"/>
      <c r="P587" s="1349" t="n"/>
    </row>
    <row r="588" customFormat="1" s="324">
      <c r="A588" s="1349" t="n"/>
      <c r="B588" s="1501" t="n"/>
      <c r="C588" s="1439" t="n"/>
      <c r="D588" s="1439" t="n"/>
      <c r="E588" s="1439" t="n"/>
      <c r="F588" s="1439" t="n"/>
      <c r="G588" s="1440" t="n"/>
      <c r="H588" s="1567" t="n"/>
      <c r="I588" s="1351" t="n"/>
      <c r="J588" s="1351" t="n"/>
      <c r="K588" s="1351" t="n"/>
      <c r="L588" s="1351" t="n"/>
      <c r="M588" s="1351" t="n"/>
      <c r="N588" s="1351" t="n"/>
      <c r="O588" s="1351" t="n"/>
      <c r="P588" s="1349" t="n"/>
    </row>
    <row r="589">
      <c r="A589" s="1389" t="n"/>
      <c r="B589" s="1349" t="n"/>
      <c r="C589" s="1351" t="n"/>
      <c r="D589" s="1351" t="n"/>
      <c r="E589" s="1351" t="n"/>
      <c r="F589" s="1351" t="n"/>
      <c r="G589" s="1351" t="n"/>
      <c r="H589" s="1351" t="n"/>
      <c r="I589" s="1351" t="n"/>
      <c r="J589" s="1351" t="n"/>
      <c r="K589" s="1351" t="n"/>
      <c r="L589" s="1351" t="n"/>
      <c r="M589" s="1351" t="n"/>
      <c r="N589" s="1351" t="n"/>
      <c r="O589" s="1351" t="n"/>
      <c r="P589" s="1349" t="n"/>
    </row>
    <row r="590">
      <c r="A590" s="1389" t="n"/>
      <c r="B590" s="1349" t="n"/>
      <c r="C590" s="1351" t="n"/>
      <c r="D590" s="1351" t="n"/>
      <c r="E590" s="1351" t="n"/>
      <c r="F590" s="1351" t="n"/>
      <c r="G590" s="1351" t="n"/>
      <c r="H590" s="1351" t="n"/>
      <c r="I590" s="1351" t="n"/>
      <c r="J590" s="1351" t="n"/>
      <c r="K590" s="1351" t="n"/>
      <c r="L590" s="1351" t="n"/>
      <c r="M590" s="1351" t="n"/>
      <c r="N590" s="1351" t="n"/>
      <c r="O590" s="1351" t="n"/>
      <c r="P590" s="1349" t="n"/>
    </row>
    <row r="591" customFormat="1" s="324">
      <c r="A591" s="1349" t="n"/>
      <c r="B591" s="1501" t="n"/>
      <c r="C591" s="1439" t="n"/>
      <c r="D591" s="1439" t="n"/>
      <c r="E591" s="1439" t="n"/>
      <c r="F591" s="1439" t="n"/>
      <c r="G591" s="1440" t="n"/>
      <c r="H591" s="1567" t="n"/>
      <c r="I591" s="1351" t="n"/>
      <c r="J591" s="1351" t="n"/>
      <c r="K591" s="1351" t="n"/>
      <c r="L591" s="1351" t="n"/>
      <c r="M591" s="1351" t="n"/>
      <c r="N591" s="1351" t="n"/>
      <c r="O591" s="1351" t="n"/>
      <c r="P591" s="1349" t="n"/>
    </row>
    <row r="592" customFormat="1" s="324">
      <c r="A592" s="1349" t="n"/>
      <c r="B592" s="1501" t="n"/>
      <c r="C592" s="1439" t="n"/>
      <c r="D592" s="1439" t="n"/>
      <c r="E592" s="1439" t="n"/>
      <c r="F592" s="1439" t="n"/>
      <c r="G592" s="1440" t="n"/>
      <c r="H592" s="1567" t="n"/>
      <c r="I592" s="1351" t="n"/>
      <c r="J592" s="1351" t="n"/>
      <c r="K592" s="1351" t="n"/>
      <c r="L592" s="1351" t="n"/>
      <c r="M592" s="1351" t="n"/>
      <c r="N592" s="1351" t="n"/>
      <c r="O592" s="1351" t="n"/>
      <c r="P592" s="1349" t="n"/>
    </row>
    <row r="593" customFormat="1" s="324">
      <c r="A593" s="1349" t="n"/>
      <c r="B593" s="1501" t="n"/>
      <c r="C593" s="1439" t="n"/>
      <c r="D593" s="1439" t="n"/>
      <c r="E593" s="1439" t="n"/>
      <c r="F593" s="1439" t="n"/>
      <c r="G593" s="1440" t="n"/>
      <c r="H593" s="1567" t="n"/>
      <c r="I593" s="1351" t="n"/>
      <c r="J593" s="1351" t="n"/>
      <c r="K593" s="1351" t="n"/>
      <c r="L593" s="1351" t="n"/>
      <c r="M593" s="1351" t="n"/>
      <c r="N593" s="1351" t="n"/>
      <c r="O593" s="1351" t="n"/>
      <c r="P593" s="1349" t="n"/>
    </row>
    <row r="594" customFormat="1" s="324">
      <c r="A594" s="1349" t="n"/>
      <c r="B594" s="1501" t="n"/>
      <c r="C594" s="1439" t="n"/>
      <c r="D594" s="1439" t="n"/>
      <c r="E594" s="1439" t="n"/>
      <c r="F594" s="1439" t="n"/>
      <c r="G594" s="1440" t="n"/>
      <c r="H594" s="1567" t="n"/>
      <c r="I594" s="1351" t="n"/>
      <c r="J594" s="1351" t="n"/>
      <c r="K594" s="1351" t="n"/>
      <c r="L594" s="1351" t="n"/>
      <c r="M594" s="1351" t="n"/>
      <c r="N594" s="1351" t="n"/>
      <c r="O594" s="1351" t="n"/>
      <c r="P594" s="1349" t="n"/>
    </row>
    <row r="595" customFormat="1" s="324">
      <c r="A595" s="1349" t="n"/>
      <c r="B595" s="1501" t="n"/>
      <c r="C595" s="1439" t="n"/>
      <c r="D595" s="1439" t="n"/>
      <c r="E595" s="1439" t="n"/>
      <c r="F595" s="1439" t="n"/>
      <c r="G595" s="1440" t="n"/>
      <c r="H595" s="1567" t="n"/>
      <c r="I595" s="1351" t="n"/>
      <c r="J595" s="1351" t="n"/>
      <c r="K595" s="1351" t="n"/>
      <c r="L595" s="1351" t="n"/>
      <c r="M595" s="1351" t="n"/>
      <c r="N595" s="1351" t="n"/>
      <c r="O595" s="1351" t="n"/>
      <c r="P595" s="1349" t="n"/>
    </row>
    <row r="596" customFormat="1" s="324">
      <c r="A596" s="1349" t="n"/>
      <c r="B596" s="1501" t="n"/>
      <c r="C596" s="1439" t="n"/>
      <c r="D596" s="1439" t="n"/>
      <c r="E596" s="1439" t="n"/>
      <c r="F596" s="1439" t="n"/>
      <c r="G596" s="1440" t="n"/>
      <c r="H596" s="1567" t="n"/>
      <c r="I596" s="1351" t="n"/>
      <c r="J596" s="1351" t="n"/>
      <c r="K596" s="1351" t="n"/>
      <c r="L596" s="1351" t="n"/>
      <c r="M596" s="1351" t="n"/>
      <c r="N596" s="1351" t="n"/>
      <c r="O596" s="1351" t="n"/>
      <c r="P596" s="1349" t="n"/>
    </row>
    <row r="597" customFormat="1" s="324">
      <c r="A597" s="1349" t="n"/>
      <c r="B597" s="1501" t="n"/>
      <c r="C597" s="1439" t="n"/>
      <c r="D597" s="1439" t="n"/>
      <c r="E597" s="1439" t="n"/>
      <c r="F597" s="1439" t="n"/>
      <c r="G597" s="1440" t="n"/>
      <c r="H597" s="1567" t="n"/>
      <c r="I597" s="1351" t="n"/>
      <c r="J597" s="1351" t="n"/>
      <c r="K597" s="1351" t="n"/>
      <c r="L597" s="1351" t="n"/>
      <c r="M597" s="1351" t="n"/>
      <c r="N597" s="1351" t="n"/>
      <c r="O597" s="1351" t="n"/>
      <c r="P597" s="1349" t="n"/>
    </row>
    <row r="598" customFormat="1" s="324">
      <c r="A598" s="1349" t="n"/>
      <c r="B598" s="1501" t="n"/>
      <c r="C598" s="1439" t="n"/>
      <c r="D598" s="1439" t="n"/>
      <c r="E598" s="1439" t="n"/>
      <c r="F598" s="1439" t="n"/>
      <c r="G598" s="1440" t="n"/>
      <c r="H598" s="1567" t="n"/>
      <c r="I598" s="1351" t="n"/>
      <c r="J598" s="1351" t="n"/>
      <c r="K598" s="1351" t="n"/>
      <c r="L598" s="1351" t="n"/>
      <c r="M598" s="1351" t="n"/>
      <c r="N598" s="1351" t="n"/>
      <c r="O598" s="1351" t="n"/>
      <c r="P598" s="1349" t="n"/>
    </row>
    <row r="599" customFormat="1" s="324">
      <c r="A599" s="1349" t="n"/>
      <c r="B599" s="1501" t="n"/>
      <c r="C599" s="1439" t="n"/>
      <c r="D599" s="1439" t="n"/>
      <c r="E599" s="1439" t="n"/>
      <c r="F599" s="1439" t="n"/>
      <c r="G599" s="1440" t="n"/>
      <c r="H599" s="1567" t="n"/>
      <c r="I599" s="1351" t="n"/>
      <c r="J599" s="1351" t="n"/>
      <c r="K599" s="1351" t="n"/>
      <c r="L599" s="1351" t="n"/>
      <c r="M599" s="1351" t="n"/>
      <c r="N599" s="1351" t="n"/>
      <c r="O599" s="1351" t="n"/>
      <c r="P599" s="1349" t="n"/>
    </row>
    <row r="600" customFormat="1" s="324">
      <c r="A600" s="1349" t="n"/>
      <c r="B600" s="1501" t="n"/>
      <c r="C600" s="1439" t="n"/>
      <c r="D600" s="1439" t="n"/>
      <c r="E600" s="1439" t="n"/>
      <c r="F600" s="1439" t="n"/>
      <c r="G600" s="1440" t="n"/>
      <c r="H600" s="1567" t="n"/>
      <c r="I600" s="1351" t="n"/>
      <c r="J600" s="1351" t="n"/>
      <c r="K600" s="1351" t="n"/>
      <c r="L600" s="1351" t="n"/>
      <c r="M600" s="1351" t="n"/>
      <c r="N600" s="1351" t="n"/>
      <c r="O600" s="1351" t="n"/>
      <c r="P600" s="1349" t="n"/>
    </row>
    <row r="601" customFormat="1" s="324">
      <c r="A601" s="1349" t="n"/>
      <c r="B601" s="1501" t="n"/>
      <c r="C601" s="1439" t="n"/>
      <c r="D601" s="1439" t="n"/>
      <c r="E601" s="1439" t="n"/>
      <c r="F601" s="1439" t="n"/>
      <c r="G601" s="1440" t="n"/>
      <c r="H601" s="1567" t="n"/>
      <c r="I601" s="1351" t="n"/>
      <c r="J601" s="1351" t="n"/>
      <c r="K601" s="1351" t="n"/>
      <c r="L601" s="1351" t="n"/>
      <c r="M601" s="1351" t="n"/>
      <c r="N601" s="1351" t="n"/>
      <c r="O601" s="1351" t="n"/>
      <c r="P601" s="1349" t="n"/>
    </row>
    <row r="602" customFormat="1" s="324">
      <c r="A602" s="1349" t="n"/>
      <c r="B602" s="1501" t="n"/>
      <c r="C602" s="1439" t="n"/>
      <c r="D602" s="1439" t="n"/>
      <c r="E602" s="1439" t="n"/>
      <c r="F602" s="1439" t="n"/>
      <c r="G602" s="1440" t="n"/>
      <c r="H602" s="1567" t="n"/>
      <c r="I602" s="1351" t="n"/>
      <c r="J602" s="1351" t="n"/>
      <c r="K602" s="1351" t="n"/>
      <c r="L602" s="1351" t="n"/>
      <c r="M602" s="1351" t="n"/>
      <c r="N602" s="1351" t="n"/>
      <c r="O602" s="1351" t="n"/>
      <c r="P602" s="1349" t="n"/>
    </row>
    <row r="603" customFormat="1" s="324">
      <c r="A603" s="1349" t="n"/>
      <c r="B603" s="1501" t="n"/>
      <c r="C603" s="1439" t="n"/>
      <c r="D603" s="1439" t="n"/>
      <c r="E603" s="1439" t="n"/>
      <c r="F603" s="1439" t="n"/>
      <c r="G603" s="1440" t="n"/>
      <c r="H603" s="1567" t="n"/>
      <c r="I603" s="1351" t="n"/>
      <c r="J603" s="1351" t="n"/>
      <c r="K603" s="1351" t="n"/>
      <c r="L603" s="1351" t="n"/>
      <c r="M603" s="1351" t="n"/>
      <c r="N603" s="1351" t="n"/>
      <c r="O603" s="1351" t="n"/>
      <c r="P603" s="1349" t="n"/>
    </row>
    <row r="604" customFormat="1" s="324">
      <c r="A604" s="1349" t="n"/>
      <c r="B604" s="1501" t="n"/>
      <c r="C604" s="1439" t="n"/>
      <c r="D604" s="1439" t="n"/>
      <c r="E604" s="1439" t="n"/>
      <c r="F604" s="1439" t="n"/>
      <c r="G604" s="1440" t="n"/>
      <c r="H604" s="1567" t="n"/>
      <c r="I604" s="1351" t="n"/>
      <c r="J604" s="1351" t="n"/>
      <c r="K604" s="1351" t="n"/>
      <c r="L604" s="1351" t="n"/>
      <c r="M604" s="1351" t="n"/>
      <c r="N604" s="1351" t="n"/>
      <c r="O604" s="1351" t="n"/>
      <c r="P604" s="1349" t="n"/>
    </row>
    <row r="605" customFormat="1" s="324">
      <c r="A605" s="1349" t="n"/>
      <c r="B605" s="1501" t="n"/>
      <c r="C605" s="1439" t="n"/>
      <c r="D605" s="1439" t="n"/>
      <c r="E605" s="1439" t="n"/>
      <c r="F605" s="1439" t="n"/>
      <c r="G605" s="1440" t="n"/>
      <c r="H605" s="1567" t="n"/>
      <c r="I605" s="1351" t="n"/>
      <c r="J605" s="1351" t="n"/>
      <c r="K605" s="1351" t="n"/>
      <c r="L605" s="1351" t="n"/>
      <c r="M605" s="1351" t="n"/>
      <c r="N605" s="1351" t="n"/>
      <c r="O605" s="1351" t="n"/>
      <c r="P605" s="1349" t="n"/>
    </row>
    <row r="606" customFormat="1" s="324">
      <c r="A606" s="1349" t="n"/>
      <c r="B606" s="1501" t="n"/>
      <c r="C606" s="1439" t="n"/>
      <c r="D606" s="1439" t="n"/>
      <c r="E606" s="1439" t="n"/>
      <c r="F606" s="1439" t="n"/>
      <c r="G606" s="1440" t="n"/>
      <c r="H606" s="1567" t="n"/>
      <c r="I606" s="1351" t="n"/>
      <c r="J606" s="1351" t="n"/>
      <c r="K606" s="1351" t="n"/>
      <c r="L606" s="1351" t="n"/>
      <c r="M606" s="1351" t="n"/>
      <c r="N606" s="1351" t="n"/>
      <c r="O606" s="1351" t="n"/>
      <c r="P606" s="1349" t="n"/>
    </row>
    <row r="607" customFormat="1" s="324">
      <c r="A607" s="1349" t="n"/>
      <c r="B607" s="1501" t="n"/>
      <c r="C607" s="1439" t="n"/>
      <c r="D607" s="1439" t="n"/>
      <c r="E607" s="1439" t="n"/>
      <c r="F607" s="1439" t="n"/>
      <c r="G607" s="1440" t="n"/>
      <c r="H607" s="1567" t="n"/>
      <c r="I607" s="1351" t="n"/>
      <c r="J607" s="1351" t="n"/>
      <c r="K607" s="1351" t="n"/>
      <c r="L607" s="1351" t="n"/>
      <c r="M607" s="1351" t="n"/>
      <c r="N607" s="1351" t="n"/>
      <c r="O607" s="1351" t="n"/>
      <c r="P607" s="1349" t="n"/>
    </row>
    <row r="608" customFormat="1" s="324">
      <c r="A608" s="1349" t="n"/>
      <c r="B608" s="1501" t="n"/>
      <c r="C608" s="1439" t="n"/>
      <c r="D608" s="1439" t="n"/>
      <c r="E608" s="1439" t="n"/>
      <c r="F608" s="1439" t="n"/>
      <c r="G608" s="1440" t="n"/>
      <c r="H608" s="1567" t="n"/>
      <c r="I608" s="1351" t="n"/>
      <c r="J608" s="1351" t="n"/>
      <c r="K608" s="1351" t="n"/>
      <c r="L608" s="1351" t="n"/>
      <c r="M608" s="1351" t="n"/>
      <c r="N608" s="1351" t="n"/>
      <c r="O608" s="1351" t="n"/>
      <c r="P608" s="1349" t="n"/>
    </row>
    <row r="609" customFormat="1" s="324">
      <c r="A609" s="1349" t="n"/>
      <c r="B609" s="1501" t="n"/>
      <c r="C609" s="1439" t="n"/>
      <c r="D609" s="1439" t="n"/>
      <c r="E609" s="1439" t="n"/>
      <c r="F609" s="1439" t="n"/>
      <c r="G609" s="1440" t="n"/>
      <c r="H609" s="1567" t="n"/>
      <c r="I609" s="1351" t="n"/>
      <c r="J609" s="1351" t="n"/>
      <c r="K609" s="1351" t="n"/>
      <c r="L609" s="1351" t="n"/>
      <c r="M609" s="1351" t="n"/>
      <c r="N609" s="1351" t="n"/>
      <c r="O609" s="1351" t="n"/>
      <c r="P609" s="1349" t="n"/>
    </row>
    <row r="610" customFormat="1" s="324">
      <c r="A610" s="1349" t="n"/>
      <c r="B610" s="1501" t="n"/>
      <c r="C610" s="1439" t="n"/>
      <c r="D610" s="1439" t="n"/>
      <c r="E610" s="1439" t="n"/>
      <c r="F610" s="1439" t="n"/>
      <c r="G610" s="1440" t="n"/>
      <c r="H610" s="1567" t="n"/>
      <c r="I610" s="1351" t="n"/>
      <c r="J610" s="1351" t="n"/>
      <c r="K610" s="1351" t="n"/>
      <c r="L610" s="1351" t="n"/>
      <c r="M610" s="1351" t="n"/>
      <c r="N610" s="1351" t="n"/>
      <c r="O610" s="1351" t="n"/>
      <c r="P610" s="1349" t="n"/>
    </row>
    <row r="611" customFormat="1" s="324">
      <c r="A611" s="1349" t="n"/>
      <c r="B611" s="1501" t="n"/>
      <c r="C611" s="1439" t="n"/>
      <c r="D611" s="1439" t="n"/>
      <c r="E611" s="1439" t="n"/>
      <c r="F611" s="1439" t="n"/>
      <c r="G611" s="1440" t="n"/>
      <c r="H611" s="1567" t="n"/>
      <c r="I611" s="1351" t="n"/>
      <c r="J611" s="1351" t="n"/>
      <c r="K611" s="1351" t="n"/>
      <c r="L611" s="1351" t="n"/>
      <c r="M611" s="1351" t="n"/>
      <c r="N611" s="1351" t="n"/>
      <c r="O611" s="1351" t="n"/>
      <c r="P611" s="1349" t="n"/>
    </row>
    <row r="612" customFormat="1" s="324">
      <c r="A612" s="1349" t="n"/>
      <c r="B612" s="1501" t="n"/>
      <c r="C612" s="1439" t="n"/>
      <c r="D612" s="1439" t="n"/>
      <c r="E612" s="1439" t="n"/>
      <c r="F612" s="1439" t="n"/>
      <c r="G612" s="1440" t="n"/>
      <c r="H612" s="1567" t="n"/>
      <c r="I612" s="1351" t="n"/>
      <c r="J612" s="1351" t="n"/>
      <c r="K612" s="1351" t="n"/>
      <c r="L612" s="1351" t="n"/>
      <c r="M612" s="1351" t="n"/>
      <c r="N612" s="1351" t="n"/>
      <c r="O612" s="1351" t="n"/>
      <c r="P612" s="1349" t="n"/>
    </row>
    <row r="613" customFormat="1" s="324">
      <c r="A613" s="1349" t="n"/>
      <c r="B613" s="1501" t="n"/>
      <c r="C613" s="1439" t="n"/>
      <c r="D613" s="1439" t="n"/>
      <c r="E613" s="1439" t="n"/>
      <c r="F613" s="1439" t="n"/>
      <c r="G613" s="1440" t="n"/>
      <c r="H613" s="1567" t="n"/>
      <c r="I613" s="1351" t="n"/>
      <c r="J613" s="1351" t="n"/>
      <c r="K613" s="1351" t="n"/>
      <c r="L613" s="1351" t="n"/>
      <c r="M613" s="1351" t="n"/>
      <c r="N613" s="1351" t="n"/>
      <c r="O613" s="1351" t="n"/>
      <c r="P613" s="1349" t="n"/>
    </row>
    <row r="614" customFormat="1" s="324">
      <c r="A614" s="1349" t="n"/>
      <c r="B614" s="1501" t="n"/>
      <c r="C614" s="1439" t="n"/>
      <c r="D614" s="1439" t="n"/>
      <c r="E614" s="1439" t="n"/>
      <c r="F614" s="1439" t="n"/>
      <c r="G614" s="1440" t="n"/>
      <c r="H614" s="1567" t="n"/>
      <c r="I614" s="1351" t="n"/>
      <c r="J614" s="1351" t="n"/>
      <c r="K614" s="1351" t="n"/>
      <c r="L614" s="1351" t="n"/>
      <c r="M614" s="1351" t="n"/>
      <c r="N614" s="1351" t="n"/>
      <c r="O614" s="1351" t="n"/>
      <c r="P614" s="1349" t="n"/>
    </row>
    <row r="615" customFormat="1" s="324">
      <c r="A615" s="1349" t="n"/>
      <c r="B615" s="1501" t="n"/>
      <c r="C615" s="1439" t="n"/>
      <c r="D615" s="1439" t="n"/>
      <c r="E615" s="1439" t="n"/>
      <c r="F615" s="1439" t="n"/>
      <c r="G615" s="1440" t="n"/>
      <c r="H615" s="1567" t="n"/>
      <c r="I615" s="1351" t="n"/>
      <c r="J615" s="1351" t="n"/>
      <c r="K615" s="1351" t="n"/>
      <c r="L615" s="1351" t="n"/>
      <c r="M615" s="1351" t="n"/>
      <c r="N615" s="1351" t="n"/>
      <c r="O615" s="1351" t="n"/>
      <c r="P615" s="1349" t="n"/>
    </row>
    <row r="616" customFormat="1" s="324">
      <c r="A616" s="1349" t="n"/>
      <c r="B616" s="1501" t="n"/>
      <c r="C616" s="1439" t="n"/>
      <c r="D616" s="1439" t="n"/>
      <c r="E616" s="1439" t="n"/>
      <c r="F616" s="1439" t="n"/>
      <c r="G616" s="1440" t="n"/>
      <c r="H616" s="1567" t="n"/>
      <c r="I616" s="1351" t="n"/>
      <c r="J616" s="1351" t="n"/>
      <c r="K616" s="1351" t="n"/>
      <c r="L616" s="1351" t="n"/>
      <c r="M616" s="1351" t="n"/>
      <c r="N616" s="1351" t="n"/>
      <c r="O616" s="1351" t="n"/>
      <c r="P616" s="1349" t="n"/>
    </row>
    <row r="617" customFormat="1" s="324">
      <c r="A617" s="1349" t="n"/>
      <c r="B617" s="1501" t="n"/>
      <c r="C617" s="1439" t="n"/>
      <c r="D617" s="1439" t="n"/>
      <c r="E617" s="1439" t="n"/>
      <c r="F617" s="1439" t="n"/>
      <c r="G617" s="1440" t="n"/>
      <c r="H617" s="1567" t="n"/>
      <c r="I617" s="1351" t="n"/>
      <c r="J617" s="1351" t="n"/>
      <c r="K617" s="1351" t="n"/>
      <c r="L617" s="1351" t="n"/>
      <c r="M617" s="1351" t="n"/>
      <c r="N617" s="1351" t="n"/>
      <c r="O617" s="1351" t="n"/>
      <c r="P617" s="1349" t="n"/>
    </row>
    <row r="618" customFormat="1" s="324">
      <c r="A618" s="1349" t="n"/>
      <c r="B618" s="1501" t="n"/>
      <c r="C618" s="1439" t="n"/>
      <c r="D618" s="1439" t="n"/>
      <c r="E618" s="1439" t="n"/>
      <c r="F618" s="1439" t="n"/>
      <c r="G618" s="1440" t="n"/>
      <c r="H618" s="1567" t="n"/>
      <c r="I618" s="1351" t="n"/>
      <c r="J618" s="1351" t="n"/>
      <c r="K618" s="1351" t="n"/>
      <c r="L618" s="1351" t="n"/>
      <c r="M618" s="1351" t="n"/>
      <c r="N618" s="1351" t="n"/>
      <c r="O618" s="1351" t="n"/>
      <c r="P618" s="1349" t="n"/>
    </row>
    <row r="619" customFormat="1" s="324">
      <c r="A619" s="1349" t="n"/>
      <c r="B619" s="1501" t="n"/>
      <c r="C619" s="1439" t="n"/>
      <c r="D619" s="1439" t="n"/>
      <c r="E619" s="1439" t="n"/>
      <c r="F619" s="1439" t="n"/>
      <c r="G619" s="1440" t="n"/>
      <c r="H619" s="1567" t="n"/>
      <c r="I619" s="1351" t="n"/>
      <c r="J619" s="1351" t="n"/>
      <c r="K619" s="1351" t="n"/>
      <c r="L619" s="1351" t="n"/>
      <c r="M619" s="1351" t="n"/>
      <c r="N619" s="1351" t="n"/>
      <c r="O619" s="1351" t="n"/>
      <c r="P619" s="1349" t="n"/>
    </row>
    <row r="620" customFormat="1" s="324">
      <c r="A620" s="1349" t="n"/>
      <c r="B620" s="1501" t="n"/>
      <c r="C620" s="1439" t="n"/>
      <c r="D620" s="1439" t="n"/>
      <c r="E620" s="1439" t="n"/>
      <c r="F620" s="1439" t="n"/>
      <c r="G620" s="1440" t="n"/>
      <c r="H620" s="1567" t="n"/>
      <c r="I620" s="1351" t="n"/>
      <c r="J620" s="1351" t="n"/>
      <c r="K620" s="1351" t="n"/>
      <c r="L620" s="1351" t="n"/>
      <c r="M620" s="1351" t="n"/>
      <c r="N620" s="1351" t="n"/>
      <c r="O620" s="1351" t="n"/>
      <c r="P620" s="1349" t="n"/>
    </row>
    <row r="621" customFormat="1" s="324">
      <c r="A621" s="1349" t="n"/>
      <c r="B621" s="1501" t="n"/>
      <c r="C621" s="1439" t="n"/>
      <c r="D621" s="1439" t="n"/>
      <c r="E621" s="1439" t="n"/>
      <c r="F621" s="1439" t="n"/>
      <c r="G621" s="1440" t="n"/>
      <c r="H621" s="1567" t="n"/>
      <c r="I621" s="1351" t="n"/>
      <c r="J621" s="1351" t="n"/>
      <c r="K621" s="1351" t="n"/>
      <c r="L621" s="1351" t="n"/>
      <c r="M621" s="1351" t="n"/>
      <c r="N621" s="1351" t="n"/>
      <c r="O621" s="1351" t="n"/>
      <c r="P621" s="1349" t="n"/>
    </row>
    <row r="622" customFormat="1" s="324">
      <c r="A622" s="1349" t="n"/>
      <c r="B622" s="1501" t="n"/>
      <c r="C622" s="1439" t="n"/>
      <c r="D622" s="1439" t="n"/>
      <c r="E622" s="1439" t="n"/>
      <c r="F622" s="1439" t="n"/>
      <c r="G622" s="1440" t="n"/>
      <c r="H622" s="1567" t="n"/>
      <c r="I622" s="1351" t="n"/>
      <c r="J622" s="1351" t="n"/>
      <c r="K622" s="1351" t="n"/>
      <c r="L622" s="1351" t="n"/>
      <c r="M622" s="1351" t="n"/>
      <c r="N622" s="1351" t="n"/>
      <c r="O622" s="1351" t="n"/>
      <c r="P622" s="1349" t="n"/>
    </row>
    <row r="623" customFormat="1" s="324">
      <c r="A623" s="1349" t="n"/>
      <c r="B623" s="1501" t="n"/>
      <c r="C623" s="1439" t="n"/>
      <c r="D623" s="1439" t="n"/>
      <c r="E623" s="1439" t="n"/>
      <c r="F623" s="1439" t="n"/>
      <c r="G623" s="1440" t="n"/>
      <c r="H623" s="1567" t="n"/>
      <c r="I623" s="1351" t="n"/>
      <c r="J623" s="1351" t="n"/>
      <c r="K623" s="1351" t="n"/>
      <c r="L623" s="1351" t="n"/>
      <c r="M623" s="1351" t="n"/>
      <c r="N623" s="1351" t="n"/>
      <c r="O623" s="1351" t="n"/>
      <c r="P623" s="1349" t="n"/>
    </row>
    <row r="624" customFormat="1" s="324">
      <c r="A624" s="1349" t="n"/>
      <c r="B624" s="1501" t="n"/>
      <c r="C624" s="1439" t="n"/>
      <c r="D624" s="1439" t="n"/>
      <c r="E624" s="1439" t="n"/>
      <c r="F624" s="1439" t="n"/>
      <c r="G624" s="1440" t="n"/>
      <c r="H624" s="1567" t="n"/>
      <c r="I624" s="1351" t="n"/>
      <c r="J624" s="1351" t="n"/>
      <c r="K624" s="1351" t="n"/>
      <c r="L624" s="1351" t="n"/>
      <c r="M624" s="1351" t="n"/>
      <c r="N624" s="1351" t="n"/>
      <c r="O624" s="1351" t="n"/>
      <c r="P624" s="1349" t="n"/>
    </row>
    <row r="625" customFormat="1" s="324">
      <c r="A625" s="1349" t="n"/>
      <c r="B625" s="1501" t="n"/>
      <c r="C625" s="1439" t="n"/>
      <c r="D625" s="1439" t="n"/>
      <c r="E625" s="1439" t="n"/>
      <c r="F625" s="1439" t="n"/>
      <c r="G625" s="1440" t="n"/>
      <c r="H625" s="1567" t="n"/>
      <c r="I625" s="1351" t="n"/>
      <c r="J625" s="1351" t="n"/>
      <c r="K625" s="1351" t="n"/>
      <c r="L625" s="1351" t="n"/>
      <c r="M625" s="1351" t="n"/>
      <c r="N625" s="1351" t="n"/>
      <c r="O625" s="1351" t="n"/>
      <c r="P625" s="1349" t="n"/>
    </row>
    <row r="626" customFormat="1" s="324">
      <c r="A626" s="1349" t="n"/>
      <c r="B626" s="1501" t="n"/>
      <c r="C626" s="1439" t="n"/>
      <c r="D626" s="1439" t="n"/>
      <c r="E626" s="1439" t="n"/>
      <c r="F626" s="1439" t="n"/>
      <c r="G626" s="1440" t="n"/>
      <c r="H626" s="1567" t="n"/>
      <c r="I626" s="1351" t="n"/>
      <c r="J626" s="1351" t="n"/>
      <c r="K626" s="1351" t="n"/>
      <c r="L626" s="1351" t="n"/>
      <c r="M626" s="1351" t="n"/>
      <c r="N626" s="1351" t="n"/>
      <c r="O626" s="1351" t="n"/>
      <c r="P626" s="1349" t="n"/>
    </row>
    <row r="627" customFormat="1" s="324">
      <c r="A627" s="1349" t="n"/>
      <c r="B627" s="1501" t="n"/>
      <c r="C627" s="1439" t="n"/>
      <c r="D627" s="1439" t="n"/>
      <c r="E627" s="1439" t="n"/>
      <c r="F627" s="1439" t="n"/>
      <c r="G627" s="1440" t="n"/>
      <c r="H627" s="1567" t="n"/>
      <c r="I627" s="1351" t="n"/>
      <c r="J627" s="1351" t="n"/>
      <c r="K627" s="1351" t="n"/>
      <c r="L627" s="1351" t="n"/>
      <c r="M627" s="1351" t="n"/>
      <c r="N627" s="1351" t="n"/>
      <c r="O627" s="1351" t="n"/>
      <c r="P627" s="1349" t="n"/>
    </row>
    <row r="628" customFormat="1" s="324">
      <c r="A628" s="1349" t="n"/>
      <c r="B628" s="1501" t="n"/>
      <c r="C628" s="1439" t="n"/>
      <c r="D628" s="1439" t="n"/>
      <c r="E628" s="1439" t="n"/>
      <c r="F628" s="1439" t="n"/>
      <c r="G628" s="1440" t="n"/>
      <c r="H628" s="1567" t="n"/>
      <c r="I628" s="1351" t="n"/>
      <c r="J628" s="1351" t="n"/>
      <c r="K628" s="1351" t="n"/>
      <c r="L628" s="1351" t="n"/>
      <c r="M628" s="1351" t="n"/>
      <c r="N628" s="1351" t="n"/>
      <c r="O628" s="1351" t="n"/>
      <c r="P628" s="1349" t="n"/>
    </row>
    <row r="629" customFormat="1" s="324">
      <c r="A629" s="1349" t="n"/>
      <c r="B629" s="1501" t="n"/>
      <c r="C629" s="1439" t="n"/>
      <c r="D629" s="1439" t="n"/>
      <c r="E629" s="1439" t="n"/>
      <c r="F629" s="1439" t="n"/>
      <c r="G629" s="1440" t="n"/>
      <c r="H629" s="1567" t="n"/>
      <c r="I629" s="1351" t="n"/>
      <c r="J629" s="1351" t="n"/>
      <c r="K629" s="1351" t="n"/>
      <c r="L629" s="1351" t="n"/>
      <c r="M629" s="1351" t="n"/>
      <c r="N629" s="1351" t="n"/>
      <c r="O629" s="1351" t="n"/>
      <c r="P629" s="1349" t="n"/>
    </row>
    <row r="630" customFormat="1" s="324">
      <c r="A630" s="1349" t="n"/>
      <c r="B630" s="1501" t="n"/>
      <c r="C630" s="1439" t="n"/>
      <c r="D630" s="1439" t="n"/>
      <c r="E630" s="1439" t="n"/>
      <c r="F630" s="1439" t="n"/>
      <c r="G630" s="1440" t="n"/>
      <c r="H630" s="1567" t="n"/>
      <c r="I630" s="1351" t="n"/>
      <c r="J630" s="1351" t="n"/>
      <c r="K630" s="1351" t="n"/>
      <c r="L630" s="1351" t="n"/>
      <c r="M630" s="1351" t="n"/>
      <c r="N630" s="1351" t="n"/>
      <c r="O630" s="1351" t="n"/>
      <c r="P630" s="1349" t="n"/>
    </row>
    <row r="631" customFormat="1" s="324">
      <c r="A631" s="1349" t="n"/>
      <c r="B631" s="1501" t="n"/>
      <c r="C631" s="1439" t="n"/>
      <c r="D631" s="1439" t="n"/>
      <c r="E631" s="1439" t="n"/>
      <c r="F631" s="1439" t="n"/>
      <c r="G631" s="1440" t="n"/>
      <c r="H631" s="1567" t="n"/>
      <c r="I631" s="1351" t="n"/>
      <c r="J631" s="1351" t="n"/>
      <c r="K631" s="1351" t="n"/>
      <c r="L631" s="1351" t="n"/>
      <c r="M631" s="1351" t="n"/>
      <c r="N631" s="1351" t="n"/>
      <c r="O631" s="1351" t="n"/>
      <c r="P631" s="1349" t="n"/>
    </row>
    <row r="632" customFormat="1" s="324">
      <c r="A632" s="1349" t="n"/>
      <c r="B632" s="1501" t="n"/>
      <c r="C632" s="1439" t="n"/>
      <c r="D632" s="1439" t="n"/>
      <c r="E632" s="1439" t="n"/>
      <c r="F632" s="1439" t="n"/>
      <c r="G632" s="1440" t="n"/>
      <c r="H632" s="1567" t="n"/>
      <c r="I632" s="1351" t="n"/>
      <c r="J632" s="1351" t="n"/>
      <c r="K632" s="1351" t="n"/>
      <c r="L632" s="1351" t="n"/>
      <c r="M632" s="1351" t="n"/>
      <c r="N632" s="1351" t="n"/>
      <c r="O632" s="1351" t="n"/>
      <c r="P632" s="1349" t="n"/>
    </row>
    <row r="633" customFormat="1" s="324">
      <c r="A633" s="1349" t="n"/>
      <c r="B633" s="1501" t="n"/>
      <c r="C633" s="1439" t="n"/>
      <c r="D633" s="1439" t="n"/>
      <c r="E633" s="1439" t="n"/>
      <c r="F633" s="1439" t="n"/>
      <c r="G633" s="1440" t="n"/>
      <c r="H633" s="1567" t="n"/>
      <c r="I633" s="1351" t="n"/>
      <c r="J633" s="1351" t="n"/>
      <c r="K633" s="1351" t="n"/>
      <c r="L633" s="1351" t="n"/>
      <c r="M633" s="1351" t="n"/>
      <c r="N633" s="1351" t="n"/>
      <c r="O633" s="1351" t="n"/>
      <c r="P633" s="1349" t="n"/>
    </row>
    <row r="634" customFormat="1" s="324">
      <c r="A634" s="1349" t="n"/>
      <c r="B634" s="1501" t="n"/>
      <c r="C634" s="1439" t="n"/>
      <c r="D634" s="1439" t="n"/>
      <c r="E634" s="1439" t="n"/>
      <c r="F634" s="1439" t="n"/>
      <c r="G634" s="1440" t="n"/>
      <c r="H634" s="1567" t="n"/>
      <c r="I634" s="1351" t="n"/>
      <c r="J634" s="1351" t="n"/>
      <c r="K634" s="1351" t="n"/>
      <c r="L634" s="1351" t="n"/>
      <c r="M634" s="1351" t="n"/>
      <c r="N634" s="1351" t="n"/>
      <c r="O634" s="1351" t="n"/>
      <c r="P634" s="1349" t="n"/>
    </row>
    <row r="635" customFormat="1" s="324">
      <c r="A635" s="1349" t="n"/>
      <c r="B635" s="1501" t="n"/>
      <c r="C635" s="1439" t="n"/>
      <c r="D635" s="1439" t="n"/>
      <c r="E635" s="1439" t="n"/>
      <c r="F635" s="1439" t="n"/>
      <c r="G635" s="1440" t="n"/>
      <c r="H635" s="1567" t="n"/>
      <c r="I635" s="1351" t="n"/>
      <c r="J635" s="1351" t="n"/>
      <c r="K635" s="1351" t="n"/>
      <c r="L635" s="1351" t="n"/>
      <c r="M635" s="1351" t="n"/>
      <c r="N635" s="1351" t="n"/>
      <c r="O635" s="1351" t="n"/>
      <c r="P635" s="1349" t="n"/>
    </row>
    <row r="636" customFormat="1" s="324">
      <c r="A636" s="1349" t="n"/>
      <c r="B636" s="1501" t="n"/>
      <c r="C636" s="1439" t="n"/>
      <c r="D636" s="1439" t="n"/>
      <c r="E636" s="1439" t="n"/>
      <c r="F636" s="1439" t="n"/>
      <c r="G636" s="1440" t="n"/>
      <c r="H636" s="1567" t="n"/>
      <c r="I636" s="1351" t="n"/>
      <c r="J636" s="1351" t="n"/>
      <c r="K636" s="1351" t="n"/>
      <c r="L636" s="1351" t="n"/>
      <c r="M636" s="1351" t="n"/>
      <c r="N636" s="1351" t="n"/>
      <c r="O636" s="1351" t="n"/>
      <c r="P636" s="1349" t="n"/>
    </row>
    <row r="637" customFormat="1" s="324">
      <c r="A637" s="1349" t="n"/>
      <c r="B637" s="1501" t="n"/>
      <c r="C637" s="1439" t="n"/>
      <c r="D637" s="1439" t="n"/>
      <c r="E637" s="1439" t="n"/>
      <c r="F637" s="1439" t="n"/>
      <c r="G637" s="1440" t="n"/>
      <c r="H637" s="1567" t="n"/>
      <c r="I637" s="1351" t="n"/>
      <c r="J637" s="1351" t="n"/>
      <c r="K637" s="1351" t="n"/>
      <c r="L637" s="1351" t="n"/>
      <c r="M637" s="1351" t="n"/>
      <c r="N637" s="1351" t="n"/>
      <c r="O637" s="1351" t="n"/>
      <c r="P637" s="1349" t="n"/>
    </row>
    <row r="638" customFormat="1" s="324">
      <c r="A638" s="1349" t="n"/>
      <c r="B638" s="1501" t="n"/>
      <c r="C638" s="1439" t="n"/>
      <c r="D638" s="1439" t="n"/>
      <c r="E638" s="1439" t="n"/>
      <c r="F638" s="1439" t="n"/>
      <c r="G638" s="1440" t="n"/>
      <c r="H638" s="1567" t="n"/>
      <c r="I638" s="1351" t="n"/>
      <c r="J638" s="1351" t="n"/>
      <c r="K638" s="1351" t="n"/>
      <c r="L638" s="1351" t="n"/>
      <c r="M638" s="1351" t="n"/>
      <c r="N638" s="1351" t="n"/>
      <c r="O638" s="1351" t="n"/>
      <c r="P638" s="1349" t="n"/>
    </row>
    <row r="639" customFormat="1" s="324">
      <c r="A639" s="1349" t="n"/>
      <c r="B639" s="1501" t="n"/>
      <c r="C639" s="1439" t="n"/>
      <c r="D639" s="1439" t="n"/>
      <c r="E639" s="1439" t="n"/>
      <c r="F639" s="1439" t="n"/>
      <c r="G639" s="1440" t="n"/>
      <c r="H639" s="1567" t="n"/>
      <c r="I639" s="1351" t="n"/>
      <c r="J639" s="1351" t="n"/>
      <c r="K639" s="1351" t="n"/>
      <c r="L639" s="1351" t="n"/>
      <c r="M639" s="1351" t="n"/>
      <c r="N639" s="1351" t="n"/>
      <c r="O639" s="1351" t="n"/>
      <c r="P639" s="1349" t="n"/>
    </row>
    <row r="640" customFormat="1" s="324">
      <c r="A640" s="1349" t="n"/>
      <c r="B640" s="1501" t="n"/>
      <c r="C640" s="1439" t="n"/>
      <c r="D640" s="1439" t="n"/>
      <c r="E640" s="1439" t="n"/>
      <c r="F640" s="1439" t="n"/>
      <c r="G640" s="1440" t="n"/>
      <c r="H640" s="1567" t="n"/>
      <c r="I640" s="1351" t="n"/>
      <c r="J640" s="1351" t="n"/>
      <c r="K640" s="1351" t="n"/>
      <c r="L640" s="1351" t="n"/>
      <c r="M640" s="1351" t="n"/>
      <c r="N640" s="1351" t="n"/>
      <c r="O640" s="1351" t="n"/>
      <c r="P640" s="1349" t="n"/>
    </row>
    <row r="641" customFormat="1" s="324">
      <c r="A641" s="1349" t="n"/>
      <c r="B641" s="1501" t="n"/>
      <c r="C641" s="1439" t="n"/>
      <c r="D641" s="1439" t="n"/>
      <c r="E641" s="1439" t="n"/>
      <c r="F641" s="1439" t="n"/>
      <c r="G641" s="1440" t="n"/>
      <c r="H641" s="1567" t="n"/>
      <c r="I641" s="1351" t="n"/>
      <c r="J641" s="1351" t="n"/>
      <c r="K641" s="1351" t="n"/>
      <c r="L641" s="1351" t="n"/>
      <c r="M641" s="1351" t="n"/>
      <c r="N641" s="1351" t="n"/>
      <c r="O641" s="1351" t="n"/>
      <c r="P641" s="1349" t="n"/>
    </row>
    <row r="642" customFormat="1" s="324">
      <c r="A642" s="1349" t="n"/>
      <c r="B642" s="1501" t="n"/>
      <c r="C642" s="1439" t="n"/>
      <c r="D642" s="1439" t="n"/>
      <c r="E642" s="1439" t="n"/>
      <c r="F642" s="1439" t="n"/>
      <c r="G642" s="1440" t="n"/>
      <c r="H642" s="1567" t="n"/>
      <c r="I642" s="1351" t="n"/>
      <c r="J642" s="1351" t="n"/>
      <c r="K642" s="1351" t="n"/>
      <c r="L642" s="1351" t="n"/>
      <c r="M642" s="1351" t="n"/>
      <c r="N642" s="1351" t="n"/>
      <c r="O642" s="1351" t="n"/>
      <c r="P642" s="1349" t="n"/>
    </row>
    <row r="643" customFormat="1" s="324">
      <c r="A643" s="1349" t="n"/>
      <c r="B643" s="1501" t="n"/>
      <c r="C643" s="1439" t="n"/>
      <c r="D643" s="1439" t="n"/>
      <c r="E643" s="1439" t="n"/>
      <c r="F643" s="1439" t="n"/>
      <c r="G643" s="1440" t="n"/>
      <c r="H643" s="1567" t="n"/>
      <c r="I643" s="1351" t="n"/>
      <c r="J643" s="1351" t="n"/>
      <c r="K643" s="1351" t="n"/>
      <c r="L643" s="1351" t="n"/>
      <c r="M643" s="1351" t="n"/>
      <c r="N643" s="1351" t="n"/>
      <c r="O643" s="1351" t="n"/>
      <c r="P643" s="1349" t="n"/>
    </row>
    <row r="644" customFormat="1" s="324">
      <c r="A644" s="1349" t="n"/>
      <c r="B644" s="1501" t="n"/>
      <c r="C644" s="1439" t="n"/>
      <c r="D644" s="1439" t="n"/>
      <c r="E644" s="1439" t="n"/>
      <c r="F644" s="1439" t="n"/>
      <c r="G644" s="1440" t="n"/>
      <c r="H644" s="1567" t="n"/>
      <c r="I644" s="1351" t="n"/>
      <c r="J644" s="1351" t="n"/>
      <c r="K644" s="1351" t="n"/>
      <c r="L644" s="1351" t="n"/>
      <c r="M644" s="1351" t="n"/>
      <c r="N644" s="1351" t="n"/>
      <c r="O644" s="1351" t="n"/>
      <c r="P644" s="1349" t="n"/>
    </row>
    <row r="645" customFormat="1" s="324">
      <c r="A645" s="1349" t="n"/>
      <c r="B645" s="1501" t="n"/>
      <c r="C645" s="1439" t="n"/>
      <c r="D645" s="1439" t="n"/>
      <c r="E645" s="1439" t="n"/>
      <c r="F645" s="1439" t="n"/>
      <c r="G645" s="1440" t="n"/>
      <c r="H645" s="1567" t="n"/>
      <c r="I645" s="1351" t="n"/>
      <c r="J645" s="1351" t="n"/>
      <c r="K645" s="1351" t="n"/>
      <c r="L645" s="1351" t="n"/>
      <c r="M645" s="1351" t="n"/>
      <c r="N645" s="1351" t="n"/>
      <c r="O645" s="1351" t="n"/>
      <c r="P645" s="1349" t="n"/>
    </row>
    <row r="646" customFormat="1" s="324">
      <c r="A646" s="1349" t="n"/>
      <c r="B646" s="1501" t="n"/>
      <c r="C646" s="1439" t="n"/>
      <c r="D646" s="1439" t="n"/>
      <c r="E646" s="1439" t="n"/>
      <c r="F646" s="1439" t="n"/>
      <c r="G646" s="1440" t="n"/>
      <c r="H646" s="1567" t="n"/>
      <c r="I646" s="1351" t="n"/>
      <c r="J646" s="1351" t="n"/>
      <c r="K646" s="1351" t="n"/>
      <c r="L646" s="1351" t="n"/>
      <c r="M646" s="1351" t="n"/>
      <c r="N646" s="1351" t="n"/>
      <c r="O646" s="1351" t="n"/>
      <c r="P646" s="1349" t="n"/>
    </row>
    <row r="647" customFormat="1" s="324">
      <c r="A647" s="1349" t="n"/>
      <c r="B647" s="1501" t="n"/>
      <c r="C647" s="1439" t="n"/>
      <c r="D647" s="1439" t="n"/>
      <c r="E647" s="1439" t="n"/>
      <c r="F647" s="1439" t="n"/>
      <c r="G647" s="1440" t="n"/>
      <c r="H647" s="1567" t="n"/>
      <c r="I647" s="1351" t="n"/>
      <c r="J647" s="1351" t="n"/>
      <c r="K647" s="1351" t="n"/>
      <c r="L647" s="1351" t="n"/>
      <c r="M647" s="1351" t="n"/>
      <c r="N647" s="1351" t="n"/>
      <c r="O647" s="1351" t="n"/>
      <c r="P647" s="1349" t="n"/>
    </row>
    <row r="648" customFormat="1" s="324">
      <c r="A648" s="1349" t="n"/>
      <c r="B648" s="1501" t="n"/>
      <c r="C648" s="1439" t="n"/>
      <c r="D648" s="1439" t="n"/>
      <c r="E648" s="1439" t="n"/>
      <c r="F648" s="1439" t="n"/>
      <c r="G648" s="1440" t="n"/>
      <c r="H648" s="1567" t="n"/>
      <c r="I648" s="1351" t="n"/>
      <c r="J648" s="1351" t="n"/>
      <c r="K648" s="1351" t="n"/>
      <c r="L648" s="1351" t="n"/>
      <c r="M648" s="1351" t="n"/>
      <c r="N648" s="1351" t="n"/>
      <c r="O648" s="1351" t="n"/>
      <c r="P648" s="1349" t="n"/>
    </row>
    <row r="649" customFormat="1" s="324">
      <c r="A649" s="1349" t="n"/>
      <c r="B649" s="1501" t="n"/>
      <c r="C649" s="1439" t="n"/>
      <c r="D649" s="1439" t="n"/>
      <c r="E649" s="1439" t="n"/>
      <c r="F649" s="1439" t="n"/>
      <c r="G649" s="1440" t="n"/>
      <c r="H649" s="1567" t="n"/>
      <c r="I649" s="1351" t="n"/>
      <c r="J649" s="1351" t="n"/>
      <c r="K649" s="1351" t="n"/>
      <c r="L649" s="1351" t="n"/>
      <c r="M649" s="1351" t="n"/>
      <c r="N649" s="1351" t="n"/>
      <c r="O649" s="1351" t="n"/>
      <c r="P649" s="1349" t="n"/>
    </row>
    <row r="650" customFormat="1" s="324">
      <c r="A650" s="1349" t="n"/>
      <c r="B650" s="1501" t="n"/>
      <c r="C650" s="1439" t="n"/>
      <c r="D650" s="1439" t="n"/>
      <c r="E650" s="1439" t="n"/>
      <c r="F650" s="1439" t="n"/>
      <c r="G650" s="1440" t="n"/>
      <c r="H650" s="1567" t="n"/>
      <c r="I650" s="1351" t="n"/>
      <c r="J650" s="1351" t="n"/>
      <c r="K650" s="1351" t="n"/>
      <c r="L650" s="1351" t="n"/>
      <c r="M650" s="1351" t="n"/>
      <c r="N650" s="1351" t="n"/>
      <c r="O650" s="1351" t="n"/>
      <c r="P650" s="1349" t="n"/>
    </row>
    <row r="651" customFormat="1" s="324">
      <c r="A651" s="1349" t="n"/>
      <c r="B651" s="1501" t="n"/>
      <c r="C651" s="1439" t="n"/>
      <c r="D651" s="1439" t="n"/>
      <c r="E651" s="1439" t="n"/>
      <c r="F651" s="1439" t="n"/>
      <c r="G651" s="1440" t="n"/>
      <c r="H651" s="1567" t="n"/>
      <c r="I651" s="1351" t="n"/>
      <c r="J651" s="1351" t="n"/>
      <c r="K651" s="1351" t="n"/>
      <c r="L651" s="1351" t="n"/>
      <c r="M651" s="1351" t="n"/>
      <c r="N651" s="1351" t="n"/>
      <c r="O651" s="1351" t="n"/>
      <c r="P651" s="1349" t="n"/>
    </row>
    <row r="652" customFormat="1" s="324">
      <c r="A652" s="1349" t="n"/>
      <c r="B652" s="1501" t="n"/>
      <c r="C652" s="1439" t="n"/>
      <c r="D652" s="1439" t="n"/>
      <c r="E652" s="1439" t="n"/>
      <c r="F652" s="1439" t="n"/>
      <c r="G652" s="1440" t="n"/>
      <c r="H652" s="1567" t="n"/>
      <c r="I652" s="1351" t="n"/>
      <c r="J652" s="1351" t="n"/>
      <c r="K652" s="1351" t="n"/>
      <c r="L652" s="1351" t="n"/>
      <c r="M652" s="1351" t="n"/>
      <c r="N652" s="1351" t="n"/>
      <c r="O652" s="1351" t="n"/>
      <c r="P652" s="1349" t="n"/>
    </row>
    <row r="653" customFormat="1" s="324">
      <c r="A653" s="1349" t="n"/>
      <c r="B653" s="1501" t="n"/>
      <c r="C653" s="1439" t="n"/>
      <c r="D653" s="1439" t="n"/>
      <c r="E653" s="1439" t="n"/>
      <c r="F653" s="1439" t="n"/>
      <c r="G653" s="1440" t="n"/>
      <c r="H653" s="1567" t="n"/>
      <c r="I653" s="1351" t="n"/>
      <c r="J653" s="1351" t="n"/>
      <c r="K653" s="1351" t="n"/>
      <c r="L653" s="1351" t="n"/>
      <c r="M653" s="1351" t="n"/>
      <c r="N653" s="1351" t="n"/>
      <c r="O653" s="1351" t="n"/>
      <c r="P653" s="1349" t="n"/>
    </row>
    <row r="654" customFormat="1" s="324">
      <c r="A654" s="1349" t="n"/>
      <c r="B654" s="1501" t="n"/>
      <c r="C654" s="1439" t="n"/>
      <c r="D654" s="1439" t="n"/>
      <c r="E654" s="1439" t="n"/>
      <c r="F654" s="1439" t="n"/>
      <c r="G654" s="1440" t="n"/>
      <c r="H654" s="1567" t="n"/>
      <c r="I654" s="1351" t="n"/>
      <c r="J654" s="1351" t="n"/>
      <c r="K654" s="1351" t="n"/>
      <c r="L654" s="1351" t="n"/>
      <c r="M654" s="1351" t="n"/>
      <c r="N654" s="1351" t="n"/>
      <c r="O654" s="1351" t="n"/>
      <c r="P654" s="1349" t="n"/>
    </row>
    <row r="655" customFormat="1" s="324">
      <c r="A655" s="1349" t="n"/>
      <c r="B655" s="1501" t="n"/>
      <c r="C655" s="1439" t="n"/>
      <c r="D655" s="1439" t="n"/>
      <c r="E655" s="1439" t="n"/>
      <c r="F655" s="1439" t="n"/>
      <c r="G655" s="1440" t="n"/>
      <c r="H655" s="1567" t="n"/>
      <c r="I655" s="1351" t="n"/>
      <c r="J655" s="1351" t="n"/>
      <c r="K655" s="1351" t="n"/>
      <c r="L655" s="1351" t="n"/>
      <c r="M655" s="1351" t="n"/>
      <c r="N655" s="1351" t="n"/>
      <c r="O655" s="1351" t="n"/>
      <c r="P655" s="1349" t="n"/>
    </row>
    <row r="656" customFormat="1" s="324">
      <c r="A656" s="1349" t="n"/>
      <c r="B656" s="1501" t="n"/>
      <c r="C656" s="1439" t="n"/>
      <c r="D656" s="1439" t="n"/>
      <c r="E656" s="1439" t="n"/>
      <c r="F656" s="1439" t="n"/>
      <c r="G656" s="1440" t="n"/>
      <c r="H656" s="1567" t="n"/>
      <c r="I656" s="1351" t="n"/>
      <c r="J656" s="1351" t="n"/>
      <c r="K656" s="1351" t="n"/>
      <c r="L656" s="1351" t="n"/>
      <c r="M656" s="1351" t="n"/>
      <c r="N656" s="1351" t="n"/>
      <c r="O656" s="1351" t="n"/>
      <c r="P656" s="1349" t="n"/>
    </row>
    <row r="657" customFormat="1" s="324">
      <c r="A657" s="1349" t="n"/>
      <c r="B657" s="1501" t="n"/>
      <c r="C657" s="1439" t="n"/>
      <c r="D657" s="1439" t="n"/>
      <c r="E657" s="1439" t="n"/>
      <c r="F657" s="1439" t="n"/>
      <c r="G657" s="1440" t="n"/>
      <c r="H657" s="1567" t="n"/>
      <c r="I657" s="1351" t="n"/>
      <c r="J657" s="1351" t="n"/>
      <c r="K657" s="1351" t="n"/>
      <c r="L657" s="1351" t="n"/>
      <c r="M657" s="1351" t="n"/>
      <c r="N657" s="1351" t="n"/>
      <c r="O657" s="1351" t="n"/>
      <c r="P657" s="1349" t="n"/>
    </row>
    <row r="658" customFormat="1" s="324">
      <c r="A658" s="1349" t="n"/>
      <c r="B658" s="1501" t="n"/>
      <c r="C658" s="1439" t="n"/>
      <c r="D658" s="1439" t="n"/>
      <c r="E658" s="1439" t="n"/>
      <c r="F658" s="1439" t="n"/>
      <c r="G658" s="1440" t="n"/>
      <c r="H658" s="1567" t="n"/>
      <c r="I658" s="1351" t="n"/>
      <c r="J658" s="1351" t="n"/>
      <c r="K658" s="1351" t="n"/>
      <c r="L658" s="1351" t="n"/>
      <c r="M658" s="1351" t="n"/>
      <c r="N658" s="1351" t="n"/>
      <c r="O658" s="1351" t="n"/>
      <c r="P658" s="1349" t="n"/>
    </row>
    <row r="659" customFormat="1" s="324">
      <c r="A659" s="1349" t="n"/>
      <c r="B659" s="1501" t="n"/>
      <c r="C659" s="1439" t="n"/>
      <c r="D659" s="1439" t="n"/>
      <c r="E659" s="1439" t="n"/>
      <c r="F659" s="1439" t="n"/>
      <c r="G659" s="1440" t="n"/>
      <c r="H659" s="1567" t="n"/>
      <c r="I659" s="1351" t="n"/>
      <c r="J659" s="1351" t="n"/>
      <c r="K659" s="1351" t="n"/>
      <c r="L659" s="1351" t="n"/>
      <c r="M659" s="1351" t="n"/>
      <c r="N659" s="1351" t="n"/>
      <c r="O659" s="1351" t="n"/>
      <c r="P659" s="1349" t="n"/>
    </row>
    <row r="660" customFormat="1" s="324">
      <c r="A660" s="1349" t="n"/>
      <c r="B660" s="1501" t="n"/>
      <c r="C660" s="1439" t="n"/>
      <c r="D660" s="1439" t="n"/>
      <c r="E660" s="1439" t="n"/>
      <c r="F660" s="1439" t="n"/>
      <c r="G660" s="1440" t="n"/>
      <c r="H660" s="1567" t="n"/>
      <c r="I660" s="1351" t="n"/>
      <c r="J660" s="1351" t="n"/>
      <c r="K660" s="1351" t="n"/>
      <c r="L660" s="1351" t="n"/>
      <c r="M660" s="1351" t="n"/>
      <c r="N660" s="1351" t="n"/>
      <c r="O660" s="1351" t="n"/>
      <c r="P660" s="1349" t="n"/>
    </row>
    <row r="661" customFormat="1" s="324">
      <c r="A661" s="1349" t="n"/>
      <c r="B661" s="1501" t="n"/>
      <c r="C661" s="1439" t="n"/>
      <c r="D661" s="1439" t="n"/>
      <c r="E661" s="1439" t="n"/>
      <c r="F661" s="1439" t="n"/>
      <c r="G661" s="1440" t="n"/>
      <c r="H661" s="1391" t="n"/>
      <c r="I661" s="1351" t="n"/>
      <c r="J661" s="1351" t="n"/>
      <c r="K661" s="1351" t="n"/>
      <c r="L661" s="1351" t="n"/>
      <c r="M661" s="1351" t="n"/>
      <c r="N661" s="1351" t="n"/>
      <c r="O661" s="1351" t="n"/>
      <c r="P661" s="1349" t="n"/>
    </row>
    <row r="662" customFormat="1" s="324">
      <c r="A662" s="1349" t="n"/>
      <c r="B662" s="1501" t="n"/>
      <c r="C662" s="1439" t="n"/>
      <c r="D662" s="1439" t="n"/>
      <c r="E662" s="1439" t="n"/>
      <c r="F662" s="1439" t="n"/>
      <c r="G662" s="1440" t="n"/>
      <c r="H662" s="1391" t="n"/>
      <c r="I662" s="1351" t="n"/>
      <c r="J662" s="1351" t="n"/>
      <c r="K662" s="1351" t="n"/>
      <c r="L662" s="1351" t="n"/>
      <c r="M662" s="1351" t="n"/>
      <c r="N662" s="1351" t="n"/>
      <c r="O662" s="1351" t="n"/>
      <c r="P662" s="1349" t="n"/>
    </row>
    <row r="663" customFormat="1" s="324">
      <c r="A663" s="1349" t="n"/>
      <c r="B663" s="1501" t="n"/>
      <c r="C663" s="1439" t="n"/>
      <c r="D663" s="1439" t="n"/>
      <c r="E663" s="1439" t="n"/>
      <c r="F663" s="1439" t="n"/>
      <c r="G663" s="1440" t="n"/>
      <c r="H663" s="1391" t="n"/>
      <c r="I663" s="1351" t="n"/>
      <c r="J663" s="1351" t="n"/>
      <c r="K663" s="1351" t="n"/>
      <c r="L663" s="1351" t="n"/>
      <c r="M663" s="1351" t="n"/>
      <c r="N663" s="1351" t="n"/>
      <c r="O663" s="1351" t="n"/>
      <c r="P663" s="1349" t="n"/>
    </row>
    <row r="664" customFormat="1" s="324">
      <c r="A664" s="1349" t="n"/>
      <c r="B664" s="1501" t="n"/>
      <c r="C664" s="1439" t="n"/>
      <c r="D664" s="1439" t="n"/>
      <c r="E664" s="1439" t="n"/>
      <c r="F664" s="1439" t="n"/>
      <c r="G664" s="1440" t="n"/>
      <c r="H664" s="1391" t="n"/>
      <c r="I664" s="1351" t="n"/>
      <c r="J664" s="1351" t="n"/>
      <c r="K664" s="1351" t="n"/>
      <c r="L664" s="1351" t="n"/>
      <c r="M664" s="1351" t="n"/>
      <c r="N664" s="1351" t="n"/>
      <c r="O664" s="1351" t="n"/>
      <c r="P664" s="1349" t="n"/>
    </row>
    <row r="665" customFormat="1" s="324">
      <c r="A665" s="1349" t="n"/>
      <c r="B665" s="1501" t="n"/>
      <c r="C665" s="1439" t="n"/>
      <c r="D665" s="1439" t="n"/>
      <c r="E665" s="1439" t="n"/>
      <c r="F665" s="1439" t="n"/>
      <c r="G665" s="1440" t="n"/>
      <c r="H665" s="1391" t="n"/>
      <c r="I665" s="1351" t="n"/>
      <c r="J665" s="1351" t="n"/>
      <c r="K665" s="1351" t="n"/>
      <c r="L665" s="1351" t="n"/>
      <c r="M665" s="1351" t="n"/>
      <c r="N665" s="1351" t="n"/>
      <c r="O665" s="1351" t="n"/>
      <c r="P665" s="1349" t="n"/>
    </row>
    <row r="666">
      <c r="A666" s="1389" t="n"/>
      <c r="B666" s="1349" t="n"/>
      <c r="C666" s="1351" t="n"/>
      <c r="D666" s="1351" t="n"/>
      <c r="E666" s="1351" t="n"/>
      <c r="F666" s="1351" t="n"/>
      <c r="G666" s="1351" t="n"/>
      <c r="H666" s="1351" t="n"/>
      <c r="I666" s="1351" t="n"/>
      <c r="J666" s="1351" t="n"/>
      <c r="K666" s="1351" t="n"/>
      <c r="L666" s="1351" t="n"/>
      <c r="M666" s="1351" t="n"/>
      <c r="N666" s="1351" t="n"/>
      <c r="O666" s="1351" t="n"/>
      <c r="P666" s="1349" t="n"/>
    </row>
    <row r="667">
      <c r="A667" s="1389" t="n"/>
      <c r="B667" s="1349" t="n"/>
      <c r="C667" s="1351" t="n"/>
      <c r="D667" s="1351" t="n"/>
      <c r="E667" s="1351" t="n"/>
      <c r="F667" s="1351" t="n"/>
      <c r="G667" s="1351" t="n"/>
      <c r="H667" s="1351" t="n"/>
      <c r="I667" s="1351" t="n"/>
      <c r="J667" s="1351" t="n"/>
      <c r="K667" s="1351" t="n"/>
      <c r="L667" s="1351" t="n"/>
      <c r="M667" s="1351" t="n"/>
      <c r="N667" s="1351" t="n"/>
      <c r="O667" s="1351" t="n"/>
      <c r="P667" s="1349" t="n"/>
    </row>
    <row r="668" customFormat="1" s="324">
      <c r="A668" s="1349" t="n"/>
      <c r="B668" s="1501" t="n"/>
      <c r="C668" s="1439" t="n"/>
      <c r="D668" s="1439" t="n"/>
      <c r="E668" s="1439" t="n"/>
      <c r="F668" s="1439" t="n"/>
      <c r="G668" s="1440" t="n"/>
      <c r="H668" s="1391" t="n"/>
      <c r="I668" s="1351" t="n"/>
      <c r="J668" s="1351" t="n"/>
      <c r="K668" s="1351" t="n"/>
      <c r="L668" s="1351" t="n"/>
      <c r="M668" s="1351" t="n"/>
      <c r="N668" s="1351" t="n"/>
      <c r="O668" s="1351" t="n"/>
      <c r="P668" s="1349" t="n"/>
    </row>
    <row r="669" customFormat="1" s="324">
      <c r="A669" s="1349" t="n"/>
      <c r="B669" s="1501" t="n"/>
      <c r="C669" s="1439" t="n"/>
      <c r="D669" s="1439" t="n"/>
      <c r="E669" s="1439" t="n"/>
      <c r="F669" s="1439" t="n"/>
      <c r="G669" s="1440" t="n"/>
      <c r="H669" s="1391" t="n"/>
      <c r="I669" s="1351" t="n"/>
      <c r="J669" s="1351" t="n"/>
      <c r="K669" s="1351" t="n"/>
      <c r="L669" s="1351" t="n"/>
      <c r="M669" s="1351" t="n"/>
      <c r="N669" s="1351" t="n"/>
      <c r="O669" s="1351" t="n"/>
      <c r="P669" s="1349" t="n"/>
    </row>
    <row r="670" customFormat="1" s="324">
      <c r="A670" s="1349" t="n"/>
      <c r="B670" s="1501" t="n"/>
      <c r="C670" s="1439" t="n"/>
      <c r="D670" s="1439" t="n"/>
      <c r="E670" s="1439" t="n"/>
      <c r="F670" s="1439" t="n"/>
      <c r="G670" s="1440" t="n"/>
      <c r="H670" s="1391" t="n"/>
      <c r="I670" s="1351" t="n"/>
      <c r="J670" s="1351" t="n"/>
      <c r="K670" s="1351" t="n"/>
      <c r="L670" s="1351" t="n"/>
      <c r="M670" s="1351" t="n"/>
      <c r="N670" s="1351" t="n"/>
      <c r="O670" s="1351" t="n"/>
      <c r="P670" s="1349" t="n"/>
    </row>
    <row r="671" customFormat="1" s="324">
      <c r="A671" s="1349" t="n"/>
      <c r="B671" s="1501" t="n"/>
      <c r="C671" s="1439" t="n"/>
      <c r="D671" s="1439" t="n"/>
      <c r="E671" s="1439" t="n"/>
      <c r="F671" s="1439" t="n"/>
      <c r="G671" s="1440" t="n"/>
      <c r="H671" s="1391" t="n"/>
      <c r="I671" s="1351" t="n"/>
      <c r="J671" s="1351" t="n"/>
      <c r="K671" s="1351" t="n"/>
      <c r="L671" s="1351" t="n"/>
      <c r="M671" s="1351" t="n"/>
      <c r="N671" s="1351" t="n"/>
      <c r="O671" s="1351" t="n"/>
      <c r="P671" s="1349" t="n"/>
    </row>
    <row r="672" customFormat="1" s="324">
      <c r="A672" s="1349" t="n"/>
      <c r="B672" s="1501" t="n"/>
      <c r="C672" s="1439" t="n"/>
      <c r="D672" s="1439" t="n"/>
      <c r="E672" s="1439" t="n"/>
      <c r="F672" s="1439" t="n"/>
      <c r="G672" s="1440" t="n"/>
      <c r="H672" s="1391" t="n"/>
      <c r="I672" s="1351" t="n"/>
      <c r="J672" s="1351" t="n"/>
      <c r="K672" s="1351" t="n"/>
      <c r="L672" s="1351" t="n"/>
      <c r="M672" s="1351" t="n"/>
      <c r="N672" s="1351" t="n"/>
      <c r="O672" s="1351" t="n"/>
      <c r="P672" s="1349" t="n"/>
    </row>
    <row r="673" customFormat="1" s="324">
      <c r="A673" s="1349" t="n"/>
      <c r="B673" s="1501" t="n"/>
      <c r="C673" s="1439" t="n"/>
      <c r="D673" s="1439" t="n"/>
      <c r="E673" s="1439" t="n"/>
      <c r="F673" s="1439" t="n"/>
      <c r="G673" s="1440" t="n"/>
      <c r="H673" s="1391" t="n"/>
      <c r="I673" s="1351" t="n"/>
      <c r="J673" s="1351" t="n"/>
      <c r="K673" s="1351" t="n"/>
      <c r="L673" s="1351" t="n"/>
      <c r="M673" s="1351" t="n"/>
      <c r="N673" s="1351" t="n"/>
      <c r="O673" s="1351" t="n"/>
      <c r="P673" s="1349" t="n"/>
    </row>
    <row r="674" customFormat="1" s="324">
      <c r="A674" s="1349" t="n"/>
      <c r="B674" s="1501" t="n"/>
      <c r="C674" s="1439" t="n"/>
      <c r="D674" s="1439" t="n"/>
      <c r="E674" s="1439" t="n"/>
      <c r="F674" s="1439" t="n"/>
      <c r="G674" s="1440" t="n"/>
      <c r="H674" s="1391" t="n"/>
      <c r="I674" s="1351" t="n"/>
      <c r="J674" s="1351" t="n"/>
      <c r="K674" s="1351" t="n"/>
      <c r="L674" s="1351" t="n"/>
      <c r="M674" s="1351" t="n"/>
      <c r="N674" s="1351" t="n"/>
      <c r="O674" s="1351" t="n"/>
      <c r="P674" s="1349" t="n"/>
    </row>
    <row r="675" customFormat="1" s="324">
      <c r="A675" s="1349" t="n"/>
      <c r="B675" s="1501" t="n"/>
      <c r="C675" s="1439" t="n"/>
      <c r="D675" s="1439" t="n"/>
      <c r="E675" s="1439" t="n"/>
      <c r="F675" s="1439" t="n"/>
      <c r="G675" s="1440" t="n"/>
      <c r="H675" s="1391" t="n"/>
      <c r="I675" s="1351" t="n"/>
      <c r="J675" s="1351" t="n"/>
      <c r="K675" s="1351" t="n"/>
      <c r="L675" s="1351" t="n"/>
      <c r="M675" s="1351" t="n"/>
      <c r="N675" s="1351" t="n"/>
      <c r="O675" s="1351" t="n"/>
      <c r="P675" s="1349" t="n"/>
    </row>
    <row r="676" customFormat="1" s="324">
      <c r="A676" s="1349" t="n"/>
      <c r="B676" s="1501" t="n"/>
      <c r="C676" s="1439" t="n"/>
      <c r="D676" s="1439" t="n"/>
      <c r="E676" s="1439" t="n"/>
      <c r="F676" s="1439" t="n"/>
      <c r="G676" s="1440" t="n"/>
      <c r="H676" s="1391" t="n"/>
      <c r="I676" s="1351" t="n"/>
      <c r="J676" s="1351" t="n"/>
      <c r="K676" s="1351" t="n"/>
      <c r="L676" s="1351" t="n"/>
      <c r="M676" s="1351" t="n"/>
      <c r="N676" s="1351" t="n"/>
      <c r="O676" s="1351" t="n"/>
      <c r="P676" s="1349" t="n"/>
    </row>
    <row r="677" customFormat="1" s="324">
      <c r="A677" s="1349" t="n"/>
      <c r="B677" s="1501" t="n"/>
      <c r="C677" s="1439" t="n"/>
      <c r="D677" s="1439" t="n"/>
      <c r="E677" s="1439" t="n"/>
      <c r="F677" s="1439" t="n"/>
      <c r="G677" s="1440" t="n"/>
      <c r="H677" s="1391" t="n"/>
      <c r="I677" s="1351" t="n"/>
      <c r="J677" s="1351" t="n"/>
      <c r="K677" s="1351" t="n"/>
      <c r="L677" s="1351" t="n"/>
      <c r="M677" s="1351" t="n"/>
      <c r="N677" s="1351" t="n"/>
      <c r="O677" s="1351" t="n"/>
      <c r="P677" s="1349" t="n"/>
    </row>
    <row r="678" customFormat="1" s="324">
      <c r="A678" s="1349" t="n"/>
      <c r="B678" s="1501" t="n"/>
      <c r="C678" s="1439" t="n"/>
      <c r="D678" s="1439" t="n"/>
      <c r="E678" s="1439" t="n"/>
      <c r="F678" s="1439" t="n"/>
      <c r="G678" s="1440" t="n"/>
      <c r="H678" s="1391" t="n"/>
      <c r="I678" s="1351" t="n"/>
      <c r="J678" s="1351" t="n"/>
      <c r="K678" s="1351" t="n"/>
      <c r="L678" s="1351" t="n"/>
      <c r="M678" s="1351" t="n"/>
      <c r="N678" s="1351" t="n"/>
      <c r="O678" s="1351" t="n"/>
      <c r="P678" s="1349" t="n"/>
    </row>
    <row r="679" customFormat="1" s="324">
      <c r="A679" s="1349" t="n"/>
      <c r="B679" s="1501" t="n"/>
      <c r="C679" s="1439" t="n"/>
      <c r="D679" s="1439" t="n"/>
      <c r="E679" s="1439" t="n"/>
      <c r="F679" s="1439" t="n"/>
      <c r="G679" s="1440" t="n"/>
      <c r="H679" s="1391" t="n"/>
      <c r="I679" s="1351" t="n"/>
      <c r="J679" s="1351" t="n"/>
      <c r="K679" s="1351" t="n"/>
      <c r="L679" s="1351" t="n"/>
      <c r="M679" s="1351" t="n"/>
      <c r="N679" s="1351" t="n"/>
      <c r="O679" s="1351" t="n"/>
      <c r="P679" s="1349" t="n"/>
    </row>
    <row r="680" customFormat="1" s="324">
      <c r="A680" s="1349" t="n"/>
      <c r="B680" s="1501" t="n"/>
      <c r="C680" s="1439" t="n"/>
      <c r="D680" s="1439" t="n"/>
      <c r="E680" s="1439" t="n"/>
      <c r="F680" s="1439" t="n"/>
      <c r="G680" s="1440" t="n"/>
      <c r="H680" s="1391" t="n"/>
      <c r="I680" s="1351" t="n"/>
      <c r="J680" s="1351" t="n"/>
      <c r="K680" s="1351" t="n"/>
      <c r="L680" s="1351" t="n"/>
      <c r="M680" s="1351" t="n"/>
      <c r="N680" s="1351" t="n"/>
      <c r="O680" s="1351" t="n"/>
      <c r="P680" s="1349" t="n"/>
    </row>
    <row r="681" customFormat="1" s="324">
      <c r="A681" s="1349" t="n"/>
      <c r="B681" s="1501" t="n"/>
      <c r="C681" s="1439" t="n"/>
      <c r="D681" s="1439" t="n"/>
      <c r="E681" s="1439" t="n"/>
      <c r="F681" s="1439" t="n"/>
      <c r="G681" s="1440" t="n"/>
      <c r="H681" s="1391" t="n"/>
      <c r="I681" s="1351" t="n"/>
      <c r="J681" s="1351" t="n"/>
      <c r="K681" s="1351" t="n"/>
      <c r="L681" s="1351" t="n"/>
      <c r="M681" s="1351" t="n"/>
      <c r="N681" s="1351" t="n"/>
      <c r="O681" s="1351" t="n"/>
      <c r="P681" s="1349" t="n"/>
    </row>
    <row r="682" customFormat="1" s="324">
      <c r="A682" s="1349" t="n"/>
      <c r="B682" s="1501" t="n"/>
      <c r="C682" s="1439" t="n"/>
      <c r="D682" s="1439" t="n"/>
      <c r="E682" s="1439" t="n"/>
      <c r="F682" s="1439" t="n"/>
      <c r="G682" s="1440" t="n"/>
      <c r="H682" s="1391" t="n"/>
      <c r="I682" s="1351" t="n"/>
      <c r="J682" s="1351" t="n"/>
      <c r="K682" s="1351" t="n"/>
      <c r="L682" s="1351" t="n"/>
      <c r="M682" s="1351" t="n"/>
      <c r="N682" s="1351" t="n"/>
      <c r="O682" s="1351" t="n"/>
      <c r="P682" s="1349" t="n"/>
    </row>
    <row r="683" customFormat="1" s="324">
      <c r="A683" s="1349" t="n"/>
      <c r="B683" s="1501" t="n"/>
      <c r="C683" s="1439" t="n"/>
      <c r="D683" s="1439" t="n"/>
      <c r="E683" s="1439" t="n"/>
      <c r="F683" s="1439" t="n"/>
      <c r="G683" s="1440" t="n"/>
      <c r="H683" s="1391" t="n"/>
      <c r="I683" s="1351" t="n"/>
      <c r="J683" s="1351" t="n"/>
      <c r="K683" s="1351" t="n"/>
      <c r="L683" s="1351" t="n"/>
      <c r="M683" s="1351" t="n"/>
      <c r="N683" s="1351" t="n"/>
      <c r="O683" s="1351" t="n"/>
      <c r="P683" s="1349" t="n"/>
    </row>
    <row r="684" customFormat="1" s="324">
      <c r="A684" s="1349" t="n"/>
      <c r="B684" s="1501" t="n"/>
      <c r="C684" s="1439" t="n"/>
      <c r="D684" s="1439" t="n"/>
      <c r="E684" s="1439" t="n"/>
      <c r="F684" s="1439" t="n"/>
      <c r="G684" s="1440" t="n"/>
      <c r="H684" s="1391" t="n"/>
      <c r="I684" s="1351" t="n"/>
      <c r="J684" s="1351" t="n"/>
      <c r="K684" s="1351" t="n"/>
      <c r="L684" s="1351" t="n"/>
      <c r="M684" s="1351" t="n"/>
      <c r="N684" s="1351" t="n"/>
      <c r="O684" s="1351" t="n"/>
      <c r="P684" s="1349" t="n"/>
    </row>
    <row r="685" customFormat="1" s="324">
      <c r="A685" s="1349" t="n"/>
      <c r="B685" s="1501" t="n"/>
      <c r="C685" s="1439" t="n"/>
      <c r="D685" s="1439" t="n"/>
      <c r="E685" s="1439" t="n"/>
      <c r="F685" s="1439" t="n"/>
      <c r="G685" s="1440" t="n"/>
      <c r="H685" s="1391" t="n"/>
      <c r="I685" s="1351" t="n"/>
      <c r="J685" s="1351" t="n"/>
      <c r="K685" s="1351" t="n"/>
      <c r="L685" s="1351" t="n"/>
      <c r="M685" s="1351" t="n"/>
      <c r="N685" s="1351" t="n"/>
      <c r="O685" s="1351" t="n"/>
      <c r="P685" s="1349" t="n"/>
    </row>
    <row r="686" customFormat="1" s="324">
      <c r="A686" s="1349" t="n"/>
      <c r="B686" s="1501" t="n"/>
      <c r="C686" s="1439" t="n"/>
      <c r="D686" s="1439" t="n"/>
      <c r="E686" s="1439" t="n"/>
      <c r="F686" s="1439" t="n"/>
      <c r="G686" s="1440" t="n"/>
      <c r="H686" s="1391" t="n"/>
      <c r="I686" s="1351" t="n"/>
      <c r="J686" s="1351" t="n"/>
      <c r="K686" s="1351" t="n"/>
      <c r="L686" s="1351" t="n"/>
      <c r="M686" s="1351" t="n"/>
      <c r="N686" s="1351" t="n"/>
      <c r="O686" s="1351" t="n"/>
      <c r="P686" s="1349" t="n"/>
    </row>
    <row r="687" customFormat="1" s="324">
      <c r="A687" s="1349" t="n"/>
      <c r="B687" s="1501" t="n"/>
      <c r="C687" s="1439" t="n"/>
      <c r="D687" s="1439" t="n"/>
      <c r="E687" s="1439" t="n"/>
      <c r="F687" s="1439" t="n"/>
      <c r="G687" s="1440" t="n"/>
      <c r="H687" s="1391" t="n"/>
      <c r="I687" s="1351" t="n"/>
      <c r="J687" s="1351" t="n"/>
      <c r="K687" s="1351" t="n"/>
      <c r="L687" s="1351" t="n"/>
      <c r="M687" s="1351" t="n"/>
      <c r="N687" s="1351" t="n"/>
      <c r="O687" s="1351" t="n"/>
      <c r="P687" s="1349" t="n"/>
    </row>
    <row r="688" customFormat="1" s="324">
      <c r="A688" s="1349" t="n"/>
      <c r="B688" s="1501" t="n"/>
      <c r="C688" s="1439" t="n"/>
      <c r="D688" s="1439" t="n"/>
      <c r="E688" s="1439" t="n"/>
      <c r="F688" s="1439" t="n"/>
      <c r="G688" s="1440" t="n"/>
      <c r="H688" s="1391" t="n"/>
      <c r="I688" s="1351" t="n"/>
      <c r="J688" s="1351" t="n"/>
      <c r="K688" s="1351" t="n"/>
      <c r="L688" s="1351" t="n"/>
      <c r="M688" s="1351" t="n"/>
      <c r="N688" s="1351" t="n"/>
      <c r="O688" s="1351" t="n"/>
      <c r="P688" s="1349" t="n"/>
    </row>
    <row r="689" customFormat="1" s="324">
      <c r="A689" s="1349" t="n"/>
      <c r="B689" s="1501" t="n"/>
      <c r="C689" s="1439" t="n"/>
      <c r="D689" s="1439" t="n"/>
      <c r="E689" s="1439" t="n"/>
      <c r="F689" s="1439" t="n"/>
      <c r="G689" s="1440" t="n"/>
      <c r="H689" s="1391" t="n"/>
      <c r="I689" s="1351" t="n"/>
      <c r="J689" s="1351" t="n"/>
      <c r="K689" s="1351" t="n"/>
      <c r="L689" s="1351" t="n"/>
      <c r="M689" s="1351" t="n"/>
      <c r="N689" s="1351" t="n"/>
      <c r="O689" s="1351" t="n"/>
      <c r="P689" s="1349" t="n"/>
    </row>
    <row r="690" customFormat="1" s="324">
      <c r="A690" s="1349" t="n"/>
      <c r="B690" s="1501" t="n"/>
      <c r="C690" s="1439" t="n"/>
      <c r="D690" s="1439" t="n"/>
      <c r="E690" s="1439" t="n"/>
      <c r="F690" s="1439" t="n"/>
      <c r="G690" s="1440" t="n"/>
      <c r="H690" s="1391" t="n"/>
      <c r="I690" s="1351" t="n"/>
      <c r="J690" s="1351" t="n"/>
      <c r="K690" s="1351" t="n"/>
      <c r="L690" s="1351" t="n"/>
      <c r="M690" s="1351" t="n"/>
      <c r="N690" s="1351" t="n"/>
      <c r="O690" s="1351" t="n"/>
      <c r="P690" s="1349" t="n"/>
    </row>
    <row r="691" customFormat="1" s="324">
      <c r="A691" s="1349" t="n"/>
      <c r="B691" s="1501" t="n"/>
      <c r="C691" s="1439" t="n"/>
      <c r="D691" s="1439" t="n"/>
      <c r="E691" s="1439" t="n"/>
      <c r="F691" s="1439" t="n"/>
      <c r="G691" s="1440" t="n"/>
      <c r="H691" s="1391" t="n"/>
      <c r="I691" s="1351" t="n"/>
      <c r="J691" s="1351" t="n"/>
      <c r="K691" s="1351" t="n"/>
      <c r="L691" s="1351" t="n"/>
      <c r="M691" s="1351" t="n"/>
      <c r="N691" s="1351" t="n"/>
      <c r="O691" s="1351" t="n"/>
      <c r="P691" s="1349" t="n"/>
    </row>
    <row r="692" customFormat="1" s="324">
      <c r="A692" s="1349" t="n"/>
      <c r="B692" s="1501" t="n"/>
      <c r="C692" s="1439" t="n"/>
      <c r="D692" s="1439" t="n"/>
      <c r="E692" s="1439" t="n"/>
      <c r="F692" s="1439" t="n"/>
      <c r="G692" s="1440" t="n"/>
      <c r="H692" s="1391" t="n"/>
      <c r="I692" s="1351" t="n"/>
      <c r="J692" s="1351" t="n"/>
      <c r="K692" s="1351" t="n"/>
      <c r="L692" s="1351" t="n"/>
      <c r="M692" s="1351" t="n"/>
      <c r="N692" s="1351" t="n"/>
      <c r="O692" s="1351" t="n"/>
      <c r="P692" s="1349" t="n"/>
    </row>
    <row r="693" customFormat="1" s="3">
      <c r="A693" s="1389" t="n"/>
      <c r="B693" s="1501" t="n"/>
      <c r="C693" s="1439" t="n"/>
      <c r="D693" s="1439" t="n"/>
      <c r="E693" s="1439" t="n"/>
      <c r="F693" s="1439" t="n"/>
      <c r="G693" s="1440" t="n"/>
      <c r="H693" s="1391" t="n"/>
      <c r="I693" s="1351" t="n"/>
      <c r="J693" s="1351" t="n"/>
      <c r="K693" s="1351" t="n"/>
      <c r="L693" s="1351" t="n"/>
      <c r="M693" s="1351" t="n"/>
      <c r="N693" s="1351" t="n"/>
      <c r="O693" s="1351" t="n"/>
      <c r="P693" s="1349" t="n"/>
    </row>
    <row r="694" customFormat="1" s="324">
      <c r="A694" s="1349" t="n"/>
      <c r="B694" s="1501" t="n"/>
      <c r="C694" s="1439" t="n"/>
      <c r="D694" s="1439" t="n"/>
      <c r="E694" s="1439" t="n"/>
      <c r="F694" s="1439" t="n"/>
      <c r="G694" s="1440" t="n"/>
      <c r="H694" s="1391" t="n"/>
      <c r="I694" s="1351" t="n"/>
      <c r="J694" s="1351" t="n"/>
      <c r="K694" s="1351" t="n"/>
      <c r="L694" s="1351" t="n"/>
      <c r="M694" s="1351" t="n"/>
      <c r="N694" s="1351" t="n"/>
      <c r="O694" s="1351" t="n"/>
      <c r="P694" s="1349" t="n"/>
    </row>
    <row r="695" ht="22.5" customFormat="1" customHeight="1" s="324">
      <c r="A695" s="1349" t="n"/>
      <c r="B695" s="1501" t="n"/>
      <c r="C695" s="1439" t="n"/>
      <c r="D695" s="1439" t="n"/>
      <c r="E695" s="1439" t="n"/>
      <c r="F695" s="1439" t="n"/>
      <c r="G695" s="1440" t="n"/>
      <c r="H695" s="1391" t="n"/>
      <c r="I695" s="1351" t="n"/>
      <c r="J695" s="1351" t="n"/>
      <c r="K695" s="1351" t="n"/>
      <c r="L695" s="1351" t="n"/>
      <c r="M695" s="1351" t="n"/>
      <c r="N695" s="1351" t="n"/>
      <c r="O695" s="1351" t="n"/>
      <c r="P695" s="1349" t="n"/>
    </row>
    <row r="696" customFormat="1" s="324">
      <c r="A696" s="1349" t="n"/>
      <c r="B696" s="1501" t="n"/>
      <c r="C696" s="1439" t="n"/>
      <c r="D696" s="1439" t="n"/>
      <c r="E696" s="1439" t="n"/>
      <c r="F696" s="1439" t="n"/>
      <c r="G696" s="1440" t="n"/>
      <c r="H696" s="1391" t="n"/>
      <c r="I696" s="1351" t="n"/>
      <c r="J696" s="1351" t="n"/>
      <c r="K696" s="1351" t="n"/>
      <c r="L696" s="1351" t="n"/>
      <c r="M696" s="1351" t="n"/>
      <c r="N696" s="1351" t="n"/>
      <c r="O696" s="1351" t="n"/>
      <c r="P696" s="1349" t="n"/>
    </row>
    <row r="697">
      <c r="A697" s="1389" t="n"/>
      <c r="B697" s="1349" t="n"/>
      <c r="C697" s="1351" t="n"/>
      <c r="D697" s="1351" t="n"/>
      <c r="E697" s="1351" t="n"/>
      <c r="F697" s="1351" t="n"/>
      <c r="G697" s="1351" t="n"/>
      <c r="H697" s="1391" t="n"/>
      <c r="I697" s="1351" t="n"/>
      <c r="J697" s="1351" t="n"/>
      <c r="K697" s="1351" t="n"/>
      <c r="L697" s="1351" t="n"/>
      <c r="M697" s="1351" t="n"/>
      <c r="N697" s="1351" t="n"/>
      <c r="O697" s="1351" t="n"/>
      <c r="P697" s="1349" t="n"/>
    </row>
    <row r="698">
      <c r="A698" s="1389" t="n"/>
      <c r="B698" s="1349" t="n"/>
      <c r="C698" s="1351" t="n"/>
      <c r="D698" s="1351" t="n"/>
      <c r="E698" s="1351" t="n"/>
      <c r="F698" s="1351" t="n"/>
      <c r="G698" s="1351" t="n"/>
      <c r="H698" s="1391" t="n"/>
      <c r="I698" s="1351" t="n"/>
      <c r="J698" s="1351" t="n"/>
      <c r="K698" s="1351" t="n"/>
      <c r="L698" s="1351" t="n"/>
      <c r="M698" s="1351" t="n"/>
      <c r="N698" s="1351" t="n"/>
      <c r="O698" s="1351" t="n"/>
      <c r="P698" s="1349" t="n"/>
    </row>
    <row r="699" customFormat="1" s="324">
      <c r="A699" s="1349" t="n"/>
      <c r="B699" s="1501" t="n"/>
      <c r="C699" s="1439" t="n"/>
      <c r="D699" s="1439" t="n"/>
      <c r="E699" s="1439" t="n"/>
      <c r="F699" s="1439" t="n"/>
      <c r="G699" s="1440" t="n"/>
      <c r="H699" s="1391" t="n"/>
      <c r="I699" s="1351" t="n"/>
      <c r="J699" s="1351" t="n"/>
      <c r="K699" s="1351" t="n"/>
      <c r="L699" s="1351" t="n"/>
      <c r="M699" s="1351" t="n"/>
      <c r="N699" s="1351" t="n"/>
      <c r="O699" s="1351" t="n"/>
      <c r="P699" s="1349" t="n"/>
    </row>
    <row r="700" customFormat="1" s="324">
      <c r="A700" s="1349" t="n"/>
      <c r="B700" s="1501" t="n"/>
      <c r="C700" s="1439" t="n"/>
      <c r="D700" s="1439" t="n"/>
      <c r="E700" s="1439" t="n"/>
      <c r="F700" s="1439" t="n"/>
      <c r="G700" s="1440" t="n"/>
      <c r="H700" s="1391" t="n"/>
      <c r="I700" s="1351" t="n"/>
      <c r="J700" s="1351" t="n"/>
      <c r="K700" s="1351" t="n"/>
      <c r="L700" s="1351" t="n"/>
      <c r="M700" s="1351" t="n"/>
      <c r="N700" s="1351" t="n"/>
      <c r="O700" s="1351" t="n"/>
      <c r="P700" s="1349" t="n"/>
    </row>
    <row r="701" customFormat="1" s="324">
      <c r="A701" s="1349" t="n"/>
      <c r="B701" s="1501" t="n"/>
      <c r="C701" s="1439" t="n"/>
      <c r="D701" s="1439" t="n"/>
      <c r="E701" s="1439" t="n"/>
      <c r="F701" s="1439" t="n"/>
      <c r="G701" s="1440" t="n"/>
      <c r="H701" s="1391" t="n"/>
      <c r="I701" s="1351" t="n"/>
      <c r="J701" s="1351" t="n"/>
      <c r="K701" s="1351" t="n"/>
      <c r="L701" s="1351" t="n"/>
      <c r="M701" s="1351" t="n"/>
      <c r="N701" s="1351" t="n"/>
      <c r="O701" s="1351" t="n"/>
      <c r="P701" s="1349" t="n"/>
    </row>
    <row r="702" customFormat="1" s="324">
      <c r="A702" s="1349" t="n"/>
      <c r="B702" s="1501" t="n"/>
      <c r="C702" s="1439" t="n"/>
      <c r="D702" s="1439" t="n"/>
      <c r="E702" s="1439" t="n"/>
      <c r="F702" s="1439" t="n"/>
      <c r="G702" s="1440" t="n"/>
      <c r="H702" s="1391" t="n"/>
      <c r="I702" s="1351" t="n"/>
      <c r="J702" s="1351" t="n"/>
      <c r="K702" s="1351" t="n"/>
      <c r="L702" s="1351" t="n"/>
      <c r="M702" s="1351" t="n"/>
      <c r="N702" s="1351" t="n"/>
      <c r="O702" s="1351" t="n"/>
      <c r="P702" s="1349" t="n"/>
    </row>
    <row r="703" customFormat="1" s="324">
      <c r="A703" s="1349" t="n"/>
      <c r="B703" s="1501" t="n"/>
      <c r="C703" s="1439" t="n"/>
      <c r="D703" s="1439" t="n"/>
      <c r="E703" s="1439" t="n"/>
      <c r="F703" s="1439" t="n"/>
      <c r="G703" s="1440" t="n"/>
      <c r="H703" s="1391" t="n"/>
      <c r="I703" s="1351" t="n"/>
      <c r="J703" s="1351" t="n"/>
      <c r="K703" s="1351" t="n"/>
      <c r="L703" s="1351" t="n"/>
      <c r="M703" s="1351" t="n"/>
      <c r="N703" s="1351" t="n"/>
      <c r="O703" s="1351" t="n"/>
      <c r="P703" s="1349" t="n"/>
    </row>
    <row r="704" customFormat="1" s="324">
      <c r="A704" s="1349" t="n"/>
      <c r="B704" s="1501" t="n"/>
      <c r="C704" s="1439" t="n"/>
      <c r="D704" s="1439" t="n"/>
      <c r="E704" s="1439" t="n"/>
      <c r="F704" s="1439" t="n"/>
      <c r="G704" s="1440" t="n"/>
      <c r="H704" s="1391" t="n"/>
      <c r="I704" s="1351" t="n"/>
      <c r="J704" s="1351" t="n"/>
      <c r="K704" s="1351" t="n"/>
      <c r="L704" s="1351" t="n"/>
      <c r="M704" s="1351" t="n"/>
      <c r="N704" s="1351" t="n"/>
      <c r="O704" s="1351" t="n"/>
      <c r="P704" s="1349" t="n"/>
    </row>
    <row r="705" customFormat="1" s="324">
      <c r="A705" s="1349" t="n"/>
      <c r="B705" s="1501" t="n"/>
      <c r="C705" s="1439" t="n"/>
      <c r="D705" s="1439" t="n"/>
      <c r="E705" s="1439" t="n"/>
      <c r="F705" s="1439" t="n"/>
      <c r="G705" s="1440" t="n"/>
      <c r="H705" s="1391" t="n"/>
      <c r="I705" s="1351" t="n"/>
      <c r="J705" s="1351" t="n"/>
      <c r="K705" s="1351" t="n"/>
      <c r="L705" s="1351" t="n"/>
      <c r="M705" s="1351" t="n"/>
      <c r="N705" s="1351" t="n"/>
      <c r="O705" s="1351" t="n"/>
      <c r="P705" s="1349" t="n"/>
    </row>
    <row r="706" customFormat="1" s="324">
      <c r="A706" s="1349" t="n"/>
      <c r="B706" s="1501" t="n"/>
      <c r="C706" s="1439" t="n"/>
      <c r="D706" s="1439" t="n"/>
      <c r="E706" s="1439" t="n"/>
      <c r="F706" s="1439" t="n"/>
      <c r="G706" s="1440" t="n"/>
      <c r="H706" s="1391" t="n"/>
      <c r="I706" s="1351" t="n"/>
      <c r="J706" s="1351" t="n"/>
      <c r="K706" s="1351" t="n"/>
      <c r="L706" s="1351" t="n"/>
      <c r="M706" s="1351" t="n"/>
      <c r="N706" s="1351" t="n"/>
      <c r="O706" s="1351" t="n"/>
      <c r="P706" s="1349" t="n"/>
    </row>
    <row r="707" customFormat="1" s="324">
      <c r="A707" s="1349" t="n"/>
      <c r="B707" s="1501" t="n"/>
      <c r="C707" s="1439" t="n"/>
      <c r="D707" s="1439" t="n"/>
      <c r="E707" s="1439" t="n"/>
      <c r="F707" s="1439" t="n"/>
      <c r="G707" s="1440" t="n"/>
      <c r="H707" s="1391" t="n"/>
      <c r="I707" s="1351" t="n"/>
      <c r="J707" s="1351" t="n"/>
      <c r="K707" s="1351" t="n"/>
      <c r="L707" s="1351" t="n"/>
      <c r="M707" s="1351" t="n"/>
      <c r="N707" s="1351" t="n"/>
      <c r="O707" s="1351" t="n"/>
      <c r="P707" s="1349" t="n"/>
    </row>
    <row r="708" customFormat="1" s="324">
      <c r="A708" s="1349" t="n"/>
      <c r="B708" s="1501" t="n"/>
      <c r="C708" s="1439" t="n"/>
      <c r="D708" s="1439" t="n"/>
      <c r="E708" s="1439" t="n"/>
      <c r="F708" s="1439" t="n"/>
      <c r="G708" s="1440" t="n"/>
      <c r="H708" s="1391" t="n"/>
      <c r="I708" s="1351" t="n"/>
      <c r="J708" s="1351" t="n"/>
      <c r="K708" s="1351" t="n"/>
      <c r="L708" s="1351" t="n"/>
      <c r="M708" s="1351" t="n"/>
      <c r="N708" s="1351" t="n"/>
      <c r="O708" s="1351" t="n"/>
      <c r="P708" s="1349" t="n"/>
    </row>
    <row r="709" customFormat="1" s="324">
      <c r="A709" s="1349" t="n"/>
      <c r="B709" s="1501" t="n"/>
      <c r="C709" s="1439" t="n"/>
      <c r="D709" s="1439" t="n"/>
      <c r="E709" s="1439" t="n"/>
      <c r="F709" s="1439" t="n"/>
      <c r="G709" s="1440" t="n"/>
      <c r="H709" s="1391" t="n"/>
      <c r="I709" s="1351" t="n"/>
      <c r="J709" s="1351" t="n"/>
      <c r="K709" s="1351" t="n"/>
      <c r="L709" s="1351" t="n"/>
      <c r="M709" s="1351" t="n"/>
      <c r="N709" s="1351" t="n"/>
      <c r="O709" s="1351" t="n"/>
      <c r="P709" s="1349" t="n"/>
    </row>
    <row r="710" customFormat="1" s="324">
      <c r="A710" s="1349" t="n"/>
      <c r="B710" s="1501" t="n"/>
      <c r="C710" s="1439" t="n"/>
      <c r="D710" s="1439" t="n"/>
      <c r="E710" s="1439" t="n"/>
      <c r="F710" s="1439" t="n"/>
      <c r="G710" s="1440" t="n"/>
      <c r="H710" s="1391" t="n"/>
      <c r="I710" s="1351" t="n"/>
      <c r="J710" s="1351" t="n"/>
      <c r="K710" s="1351" t="n"/>
      <c r="L710" s="1351" t="n"/>
      <c r="M710" s="1351" t="n"/>
      <c r="N710" s="1351" t="n"/>
      <c r="O710" s="1351" t="n"/>
      <c r="P710" s="1349" t="n"/>
    </row>
    <row r="711" customFormat="1" s="324">
      <c r="A711" s="1349" t="n"/>
      <c r="B711" s="1501" t="n"/>
      <c r="C711" s="1439" t="n"/>
      <c r="D711" s="1439" t="n"/>
      <c r="E711" s="1439" t="n"/>
      <c r="F711" s="1439" t="n"/>
      <c r="G711" s="1440" t="n"/>
      <c r="H711" s="1391" t="n"/>
      <c r="I711" s="1351" t="n"/>
      <c r="J711" s="1351" t="n"/>
      <c r="K711" s="1351" t="n"/>
      <c r="L711" s="1351" t="n"/>
      <c r="M711" s="1351" t="n"/>
      <c r="N711" s="1351" t="n"/>
      <c r="O711" s="1351" t="n"/>
      <c r="P711" s="1349" t="n"/>
    </row>
    <row r="712" customFormat="1" s="324">
      <c r="A712" s="1349" t="n"/>
      <c r="B712" s="1501" t="n"/>
      <c r="C712" s="1439" t="n"/>
      <c r="D712" s="1439" t="n"/>
      <c r="E712" s="1439" t="n"/>
      <c r="F712" s="1439" t="n"/>
      <c r="G712" s="1440" t="n"/>
      <c r="H712" s="1391" t="n"/>
      <c r="I712" s="1351" t="n"/>
      <c r="J712" s="1351" t="n"/>
      <c r="K712" s="1351" t="n"/>
      <c r="L712" s="1351" t="n"/>
      <c r="M712" s="1351" t="n"/>
      <c r="N712" s="1351" t="n"/>
      <c r="O712" s="1351" t="n"/>
      <c r="P712" s="1349" t="n"/>
    </row>
    <row r="713" customFormat="1" s="324">
      <c r="A713" s="1349" t="n"/>
      <c r="B713" s="1501" t="n"/>
      <c r="C713" s="1439" t="n"/>
      <c r="D713" s="1439" t="n"/>
      <c r="E713" s="1439" t="n"/>
      <c r="F713" s="1439" t="n"/>
      <c r="G713" s="1440" t="n"/>
      <c r="H713" s="1391" t="n"/>
      <c r="I713" s="1351" t="n"/>
      <c r="J713" s="1351" t="n"/>
      <c r="K713" s="1351" t="n"/>
      <c r="L713" s="1351" t="n"/>
      <c r="M713" s="1351" t="n"/>
      <c r="N713" s="1351" t="n"/>
      <c r="O713" s="1351" t="n"/>
      <c r="P713" s="1349" t="n"/>
    </row>
    <row r="714" customFormat="1" s="324">
      <c r="A714" s="1349" t="n"/>
      <c r="B714" s="1501" t="n"/>
      <c r="C714" s="1439" t="n"/>
      <c r="D714" s="1439" t="n"/>
      <c r="E714" s="1439" t="n"/>
      <c r="F714" s="1439" t="n"/>
      <c r="G714" s="1440" t="n"/>
      <c r="H714" s="1391" t="n"/>
      <c r="I714" s="1351" t="n"/>
      <c r="J714" s="1351" t="n"/>
      <c r="K714" s="1351" t="n"/>
      <c r="L714" s="1351" t="n"/>
      <c r="M714" s="1351" t="n"/>
      <c r="N714" s="1351" t="n"/>
      <c r="O714" s="1351" t="n"/>
      <c r="P714" s="1349" t="n"/>
    </row>
    <row r="715" customFormat="1" s="324">
      <c r="A715" s="1349" t="n"/>
      <c r="B715" s="1501" t="n"/>
      <c r="C715" s="1439" t="n"/>
      <c r="D715" s="1439" t="n"/>
      <c r="E715" s="1439" t="n"/>
      <c r="F715" s="1439" t="n"/>
      <c r="G715" s="1440" t="n"/>
      <c r="H715" s="1391" t="n"/>
      <c r="I715" s="1351" t="n"/>
      <c r="J715" s="1351" t="n"/>
      <c r="K715" s="1351" t="n"/>
      <c r="L715" s="1351" t="n"/>
      <c r="M715" s="1351" t="n"/>
      <c r="N715" s="1351" t="n"/>
      <c r="O715" s="1351" t="n"/>
      <c r="P715" s="1349" t="n"/>
    </row>
    <row r="716" customFormat="1" s="324">
      <c r="A716" s="1349" t="n"/>
      <c r="B716" s="1501" t="n"/>
      <c r="C716" s="1439" t="n"/>
      <c r="D716" s="1439" t="n"/>
      <c r="E716" s="1439" t="n"/>
      <c r="F716" s="1439" t="n"/>
      <c r="G716" s="1440" t="n"/>
      <c r="H716" s="1391" t="n"/>
      <c r="I716" s="1351" t="n"/>
      <c r="J716" s="1351" t="n"/>
      <c r="K716" s="1351" t="n"/>
      <c r="L716" s="1351" t="n"/>
      <c r="M716" s="1351" t="n"/>
      <c r="N716" s="1351" t="n"/>
      <c r="O716" s="1351" t="n"/>
      <c r="P716" s="1349" t="n"/>
    </row>
    <row r="717" customFormat="1" s="324">
      <c r="A717" s="1349" t="n"/>
      <c r="B717" s="1501" t="n"/>
      <c r="C717" s="1439" t="n"/>
      <c r="D717" s="1439" t="n"/>
      <c r="E717" s="1439" t="n"/>
      <c r="F717" s="1439" t="n"/>
      <c r="G717" s="1440" t="n"/>
      <c r="H717" s="1391" t="n"/>
      <c r="I717" s="1351" t="n"/>
      <c r="J717" s="1351" t="n"/>
      <c r="K717" s="1351" t="n"/>
      <c r="L717" s="1351" t="n"/>
      <c r="M717" s="1351" t="n"/>
      <c r="N717" s="1351" t="n"/>
      <c r="O717" s="1351" t="n"/>
      <c r="P717" s="1349" t="n"/>
    </row>
    <row r="718" customFormat="1" s="324">
      <c r="A718" s="1349" t="n"/>
      <c r="B718" s="1501" t="n"/>
      <c r="C718" s="1439" t="n"/>
      <c r="D718" s="1439" t="n"/>
      <c r="E718" s="1439" t="n"/>
      <c r="F718" s="1439" t="n"/>
      <c r="G718" s="1440" t="n"/>
      <c r="H718" s="1391" t="n"/>
      <c r="I718" s="1351" t="n"/>
      <c r="J718" s="1351" t="n"/>
      <c r="K718" s="1351" t="n"/>
      <c r="L718" s="1351" t="n"/>
      <c r="M718" s="1351" t="n"/>
      <c r="N718" s="1351" t="n"/>
      <c r="O718" s="1351" t="n"/>
      <c r="P718" s="1349" t="n"/>
    </row>
    <row r="719" customFormat="1" s="324">
      <c r="A719" s="1349" t="n"/>
      <c r="B719" s="1501" t="n"/>
      <c r="C719" s="1439" t="n"/>
      <c r="D719" s="1439" t="n"/>
      <c r="E719" s="1439" t="n"/>
      <c r="F719" s="1439" t="n"/>
      <c r="G719" s="1440" t="n"/>
      <c r="H719" s="1391" t="n"/>
      <c r="I719" s="1351" t="n"/>
      <c r="J719" s="1351" t="n"/>
      <c r="K719" s="1351" t="n"/>
      <c r="L719" s="1351" t="n"/>
      <c r="M719" s="1351" t="n"/>
      <c r="N719" s="1351" t="n"/>
      <c r="O719" s="1351" t="n"/>
      <c r="P719" s="1349" t="n"/>
    </row>
    <row r="720" customFormat="1" s="324">
      <c r="A720" s="1349" t="n"/>
      <c r="B720" s="1501" t="n"/>
      <c r="C720" s="1439" t="n"/>
      <c r="D720" s="1439" t="n"/>
      <c r="E720" s="1439" t="n"/>
      <c r="F720" s="1439" t="n"/>
      <c r="G720" s="1440" t="n"/>
      <c r="H720" s="1391" t="n"/>
      <c r="I720" s="1351" t="n"/>
      <c r="J720" s="1351" t="n"/>
      <c r="K720" s="1351" t="n"/>
      <c r="L720" s="1351" t="n"/>
      <c r="M720" s="1351" t="n"/>
      <c r="N720" s="1351" t="n"/>
      <c r="O720" s="1351" t="n"/>
      <c r="P720" s="1349" t="n"/>
    </row>
    <row r="721" customFormat="1" s="324">
      <c r="A721" s="1349" t="n"/>
      <c r="B721" s="1501" t="n"/>
      <c r="C721" s="1439" t="n"/>
      <c r="D721" s="1439" t="n"/>
      <c r="E721" s="1439" t="n"/>
      <c r="F721" s="1439" t="n"/>
      <c r="G721" s="1440" t="n"/>
      <c r="H721" s="1391" t="n"/>
      <c r="I721" s="1351" t="n"/>
      <c r="J721" s="1351" t="n"/>
      <c r="K721" s="1351" t="n"/>
      <c r="L721" s="1351" t="n"/>
      <c r="M721" s="1351" t="n"/>
      <c r="N721" s="1351" t="n"/>
      <c r="O721" s="1351" t="n"/>
      <c r="P721" s="1349" t="n"/>
    </row>
    <row r="722" customFormat="1" s="324">
      <c r="A722" s="1349" t="n"/>
      <c r="B722" s="1501" t="n"/>
      <c r="C722" s="1439" t="n"/>
      <c r="D722" s="1439" t="n"/>
      <c r="E722" s="1439" t="n"/>
      <c r="F722" s="1439" t="n"/>
      <c r="G722" s="1440" t="n"/>
      <c r="H722" s="1391" t="n"/>
      <c r="I722" s="1351" t="n"/>
      <c r="J722" s="1351" t="n"/>
      <c r="K722" s="1351" t="n"/>
      <c r="L722" s="1351" t="n"/>
      <c r="M722" s="1351" t="n"/>
      <c r="N722" s="1351" t="n"/>
      <c r="O722" s="1351" t="n"/>
      <c r="P722" s="1349" t="n"/>
    </row>
    <row r="723" customFormat="1" s="324">
      <c r="A723" s="1349" t="n"/>
      <c r="B723" s="1501" t="n"/>
      <c r="C723" s="1439" t="n"/>
      <c r="D723" s="1439" t="n"/>
      <c r="E723" s="1439" t="n"/>
      <c r="F723" s="1439" t="n"/>
      <c r="G723" s="1440" t="n"/>
      <c r="H723" s="1391" t="n"/>
      <c r="I723" s="1351" t="n"/>
      <c r="J723" s="1351" t="n"/>
      <c r="K723" s="1351" t="n"/>
      <c r="L723" s="1351" t="n"/>
      <c r="M723" s="1351" t="n"/>
      <c r="N723" s="1351" t="n"/>
      <c r="O723" s="1351" t="n"/>
      <c r="P723" s="1349" t="n"/>
    </row>
    <row r="724" customFormat="1" s="324">
      <c r="A724" s="1349" t="n"/>
      <c r="B724" s="1501" t="n"/>
      <c r="C724" s="1439" t="n"/>
      <c r="D724" s="1439" t="n"/>
      <c r="E724" s="1439" t="n"/>
      <c r="F724" s="1439" t="n"/>
      <c r="G724" s="1440" t="n"/>
      <c r="H724" s="1391" t="n"/>
      <c r="I724" s="1351" t="n"/>
      <c r="J724" s="1351" t="n"/>
      <c r="K724" s="1351" t="n"/>
      <c r="L724" s="1351" t="n"/>
      <c r="M724" s="1351" t="n"/>
      <c r="N724" s="1351" t="n"/>
      <c r="O724" s="1351" t="n"/>
      <c r="P724" s="1349" t="n"/>
    </row>
    <row r="725" customFormat="1" s="324">
      <c r="A725" s="1349" t="n"/>
      <c r="B725" s="1501" t="n"/>
      <c r="C725" s="1439" t="n"/>
      <c r="D725" s="1439" t="n"/>
      <c r="E725" s="1439" t="n"/>
      <c r="F725" s="1439" t="n"/>
      <c r="G725" s="1440" t="n"/>
      <c r="H725" s="1391" t="n"/>
      <c r="I725" s="1351" t="n"/>
      <c r="J725" s="1351" t="n"/>
      <c r="K725" s="1351" t="n"/>
      <c r="L725" s="1351" t="n"/>
      <c r="M725" s="1351" t="n"/>
      <c r="N725" s="1351" t="n"/>
      <c r="O725" s="1351" t="n"/>
      <c r="P725" s="1349" t="n"/>
    </row>
    <row r="726" ht="14.25" customFormat="1" customHeight="1" s="324">
      <c r="A726" s="1349" t="n"/>
      <c r="B726" s="1501" t="n"/>
      <c r="C726" s="1439" t="n"/>
      <c r="D726" s="1439" t="n"/>
      <c r="E726" s="1439" t="n"/>
      <c r="F726" s="1439" t="n"/>
      <c r="G726" s="1440" t="n"/>
      <c r="H726" s="1391" t="n"/>
      <c r="I726" s="1351" t="n"/>
      <c r="J726" s="1351" t="n"/>
      <c r="K726" s="1351" t="n"/>
      <c r="L726" s="1351" t="n"/>
      <c r="M726" s="1351" t="n"/>
      <c r="N726" s="1351" t="n"/>
      <c r="O726" s="1351" t="n"/>
      <c r="P726" s="1349" t="n"/>
    </row>
    <row r="727" customFormat="1" s="324">
      <c r="A727" s="1349" t="n"/>
      <c r="B727" s="1501" t="n"/>
      <c r="C727" s="1439" t="n"/>
      <c r="D727" s="1439" t="n"/>
      <c r="E727" s="1439" t="n"/>
      <c r="F727" s="1439" t="n"/>
      <c r="G727" s="1440" t="n"/>
      <c r="H727" s="1391" t="n"/>
      <c r="I727" s="1351" t="n"/>
      <c r="J727" s="1351" t="n"/>
      <c r="K727" s="1351" t="n"/>
      <c r="L727" s="1351" t="n"/>
      <c r="M727" s="1351" t="n"/>
      <c r="N727" s="1351" t="n"/>
      <c r="O727" s="1351" t="n"/>
      <c r="P727" s="1349" t="n"/>
    </row>
    <row r="728" customFormat="1" s="324">
      <c r="A728" s="1349" t="n"/>
      <c r="B728" s="1501" t="n"/>
      <c r="C728" s="1439" t="n"/>
      <c r="D728" s="1439" t="n"/>
      <c r="E728" s="1439" t="n"/>
      <c r="F728" s="1439" t="n"/>
      <c r="G728" s="1440" t="n"/>
      <c r="H728" s="1391" t="n"/>
      <c r="I728" s="1351" t="n"/>
      <c r="J728" s="1351" t="n"/>
      <c r="K728" s="1351" t="n"/>
      <c r="L728" s="1351" t="n"/>
      <c r="M728" s="1351" t="n"/>
      <c r="N728" s="1351" t="n"/>
      <c r="O728" s="1351" t="n"/>
      <c r="P728" s="1349" t="n"/>
    </row>
    <row r="729" customFormat="1" s="324">
      <c r="A729" s="1349" t="n"/>
      <c r="B729" s="1501" t="n"/>
      <c r="C729" s="1439" t="n"/>
      <c r="D729" s="1439" t="n"/>
      <c r="E729" s="1439" t="n"/>
      <c r="F729" s="1439" t="n"/>
      <c r="G729" s="1440" t="n"/>
      <c r="H729" s="1391" t="n"/>
      <c r="I729" s="1351" t="n"/>
      <c r="J729" s="1351" t="n"/>
      <c r="K729" s="1351" t="n"/>
      <c r="L729" s="1351" t="n"/>
      <c r="M729" s="1351" t="n"/>
      <c r="N729" s="1351" t="n"/>
      <c r="O729" s="1351" t="n"/>
      <c r="P729" s="1349" t="n"/>
    </row>
    <row r="730" ht="36.75" customFormat="1" customHeight="1" s="324">
      <c r="A730" s="1349" t="n"/>
      <c r="B730" s="1501" t="n"/>
      <c r="C730" s="1439" t="n"/>
      <c r="D730" s="1439" t="n"/>
      <c r="E730" s="1439" t="n"/>
      <c r="F730" s="1439" t="n"/>
      <c r="G730" s="1440" t="n"/>
      <c r="H730" s="1391" t="n"/>
      <c r="I730" s="1351" t="n"/>
      <c r="J730" s="1351" t="n"/>
      <c r="K730" s="1351" t="n"/>
      <c r="L730" s="1351" t="n"/>
      <c r="M730" s="1351" t="n"/>
      <c r="N730" s="1351" t="n"/>
      <c r="O730" s="1351" t="n"/>
      <c r="P730" s="1349" t="n"/>
    </row>
    <row r="731" customFormat="1" s="324">
      <c r="A731" s="1349" t="n"/>
      <c r="B731" s="1501" t="n"/>
      <c r="C731" s="1439" t="n"/>
      <c r="D731" s="1439" t="n"/>
      <c r="E731" s="1439" t="n"/>
      <c r="F731" s="1439" t="n"/>
      <c r="G731" s="1440" t="n"/>
      <c r="H731" s="1391" t="n"/>
      <c r="I731" s="1351" t="n"/>
      <c r="J731" s="1351" t="n"/>
      <c r="K731" s="1351" t="n"/>
      <c r="L731" s="1351" t="n"/>
      <c r="M731" s="1351" t="n"/>
      <c r="N731" s="1351" t="n"/>
      <c r="O731" s="1351" t="n"/>
      <c r="P731" s="1349" t="n"/>
    </row>
    <row r="732">
      <c r="A732" s="1389" t="n"/>
      <c r="B732" s="1349" t="n"/>
      <c r="C732" s="1351" t="n"/>
      <c r="D732" s="1351" t="n"/>
      <c r="E732" s="1351" t="n"/>
      <c r="F732" s="1351" t="n"/>
      <c r="G732" s="1351" t="n"/>
      <c r="H732" s="1351" t="n"/>
      <c r="I732" s="1351" t="n"/>
      <c r="J732" s="1351" t="n"/>
      <c r="K732" s="1351" t="n"/>
      <c r="L732" s="1351" t="n"/>
      <c r="M732" s="1351" t="n"/>
      <c r="N732" s="1351" t="n"/>
      <c r="O732" s="1351" t="n"/>
      <c r="P732" s="1349" t="n"/>
    </row>
    <row r="733">
      <c r="A733" s="1389" t="n"/>
      <c r="B733" s="1349" t="n"/>
      <c r="C733" s="1351" t="n"/>
      <c r="D733" s="1351" t="n"/>
      <c r="E733" s="1351" t="n"/>
      <c r="F733" s="1351" t="n"/>
      <c r="G733" s="1351" t="n"/>
      <c r="H733" s="1351" t="n"/>
      <c r="I733" s="1351" t="n"/>
      <c r="J733" s="1351" t="n"/>
      <c r="K733" s="1351" t="n"/>
      <c r="L733" s="1351" t="n"/>
      <c r="M733" s="1351" t="n"/>
      <c r="N733" s="1351" t="n"/>
      <c r="O733" s="1351" t="n"/>
      <c r="P733" s="1349" t="n"/>
    </row>
    <row r="734" ht="14.25" customFormat="1" customHeight="1" s="324">
      <c r="A734" s="1349" t="n"/>
      <c r="B734" s="1501" t="n"/>
      <c r="C734" s="1439" t="n"/>
      <c r="D734" s="1439" t="n"/>
      <c r="E734" s="1439" t="n"/>
      <c r="F734" s="1439" t="n"/>
      <c r="G734" s="1440" t="n"/>
      <c r="H734" s="1391" t="n"/>
      <c r="I734" s="1351" t="n"/>
      <c r="J734" s="1351" t="n"/>
      <c r="K734" s="1351" t="n"/>
      <c r="L734" s="1351" t="n"/>
      <c r="M734" s="1351" t="n"/>
      <c r="N734" s="1351" t="n"/>
      <c r="O734" s="1351" t="n"/>
      <c r="P734" s="1349" t="n"/>
    </row>
    <row r="735" ht="13" customFormat="1" customHeight="1" s="324">
      <c r="A735" s="1349" t="n"/>
      <c r="B735" s="1501" t="n"/>
      <c r="C735" s="1439" t="n"/>
      <c r="D735" s="1439" t="n"/>
      <c r="E735" s="1439" t="n"/>
      <c r="F735" s="1439" t="n"/>
      <c r="G735" s="1440" t="n"/>
      <c r="H735" s="1391" t="n"/>
      <c r="I735" s="1351" t="n"/>
      <c r="J735" s="1351" t="n"/>
      <c r="K735" s="1351" t="n"/>
      <c r="L735" s="1351" t="n"/>
      <c r="M735" s="1351" t="n"/>
      <c r="N735" s="1351" t="n"/>
      <c r="O735" s="1351" t="n"/>
      <c r="P735" s="1349" t="n"/>
    </row>
    <row r="736" ht="14.25" customFormat="1" customHeight="1" s="324">
      <c r="A736" s="1349" t="n"/>
      <c r="B736" s="1501" t="n"/>
      <c r="C736" s="1439" t="n"/>
      <c r="D736" s="1439" t="n"/>
      <c r="E736" s="1439" t="n"/>
      <c r="F736" s="1439" t="n"/>
      <c r="G736" s="1440" t="n"/>
      <c r="H736" s="1391" t="n"/>
      <c r="I736" s="1351" t="n"/>
      <c r="J736" s="1351" t="n"/>
      <c r="K736" s="1351" t="n"/>
      <c r="L736" s="1351" t="n"/>
      <c r="M736" s="1351" t="n"/>
      <c r="N736" s="1351" t="n"/>
      <c r="O736" s="1351" t="n"/>
      <c r="P736" s="1349" t="n"/>
    </row>
    <row r="737" ht="14.25" customFormat="1" customHeight="1" s="324">
      <c r="A737" s="1349" t="n"/>
      <c r="B737" s="1501" t="n"/>
      <c r="C737" s="1439" t="n"/>
      <c r="D737" s="1439" t="n"/>
      <c r="E737" s="1439" t="n"/>
      <c r="F737" s="1439" t="n"/>
      <c r="G737" s="1440" t="n"/>
      <c r="H737" s="1569" t="n"/>
      <c r="I737" s="1351" t="n"/>
      <c r="J737" s="1351" t="n"/>
      <c r="K737" s="1351" t="n"/>
      <c r="L737" s="1351" t="n"/>
      <c r="M737" s="1351" t="n"/>
      <c r="N737" s="1351" t="n"/>
      <c r="O737" s="1351" t="n"/>
      <c r="P737" s="1349" t="n"/>
    </row>
    <row r="738" ht="14.25" customFormat="1" customHeight="1" s="324">
      <c r="A738" s="1349" t="n"/>
      <c r="B738" s="1501" t="n"/>
      <c r="C738" s="1439" t="n"/>
      <c r="D738" s="1439" t="n"/>
      <c r="E738" s="1439" t="n"/>
      <c r="F738" s="1439" t="n"/>
      <c r="G738" s="1440" t="n"/>
      <c r="H738" s="1569" t="n"/>
      <c r="I738" s="1351" t="n"/>
      <c r="J738" s="1351" t="n"/>
      <c r="K738" s="1351" t="n"/>
      <c r="L738" s="1351" t="n"/>
      <c r="M738" s="1351" t="n"/>
      <c r="N738" s="1351" t="n"/>
      <c r="O738" s="1351" t="n"/>
      <c r="P738" s="1349" t="n"/>
    </row>
    <row r="739" ht="14.25" customFormat="1" customHeight="1" s="324">
      <c r="A739" s="1349" t="n"/>
      <c r="B739" s="1501" t="n"/>
      <c r="C739" s="1439" t="n"/>
      <c r="D739" s="1439" t="n"/>
      <c r="E739" s="1439" t="n"/>
      <c r="F739" s="1439" t="n"/>
      <c r="G739" s="1440" t="n"/>
      <c r="H739" s="1569" t="n"/>
      <c r="I739" s="1351" t="n"/>
      <c r="J739" s="1351" t="n"/>
      <c r="K739" s="1351" t="n"/>
      <c r="L739" s="1351" t="n"/>
      <c r="M739" s="1351" t="n"/>
      <c r="N739" s="1351" t="n"/>
      <c r="O739" s="1351" t="n"/>
      <c r="P739" s="1349" t="n"/>
    </row>
    <row r="740" ht="14.25" customFormat="1" customHeight="1" s="324">
      <c r="A740" s="1349" t="n"/>
      <c r="B740" s="1501" t="n"/>
      <c r="C740" s="1439" t="n"/>
      <c r="D740" s="1439" t="n"/>
      <c r="E740" s="1439" t="n"/>
      <c r="F740" s="1439" t="n"/>
      <c r="G740" s="1440" t="n"/>
      <c r="H740" s="1569" t="n"/>
      <c r="I740" s="1351" t="n"/>
      <c r="J740" s="1351" t="n"/>
      <c r="K740" s="1351" t="n"/>
      <c r="L740" s="1351" t="n"/>
      <c r="M740" s="1351" t="n"/>
      <c r="N740" s="1351" t="n"/>
      <c r="O740" s="1351" t="n"/>
      <c r="P740" s="1349" t="n"/>
    </row>
    <row r="741" ht="14.25" customFormat="1" customHeight="1" s="324">
      <c r="A741" s="1349" t="n"/>
      <c r="B741" s="1501" t="n"/>
      <c r="C741" s="1439" t="n"/>
      <c r="D741" s="1439" t="n"/>
      <c r="E741" s="1439" t="n"/>
      <c r="F741" s="1439" t="n"/>
      <c r="G741" s="1440" t="n"/>
      <c r="H741" s="1391" t="n"/>
      <c r="I741" s="1351" t="n"/>
      <c r="J741" s="1351" t="n"/>
      <c r="K741" s="1351" t="n"/>
      <c r="L741" s="1351" t="n"/>
      <c r="M741" s="1351" t="n"/>
      <c r="N741" s="1351" t="n"/>
      <c r="O741" s="1351" t="n"/>
      <c r="P741" s="1349" t="n"/>
    </row>
    <row r="742" ht="14.25" customFormat="1" customHeight="1" s="324">
      <c r="A742" s="1349" t="n"/>
      <c r="B742" s="1501" t="n"/>
      <c r="C742" s="1439" t="n"/>
      <c r="D742" s="1439" t="n"/>
      <c r="E742" s="1439" t="n"/>
      <c r="F742" s="1439" t="n"/>
      <c r="G742" s="1440" t="n"/>
      <c r="H742" s="1391" t="n"/>
      <c r="I742" s="1351" t="n"/>
      <c r="J742" s="1351" t="n"/>
      <c r="K742" s="1351" t="n"/>
      <c r="L742" s="1351" t="n"/>
      <c r="M742" s="1351" t="n"/>
      <c r="N742" s="1351" t="n"/>
      <c r="O742" s="1351" t="n"/>
      <c r="P742" s="1349" t="n"/>
    </row>
    <row r="743" ht="14.25" customFormat="1" customHeight="1" s="324">
      <c r="A743" s="1349" t="n"/>
      <c r="B743" s="1501" t="n"/>
      <c r="C743" s="1439" t="n"/>
      <c r="D743" s="1439" t="n"/>
      <c r="E743" s="1439" t="n"/>
      <c r="F743" s="1439" t="n"/>
      <c r="G743" s="1440" t="n"/>
      <c r="H743" s="1391" t="n"/>
      <c r="I743" s="1351" t="n"/>
      <c r="J743" s="1351" t="n"/>
      <c r="K743" s="1351" t="n"/>
      <c r="L743" s="1351" t="n"/>
      <c r="M743" s="1351" t="n"/>
      <c r="N743" s="1351" t="n"/>
      <c r="O743" s="1351" t="n"/>
      <c r="P743" s="1349" t="n"/>
    </row>
    <row r="744" ht="14.25" customFormat="1" customHeight="1" s="324">
      <c r="A744" s="1349" t="n"/>
      <c r="B744" s="1501" t="n"/>
      <c r="C744" s="1439" t="n"/>
      <c r="D744" s="1439" t="n"/>
      <c r="E744" s="1439" t="n"/>
      <c r="F744" s="1439" t="n"/>
      <c r="G744" s="1440" t="n"/>
      <c r="H744" s="1391" t="n"/>
      <c r="I744" s="1351" t="n"/>
      <c r="J744" s="1351" t="n"/>
      <c r="K744" s="1351" t="n"/>
      <c r="L744" s="1351" t="n"/>
      <c r="M744" s="1351" t="n"/>
      <c r="N744" s="1351" t="n"/>
      <c r="O744" s="1351" t="n"/>
      <c r="P744" s="1349" t="n"/>
    </row>
    <row r="745" ht="14.25" customFormat="1" customHeight="1" s="324">
      <c r="A745" s="1349" t="n"/>
      <c r="B745" s="1501" t="n"/>
      <c r="C745" s="1439" t="n"/>
      <c r="D745" s="1439" t="n"/>
      <c r="E745" s="1439" t="n"/>
      <c r="F745" s="1439" t="n"/>
      <c r="G745" s="1440" t="n"/>
      <c r="H745" s="1391" t="n"/>
      <c r="I745" s="1351" t="n"/>
      <c r="J745" s="1351" t="n"/>
      <c r="K745" s="1351" t="n"/>
      <c r="L745" s="1351" t="n"/>
      <c r="M745" s="1351" t="n"/>
      <c r="N745" s="1351" t="n"/>
      <c r="O745" s="1351" t="n"/>
      <c r="P745" s="1349" t="n"/>
    </row>
    <row r="746" customFormat="1" s="324">
      <c r="A746" s="1349" t="n"/>
      <c r="B746" s="1501" t="n"/>
      <c r="C746" s="1439" t="n"/>
      <c r="D746" s="1439" t="n"/>
      <c r="E746" s="1439" t="n"/>
      <c r="F746" s="1439" t="n"/>
      <c r="G746" s="1440" t="n"/>
      <c r="H746" s="1391" t="n"/>
      <c r="I746" s="1351" t="n"/>
      <c r="J746" s="1351" t="n"/>
      <c r="K746" s="1351" t="n"/>
      <c r="L746" s="1351" t="n"/>
      <c r="M746" s="1351" t="n"/>
      <c r="N746" s="1351" t="n"/>
      <c r="O746" s="1351" t="n"/>
      <c r="P746" s="1349" t="n"/>
    </row>
    <row r="747" customFormat="1" s="324">
      <c r="A747" s="1349" t="n"/>
      <c r="B747" s="1501" t="n"/>
      <c r="C747" s="1439" t="n"/>
      <c r="D747" s="1439" t="n"/>
      <c r="E747" s="1439" t="n"/>
      <c r="F747" s="1439" t="n"/>
      <c r="G747" s="1440" t="n"/>
      <c r="H747" s="1391" t="n"/>
      <c r="I747" s="1351" t="n"/>
      <c r="J747" s="1351" t="n"/>
      <c r="K747" s="1351" t="n"/>
      <c r="L747" s="1351" t="n"/>
      <c r="M747" s="1351" t="n"/>
      <c r="N747" s="1351" t="n"/>
      <c r="O747" s="1351" t="n"/>
      <c r="P747" s="1349" t="n"/>
    </row>
    <row r="748" customFormat="1" s="324">
      <c r="A748" s="1349" t="n"/>
      <c r="B748" s="1501" t="n"/>
      <c r="C748" s="1439" t="n"/>
      <c r="D748" s="1439" t="n"/>
      <c r="E748" s="1439" t="n"/>
      <c r="F748" s="1439" t="n"/>
      <c r="G748" s="1440" t="n"/>
      <c r="H748" s="1391" t="n"/>
      <c r="I748" s="1351" t="n"/>
      <c r="J748" s="1351" t="n"/>
      <c r="K748" s="1351" t="n"/>
      <c r="L748" s="1351" t="n"/>
      <c r="M748" s="1351" t="n"/>
      <c r="N748" s="1351" t="n"/>
      <c r="O748" s="1351" t="n"/>
      <c r="P748" s="1349" t="n"/>
    </row>
    <row r="749" customFormat="1" s="324">
      <c r="A749" s="1349" t="n"/>
      <c r="B749" s="1501" t="n"/>
      <c r="C749" s="1439" t="n"/>
      <c r="D749" s="1439" t="n"/>
      <c r="E749" s="1439" t="n"/>
      <c r="F749" s="1439" t="n"/>
      <c r="G749" s="1440" t="n"/>
      <c r="H749" s="1391" t="n"/>
      <c r="I749" s="1351" t="n"/>
      <c r="J749" s="1351" t="n"/>
      <c r="K749" s="1351" t="n"/>
      <c r="L749" s="1351" t="n"/>
      <c r="M749" s="1351" t="n"/>
      <c r="N749" s="1351" t="n"/>
      <c r="O749" s="1351" t="n"/>
      <c r="P749" s="1349" t="n"/>
    </row>
    <row r="750" customFormat="1" s="324">
      <c r="A750" s="1349" t="n"/>
      <c r="B750" s="1501" t="n"/>
      <c r="C750" s="1439" t="n"/>
      <c r="D750" s="1439" t="n"/>
      <c r="E750" s="1439" t="n"/>
      <c r="F750" s="1439" t="n"/>
      <c r="G750" s="1440" t="n"/>
      <c r="H750" s="1391" t="n"/>
      <c r="I750" s="1351" t="n"/>
      <c r="J750" s="1351" t="n"/>
      <c r="K750" s="1351" t="n"/>
      <c r="L750" s="1351" t="n"/>
      <c r="M750" s="1351" t="n"/>
      <c r="N750" s="1351" t="n"/>
      <c r="O750" s="1351" t="n"/>
      <c r="P750" s="1349" t="n"/>
    </row>
    <row r="751" customFormat="1" s="324">
      <c r="A751" s="1349" t="n"/>
      <c r="B751" s="1501" t="n"/>
      <c r="C751" s="1439" t="n"/>
      <c r="D751" s="1439" t="n"/>
      <c r="E751" s="1439" t="n"/>
      <c r="F751" s="1439" t="n"/>
      <c r="G751" s="1440" t="n"/>
      <c r="H751" s="1391" t="n"/>
      <c r="I751" s="1351" t="n"/>
      <c r="J751" s="1351" t="n"/>
      <c r="K751" s="1351" t="n"/>
      <c r="L751" s="1351" t="n"/>
      <c r="M751" s="1351" t="n"/>
      <c r="N751" s="1351" t="n"/>
      <c r="O751" s="1351" t="n"/>
      <c r="P751" s="1349" t="n"/>
    </row>
    <row r="752" customFormat="1" s="324">
      <c r="A752" s="1349" t="n"/>
      <c r="B752" s="1501" t="n"/>
      <c r="C752" s="1439" t="n"/>
      <c r="D752" s="1439" t="n"/>
      <c r="E752" s="1439" t="n"/>
      <c r="F752" s="1439" t="n"/>
      <c r="G752" s="1440" t="n"/>
      <c r="H752" s="1391" t="n"/>
      <c r="I752" s="1351" t="n"/>
      <c r="J752" s="1351" t="n"/>
      <c r="K752" s="1351" t="n"/>
      <c r="L752" s="1351" t="n"/>
      <c r="M752" s="1351" t="n"/>
      <c r="N752" s="1351" t="n"/>
      <c r="O752" s="1351" t="n"/>
      <c r="P752" s="1349" t="n"/>
    </row>
    <row r="753" customFormat="1" s="324">
      <c r="A753" s="1349" t="n"/>
      <c r="B753" s="1501" t="n"/>
      <c r="C753" s="1439" t="n"/>
      <c r="D753" s="1439" t="n"/>
      <c r="E753" s="1439" t="n"/>
      <c r="F753" s="1439" t="n"/>
      <c r="G753" s="1440" t="n"/>
      <c r="H753" s="1391" t="n"/>
      <c r="I753" s="1351" t="n"/>
      <c r="J753" s="1351" t="n"/>
      <c r="K753" s="1351" t="n"/>
      <c r="L753" s="1351" t="n"/>
      <c r="M753" s="1351" t="n"/>
      <c r="N753" s="1351" t="n"/>
      <c r="O753" s="1351" t="n"/>
      <c r="P753" s="1349" t="n"/>
    </row>
    <row r="754" customFormat="1" s="324">
      <c r="A754" s="1349" t="n"/>
      <c r="B754" s="1501" t="n"/>
      <c r="C754" s="1439" t="n"/>
      <c r="D754" s="1439" t="n"/>
      <c r="E754" s="1439" t="n"/>
      <c r="F754" s="1439" t="n"/>
      <c r="G754" s="1440" t="n"/>
      <c r="H754" s="1391" t="n"/>
      <c r="I754" s="1351" t="n"/>
      <c r="J754" s="1351" t="n"/>
      <c r="K754" s="1351" t="n"/>
      <c r="L754" s="1351" t="n"/>
      <c r="M754" s="1351" t="n"/>
      <c r="N754" s="1351" t="n"/>
      <c r="O754" s="1351" t="n"/>
      <c r="P754" s="1349" t="n"/>
    </row>
    <row r="755" customFormat="1" s="324">
      <c r="A755" s="1349" t="n"/>
      <c r="B755" s="1501" t="n"/>
      <c r="C755" s="1439" t="n"/>
      <c r="D755" s="1439" t="n"/>
      <c r="E755" s="1439" t="n"/>
      <c r="F755" s="1439" t="n"/>
      <c r="G755" s="1440" t="n"/>
      <c r="H755" s="1391" t="n"/>
      <c r="I755" s="1351" t="n"/>
      <c r="J755" s="1351" t="n"/>
      <c r="K755" s="1351" t="n"/>
      <c r="L755" s="1351" t="n"/>
      <c r="M755" s="1351" t="n"/>
      <c r="N755" s="1351" t="n"/>
      <c r="O755" s="1351" t="n"/>
      <c r="P755" s="1349" t="n"/>
    </row>
    <row r="756" customFormat="1" s="324">
      <c r="A756" s="1349" t="n"/>
      <c r="B756" s="1501" t="n"/>
      <c r="C756" s="1439" t="n"/>
      <c r="D756" s="1439" t="n"/>
      <c r="E756" s="1439" t="n"/>
      <c r="F756" s="1439" t="n"/>
      <c r="G756" s="1440" t="n"/>
      <c r="H756" s="1391" t="n"/>
      <c r="I756" s="1351" t="n"/>
      <c r="J756" s="1351" t="n"/>
      <c r="K756" s="1351" t="n"/>
      <c r="L756" s="1351" t="n"/>
      <c r="M756" s="1351" t="n"/>
      <c r="N756" s="1351" t="n"/>
      <c r="O756" s="1351" t="n"/>
      <c r="P756" s="1349" t="n"/>
    </row>
    <row r="757" customFormat="1" s="324">
      <c r="A757" s="1349" t="n"/>
      <c r="B757" s="1501" t="n"/>
      <c r="C757" s="1439" t="n"/>
      <c r="D757" s="1439" t="n"/>
      <c r="E757" s="1439" t="n"/>
      <c r="F757" s="1439" t="n"/>
      <c r="G757" s="1440" t="n"/>
      <c r="H757" s="1391" t="n"/>
      <c r="I757" s="1351" t="n"/>
      <c r="J757" s="1351" t="n"/>
      <c r="K757" s="1351" t="n"/>
      <c r="L757" s="1351" t="n"/>
      <c r="M757" s="1351" t="n"/>
      <c r="N757" s="1351" t="n"/>
      <c r="O757" s="1351" t="n"/>
      <c r="P757" s="1349" t="n"/>
    </row>
    <row r="758" customFormat="1" s="324">
      <c r="A758" s="1349" t="n"/>
      <c r="B758" s="1501" t="n"/>
      <c r="C758" s="1439" t="n"/>
      <c r="D758" s="1439" t="n"/>
      <c r="E758" s="1439" t="n"/>
      <c r="F758" s="1439" t="n"/>
      <c r="G758" s="1440" t="n"/>
      <c r="H758" s="1391" t="n"/>
      <c r="I758" s="1351" t="n"/>
      <c r="J758" s="1351" t="n"/>
      <c r="K758" s="1351" t="n"/>
      <c r="L758" s="1351" t="n"/>
      <c r="M758" s="1351" t="n"/>
      <c r="N758" s="1351" t="n"/>
      <c r="O758" s="1351" t="n"/>
      <c r="P758" s="1349" t="n"/>
    </row>
    <row r="759" customFormat="1" s="324">
      <c r="A759" s="1349" t="n"/>
      <c r="B759" s="1501" t="n"/>
      <c r="C759" s="1439" t="n"/>
      <c r="D759" s="1439" t="n"/>
      <c r="E759" s="1439" t="n"/>
      <c r="F759" s="1439" t="n"/>
      <c r="G759" s="1440" t="n"/>
      <c r="H759" s="1391" t="n"/>
      <c r="I759" s="1351" t="n"/>
      <c r="J759" s="1351" t="n"/>
      <c r="K759" s="1351" t="n"/>
      <c r="L759" s="1351" t="n"/>
      <c r="M759" s="1351" t="n"/>
      <c r="N759" s="1351" t="n"/>
      <c r="O759" s="1351" t="n"/>
      <c r="P759" s="1349" t="n"/>
    </row>
    <row r="760" customFormat="1" s="324">
      <c r="A760" s="1349" t="n"/>
      <c r="B760" s="1501" t="n"/>
      <c r="C760" s="1439" t="n"/>
      <c r="D760" s="1439" t="n"/>
      <c r="E760" s="1439" t="n"/>
      <c r="F760" s="1439" t="n"/>
      <c r="G760" s="1440" t="n"/>
      <c r="H760" s="1391" t="n"/>
      <c r="I760" s="1351" t="n"/>
      <c r="J760" s="1351" t="n"/>
      <c r="K760" s="1351" t="n"/>
      <c r="L760" s="1351" t="n"/>
      <c r="M760" s="1351" t="n"/>
      <c r="N760" s="1351" t="n"/>
      <c r="O760" s="1351" t="n"/>
      <c r="P760" s="1349" t="n"/>
    </row>
    <row r="761" ht="14.25" customFormat="1" customHeight="1" s="324">
      <c r="A761" s="1349" t="n"/>
      <c r="B761" s="1501" t="n"/>
      <c r="C761" s="1439" t="n"/>
      <c r="D761" s="1439" t="n"/>
      <c r="E761" s="1439" t="n"/>
      <c r="F761" s="1439" t="n"/>
      <c r="G761" s="1440" t="n"/>
      <c r="H761" s="1391" t="n"/>
      <c r="I761" s="1351" t="n"/>
      <c r="J761" s="1351" t="n"/>
      <c r="K761" s="1351" t="n"/>
      <c r="L761" s="1351" t="n"/>
      <c r="M761" s="1351" t="n"/>
      <c r="N761" s="1351" t="n"/>
      <c r="O761" s="1351" t="n"/>
      <c r="P761" s="1349" t="n"/>
    </row>
    <row r="762" customFormat="1" s="324">
      <c r="A762" s="1349" t="n"/>
      <c r="B762" s="1501" t="n"/>
      <c r="C762" s="1439" t="n"/>
      <c r="D762" s="1439" t="n"/>
      <c r="E762" s="1439" t="n"/>
      <c r="F762" s="1439" t="n"/>
      <c r="G762" s="1440" t="n"/>
      <c r="H762" s="1391" t="n"/>
      <c r="I762" s="1351" t="n"/>
      <c r="J762" s="1351" t="n"/>
      <c r="K762" s="1351" t="n"/>
      <c r="L762" s="1351" t="n"/>
      <c r="M762" s="1351" t="n"/>
      <c r="N762" s="1351" t="n"/>
      <c r="O762" s="1351" t="n"/>
      <c r="P762" s="1349" t="n"/>
    </row>
    <row r="763" customFormat="1" s="324">
      <c r="A763" s="1349" t="n"/>
      <c r="B763" s="1501" t="n"/>
      <c r="C763" s="1439" t="n"/>
      <c r="D763" s="1439" t="n"/>
      <c r="E763" s="1439" t="n"/>
      <c r="F763" s="1439" t="n"/>
      <c r="G763" s="1440" t="n"/>
      <c r="H763" s="1391" t="n"/>
      <c r="I763" s="1351" t="n"/>
      <c r="J763" s="1351" t="n"/>
      <c r="K763" s="1351" t="n"/>
      <c r="L763" s="1351" t="n"/>
      <c r="M763" s="1351" t="n"/>
      <c r="N763" s="1351" t="n"/>
      <c r="O763" s="1351" t="n"/>
      <c r="P763" s="1349" t="n"/>
    </row>
    <row r="764" customFormat="1" s="324">
      <c r="A764" s="1349" t="n"/>
      <c r="B764" s="1501" t="n"/>
      <c r="C764" s="1439" t="n"/>
      <c r="D764" s="1439" t="n"/>
      <c r="E764" s="1439" t="n"/>
      <c r="F764" s="1439" t="n"/>
      <c r="G764" s="1440" t="n"/>
      <c r="H764" s="1391" t="n"/>
      <c r="I764" s="1351" t="n"/>
      <c r="J764" s="1351" t="n"/>
      <c r="K764" s="1351" t="n"/>
      <c r="L764" s="1351" t="n"/>
      <c r="M764" s="1351" t="n"/>
      <c r="N764" s="1351" t="n"/>
      <c r="O764" s="1351" t="n"/>
      <c r="P764" s="1349" t="n"/>
    </row>
    <row r="765" customFormat="1" s="324">
      <c r="A765" s="1349" t="n"/>
      <c r="B765" s="1501" t="n"/>
      <c r="C765" s="1439" t="n"/>
      <c r="D765" s="1439" t="n"/>
      <c r="E765" s="1439" t="n"/>
      <c r="F765" s="1439" t="n"/>
      <c r="G765" s="1440" t="n"/>
      <c r="H765" s="1391" t="n"/>
      <c r="I765" s="1351" t="n"/>
      <c r="J765" s="1351" t="n"/>
      <c r="K765" s="1351" t="n"/>
      <c r="L765" s="1351" t="n"/>
      <c r="M765" s="1351" t="n"/>
      <c r="N765" s="1351" t="n"/>
      <c r="O765" s="1351" t="n"/>
      <c r="P765" s="1349" t="n"/>
    </row>
    <row r="766" customFormat="1" s="324">
      <c r="A766" s="1349" t="n"/>
      <c r="B766" s="1501" t="n"/>
      <c r="C766" s="1439" t="n"/>
      <c r="D766" s="1439" t="n"/>
      <c r="E766" s="1439" t="n"/>
      <c r="F766" s="1439" t="n"/>
      <c r="G766" s="1440" t="n"/>
      <c r="H766" s="1391" t="n"/>
      <c r="I766" s="1351" t="n"/>
      <c r="J766" s="1351" t="n"/>
      <c r="K766" s="1351" t="n"/>
      <c r="L766" s="1351" t="n"/>
      <c r="M766" s="1351" t="n"/>
      <c r="N766" s="1351" t="n"/>
      <c r="O766" s="1351" t="n"/>
      <c r="P766" s="1349" t="n"/>
    </row>
    <row r="767" customFormat="1" s="324">
      <c r="A767" s="1349" t="n"/>
      <c r="B767" s="1501" t="n"/>
      <c r="C767" s="1439" t="n"/>
      <c r="D767" s="1439" t="n"/>
      <c r="E767" s="1439" t="n"/>
      <c r="F767" s="1439" t="n"/>
      <c r="G767" s="1440" t="n"/>
      <c r="H767" s="1391" t="n"/>
      <c r="I767" s="1351" t="n"/>
      <c r="J767" s="1351" t="n"/>
      <c r="K767" s="1351" t="n"/>
      <c r="L767" s="1351" t="n"/>
      <c r="M767" s="1351" t="n"/>
      <c r="N767" s="1351" t="n"/>
      <c r="O767" s="1351" t="n"/>
      <c r="P767" s="1349" t="n"/>
    </row>
    <row r="768" customFormat="1" s="324">
      <c r="A768" s="1349" t="n"/>
      <c r="B768" s="1501" t="n"/>
      <c r="C768" s="1439" t="n"/>
      <c r="D768" s="1439" t="n"/>
      <c r="E768" s="1439" t="n"/>
      <c r="F768" s="1439" t="n"/>
      <c r="G768" s="1440" t="n"/>
      <c r="H768" s="1391" t="n"/>
      <c r="I768" s="1351" t="n"/>
      <c r="J768" s="1351" t="n"/>
      <c r="K768" s="1351" t="n"/>
      <c r="L768" s="1351" t="n"/>
      <c r="M768" s="1351" t="n"/>
      <c r="N768" s="1351" t="n"/>
      <c r="O768" s="1351" t="n"/>
      <c r="P768" s="1349" t="n"/>
    </row>
    <row r="769" customFormat="1" s="324">
      <c r="A769" s="1349" t="n"/>
      <c r="B769" s="1501" t="n"/>
      <c r="C769" s="1439" t="n"/>
      <c r="D769" s="1439" t="n"/>
      <c r="E769" s="1439" t="n"/>
      <c r="F769" s="1439" t="n"/>
      <c r="G769" s="1440" t="n"/>
      <c r="H769" s="1391" t="n"/>
      <c r="I769" s="1351" t="n"/>
      <c r="J769" s="1351" t="n"/>
      <c r="K769" s="1351" t="n"/>
      <c r="L769" s="1351" t="n"/>
      <c r="M769" s="1351" t="n"/>
      <c r="N769" s="1351" t="n"/>
      <c r="O769" s="1351" t="n"/>
      <c r="P769" s="1349" t="n"/>
    </row>
    <row r="770" customFormat="1" s="324">
      <c r="A770" s="1349" t="n"/>
      <c r="B770" s="1501" t="n"/>
      <c r="C770" s="1439" t="n"/>
      <c r="D770" s="1439" t="n"/>
      <c r="E770" s="1439" t="n"/>
      <c r="F770" s="1439" t="n"/>
      <c r="G770" s="1440" t="n"/>
      <c r="H770" s="1391" t="n"/>
      <c r="I770" s="1351" t="n"/>
      <c r="J770" s="1351" t="n"/>
      <c r="K770" s="1351" t="n"/>
      <c r="L770" s="1351" t="n"/>
      <c r="M770" s="1351" t="n"/>
      <c r="N770" s="1351" t="n"/>
      <c r="O770" s="1351" t="n"/>
      <c r="P770" s="1349" t="n"/>
    </row>
    <row r="771" ht="14.25" customFormat="1" customHeight="1" s="324">
      <c r="A771" s="1349" t="n"/>
      <c r="B771" s="1501" t="n"/>
      <c r="C771" s="1439" t="n"/>
      <c r="D771" s="1439" t="n"/>
      <c r="E771" s="1439" t="n"/>
      <c r="F771" s="1439" t="n"/>
      <c r="G771" s="1440" t="n"/>
      <c r="H771" s="1569" t="n"/>
      <c r="I771" s="1351" t="n"/>
      <c r="J771" s="1351" t="n"/>
      <c r="K771" s="1351" t="n"/>
      <c r="L771" s="1351" t="n"/>
      <c r="M771" s="1351" t="n"/>
      <c r="N771" s="1351" t="n"/>
      <c r="O771" s="1351" t="n"/>
      <c r="P771" s="1349" t="n"/>
    </row>
    <row r="772" ht="14.25" customFormat="1" customHeight="1" s="324">
      <c r="A772" s="1349" t="n"/>
      <c r="B772" s="1501" t="n"/>
      <c r="C772" s="1439" t="n"/>
      <c r="D772" s="1439" t="n"/>
      <c r="E772" s="1439" t="n"/>
      <c r="F772" s="1439" t="n"/>
      <c r="G772" s="1440" t="n"/>
      <c r="H772" s="1569" t="n"/>
      <c r="I772" s="1351" t="n"/>
      <c r="J772" s="1351" t="n"/>
      <c r="K772" s="1351" t="n"/>
      <c r="L772" s="1351" t="n"/>
      <c r="M772" s="1351" t="n"/>
      <c r="N772" s="1351" t="n"/>
      <c r="O772" s="1351" t="n"/>
      <c r="P772" s="1349" t="n"/>
    </row>
    <row r="773" ht="14.25" customFormat="1" customHeight="1" s="324">
      <c r="A773" s="1349" t="n"/>
      <c r="B773" s="1501" t="n"/>
      <c r="C773" s="1439" t="n"/>
      <c r="D773" s="1439" t="n"/>
      <c r="E773" s="1439" t="n"/>
      <c r="F773" s="1439" t="n"/>
      <c r="G773" s="1440" t="n"/>
      <c r="H773" s="1569" t="n"/>
      <c r="I773" s="1351" t="n"/>
      <c r="J773" s="1351" t="n"/>
      <c r="K773" s="1351" t="n"/>
      <c r="L773" s="1351" t="n"/>
      <c r="M773" s="1351" t="n"/>
      <c r="N773" s="1351" t="n"/>
      <c r="O773" s="1351" t="n"/>
      <c r="P773" s="1349" t="n"/>
    </row>
    <row r="774" ht="14.25" customFormat="1" customHeight="1" s="324">
      <c r="A774" s="1349" t="n"/>
      <c r="B774" s="1501" t="n"/>
      <c r="C774" s="1439" t="n"/>
      <c r="D774" s="1439" t="n"/>
      <c r="E774" s="1439" t="n"/>
      <c r="F774" s="1439" t="n"/>
      <c r="G774" s="1440" t="n"/>
      <c r="H774" s="1569" t="n"/>
      <c r="I774" s="1351" t="n"/>
      <c r="J774" s="1351" t="n"/>
      <c r="K774" s="1351" t="n"/>
      <c r="L774" s="1351" t="n"/>
      <c r="M774" s="1351" t="n"/>
      <c r="N774" s="1351" t="n"/>
      <c r="O774" s="1351" t="n"/>
      <c r="P774" s="1349" t="n"/>
    </row>
    <row r="775" ht="14.25" customFormat="1" customHeight="1" s="324">
      <c r="A775" s="1349" t="n"/>
      <c r="B775" s="1501" t="n"/>
      <c r="C775" s="1439" t="n"/>
      <c r="D775" s="1439" t="n"/>
      <c r="E775" s="1439" t="n"/>
      <c r="F775" s="1439" t="n"/>
      <c r="G775" s="1440" t="n"/>
      <c r="H775" s="1391" t="n"/>
      <c r="I775" s="1351" t="n"/>
      <c r="J775" s="1351" t="n"/>
      <c r="K775" s="1351" t="n"/>
      <c r="L775" s="1351" t="n"/>
      <c r="M775" s="1351" t="n"/>
      <c r="N775" s="1351" t="n"/>
      <c r="O775" s="1351" t="n"/>
      <c r="P775" s="1349" t="n"/>
    </row>
    <row r="776" ht="14.25" customFormat="1" customHeight="1" s="324">
      <c r="A776" s="1349" t="n"/>
      <c r="B776" s="1501" t="n"/>
      <c r="C776" s="1439" t="n"/>
      <c r="D776" s="1439" t="n"/>
      <c r="E776" s="1439" t="n"/>
      <c r="F776" s="1439" t="n"/>
      <c r="G776" s="1440" t="n"/>
      <c r="H776" s="1391" t="n"/>
      <c r="I776" s="1351" t="n"/>
      <c r="J776" s="1351" t="n"/>
      <c r="K776" s="1351" t="n"/>
      <c r="L776" s="1351" t="n"/>
      <c r="M776" s="1351" t="n"/>
      <c r="N776" s="1351" t="n"/>
      <c r="O776" s="1351" t="n"/>
      <c r="P776" s="1349" t="n"/>
    </row>
    <row r="777" ht="14.25" customFormat="1" customHeight="1" s="324">
      <c r="A777" s="1349" t="n"/>
      <c r="B777" s="1501" t="n"/>
      <c r="C777" s="1439" t="n"/>
      <c r="D777" s="1439" t="n"/>
      <c r="E777" s="1439" t="n"/>
      <c r="F777" s="1439" t="n"/>
      <c r="G777" s="1440" t="n"/>
      <c r="H777" s="1391" t="n"/>
      <c r="I777" s="1351" t="n"/>
      <c r="J777" s="1351" t="n"/>
      <c r="K777" s="1351" t="n"/>
      <c r="L777" s="1351" t="n"/>
      <c r="M777" s="1351" t="n"/>
      <c r="N777" s="1351" t="n"/>
      <c r="O777" s="1351" t="n"/>
      <c r="P777" s="1349" t="n"/>
    </row>
    <row r="778" ht="14.25" customFormat="1" customHeight="1" s="324">
      <c r="A778" s="1349" t="n"/>
      <c r="B778" s="1501" t="n"/>
      <c r="C778" s="1439" t="n"/>
      <c r="D778" s="1439" t="n"/>
      <c r="E778" s="1439" t="n"/>
      <c r="F778" s="1439" t="n"/>
      <c r="G778" s="1440" t="n"/>
      <c r="H778" s="1391" t="n"/>
      <c r="I778" s="1351" t="n"/>
      <c r="J778" s="1351" t="n"/>
      <c r="K778" s="1351" t="n"/>
      <c r="L778" s="1351" t="n"/>
      <c r="M778" s="1351" t="n"/>
      <c r="N778" s="1351" t="n"/>
      <c r="O778" s="1351" t="n"/>
      <c r="P778" s="1349" t="n"/>
    </row>
    <row r="779" customFormat="1" s="324">
      <c r="A779" s="1349" t="n"/>
      <c r="B779" s="1501" t="n"/>
      <c r="C779" s="1439" t="n"/>
      <c r="D779" s="1439" t="n"/>
      <c r="E779" s="1439" t="n"/>
      <c r="F779" s="1439" t="n"/>
      <c r="G779" s="1440" t="n"/>
      <c r="H779" s="1391" t="n"/>
      <c r="I779" s="1351" t="n"/>
      <c r="J779" s="1351" t="n"/>
      <c r="K779" s="1351" t="n"/>
      <c r="L779" s="1351" t="n"/>
      <c r="M779" s="1351" t="n"/>
      <c r="N779" s="1351" t="n"/>
      <c r="O779" s="1351" t="n"/>
      <c r="P779" s="1349" t="n"/>
    </row>
    <row r="780" customFormat="1" s="324">
      <c r="A780" s="1349" t="n"/>
      <c r="B780" s="1501" t="n"/>
      <c r="C780" s="1439" t="n"/>
      <c r="D780" s="1439" t="n"/>
      <c r="E780" s="1439" t="n"/>
      <c r="F780" s="1439" t="n"/>
      <c r="G780" s="1440" t="n"/>
      <c r="H780" s="1391" t="n"/>
      <c r="I780" s="1351" t="n"/>
      <c r="J780" s="1351" t="n"/>
      <c r="K780" s="1351" t="n"/>
      <c r="L780" s="1351" t="n"/>
      <c r="M780" s="1351" t="n"/>
      <c r="N780" s="1351" t="n"/>
      <c r="O780" s="1351" t="n"/>
      <c r="P780" s="1349" t="n"/>
    </row>
    <row r="781" customFormat="1" s="324">
      <c r="A781" s="1349" t="n"/>
      <c r="B781" s="1501" t="n"/>
      <c r="C781" s="1439" t="n"/>
      <c r="D781" s="1439" t="n"/>
      <c r="E781" s="1439" t="n"/>
      <c r="F781" s="1439" t="n"/>
      <c r="G781" s="1440" t="n"/>
      <c r="H781" s="1391" t="n"/>
      <c r="I781" s="1351" t="n"/>
      <c r="J781" s="1351" t="n"/>
      <c r="K781" s="1351" t="n"/>
      <c r="L781" s="1351" t="n"/>
      <c r="M781" s="1351" t="n"/>
      <c r="N781" s="1351" t="n"/>
      <c r="O781" s="1351" t="n"/>
      <c r="P781" s="1349" t="n"/>
    </row>
    <row r="782" customFormat="1" s="324">
      <c r="A782" s="1349" t="n"/>
      <c r="B782" s="1501" t="n"/>
      <c r="C782" s="1439" t="n"/>
      <c r="D782" s="1439" t="n"/>
      <c r="E782" s="1439" t="n"/>
      <c r="F782" s="1439" t="n"/>
      <c r="G782" s="1440" t="n"/>
      <c r="H782" s="1391" t="n"/>
      <c r="I782" s="1351" t="n"/>
      <c r="J782" s="1351" t="n"/>
      <c r="K782" s="1351" t="n"/>
      <c r="L782" s="1351" t="n"/>
      <c r="M782" s="1351" t="n"/>
      <c r="N782" s="1351" t="n"/>
      <c r="O782" s="1351" t="n"/>
      <c r="P782" s="1349" t="n"/>
    </row>
    <row r="783" customFormat="1" s="324">
      <c r="A783" s="1349" t="n"/>
      <c r="B783" s="1501" t="n"/>
      <c r="C783" s="1439" t="n"/>
      <c r="D783" s="1439" t="n"/>
      <c r="E783" s="1439" t="n"/>
      <c r="F783" s="1439" t="n"/>
      <c r="G783" s="1440" t="n"/>
      <c r="H783" s="1391" t="n"/>
      <c r="I783" s="1351" t="n"/>
      <c r="J783" s="1351" t="n"/>
      <c r="K783" s="1351" t="n"/>
      <c r="L783" s="1351" t="n"/>
      <c r="M783" s="1351" t="n"/>
      <c r="N783" s="1351" t="n"/>
      <c r="O783" s="1351" t="n"/>
      <c r="P783" s="1349" t="n"/>
    </row>
    <row r="784" customFormat="1" s="324">
      <c r="A784" s="1349" t="n"/>
      <c r="B784" s="1501" t="n"/>
      <c r="C784" s="1439" t="n"/>
      <c r="D784" s="1439" t="n"/>
      <c r="E784" s="1439" t="n"/>
      <c r="F784" s="1439" t="n"/>
      <c r="G784" s="1440" t="n"/>
      <c r="H784" s="1391" t="n"/>
      <c r="I784" s="1351" t="n"/>
      <c r="J784" s="1351" t="n"/>
      <c r="K784" s="1351" t="n"/>
      <c r="L784" s="1351" t="n"/>
      <c r="M784" s="1351" t="n"/>
      <c r="N784" s="1351" t="n"/>
      <c r="O784" s="1351" t="n"/>
      <c r="P784" s="1349" t="n"/>
    </row>
    <row r="785" customFormat="1" s="324">
      <c r="A785" s="1349" t="n"/>
      <c r="B785" s="1501" t="n"/>
      <c r="C785" s="1439" t="n"/>
      <c r="D785" s="1439" t="n"/>
      <c r="E785" s="1439" t="n"/>
      <c r="F785" s="1439" t="n"/>
      <c r="G785" s="1440" t="n"/>
      <c r="H785" s="1391" t="n"/>
      <c r="I785" s="1351" t="n"/>
      <c r="J785" s="1351" t="n"/>
      <c r="K785" s="1351" t="n"/>
      <c r="L785" s="1351" t="n"/>
      <c r="M785" s="1351" t="n"/>
      <c r="N785" s="1351" t="n"/>
      <c r="O785" s="1351" t="n"/>
      <c r="P785" s="1349" t="n"/>
    </row>
    <row r="786" customFormat="1" s="324">
      <c r="A786" s="1349" t="n"/>
      <c r="B786" s="1501" t="n"/>
      <c r="C786" s="1439" t="n"/>
      <c r="D786" s="1439" t="n"/>
      <c r="E786" s="1439" t="n"/>
      <c r="F786" s="1439" t="n"/>
      <c r="G786" s="1440" t="n"/>
      <c r="H786" s="1391" t="n"/>
      <c r="I786" s="1351" t="n"/>
      <c r="J786" s="1351" t="n"/>
      <c r="K786" s="1351" t="n"/>
      <c r="L786" s="1351" t="n"/>
      <c r="M786" s="1351" t="n"/>
      <c r="N786" s="1351" t="n"/>
      <c r="O786" s="1351" t="n"/>
      <c r="P786" s="1349" t="n"/>
    </row>
    <row r="787" customFormat="1" s="324">
      <c r="A787" s="1349" t="n"/>
      <c r="B787" s="1501" t="n"/>
      <c r="C787" s="1439" t="n"/>
      <c r="D787" s="1439" t="n"/>
      <c r="E787" s="1439" t="n"/>
      <c r="F787" s="1439" t="n"/>
      <c r="G787" s="1440" t="n"/>
      <c r="H787" s="1391" t="n"/>
      <c r="I787" s="1351" t="n"/>
      <c r="J787" s="1351" t="n"/>
      <c r="K787" s="1351" t="n"/>
      <c r="L787" s="1351" t="n"/>
      <c r="M787" s="1351" t="n"/>
      <c r="N787" s="1351" t="n"/>
      <c r="O787" s="1351" t="n"/>
      <c r="P787" s="1349" t="n"/>
    </row>
    <row r="788" customFormat="1" s="324">
      <c r="A788" s="1349" t="n"/>
      <c r="B788" s="1501" t="n"/>
      <c r="C788" s="1439" t="n"/>
      <c r="D788" s="1439" t="n"/>
      <c r="E788" s="1439" t="n"/>
      <c r="F788" s="1439" t="n"/>
      <c r="G788" s="1440" t="n"/>
      <c r="H788" s="1391" t="n"/>
      <c r="I788" s="1351" t="n"/>
      <c r="J788" s="1351" t="n"/>
      <c r="K788" s="1351" t="n"/>
      <c r="L788" s="1351" t="n"/>
      <c r="M788" s="1351" t="n"/>
      <c r="N788" s="1351" t="n"/>
      <c r="O788" s="1351" t="n"/>
      <c r="P788" s="1349" t="n"/>
    </row>
    <row r="789" customFormat="1" s="324">
      <c r="A789" s="1349" t="n"/>
      <c r="B789" s="1501" t="n"/>
      <c r="C789" s="1439" t="n"/>
      <c r="D789" s="1439" t="n"/>
      <c r="E789" s="1439" t="n"/>
      <c r="F789" s="1439" t="n"/>
      <c r="G789" s="1440" t="n"/>
      <c r="H789" s="1391" t="n"/>
      <c r="I789" s="1351" t="n"/>
      <c r="J789" s="1351" t="n"/>
      <c r="K789" s="1351" t="n"/>
      <c r="L789" s="1351" t="n"/>
      <c r="M789" s="1351" t="n"/>
      <c r="N789" s="1351" t="n"/>
      <c r="O789" s="1351" t="n"/>
      <c r="P789" s="1349" t="n"/>
    </row>
    <row r="790" customFormat="1" s="324">
      <c r="A790" s="1349" t="n"/>
      <c r="B790" s="1501" t="n"/>
      <c r="C790" s="1439" t="n"/>
      <c r="D790" s="1439" t="n"/>
      <c r="E790" s="1439" t="n"/>
      <c r="F790" s="1439" t="n"/>
      <c r="G790" s="1440" t="n"/>
      <c r="H790" s="1391" t="n"/>
      <c r="I790" s="1351" t="n"/>
      <c r="J790" s="1351" t="n"/>
      <c r="K790" s="1351" t="n"/>
      <c r="L790" s="1351" t="n"/>
      <c r="M790" s="1351" t="n"/>
      <c r="N790" s="1351" t="n"/>
      <c r="O790" s="1351" t="n"/>
      <c r="P790" s="1349" t="n"/>
    </row>
    <row r="791">
      <c r="A791" s="1389" t="n"/>
      <c r="B791" s="1349" t="n"/>
      <c r="C791" s="1351" t="n"/>
      <c r="D791" s="1351" t="n"/>
      <c r="E791" s="1351" t="n"/>
      <c r="F791" s="1351" t="n"/>
      <c r="G791" s="1351" t="n"/>
      <c r="H791" s="1351" t="n"/>
      <c r="I791" s="1351" t="n"/>
      <c r="J791" s="1351" t="n"/>
      <c r="K791" s="1351" t="n"/>
      <c r="L791" s="1351" t="n"/>
      <c r="M791" s="1351" t="n"/>
      <c r="N791" s="1351" t="n"/>
      <c r="O791" s="1351" t="n"/>
      <c r="P791" s="1349" t="n"/>
    </row>
    <row r="792">
      <c r="A792" s="1389" t="n"/>
      <c r="B792" s="1349" t="n"/>
      <c r="C792" s="1351" t="n"/>
      <c r="D792" s="1351" t="n"/>
      <c r="E792" s="1351" t="n"/>
      <c r="F792" s="1351" t="n"/>
      <c r="G792" s="1351" t="n"/>
      <c r="H792" s="1351" t="n"/>
      <c r="I792" s="1351" t="n"/>
      <c r="J792" s="1351" t="n"/>
      <c r="K792" s="1351" t="n"/>
      <c r="L792" s="1351" t="n"/>
      <c r="M792" s="1351" t="n"/>
      <c r="N792" s="1351" t="n"/>
      <c r="O792" s="1351" t="n"/>
      <c r="P792" s="1349" t="n"/>
    </row>
    <row r="793" customFormat="1" s="324">
      <c r="A793" s="1349" t="n"/>
      <c r="B793" s="1501" t="n"/>
      <c r="C793" s="1439" t="n"/>
      <c r="D793" s="1439" t="n"/>
      <c r="E793" s="1439" t="n"/>
      <c r="F793" s="1439" t="n"/>
      <c r="G793" s="1440" t="n"/>
      <c r="H793" s="1391" t="n"/>
      <c r="I793" s="1351" t="n"/>
      <c r="J793" s="1351" t="n"/>
      <c r="K793" s="1351" t="n"/>
      <c r="L793" s="1351" t="n"/>
      <c r="M793" s="1351" t="n"/>
      <c r="N793" s="1351" t="n"/>
      <c r="O793" s="1351" t="n"/>
      <c r="P793" s="1349" t="n"/>
    </row>
    <row r="794" customFormat="1" s="324">
      <c r="A794" s="1349" t="n"/>
      <c r="B794" s="1501" t="n"/>
      <c r="C794" s="1439" t="n"/>
      <c r="D794" s="1439" t="n"/>
      <c r="E794" s="1439" t="n"/>
      <c r="F794" s="1439" t="n"/>
      <c r="G794" s="1440" t="n"/>
      <c r="H794" s="1391" t="n"/>
      <c r="I794" s="1351" t="n"/>
      <c r="J794" s="1351" t="n"/>
      <c r="K794" s="1351" t="n"/>
      <c r="L794" s="1351" t="n"/>
      <c r="M794" s="1351" t="n"/>
      <c r="N794" s="1351" t="n"/>
      <c r="O794" s="1351" t="n"/>
      <c r="P794" s="1349" t="n"/>
    </row>
    <row r="795" customFormat="1" s="324">
      <c r="A795" s="1349" t="n"/>
      <c r="B795" s="1501" t="n"/>
      <c r="C795" s="1439" t="n"/>
      <c r="D795" s="1439" t="n"/>
      <c r="E795" s="1439" t="n"/>
      <c r="F795" s="1439" t="n"/>
      <c r="G795" s="1440" t="n"/>
      <c r="H795" s="1391" t="n"/>
      <c r="I795" s="1351" t="n"/>
      <c r="J795" s="1351" t="n"/>
      <c r="K795" s="1351" t="n"/>
      <c r="L795" s="1351" t="n"/>
      <c r="M795" s="1351" t="n"/>
      <c r="N795" s="1351" t="n"/>
      <c r="O795" s="1351" t="n"/>
      <c r="P795" s="1349" t="n"/>
    </row>
    <row r="796" customFormat="1" s="324">
      <c r="A796" s="1349" t="n"/>
      <c r="B796" s="1501" t="n"/>
      <c r="C796" s="1439" t="n"/>
      <c r="D796" s="1439" t="n"/>
      <c r="E796" s="1439" t="n"/>
      <c r="F796" s="1439" t="n"/>
      <c r="G796" s="1440" t="n"/>
      <c r="H796" s="1391" t="n"/>
      <c r="I796" s="1351" t="n"/>
      <c r="J796" s="1351" t="n"/>
      <c r="K796" s="1351" t="n"/>
      <c r="L796" s="1351" t="n"/>
      <c r="M796" s="1351" t="n"/>
      <c r="N796" s="1351" t="n"/>
      <c r="O796" s="1351" t="n"/>
      <c r="P796" s="1349" t="n"/>
    </row>
    <row r="797" customFormat="1" s="324">
      <c r="A797" s="1349" t="n"/>
      <c r="B797" s="1501" t="n"/>
      <c r="C797" s="1439" t="n"/>
      <c r="D797" s="1439" t="n"/>
      <c r="E797" s="1439" t="n"/>
      <c r="F797" s="1439" t="n"/>
      <c r="G797" s="1440" t="n"/>
      <c r="H797" s="1391" t="n"/>
      <c r="I797" s="1351" t="n"/>
      <c r="J797" s="1351" t="n"/>
      <c r="K797" s="1351" t="n"/>
      <c r="L797" s="1351" t="n"/>
      <c r="M797" s="1351" t="n"/>
      <c r="N797" s="1351" t="n"/>
      <c r="O797" s="1351" t="n"/>
      <c r="P797" s="1349" t="n"/>
    </row>
    <row r="798" customFormat="1" s="324">
      <c r="A798" s="1349" t="n"/>
      <c r="B798" s="1501" t="n"/>
      <c r="C798" s="1439" t="n"/>
      <c r="D798" s="1439" t="n"/>
      <c r="E798" s="1439" t="n"/>
      <c r="F798" s="1439" t="n"/>
      <c r="G798" s="1440" t="n"/>
      <c r="H798" s="1391" t="n"/>
      <c r="I798" s="1351" t="n"/>
      <c r="J798" s="1351" t="n"/>
      <c r="K798" s="1351" t="n"/>
      <c r="L798" s="1351" t="n"/>
      <c r="M798" s="1351" t="n"/>
      <c r="N798" s="1351" t="n"/>
      <c r="O798" s="1351" t="n"/>
      <c r="P798" s="1349" t="n"/>
    </row>
    <row r="799" customFormat="1" s="324">
      <c r="A799" s="1349" t="n"/>
      <c r="B799" s="1501" t="n"/>
      <c r="C799" s="1439" t="n"/>
      <c r="D799" s="1439" t="n"/>
      <c r="E799" s="1439" t="n"/>
      <c r="F799" s="1439" t="n"/>
      <c r="G799" s="1440" t="n"/>
      <c r="H799" s="1391" t="n"/>
      <c r="I799" s="1351" t="n"/>
      <c r="J799" s="1351" t="n"/>
      <c r="K799" s="1351" t="n"/>
      <c r="L799" s="1351" t="n"/>
      <c r="M799" s="1351" t="n"/>
      <c r="N799" s="1351" t="n"/>
      <c r="O799" s="1351" t="n"/>
      <c r="P799" s="1349" t="n"/>
    </row>
    <row r="800" customFormat="1" s="324">
      <c r="A800" s="1349" t="n"/>
      <c r="B800" s="1501" t="n"/>
      <c r="C800" s="1439" t="n"/>
      <c r="D800" s="1439" t="n"/>
      <c r="E800" s="1439" t="n"/>
      <c r="F800" s="1439" t="n"/>
      <c r="G800" s="1440" t="n"/>
      <c r="H800" s="1391" t="n"/>
      <c r="I800" s="1351" t="n"/>
      <c r="J800" s="1351" t="n"/>
      <c r="K800" s="1351" t="n"/>
      <c r="L800" s="1351" t="n"/>
      <c r="M800" s="1351" t="n"/>
      <c r="N800" s="1351" t="n"/>
      <c r="O800" s="1351" t="n"/>
      <c r="P800" s="1349" t="n"/>
    </row>
    <row r="801" customFormat="1" s="324">
      <c r="A801" s="1349" t="n"/>
      <c r="B801" s="1501" t="n"/>
      <c r="C801" s="1439" t="n"/>
      <c r="D801" s="1439" t="n"/>
      <c r="E801" s="1439" t="n"/>
      <c r="F801" s="1439" t="n"/>
      <c r="G801" s="1440" t="n"/>
      <c r="H801" s="1391" t="n"/>
      <c r="I801" s="1351" t="n"/>
      <c r="J801" s="1351" t="n"/>
      <c r="K801" s="1351" t="n"/>
      <c r="L801" s="1351" t="n"/>
      <c r="M801" s="1351" t="n"/>
      <c r="N801" s="1351" t="n"/>
      <c r="O801" s="1351" t="n"/>
      <c r="P801" s="1349" t="n"/>
    </row>
    <row r="802" customFormat="1" s="324">
      <c r="A802" s="1349" t="n"/>
      <c r="B802" s="1501" t="n"/>
      <c r="C802" s="1439" t="n"/>
      <c r="D802" s="1439" t="n"/>
      <c r="E802" s="1439" t="n"/>
      <c r="F802" s="1439" t="n"/>
      <c r="G802" s="1440" t="n"/>
      <c r="H802" s="1391" t="n"/>
      <c r="I802" s="1351" t="n"/>
      <c r="J802" s="1351" t="n"/>
      <c r="K802" s="1351" t="n"/>
      <c r="L802" s="1351" t="n"/>
      <c r="M802" s="1351" t="n"/>
      <c r="N802" s="1351" t="n"/>
      <c r="O802" s="1351" t="n"/>
      <c r="P802" s="1349" t="n"/>
    </row>
    <row r="803" customFormat="1" s="324">
      <c r="A803" s="1349" t="n"/>
      <c r="B803" s="1501" t="n"/>
      <c r="C803" s="1439" t="n"/>
      <c r="D803" s="1439" t="n"/>
      <c r="E803" s="1439" t="n"/>
      <c r="F803" s="1439" t="n"/>
      <c r="G803" s="1440" t="n"/>
      <c r="H803" s="1391" t="n"/>
      <c r="I803" s="1351" t="n"/>
      <c r="J803" s="1351" t="n"/>
      <c r="K803" s="1351" t="n"/>
      <c r="L803" s="1351" t="n"/>
      <c r="M803" s="1351" t="n"/>
      <c r="N803" s="1351" t="n"/>
      <c r="O803" s="1351" t="n"/>
      <c r="P803" s="1349" t="n"/>
    </row>
    <row r="804" customFormat="1" s="324">
      <c r="A804" s="1349" t="n"/>
      <c r="B804" s="1501" t="n"/>
      <c r="C804" s="1439" t="n"/>
      <c r="D804" s="1439" t="n"/>
      <c r="E804" s="1439" t="n"/>
      <c r="F804" s="1439" t="n"/>
      <c r="G804" s="1440" t="n"/>
      <c r="H804" s="1391" t="n"/>
      <c r="I804" s="1351" t="n"/>
      <c r="J804" s="1351" t="n"/>
      <c r="K804" s="1351" t="n"/>
      <c r="L804" s="1351" t="n"/>
      <c r="M804" s="1351" t="n"/>
      <c r="N804" s="1351" t="n"/>
      <c r="O804" s="1351" t="n"/>
      <c r="P804" s="1349" t="n"/>
    </row>
    <row r="805" customFormat="1" s="324">
      <c r="A805" s="1349" t="n"/>
      <c r="B805" s="1501" t="n"/>
      <c r="C805" s="1439" t="n"/>
      <c r="D805" s="1439" t="n"/>
      <c r="E805" s="1439" t="n"/>
      <c r="F805" s="1439" t="n"/>
      <c r="G805" s="1440" t="n"/>
      <c r="H805" s="1391" t="n"/>
      <c r="I805" s="1351" t="n"/>
      <c r="J805" s="1351" t="n"/>
      <c r="K805" s="1351" t="n"/>
      <c r="L805" s="1351" t="n"/>
      <c r="M805" s="1351" t="n"/>
      <c r="N805" s="1351" t="n"/>
      <c r="O805" s="1351" t="n"/>
      <c r="P805" s="1349" t="n"/>
    </row>
    <row r="806" customFormat="1" s="324">
      <c r="A806" s="1349" t="n"/>
      <c r="B806" s="1501" t="n"/>
      <c r="C806" s="1439" t="n"/>
      <c r="D806" s="1439" t="n"/>
      <c r="E806" s="1439" t="n"/>
      <c r="F806" s="1439" t="n"/>
      <c r="G806" s="1440" t="n"/>
      <c r="H806" s="1391" t="n"/>
      <c r="I806" s="1351" t="n"/>
      <c r="J806" s="1351" t="n"/>
      <c r="K806" s="1351" t="n"/>
      <c r="L806" s="1351" t="n"/>
      <c r="M806" s="1351" t="n"/>
      <c r="N806" s="1351" t="n"/>
      <c r="O806" s="1351" t="n"/>
      <c r="P806" s="1349" t="n"/>
    </row>
    <row r="807" customFormat="1" s="324">
      <c r="A807" s="1349" t="n"/>
      <c r="B807" s="1501" t="n"/>
      <c r="C807" s="1439" t="n"/>
      <c r="D807" s="1439" t="n"/>
      <c r="E807" s="1439" t="n"/>
      <c r="F807" s="1439" t="n"/>
      <c r="G807" s="1440" t="n"/>
      <c r="H807" s="1391" t="n"/>
      <c r="I807" s="1351" t="n"/>
      <c r="J807" s="1351" t="n"/>
      <c r="K807" s="1351" t="n"/>
      <c r="L807" s="1351" t="n"/>
      <c r="M807" s="1351" t="n"/>
      <c r="N807" s="1351" t="n"/>
      <c r="O807" s="1351" t="n"/>
      <c r="P807" s="1349" t="n"/>
    </row>
    <row r="808" customFormat="1" s="324">
      <c r="A808" s="1349" t="n"/>
      <c r="B808" s="1501" t="n"/>
      <c r="C808" s="1439" t="n"/>
      <c r="D808" s="1439" t="n"/>
      <c r="E808" s="1439" t="n"/>
      <c r="F808" s="1439" t="n"/>
      <c r="G808" s="1440" t="n"/>
      <c r="H808" s="1391" t="n"/>
      <c r="I808" s="1351" t="n"/>
      <c r="J808" s="1351" t="n"/>
      <c r="K808" s="1351" t="n"/>
      <c r="L808" s="1351" t="n"/>
      <c r="M808" s="1351" t="n"/>
      <c r="N808" s="1351" t="n"/>
      <c r="O808" s="1351" t="n"/>
      <c r="P808" s="1349" t="n"/>
    </row>
    <row r="809" customFormat="1" s="324">
      <c r="A809" s="1349" t="n"/>
      <c r="B809" s="1501" t="n"/>
      <c r="C809" s="1439" t="n"/>
      <c r="D809" s="1439" t="n"/>
      <c r="E809" s="1439" t="n"/>
      <c r="F809" s="1439" t="n"/>
      <c r="G809" s="1440" t="n"/>
      <c r="H809" s="1391" t="n"/>
      <c r="I809" s="1351" t="n"/>
      <c r="J809" s="1351" t="n"/>
      <c r="K809" s="1351" t="n"/>
      <c r="L809" s="1351" t="n"/>
      <c r="M809" s="1351" t="n"/>
      <c r="N809" s="1351" t="n"/>
      <c r="O809" s="1351" t="n"/>
      <c r="P809" s="1349" t="n"/>
    </row>
    <row r="810" ht="24.75" customFormat="1" customHeight="1" s="324">
      <c r="A810" s="1349" t="n"/>
      <c r="B810" s="1501" t="n"/>
      <c r="C810" s="1439" t="n"/>
      <c r="D810" s="1439" t="n"/>
      <c r="E810" s="1439" t="n"/>
      <c r="F810" s="1439" t="n"/>
      <c r="G810" s="1440" t="n"/>
      <c r="H810" s="1391" t="n"/>
      <c r="I810" s="1351" t="n"/>
      <c r="J810" s="1351" t="n"/>
      <c r="K810" s="1351" t="n"/>
      <c r="L810" s="1351" t="n"/>
      <c r="M810" s="1351" t="n"/>
      <c r="N810" s="1351" t="n"/>
      <c r="O810" s="1351" t="n"/>
      <c r="P810" s="1349" t="n"/>
    </row>
    <row r="811" customFormat="1" s="324">
      <c r="A811" s="1349" t="n"/>
      <c r="B811" s="1501" t="n"/>
      <c r="C811" s="1439" t="n"/>
      <c r="D811" s="1439" t="n"/>
      <c r="E811" s="1439" t="n"/>
      <c r="F811" s="1439" t="n"/>
      <c r="G811" s="1440" t="n"/>
      <c r="H811" s="1391" t="n"/>
      <c r="I811" s="1351" t="n"/>
      <c r="J811" s="1351" t="n"/>
      <c r="K811" s="1351" t="n"/>
      <c r="L811" s="1351" t="n"/>
      <c r="M811" s="1351" t="n"/>
      <c r="N811" s="1351" t="n"/>
      <c r="O811" s="1351" t="n"/>
      <c r="P811" s="1349" t="n"/>
    </row>
    <row r="812" customFormat="1" s="324">
      <c r="A812" s="1349" t="n"/>
      <c r="B812" s="1501" t="n"/>
      <c r="C812" s="1439" t="n"/>
      <c r="D812" s="1439" t="n"/>
      <c r="E812" s="1439" t="n"/>
      <c r="F812" s="1439" t="n"/>
      <c r="G812" s="1440" t="n"/>
      <c r="H812" s="1391" t="n"/>
      <c r="I812" s="1351" t="n"/>
      <c r="J812" s="1351" t="n"/>
      <c r="K812" s="1351" t="n"/>
      <c r="L812" s="1351" t="n"/>
      <c r="M812" s="1351" t="n"/>
      <c r="N812" s="1351" t="n"/>
      <c r="O812" s="1351" t="n"/>
      <c r="P812" s="1349" t="n"/>
    </row>
    <row r="813" customFormat="1" s="324">
      <c r="A813" s="1349" t="n"/>
      <c r="B813" s="1501" t="n"/>
      <c r="C813" s="1439" t="n"/>
      <c r="D813" s="1439" t="n"/>
      <c r="E813" s="1439" t="n"/>
      <c r="F813" s="1439" t="n"/>
      <c r="G813" s="1440" t="n"/>
      <c r="H813" s="1391" t="n"/>
      <c r="I813" s="1351" t="n"/>
      <c r="J813" s="1351" t="n"/>
      <c r="K813" s="1351" t="n"/>
      <c r="L813" s="1351" t="n"/>
      <c r="M813" s="1351" t="n"/>
      <c r="N813" s="1351" t="n"/>
      <c r="O813" s="1351" t="n"/>
      <c r="P813" s="1349" t="n"/>
    </row>
    <row r="814" customFormat="1" s="324">
      <c r="A814" s="1349" t="n"/>
      <c r="B814" s="1501" t="n"/>
      <c r="C814" s="1439" t="n"/>
      <c r="D814" s="1439" t="n"/>
      <c r="E814" s="1439" t="n"/>
      <c r="F814" s="1439" t="n"/>
      <c r="G814" s="1440" t="n"/>
      <c r="H814" s="1391" t="n"/>
      <c r="I814" s="1351" t="n"/>
      <c r="J814" s="1351" t="n"/>
      <c r="K814" s="1351" t="n"/>
      <c r="L814" s="1351" t="n"/>
      <c r="M814" s="1351" t="n"/>
      <c r="N814" s="1351" t="n"/>
      <c r="O814" s="1351" t="n"/>
      <c r="P814" s="1349" t="n"/>
    </row>
    <row r="815" customFormat="1" s="324">
      <c r="A815" s="1349" t="n"/>
      <c r="B815" s="1501" t="n"/>
      <c r="C815" s="1439" t="n"/>
      <c r="D815" s="1439" t="n"/>
      <c r="E815" s="1439" t="n"/>
      <c r="F815" s="1439" t="n"/>
      <c r="G815" s="1440" t="n"/>
      <c r="H815" s="1391" t="n"/>
      <c r="I815" s="1351" t="n"/>
      <c r="J815" s="1351" t="n"/>
      <c r="K815" s="1351" t="n"/>
      <c r="L815" s="1351" t="n"/>
      <c r="M815" s="1351" t="n"/>
      <c r="N815" s="1351" t="n"/>
      <c r="O815" s="1351" t="n"/>
      <c r="P815" s="1349" t="n"/>
    </row>
    <row r="816" customFormat="1" s="324">
      <c r="A816" s="1349" t="n"/>
      <c r="B816" s="1501" t="n"/>
      <c r="C816" s="1439" t="n"/>
      <c r="D816" s="1439" t="n"/>
      <c r="E816" s="1439" t="n"/>
      <c r="F816" s="1439" t="n"/>
      <c r="G816" s="1440" t="n"/>
      <c r="H816" s="1391" t="n"/>
      <c r="I816" s="1351" t="n"/>
      <c r="J816" s="1351" t="n"/>
      <c r="K816" s="1351" t="n"/>
      <c r="L816" s="1351" t="n"/>
      <c r="M816" s="1351" t="n"/>
      <c r="N816" s="1351" t="n"/>
      <c r="O816" s="1351" t="n"/>
      <c r="P816" s="1349" t="n"/>
    </row>
    <row r="817" customFormat="1" s="324">
      <c r="A817" s="1349" t="n"/>
      <c r="B817" s="1501" t="n"/>
      <c r="C817" s="1439" t="n"/>
      <c r="D817" s="1439" t="n"/>
      <c r="E817" s="1439" t="n"/>
      <c r="F817" s="1439" t="n"/>
      <c r="G817" s="1440" t="n"/>
      <c r="H817" s="1391" t="n"/>
      <c r="I817" s="1351" t="n"/>
      <c r="J817" s="1351" t="n"/>
      <c r="K817" s="1351" t="n"/>
      <c r="L817" s="1351" t="n"/>
      <c r="M817" s="1351" t="n"/>
      <c r="N817" s="1351" t="n"/>
      <c r="O817" s="1351" t="n"/>
      <c r="P817" s="1349" t="n"/>
    </row>
    <row r="818" ht="15.75" customFormat="1" customHeight="1" s="324">
      <c r="A818" s="1349" t="n"/>
      <c r="B818" s="1501" t="n"/>
      <c r="C818" s="1439" t="n"/>
      <c r="D818" s="1439" t="n"/>
      <c r="E818" s="1439" t="n"/>
      <c r="F818" s="1439" t="n"/>
      <c r="G818" s="1440" t="n"/>
      <c r="H818" s="1567" t="n"/>
      <c r="I818" s="1351" t="n"/>
      <c r="J818" s="1351" t="n"/>
      <c r="K818" s="1351" t="n"/>
      <c r="L818" s="1351" t="n"/>
      <c r="M818" s="1351" t="n"/>
      <c r="N818" s="1351" t="n"/>
      <c r="O818" s="1351" t="n"/>
      <c r="P818" s="1349" t="n"/>
    </row>
    <row r="819" customFormat="1" s="324">
      <c r="A819" s="1349" t="n"/>
      <c r="B819" s="1501" t="n"/>
      <c r="C819" s="1439" t="n"/>
      <c r="D819" s="1439" t="n"/>
      <c r="E819" s="1439" t="n"/>
      <c r="F819" s="1439" t="n"/>
      <c r="G819" s="1440" t="n"/>
      <c r="H819" s="1567" t="n"/>
      <c r="I819" s="1351" t="n"/>
      <c r="J819" s="1351" t="n"/>
      <c r="K819" s="1351" t="n"/>
      <c r="L819" s="1351" t="n"/>
      <c r="M819" s="1351" t="n"/>
      <c r="N819" s="1351" t="n"/>
      <c r="O819" s="1351" t="n"/>
      <c r="P819" s="1349" t="n"/>
    </row>
    <row r="820">
      <c r="A820" s="1389" t="n"/>
      <c r="B820" s="1349" t="n"/>
      <c r="C820" s="1351" t="n"/>
      <c r="D820" s="1351" t="n"/>
      <c r="E820" s="1351" t="n"/>
      <c r="F820" s="1351" t="n"/>
      <c r="G820" s="1351" t="n"/>
      <c r="H820" s="1351" t="n"/>
      <c r="I820" s="1351" t="n"/>
      <c r="J820" s="1351" t="n"/>
      <c r="K820" s="1351" t="n"/>
      <c r="L820" s="1351" t="n"/>
      <c r="M820" s="1351" t="n"/>
      <c r="N820" s="1351" t="n"/>
      <c r="O820" s="1351" t="n"/>
      <c r="P820" s="1349" t="n"/>
    </row>
    <row r="821">
      <c r="A821" s="1389" t="n"/>
      <c r="B821" s="1349" t="n"/>
      <c r="C821" s="1351" t="n"/>
      <c r="D821" s="1351" t="n"/>
      <c r="E821" s="1351" t="n"/>
      <c r="F821" s="1351" t="n"/>
      <c r="G821" s="1351" t="n"/>
      <c r="H821" s="1351" t="n"/>
      <c r="I821" s="1351" t="n"/>
      <c r="J821" s="1351" t="n"/>
      <c r="K821" s="1351" t="n"/>
      <c r="L821" s="1351" t="n"/>
      <c r="M821" s="1351" t="n"/>
      <c r="N821" s="1351" t="n"/>
      <c r="O821" s="1351" t="n"/>
      <c r="P821" s="1349" t="n"/>
    </row>
    <row r="822" ht="14.25" customFormat="1" customHeight="1" s="324">
      <c r="A822" s="1349" t="n"/>
      <c r="B822" s="1501" t="n"/>
      <c r="C822" s="1439" t="n"/>
      <c r="D822" s="1439" t="n"/>
      <c r="E822" s="1439" t="n"/>
      <c r="F822" s="1439" t="n"/>
      <c r="G822" s="1440" t="n"/>
      <c r="H822" s="1391" t="n"/>
      <c r="I822" s="1351" t="n"/>
      <c r="J822" s="1351" t="n"/>
      <c r="K822" s="1351" t="n"/>
      <c r="L822" s="1351" t="n"/>
      <c r="M822" s="1351" t="n"/>
      <c r="N822" s="1351" t="n"/>
      <c r="O822" s="1351" t="n"/>
      <c r="P822" s="1349" t="n"/>
    </row>
    <row r="823" customFormat="1" s="324">
      <c r="A823" s="1349" t="n"/>
      <c r="B823" s="1501" t="n"/>
      <c r="C823" s="1439" t="n"/>
      <c r="D823" s="1439" t="n"/>
      <c r="E823" s="1439" t="n"/>
      <c r="F823" s="1439" t="n"/>
      <c r="G823" s="1440" t="n"/>
      <c r="H823" s="1391" t="n"/>
      <c r="I823" s="1351" t="n"/>
      <c r="J823" s="1351" t="n"/>
      <c r="K823" s="1351" t="n"/>
      <c r="L823" s="1351" t="n"/>
      <c r="M823" s="1351" t="n"/>
      <c r="N823" s="1351" t="n"/>
      <c r="O823" s="1351" t="n"/>
      <c r="P823" s="1349" t="n"/>
    </row>
    <row r="824" customFormat="1" s="324">
      <c r="A824" s="1349" t="n"/>
      <c r="B824" s="1501" t="n"/>
      <c r="C824" s="1439" t="n"/>
      <c r="D824" s="1439" t="n"/>
      <c r="E824" s="1439" t="n"/>
      <c r="F824" s="1439" t="n"/>
      <c r="G824" s="1440" t="n"/>
      <c r="H824" s="1391" t="n"/>
      <c r="I824" s="1351" t="n"/>
      <c r="J824" s="1351" t="n"/>
      <c r="K824" s="1351" t="n"/>
      <c r="L824" s="1351" t="n"/>
      <c r="M824" s="1351" t="n"/>
      <c r="N824" s="1351" t="n"/>
      <c r="O824" s="1351" t="n"/>
      <c r="P824" s="1349" t="n"/>
    </row>
    <row r="825" customFormat="1" s="324">
      <c r="A825" s="1349" t="n"/>
      <c r="B825" s="1501" t="n"/>
      <c r="C825" s="1439" t="n"/>
      <c r="D825" s="1439" t="n"/>
      <c r="E825" s="1439" t="n"/>
      <c r="F825" s="1439" t="n"/>
      <c r="G825" s="1440" t="n"/>
      <c r="H825" s="1391" t="n"/>
      <c r="I825" s="1351" t="n"/>
      <c r="J825" s="1351" t="n"/>
      <c r="K825" s="1351" t="n"/>
      <c r="L825" s="1351" t="n"/>
      <c r="M825" s="1351" t="n"/>
      <c r="N825" s="1351" t="n"/>
      <c r="O825" s="1351" t="n"/>
      <c r="P825" s="1349" t="n"/>
    </row>
    <row r="826" customFormat="1" s="324">
      <c r="A826" s="1349" t="n"/>
      <c r="B826" s="1501" t="n"/>
      <c r="C826" s="1439" t="n"/>
      <c r="D826" s="1439" t="n"/>
      <c r="E826" s="1439" t="n"/>
      <c r="F826" s="1439" t="n"/>
      <c r="G826" s="1440" t="n"/>
      <c r="H826" s="1391" t="n"/>
      <c r="I826" s="1351" t="n"/>
      <c r="J826" s="1351" t="n"/>
      <c r="K826" s="1351" t="n"/>
      <c r="L826" s="1351" t="n"/>
      <c r="M826" s="1351" t="n"/>
      <c r="N826" s="1351" t="n"/>
      <c r="O826" s="1351" t="n"/>
      <c r="P826" s="1349" t="n"/>
    </row>
    <row r="827" customFormat="1" s="324">
      <c r="A827" s="1349" t="n"/>
      <c r="B827" s="1501" t="n"/>
      <c r="C827" s="1439" t="n"/>
      <c r="D827" s="1439" t="n"/>
      <c r="E827" s="1439" t="n"/>
      <c r="F827" s="1439" t="n"/>
      <c r="G827" s="1440" t="n"/>
      <c r="H827" s="1391" t="n"/>
      <c r="I827" s="1351" t="n"/>
      <c r="J827" s="1351" t="n"/>
      <c r="K827" s="1351" t="n"/>
      <c r="L827" s="1351" t="n"/>
      <c r="M827" s="1351" t="n"/>
      <c r="N827" s="1351" t="n"/>
      <c r="O827" s="1351" t="n"/>
      <c r="P827" s="1349" t="n"/>
    </row>
    <row r="828" customFormat="1" s="324">
      <c r="A828" s="1349" t="n"/>
      <c r="B828" s="1501" t="n"/>
      <c r="C828" s="1439" t="n"/>
      <c r="D828" s="1439" t="n"/>
      <c r="E828" s="1439" t="n"/>
      <c r="F828" s="1439" t="n"/>
      <c r="G828" s="1440" t="n"/>
      <c r="H828" s="1391" t="n"/>
      <c r="I828" s="1351" t="n"/>
      <c r="J828" s="1351" t="n"/>
      <c r="K828" s="1351" t="n"/>
      <c r="L828" s="1351" t="n"/>
      <c r="M828" s="1351" t="n"/>
      <c r="N828" s="1351" t="n"/>
      <c r="O828" s="1351" t="n"/>
      <c r="P828" s="1349" t="n"/>
    </row>
    <row r="829" customFormat="1" s="324">
      <c r="A829" s="1349" t="n"/>
      <c r="B829" s="1501" t="n"/>
      <c r="C829" s="1439" t="n"/>
      <c r="D829" s="1439" t="n"/>
      <c r="E829" s="1439" t="n"/>
      <c r="F829" s="1439" t="n"/>
      <c r="G829" s="1440" t="n"/>
      <c r="H829" s="1391" t="n"/>
      <c r="I829" s="1351" t="n"/>
      <c r="J829" s="1351" t="n"/>
      <c r="K829" s="1351" t="n"/>
      <c r="L829" s="1351" t="n"/>
      <c r="M829" s="1351" t="n"/>
      <c r="N829" s="1351" t="n"/>
      <c r="O829" s="1351" t="n"/>
      <c r="P829" s="1349" t="n"/>
    </row>
    <row r="830" customFormat="1" s="324">
      <c r="A830" s="1349" t="n"/>
      <c r="B830" s="1501" t="n"/>
      <c r="C830" s="1439" t="n"/>
      <c r="D830" s="1439" t="n"/>
      <c r="E830" s="1439" t="n"/>
      <c r="F830" s="1439" t="n"/>
      <c r="G830" s="1440" t="n"/>
      <c r="H830" s="1391" t="n"/>
      <c r="I830" s="1351" t="n"/>
      <c r="J830" s="1351" t="n"/>
      <c r="K830" s="1351" t="n"/>
      <c r="L830" s="1351" t="n"/>
      <c r="M830" s="1351" t="n"/>
      <c r="N830" s="1351" t="n"/>
      <c r="O830" s="1351" t="n"/>
      <c r="P830" s="1349" t="n"/>
    </row>
    <row r="831" customFormat="1" s="324">
      <c r="A831" s="1349" t="n"/>
      <c r="B831" s="1501" t="n"/>
      <c r="C831" s="1439" t="n"/>
      <c r="D831" s="1439" t="n"/>
      <c r="E831" s="1439" t="n"/>
      <c r="F831" s="1439" t="n"/>
      <c r="G831" s="1440" t="n"/>
      <c r="H831" s="1391" t="n"/>
      <c r="I831" s="1351" t="n"/>
      <c r="J831" s="1351" t="n"/>
      <c r="K831" s="1351" t="n"/>
      <c r="L831" s="1351" t="n"/>
      <c r="M831" s="1351" t="n"/>
      <c r="N831" s="1351" t="n"/>
      <c r="O831" s="1351" t="n"/>
      <c r="P831" s="1349" t="n"/>
    </row>
    <row r="832" customFormat="1" s="324">
      <c r="A832" s="1349" t="n"/>
      <c r="B832" s="1501" t="n"/>
      <c r="C832" s="1439" t="n"/>
      <c r="D832" s="1439" t="n"/>
      <c r="E832" s="1439" t="n"/>
      <c r="F832" s="1439" t="n"/>
      <c r="G832" s="1440" t="n"/>
      <c r="H832" s="1391" t="n"/>
      <c r="I832" s="1351" t="n"/>
      <c r="J832" s="1351" t="n"/>
      <c r="K832" s="1351" t="n"/>
      <c r="L832" s="1351" t="n"/>
      <c r="M832" s="1351" t="n"/>
      <c r="N832" s="1351" t="n"/>
      <c r="O832" s="1351" t="n"/>
      <c r="P832" s="1349" t="n"/>
    </row>
    <row r="833" customFormat="1" s="324">
      <c r="A833" s="1349" t="n"/>
      <c r="B833" s="1501" t="n"/>
      <c r="C833" s="1439" t="n"/>
      <c r="D833" s="1439" t="n"/>
      <c r="E833" s="1439" t="n"/>
      <c r="F833" s="1439" t="n"/>
      <c r="G833" s="1440" t="n"/>
      <c r="H833" s="1391" t="n"/>
      <c r="I833" s="1351" t="n"/>
      <c r="J833" s="1351" t="n"/>
      <c r="K833" s="1351" t="n"/>
      <c r="L833" s="1351" t="n"/>
      <c r="M833" s="1351" t="n"/>
      <c r="N833" s="1351" t="n"/>
      <c r="O833" s="1351" t="n"/>
      <c r="P833" s="1349" t="n"/>
    </row>
    <row r="834" customFormat="1" s="324">
      <c r="A834" s="1349" t="n"/>
      <c r="B834" s="1501" t="n"/>
      <c r="C834" s="1439" t="n"/>
      <c r="D834" s="1439" t="n"/>
      <c r="E834" s="1439" t="n"/>
      <c r="F834" s="1439" t="n"/>
      <c r="G834" s="1440" t="n"/>
      <c r="H834" s="1391" t="n"/>
      <c r="I834" s="1351" t="n"/>
      <c r="J834" s="1351" t="n"/>
      <c r="K834" s="1351" t="n"/>
      <c r="L834" s="1351" t="n"/>
      <c r="M834" s="1351" t="n"/>
      <c r="N834" s="1351" t="n"/>
      <c r="O834" s="1351" t="n"/>
      <c r="P834" s="1349" t="n"/>
    </row>
    <row r="835" customFormat="1" s="324">
      <c r="A835" s="1349" t="n"/>
      <c r="B835" s="1501" t="n"/>
      <c r="C835" s="1439" t="n"/>
      <c r="D835" s="1439" t="n"/>
      <c r="E835" s="1439" t="n"/>
      <c r="F835" s="1439" t="n"/>
      <c r="G835" s="1440" t="n"/>
      <c r="H835" s="1391" t="n"/>
      <c r="I835" s="1351" t="n"/>
      <c r="J835" s="1351" t="n"/>
      <c r="K835" s="1351" t="n"/>
      <c r="L835" s="1351" t="n"/>
      <c r="M835" s="1351" t="n"/>
      <c r="N835" s="1351" t="n"/>
      <c r="O835" s="1351" t="n"/>
      <c r="P835" s="1349" t="n"/>
    </row>
    <row r="836" customFormat="1" s="324">
      <c r="A836" s="1349" t="n"/>
      <c r="B836" s="1501" t="n"/>
      <c r="C836" s="1439" t="n"/>
      <c r="D836" s="1439" t="n"/>
      <c r="E836" s="1439" t="n"/>
      <c r="F836" s="1439" t="n"/>
      <c r="G836" s="1440" t="n"/>
      <c r="H836" s="1391" t="n"/>
      <c r="I836" s="1351" t="n"/>
      <c r="J836" s="1351" t="n"/>
      <c r="K836" s="1351" t="n"/>
      <c r="L836" s="1351" t="n"/>
      <c r="M836" s="1351" t="n"/>
      <c r="N836" s="1351" t="n"/>
      <c r="O836" s="1351" t="n"/>
      <c r="P836" s="1349" t="n"/>
    </row>
    <row r="837" customFormat="1" s="324">
      <c r="A837" s="1349" t="n"/>
      <c r="B837" s="1501" t="n"/>
      <c r="C837" s="1439" t="n"/>
      <c r="D837" s="1439" t="n"/>
      <c r="E837" s="1439" t="n"/>
      <c r="F837" s="1439" t="n"/>
      <c r="G837" s="1440" t="n"/>
      <c r="H837" s="1391" t="n"/>
      <c r="I837" s="1351" t="n"/>
      <c r="J837" s="1351" t="n"/>
      <c r="K837" s="1351" t="n"/>
      <c r="L837" s="1351" t="n"/>
      <c r="M837" s="1351" t="n"/>
      <c r="N837" s="1351" t="n"/>
      <c r="O837" s="1351" t="n"/>
      <c r="P837" s="1349" t="n"/>
    </row>
    <row r="838" customFormat="1" s="324">
      <c r="A838" s="1349" t="n"/>
      <c r="B838" s="1501" t="n"/>
      <c r="C838" s="1439" t="n"/>
      <c r="D838" s="1439" t="n"/>
      <c r="E838" s="1439" t="n"/>
      <c r="F838" s="1439" t="n"/>
      <c r="G838" s="1440" t="n"/>
      <c r="H838" s="1391" t="n"/>
      <c r="I838" s="1351" t="n"/>
      <c r="J838" s="1351" t="n"/>
      <c r="K838" s="1351" t="n"/>
      <c r="L838" s="1351" t="n"/>
      <c r="M838" s="1351" t="n"/>
      <c r="N838" s="1351" t="n"/>
      <c r="O838" s="1351" t="n"/>
      <c r="P838" s="1349" t="n"/>
    </row>
    <row r="839" customFormat="1" s="324">
      <c r="A839" s="1349" t="n"/>
      <c r="B839" s="1501" t="n"/>
      <c r="C839" s="1439" t="n"/>
      <c r="D839" s="1439" t="n"/>
      <c r="E839" s="1439" t="n"/>
      <c r="F839" s="1439" t="n"/>
      <c r="G839" s="1440" t="n"/>
      <c r="H839" s="1391" t="n"/>
      <c r="I839" s="1351" t="n"/>
      <c r="J839" s="1351" t="n"/>
      <c r="K839" s="1351" t="n"/>
      <c r="L839" s="1351" t="n"/>
      <c r="M839" s="1351" t="n"/>
      <c r="N839" s="1351" t="n"/>
      <c r="O839" s="1351" t="n"/>
      <c r="P839" s="1349" t="n"/>
    </row>
    <row r="840" customFormat="1" s="324">
      <c r="A840" s="1349" t="n"/>
      <c r="B840" s="1501" t="n"/>
      <c r="C840" s="1439" t="n"/>
      <c r="D840" s="1439" t="n"/>
      <c r="E840" s="1439" t="n"/>
      <c r="F840" s="1439" t="n"/>
      <c r="G840" s="1440" t="n"/>
      <c r="H840" s="1391" t="n"/>
      <c r="I840" s="1351" t="n"/>
      <c r="J840" s="1351" t="n"/>
      <c r="K840" s="1351" t="n"/>
      <c r="L840" s="1351" t="n"/>
      <c r="M840" s="1351" t="n"/>
      <c r="N840" s="1351" t="n"/>
      <c r="O840" s="1351" t="n"/>
      <c r="P840" s="1349" t="n"/>
    </row>
    <row r="841" customFormat="1" s="324">
      <c r="A841" s="1349" t="n"/>
      <c r="B841" s="1501" t="n"/>
      <c r="C841" s="1439" t="n"/>
      <c r="D841" s="1439" t="n"/>
      <c r="E841" s="1439" t="n"/>
      <c r="F841" s="1439" t="n"/>
      <c r="G841" s="1440" t="n"/>
      <c r="H841" s="1391" t="n"/>
      <c r="I841" s="1351" t="n"/>
      <c r="J841" s="1351" t="n"/>
      <c r="K841" s="1351" t="n"/>
      <c r="L841" s="1351" t="n"/>
      <c r="M841" s="1351" t="n"/>
      <c r="N841" s="1351" t="n"/>
      <c r="O841" s="1351" t="n"/>
      <c r="P841" s="1349" t="n"/>
    </row>
    <row r="842" customFormat="1" s="324">
      <c r="A842" s="1349" t="n"/>
      <c r="B842" s="1501" t="n"/>
      <c r="C842" s="1439" t="n"/>
      <c r="D842" s="1439" t="n"/>
      <c r="E842" s="1439" t="n"/>
      <c r="F842" s="1439" t="n"/>
      <c r="G842" s="1440" t="n"/>
      <c r="H842" s="1391" t="n"/>
      <c r="I842" s="1351" t="n"/>
      <c r="J842" s="1351" t="n"/>
      <c r="K842" s="1351" t="n"/>
      <c r="L842" s="1351" t="n"/>
      <c r="M842" s="1351" t="n"/>
      <c r="N842" s="1351" t="n"/>
      <c r="O842" s="1351" t="n"/>
      <c r="P842" s="1349" t="n"/>
    </row>
    <row r="843" customFormat="1" s="324">
      <c r="A843" s="1349" t="n"/>
      <c r="B843" s="1501" t="n"/>
      <c r="C843" s="1439" t="n"/>
      <c r="D843" s="1439" t="n"/>
      <c r="E843" s="1439" t="n"/>
      <c r="F843" s="1439" t="n"/>
      <c r="G843" s="1440" t="n"/>
      <c r="H843" s="1391" t="n"/>
      <c r="I843" s="1351" t="n"/>
      <c r="J843" s="1351" t="n"/>
      <c r="K843" s="1351" t="n"/>
      <c r="L843" s="1351" t="n"/>
      <c r="M843" s="1351" t="n"/>
      <c r="N843" s="1351" t="n"/>
      <c r="O843" s="1351" t="n"/>
      <c r="P843" s="1349" t="n"/>
    </row>
    <row r="844">
      <c r="A844" s="1389" t="n"/>
      <c r="B844" s="1349" t="n"/>
      <c r="C844" s="1351" t="n"/>
      <c r="D844" s="1351" t="n"/>
      <c r="E844" s="1351" t="n"/>
      <c r="F844" s="1351" t="n"/>
      <c r="G844" s="1351" t="n"/>
      <c r="H844" s="1351" t="n"/>
      <c r="I844" s="1351" t="n"/>
      <c r="J844" s="1351" t="n"/>
      <c r="K844" s="1351" t="n"/>
      <c r="L844" s="1351" t="n"/>
      <c r="M844" s="1351" t="n"/>
      <c r="N844" s="1351" t="n"/>
      <c r="O844" s="1351" t="n"/>
      <c r="P844" s="1349" t="n"/>
    </row>
    <row r="845">
      <c r="A845" s="1389" t="n"/>
      <c r="B845" s="1349" t="n"/>
      <c r="C845" s="1351" t="n"/>
      <c r="D845" s="1351" t="n"/>
      <c r="E845" s="1351" t="n"/>
      <c r="F845" s="1351" t="n"/>
      <c r="G845" s="1351" t="n"/>
      <c r="H845" s="1351" t="n"/>
      <c r="I845" s="1351" t="n"/>
      <c r="J845" s="1351" t="n"/>
      <c r="K845" s="1351" t="n"/>
      <c r="L845" s="1351" t="n"/>
      <c r="M845" s="1351" t="n"/>
      <c r="N845" s="1351" t="n"/>
      <c r="O845" s="1351" t="n"/>
      <c r="P845" s="1349" t="n"/>
    </row>
    <row r="846" customFormat="1" s="324">
      <c r="A846" s="1349" t="n"/>
      <c r="B846" s="1501" t="n"/>
      <c r="C846" s="1439" t="n"/>
      <c r="D846" s="1439" t="n"/>
      <c r="E846" s="1439" t="n"/>
      <c r="F846" s="1439" t="n"/>
      <c r="G846" s="1440" t="n"/>
      <c r="H846" s="1391" t="n"/>
      <c r="I846" s="1351" t="n"/>
      <c r="J846" s="1351" t="n"/>
      <c r="K846" s="1351" t="n"/>
      <c r="L846" s="1351" t="n"/>
      <c r="M846" s="1351" t="n"/>
      <c r="N846" s="1351" t="n"/>
      <c r="O846" s="1351" t="n"/>
      <c r="P846" s="1349" t="n"/>
    </row>
    <row r="847" customFormat="1" s="324">
      <c r="A847" s="1349" t="n"/>
      <c r="B847" s="1501" t="n"/>
      <c r="C847" s="1439" t="n"/>
      <c r="D847" s="1439" t="n"/>
      <c r="E847" s="1439" t="n"/>
      <c r="F847" s="1439" t="n"/>
      <c r="G847" s="1440" t="n"/>
      <c r="H847" s="1391" t="n"/>
      <c r="I847" s="1351" t="n"/>
      <c r="J847" s="1351" t="n"/>
      <c r="K847" s="1351" t="n"/>
      <c r="L847" s="1351" t="n"/>
      <c r="M847" s="1351" t="n"/>
      <c r="N847" s="1351" t="n"/>
      <c r="O847" s="1351" t="n"/>
      <c r="P847" s="1349" t="n"/>
    </row>
    <row r="848" customFormat="1" s="324">
      <c r="A848" s="1349" t="n"/>
      <c r="B848" s="1501" t="n"/>
      <c r="C848" s="1439" t="n"/>
      <c r="D848" s="1439" t="n"/>
      <c r="E848" s="1439" t="n"/>
      <c r="F848" s="1439" t="n"/>
      <c r="G848" s="1440" t="n"/>
      <c r="H848" s="1570" t="n"/>
      <c r="I848" s="1351" t="n"/>
      <c r="J848" s="1351" t="n"/>
      <c r="K848" s="1351" t="n"/>
      <c r="L848" s="1351" t="n"/>
      <c r="M848" s="1351" t="n"/>
      <c r="N848" s="1351" t="n"/>
      <c r="O848" s="1351" t="n"/>
      <c r="P848" s="1349" t="n"/>
    </row>
    <row r="849" customFormat="1" s="324">
      <c r="A849" s="1349" t="n"/>
      <c r="B849" s="1501" t="n"/>
      <c r="C849" s="1439" t="n"/>
      <c r="D849" s="1439" t="n"/>
      <c r="E849" s="1439" t="n"/>
      <c r="F849" s="1439" t="n"/>
      <c r="G849" s="1440" t="n"/>
      <c r="H849" s="1391" t="n"/>
      <c r="I849" s="1351" t="n"/>
      <c r="J849" s="1351" t="n"/>
      <c r="K849" s="1351" t="n"/>
      <c r="L849" s="1351" t="n"/>
      <c r="M849" s="1351" t="n"/>
      <c r="N849" s="1351" t="n"/>
      <c r="O849" s="1351" t="n"/>
      <c r="P849" s="1349" t="n"/>
    </row>
    <row r="850" ht="14.25" customFormat="1" customHeight="1" s="324">
      <c r="A850" s="1349" t="n"/>
      <c r="B850" s="1501" t="n"/>
      <c r="C850" s="1439" t="n"/>
      <c r="D850" s="1439" t="n"/>
      <c r="E850" s="1439" t="n"/>
      <c r="F850" s="1439" t="n"/>
      <c r="G850" s="1440" t="n"/>
      <c r="H850" s="1391" t="n"/>
      <c r="I850" s="1351" t="n"/>
      <c r="J850" s="1351" t="n"/>
      <c r="K850" s="1351" t="n"/>
      <c r="L850" s="1351" t="n"/>
      <c r="M850" s="1351" t="n"/>
      <c r="N850" s="1351" t="n"/>
      <c r="O850" s="1351" t="n"/>
      <c r="P850" s="1349" t="n"/>
    </row>
    <row r="851" customFormat="1" s="324">
      <c r="A851" s="1349" t="n"/>
      <c r="B851" s="1501" t="n"/>
      <c r="C851" s="1439" t="n"/>
      <c r="D851" s="1439" t="n"/>
      <c r="E851" s="1439" t="n"/>
      <c r="F851" s="1439" t="n"/>
      <c r="G851" s="1440" t="n"/>
      <c r="H851" s="1391" t="n"/>
      <c r="I851" s="1351" t="n"/>
      <c r="J851" s="1351" t="n"/>
      <c r="K851" s="1351" t="n"/>
      <c r="L851" s="1351" t="n"/>
      <c r="M851" s="1351" t="n"/>
      <c r="N851" s="1351" t="n"/>
      <c r="O851" s="1351" t="n"/>
      <c r="P851" s="1349" t="n"/>
    </row>
    <row r="852" customFormat="1" s="324">
      <c r="A852" s="1349" t="n"/>
      <c r="B852" s="1501" t="n"/>
      <c r="C852" s="1439" t="n"/>
      <c r="D852" s="1439" t="n"/>
      <c r="E852" s="1439" t="n"/>
      <c r="F852" s="1439" t="n"/>
      <c r="G852" s="1440" t="n"/>
      <c r="H852" s="1391" t="n"/>
      <c r="I852" s="1351" t="n"/>
      <c r="J852" s="1351" t="n"/>
      <c r="K852" s="1351" t="n"/>
      <c r="L852" s="1351" t="n"/>
      <c r="M852" s="1351" t="n"/>
      <c r="N852" s="1351" t="n"/>
      <c r="O852" s="1351" t="n"/>
      <c r="P852" s="1349" t="n"/>
    </row>
    <row r="853" customFormat="1" s="324">
      <c r="A853" s="1349" t="n"/>
      <c r="B853" s="1501" t="n"/>
      <c r="C853" s="1439" t="n"/>
      <c r="D853" s="1439" t="n"/>
      <c r="E853" s="1439" t="n"/>
      <c r="F853" s="1439" t="n"/>
      <c r="G853" s="1440" t="n"/>
      <c r="H853" s="1391" t="n"/>
      <c r="I853" s="1351" t="n"/>
      <c r="J853" s="1351" t="n"/>
      <c r="K853" s="1351" t="n"/>
      <c r="L853" s="1351" t="n"/>
      <c r="M853" s="1351" t="n"/>
      <c r="N853" s="1351" t="n"/>
      <c r="O853" s="1351" t="n"/>
      <c r="P853" s="1349" t="n"/>
    </row>
    <row r="854" customFormat="1" s="324">
      <c r="A854" s="1349" t="n"/>
      <c r="B854" s="1501" t="n"/>
      <c r="C854" s="1439" t="n"/>
      <c r="D854" s="1439" t="n"/>
      <c r="E854" s="1439" t="n"/>
      <c r="F854" s="1439" t="n"/>
      <c r="G854" s="1440" t="n"/>
      <c r="H854" s="1391" t="n"/>
      <c r="I854" s="1351" t="n"/>
      <c r="J854" s="1351" t="n"/>
      <c r="K854" s="1351" t="n"/>
      <c r="L854" s="1351" t="n"/>
      <c r="M854" s="1351" t="n"/>
      <c r="N854" s="1351" t="n"/>
      <c r="O854" s="1351" t="n"/>
      <c r="P854" s="1349" t="n"/>
    </row>
    <row r="855" customFormat="1" s="324">
      <c r="A855" s="1349" t="n"/>
      <c r="B855" s="1501" t="n"/>
      <c r="C855" s="1439" t="n"/>
      <c r="D855" s="1439" t="n"/>
      <c r="E855" s="1439" t="n"/>
      <c r="F855" s="1439" t="n"/>
      <c r="G855" s="1440" t="n"/>
      <c r="H855" s="1391" t="n"/>
      <c r="I855" s="1351" t="n"/>
      <c r="J855" s="1351" t="n"/>
      <c r="K855" s="1351" t="n"/>
      <c r="L855" s="1351" t="n"/>
      <c r="M855" s="1351" t="n"/>
      <c r="N855" s="1351" t="n"/>
      <c r="O855" s="1351" t="n"/>
      <c r="P855" s="1349" t="n"/>
    </row>
    <row r="856" customFormat="1" s="324">
      <c r="A856" s="1349" t="n"/>
      <c r="B856" s="1501" t="n"/>
      <c r="C856" s="1439" t="n"/>
      <c r="D856" s="1439" t="n"/>
      <c r="E856" s="1439" t="n"/>
      <c r="F856" s="1439" t="n"/>
      <c r="G856" s="1440" t="n"/>
      <c r="H856" s="1391" t="n"/>
      <c r="I856" s="1351" t="n"/>
      <c r="J856" s="1351" t="n"/>
      <c r="K856" s="1351" t="n"/>
      <c r="L856" s="1351" t="n"/>
      <c r="M856" s="1351" t="n"/>
      <c r="N856" s="1351" t="n"/>
      <c r="O856" s="1351" t="n"/>
      <c r="P856" s="1349" t="n"/>
    </row>
    <row r="857" customFormat="1" s="324">
      <c r="A857" s="1349" t="n"/>
      <c r="B857" s="1501" t="n"/>
      <c r="C857" s="1439" t="n"/>
      <c r="D857" s="1439" t="n"/>
      <c r="E857" s="1439" t="n"/>
      <c r="F857" s="1439" t="n"/>
      <c r="G857" s="1440" t="n"/>
      <c r="H857" s="1391" t="n"/>
      <c r="I857" s="1351" t="n"/>
      <c r="J857" s="1351" t="n"/>
      <c r="K857" s="1351" t="n"/>
      <c r="L857" s="1351" t="n"/>
      <c r="M857" s="1351" t="n"/>
      <c r="N857" s="1351" t="n"/>
      <c r="O857" s="1351" t="n"/>
      <c r="P857" s="1349" t="n"/>
    </row>
    <row r="858" customFormat="1" s="324">
      <c r="A858" s="1349" t="n"/>
      <c r="B858" s="1501" t="n"/>
      <c r="C858" s="1439" t="n"/>
      <c r="D858" s="1439" t="n"/>
      <c r="E858" s="1439" t="n"/>
      <c r="F858" s="1439" t="n"/>
      <c r="G858" s="1440" t="n"/>
      <c r="H858" s="1391" t="n"/>
      <c r="I858" s="1351" t="n"/>
      <c r="J858" s="1351" t="n"/>
      <c r="K858" s="1351" t="n"/>
      <c r="L858" s="1351" t="n"/>
      <c r="M858" s="1351" t="n"/>
      <c r="N858" s="1351" t="n"/>
      <c r="O858" s="1351" t="n"/>
      <c r="P858" s="1349" t="n"/>
    </row>
    <row r="859" customFormat="1" s="324">
      <c r="A859" s="1349" t="n"/>
      <c r="B859" s="1501" t="n"/>
      <c r="C859" s="1439" t="n"/>
      <c r="D859" s="1439" t="n"/>
      <c r="E859" s="1439" t="n"/>
      <c r="F859" s="1439" t="n"/>
      <c r="G859" s="1440" t="n"/>
      <c r="H859" s="1391" t="n"/>
      <c r="I859" s="1351" t="n"/>
      <c r="J859" s="1351" t="n"/>
      <c r="K859" s="1351" t="n"/>
      <c r="L859" s="1351" t="n"/>
      <c r="M859" s="1351" t="n"/>
      <c r="N859" s="1351" t="n"/>
      <c r="O859" s="1351" t="n"/>
      <c r="P859" s="1349" t="n"/>
    </row>
    <row r="860" customFormat="1" s="324">
      <c r="A860" s="1349" t="n"/>
      <c r="B860" s="1501" t="n"/>
      <c r="C860" s="1439" t="n"/>
      <c r="D860" s="1439" t="n"/>
      <c r="E860" s="1439" t="n"/>
      <c r="F860" s="1439" t="n"/>
      <c r="G860" s="1440" t="n"/>
      <c r="H860" s="1391" t="n"/>
      <c r="I860" s="1351" t="n"/>
      <c r="J860" s="1351" t="n"/>
      <c r="K860" s="1351" t="n"/>
      <c r="L860" s="1351" t="n"/>
      <c r="M860" s="1351" t="n"/>
      <c r="N860" s="1351" t="n"/>
      <c r="O860" s="1351" t="n"/>
      <c r="P860" s="1349" t="n"/>
    </row>
    <row r="861" customFormat="1" s="324">
      <c r="A861" s="1349" t="n"/>
      <c r="B861" s="1501" t="n"/>
      <c r="C861" s="1439" t="n"/>
      <c r="D861" s="1439" t="n"/>
      <c r="E861" s="1439" t="n"/>
      <c r="F861" s="1439" t="n"/>
      <c r="G861" s="1440" t="n"/>
      <c r="H861" s="1391" t="n"/>
      <c r="I861" s="1351" t="n"/>
      <c r="J861" s="1351" t="n"/>
      <c r="K861" s="1351" t="n"/>
      <c r="L861" s="1351" t="n"/>
      <c r="M861" s="1351" t="n"/>
      <c r="N861" s="1351" t="n"/>
      <c r="O861" s="1351" t="n"/>
      <c r="P861" s="1349" t="n"/>
    </row>
    <row r="862" customFormat="1" s="324">
      <c r="A862" s="1349" t="n"/>
      <c r="B862" s="1501" t="n"/>
      <c r="C862" s="1439" t="n"/>
      <c r="D862" s="1439" t="n"/>
      <c r="E862" s="1439" t="n"/>
      <c r="F862" s="1439" t="n"/>
      <c r="G862" s="1440" t="n"/>
      <c r="H862" s="1391" t="n"/>
      <c r="I862" s="1351" t="n"/>
      <c r="J862" s="1351" t="n"/>
      <c r="K862" s="1351" t="n"/>
      <c r="L862" s="1351" t="n"/>
      <c r="M862" s="1351" t="n"/>
      <c r="N862" s="1351" t="n"/>
      <c r="O862" s="1351" t="n"/>
      <c r="P862" s="1349" t="n"/>
    </row>
    <row r="863" customFormat="1" s="324">
      <c r="A863" s="1349" t="n"/>
      <c r="B863" s="1501" t="n"/>
      <c r="C863" s="1439" t="n"/>
      <c r="D863" s="1439" t="n"/>
      <c r="E863" s="1439" t="n"/>
      <c r="F863" s="1439" t="n"/>
      <c r="G863" s="1440" t="n"/>
      <c r="H863" s="1391" t="n"/>
      <c r="I863" s="1351" t="n"/>
      <c r="J863" s="1351" t="n"/>
      <c r="K863" s="1351" t="n"/>
      <c r="L863" s="1351" t="n"/>
      <c r="M863" s="1351" t="n"/>
      <c r="N863" s="1351" t="n"/>
      <c r="O863" s="1351" t="n"/>
      <c r="P863" s="1349" t="n"/>
    </row>
    <row r="864" customFormat="1" s="324">
      <c r="A864" s="1349" t="n"/>
      <c r="B864" s="1501" t="n"/>
      <c r="C864" s="1439" t="n"/>
      <c r="D864" s="1439" t="n"/>
      <c r="E864" s="1439" t="n"/>
      <c r="F864" s="1439" t="n"/>
      <c r="G864" s="1440" t="n"/>
      <c r="H864" s="1391" t="n"/>
      <c r="I864" s="1351" t="n"/>
      <c r="J864" s="1351" t="n"/>
      <c r="K864" s="1351" t="n"/>
      <c r="L864" s="1351" t="n"/>
      <c r="M864" s="1351" t="n"/>
      <c r="N864" s="1351" t="n"/>
      <c r="O864" s="1351" t="n"/>
      <c r="P864" s="1349" t="n"/>
    </row>
    <row r="865" customFormat="1" s="324">
      <c r="A865" s="1349" t="n"/>
      <c r="B865" s="1501" t="n"/>
      <c r="C865" s="1439" t="n"/>
      <c r="D865" s="1439" t="n"/>
      <c r="E865" s="1439" t="n"/>
      <c r="F865" s="1439" t="n"/>
      <c r="G865" s="1440" t="n"/>
      <c r="H865" s="1391" t="n"/>
      <c r="I865" s="1351" t="n"/>
      <c r="J865" s="1351" t="n"/>
      <c r="K865" s="1351" t="n"/>
      <c r="L865" s="1351" t="n"/>
      <c r="M865" s="1351" t="n"/>
      <c r="N865" s="1351" t="n"/>
      <c r="O865" s="1351" t="n"/>
      <c r="P865" s="1349" t="n"/>
    </row>
    <row r="866" customFormat="1" s="324">
      <c r="A866" s="1349" t="n"/>
      <c r="B866" s="1501" t="n"/>
      <c r="C866" s="1439" t="n"/>
      <c r="D866" s="1439" t="n"/>
      <c r="E866" s="1439" t="n"/>
      <c r="F866" s="1439" t="n"/>
      <c r="G866" s="1440" t="n"/>
      <c r="H866" s="1391" t="n"/>
      <c r="I866" s="1351" t="n"/>
      <c r="J866" s="1351" t="n"/>
      <c r="K866" s="1351" t="n"/>
      <c r="L866" s="1351" t="n"/>
      <c r="M866" s="1351" t="n"/>
      <c r="N866" s="1351" t="n"/>
      <c r="O866" s="1351" t="n"/>
      <c r="P866" s="1349" t="n"/>
    </row>
    <row r="867" customFormat="1" s="324">
      <c r="A867" s="1349" t="n"/>
      <c r="B867" s="1501" t="n"/>
      <c r="C867" s="1439" t="n"/>
      <c r="D867" s="1439" t="n"/>
      <c r="E867" s="1439" t="n"/>
      <c r="F867" s="1439" t="n"/>
      <c r="G867" s="1440" t="n"/>
      <c r="H867" s="1391" t="n"/>
      <c r="I867" s="1351" t="n"/>
      <c r="J867" s="1351" t="n"/>
      <c r="K867" s="1351" t="n"/>
      <c r="L867" s="1351" t="n"/>
      <c r="M867" s="1351" t="n"/>
      <c r="N867" s="1351" t="n"/>
      <c r="O867" s="1351" t="n"/>
      <c r="P867" s="1349" t="n"/>
    </row>
    <row r="868" customFormat="1" s="324">
      <c r="A868" s="1349" t="n"/>
      <c r="B868" s="1501" t="n"/>
      <c r="C868" s="1439" t="n"/>
      <c r="D868" s="1439" t="n"/>
      <c r="E868" s="1439" t="n"/>
      <c r="F868" s="1439" t="n"/>
      <c r="G868" s="1440" t="n"/>
      <c r="H868" s="1391" t="n"/>
      <c r="I868" s="1351" t="n"/>
      <c r="J868" s="1351" t="n"/>
      <c r="K868" s="1351" t="n"/>
      <c r="L868" s="1351" t="n"/>
      <c r="M868" s="1351" t="n"/>
      <c r="N868" s="1351" t="n"/>
      <c r="O868" s="1351" t="n"/>
      <c r="P868" s="1349" t="n"/>
    </row>
    <row r="869" customFormat="1" s="324">
      <c r="A869" s="1349" t="n"/>
      <c r="B869" s="1501" t="n"/>
      <c r="C869" s="1439" t="n"/>
      <c r="D869" s="1439" t="n"/>
      <c r="E869" s="1439" t="n"/>
      <c r="F869" s="1439" t="n"/>
      <c r="G869" s="1440" t="n"/>
      <c r="H869" s="1571" t="n"/>
      <c r="I869" s="1351" t="n"/>
      <c r="J869" s="1351" t="n"/>
      <c r="K869" s="1351" t="n"/>
      <c r="L869" s="1351" t="n"/>
      <c r="M869" s="1351" t="n"/>
      <c r="N869" s="1351" t="n"/>
      <c r="O869" s="1351" t="n"/>
      <c r="P869" s="1349" t="n"/>
    </row>
    <row r="870" customFormat="1" s="324">
      <c r="A870" s="1349" t="n"/>
      <c r="B870" s="1501" t="n"/>
      <c r="C870" s="1439" t="n"/>
      <c r="D870" s="1439" t="n"/>
      <c r="E870" s="1439" t="n"/>
      <c r="F870" s="1439" t="n"/>
      <c r="G870" s="1440" t="n"/>
      <c r="H870" s="1571" t="n"/>
      <c r="I870" s="1351" t="n"/>
      <c r="J870" s="1351" t="n"/>
      <c r="K870" s="1351" t="n"/>
      <c r="L870" s="1351" t="n"/>
      <c r="M870" s="1351" t="n"/>
      <c r="N870" s="1351" t="n"/>
      <c r="O870" s="1351" t="n"/>
      <c r="P870" s="1349" t="n"/>
    </row>
    <row r="871" customFormat="1" s="324">
      <c r="A871" s="1349" t="n"/>
      <c r="B871" s="1501" t="n"/>
      <c r="C871" s="1439" t="n"/>
      <c r="D871" s="1439" t="n"/>
      <c r="E871" s="1439" t="n"/>
      <c r="F871" s="1439" t="n"/>
      <c r="G871" s="1440" t="n"/>
      <c r="H871" s="1567" t="n"/>
      <c r="I871" s="1351" t="n"/>
      <c r="J871" s="1351" t="n"/>
      <c r="K871" s="1351" t="n"/>
      <c r="L871" s="1351" t="n"/>
      <c r="M871" s="1351" t="n"/>
      <c r="N871" s="1351" t="n"/>
      <c r="O871" s="1351" t="n"/>
      <c r="P871" s="1349" t="n"/>
    </row>
    <row r="872" customFormat="1" s="324">
      <c r="A872" s="1349" t="n"/>
      <c r="B872" s="1501" t="n"/>
      <c r="C872" s="1439" t="n"/>
      <c r="D872" s="1439" t="n"/>
      <c r="E872" s="1439" t="n"/>
      <c r="F872" s="1439" t="n"/>
      <c r="G872" s="1440" t="n"/>
      <c r="H872" s="1567" t="n"/>
      <c r="I872" s="1351" t="n"/>
      <c r="J872" s="1351" t="n"/>
      <c r="K872" s="1351" t="n"/>
      <c r="L872" s="1351" t="n"/>
      <c r="M872" s="1351" t="n"/>
      <c r="N872" s="1351" t="n"/>
      <c r="O872" s="1351" t="n"/>
      <c r="P872" s="1349" t="n"/>
    </row>
    <row r="873">
      <c r="A873" s="1389" t="n"/>
      <c r="B873" s="1349" t="n"/>
      <c r="C873" s="1351" t="n"/>
      <c r="D873" s="1351" t="n"/>
      <c r="E873" s="1351" t="n"/>
      <c r="F873" s="1351" t="n"/>
      <c r="G873" s="1351" t="n"/>
      <c r="H873" s="1351" t="n"/>
      <c r="I873" s="1351" t="n"/>
      <c r="J873" s="1351" t="n"/>
      <c r="K873" s="1351" t="n"/>
      <c r="L873" s="1351" t="n"/>
      <c r="M873" s="1351" t="n"/>
      <c r="N873" s="1351" t="n"/>
      <c r="O873" s="1351" t="n"/>
      <c r="P873" s="1349" t="n"/>
    </row>
    <row r="874">
      <c r="A874" s="1389" t="n"/>
      <c r="B874" s="1349" t="n"/>
      <c r="C874" s="1351" t="n"/>
      <c r="D874" s="1351" t="n"/>
      <c r="E874" s="1351" t="n"/>
      <c r="F874" s="1351" t="n"/>
      <c r="G874" s="1351" t="n"/>
      <c r="H874" s="1351" t="n"/>
      <c r="I874" s="1351" t="n"/>
      <c r="J874" s="1351" t="n"/>
      <c r="K874" s="1351" t="n"/>
      <c r="L874" s="1351" t="n"/>
      <c r="M874" s="1351" t="n"/>
      <c r="N874" s="1351" t="n"/>
      <c r="O874" s="1351" t="n"/>
      <c r="P874" s="1349" t="n"/>
    </row>
    <row r="875" customFormat="1" s="324">
      <c r="A875" s="1349" t="n"/>
      <c r="B875" s="1501" t="n"/>
      <c r="C875" s="1439" t="n"/>
      <c r="D875" s="1439" t="n"/>
      <c r="E875" s="1439" t="n"/>
      <c r="F875" s="1439" t="n"/>
      <c r="G875" s="1440" t="n"/>
      <c r="H875" s="1567" t="n"/>
      <c r="I875" s="1351" t="n"/>
      <c r="J875" s="1351" t="n"/>
      <c r="K875" s="1351" t="n"/>
      <c r="L875" s="1351" t="n"/>
      <c r="M875" s="1351" t="n"/>
      <c r="N875" s="1351" t="n"/>
      <c r="O875" s="1351" t="n"/>
      <c r="P875" s="1349" t="n"/>
    </row>
    <row r="876" customFormat="1" s="324">
      <c r="A876" s="1349" t="n"/>
      <c r="B876" s="1501" t="n"/>
      <c r="C876" s="1439" t="n"/>
      <c r="D876" s="1439" t="n"/>
      <c r="E876" s="1439" t="n"/>
      <c r="F876" s="1439" t="n"/>
      <c r="G876" s="1440" t="n"/>
      <c r="H876" s="1567" t="n"/>
      <c r="I876" s="1351" t="n"/>
      <c r="J876" s="1351" t="n"/>
      <c r="K876" s="1351" t="n"/>
      <c r="L876" s="1351" t="n"/>
      <c r="M876" s="1351" t="n"/>
      <c r="N876" s="1351" t="n"/>
      <c r="O876" s="1351" t="n"/>
      <c r="P876" s="1349" t="n"/>
    </row>
    <row r="877" customFormat="1" s="324">
      <c r="A877" s="1349" t="n"/>
      <c r="B877" s="1501" t="n"/>
      <c r="C877" s="1439" t="n"/>
      <c r="D877" s="1439" t="n"/>
      <c r="E877" s="1439" t="n"/>
      <c r="F877" s="1439" t="n"/>
      <c r="G877" s="1440" t="n"/>
      <c r="H877" s="1567" t="n"/>
      <c r="I877" s="1351" t="n"/>
      <c r="J877" s="1351" t="n"/>
      <c r="K877" s="1351" t="n"/>
      <c r="L877" s="1351" t="n"/>
      <c r="M877" s="1351" t="n"/>
      <c r="N877" s="1351" t="n"/>
      <c r="O877" s="1351" t="n"/>
      <c r="P877" s="1349" t="n"/>
    </row>
    <row r="878" customFormat="1" s="324">
      <c r="A878" s="1349" t="n"/>
      <c r="B878" s="1501" t="n"/>
      <c r="C878" s="1439" t="n"/>
      <c r="D878" s="1439" t="n"/>
      <c r="E878" s="1439" t="n"/>
      <c r="F878" s="1439" t="n"/>
      <c r="G878" s="1440" t="n"/>
      <c r="H878" s="1567" t="n"/>
      <c r="I878" s="1351" t="n"/>
      <c r="J878" s="1351" t="n"/>
      <c r="K878" s="1351" t="n"/>
      <c r="L878" s="1351" t="n"/>
      <c r="M878" s="1351" t="n"/>
      <c r="N878" s="1351" t="n"/>
      <c r="O878" s="1351" t="n"/>
      <c r="P878" s="1349" t="n"/>
    </row>
    <row r="879" customFormat="1" s="324">
      <c r="A879" s="1349" t="n"/>
      <c r="B879" s="1501" t="n"/>
      <c r="C879" s="1439" t="n"/>
      <c r="D879" s="1439" t="n"/>
      <c r="E879" s="1439" t="n"/>
      <c r="F879" s="1439" t="n"/>
      <c r="G879" s="1440" t="n"/>
      <c r="H879" s="1567" t="n"/>
      <c r="I879" s="1351" t="n"/>
      <c r="J879" s="1351" t="n"/>
      <c r="K879" s="1351" t="n"/>
      <c r="L879" s="1351" t="n"/>
      <c r="M879" s="1351" t="n"/>
      <c r="N879" s="1351" t="n"/>
      <c r="O879" s="1351" t="n"/>
      <c r="P879" s="1349" t="n"/>
    </row>
    <row r="880" customFormat="1" s="324">
      <c r="A880" s="1349" t="n"/>
      <c r="B880" s="1501" t="n"/>
      <c r="C880" s="1439" t="n"/>
      <c r="D880" s="1439" t="n"/>
      <c r="E880" s="1439" t="n"/>
      <c r="F880" s="1439" t="n"/>
      <c r="G880" s="1440" t="n"/>
      <c r="H880" s="1567" t="n"/>
      <c r="I880" s="1351" t="n"/>
      <c r="J880" s="1351" t="n"/>
      <c r="K880" s="1351" t="n"/>
      <c r="L880" s="1351" t="n"/>
      <c r="M880" s="1351" t="n"/>
      <c r="N880" s="1351" t="n"/>
      <c r="O880" s="1351" t="n"/>
      <c r="P880" s="1349" t="n"/>
    </row>
    <row r="881" customFormat="1" s="324">
      <c r="A881" s="1349" t="n"/>
      <c r="B881" s="1501" t="n"/>
      <c r="C881" s="1439" t="n"/>
      <c r="D881" s="1439" t="n"/>
      <c r="E881" s="1439" t="n"/>
      <c r="F881" s="1439" t="n"/>
      <c r="G881" s="1440" t="n"/>
      <c r="H881" s="1567" t="n"/>
      <c r="I881" s="1351" t="n"/>
      <c r="J881" s="1351" t="n"/>
      <c r="K881" s="1351" t="n"/>
      <c r="L881" s="1351" t="n"/>
      <c r="M881" s="1351" t="n"/>
      <c r="N881" s="1351" t="n"/>
      <c r="O881" s="1351" t="n"/>
      <c r="P881" s="1349" t="n"/>
    </row>
    <row r="882" customFormat="1" s="324">
      <c r="A882" s="1349" t="n"/>
      <c r="B882" s="1501" t="n"/>
      <c r="C882" s="1439" t="n"/>
      <c r="D882" s="1439" t="n"/>
      <c r="E882" s="1439" t="n"/>
      <c r="F882" s="1439" t="n"/>
      <c r="G882" s="1440" t="n"/>
      <c r="H882" s="1567" t="n"/>
      <c r="I882" s="1351" t="n"/>
      <c r="J882" s="1351" t="n"/>
      <c r="K882" s="1351" t="n"/>
      <c r="L882" s="1351" t="n"/>
      <c r="M882" s="1351" t="n"/>
      <c r="N882" s="1351" t="n"/>
      <c r="O882" s="1351" t="n"/>
      <c r="P882" s="1349" t="n"/>
    </row>
    <row r="883" customFormat="1" s="324">
      <c r="A883" s="1349" t="n"/>
      <c r="B883" s="1501" t="n"/>
      <c r="C883" s="1439" t="n"/>
      <c r="D883" s="1439" t="n"/>
      <c r="E883" s="1439" t="n"/>
      <c r="F883" s="1439" t="n"/>
      <c r="G883" s="1440" t="n"/>
      <c r="H883" s="1567" t="n"/>
      <c r="I883" s="1351" t="n"/>
      <c r="J883" s="1351" t="n"/>
      <c r="K883" s="1351" t="n"/>
      <c r="L883" s="1351" t="n"/>
      <c r="M883" s="1351" t="n"/>
      <c r="N883" s="1351" t="n"/>
      <c r="O883" s="1351" t="n"/>
      <c r="P883" s="1349" t="n"/>
    </row>
    <row r="884" customFormat="1" s="324">
      <c r="A884" s="1349" t="n"/>
      <c r="B884" s="1501" t="n"/>
      <c r="C884" s="1439" t="n"/>
      <c r="D884" s="1439" t="n"/>
      <c r="E884" s="1439" t="n"/>
      <c r="F884" s="1439" t="n"/>
      <c r="G884" s="1440" t="n"/>
      <c r="H884" s="1567" t="n"/>
      <c r="I884" s="1351" t="n"/>
      <c r="J884" s="1351" t="n"/>
      <c r="K884" s="1351" t="n"/>
      <c r="L884" s="1351" t="n"/>
      <c r="M884" s="1351" t="n"/>
      <c r="N884" s="1351" t="n"/>
      <c r="O884" s="1351" t="n"/>
      <c r="P884" s="1349" t="n"/>
    </row>
    <row r="885" customFormat="1" s="324">
      <c r="A885" s="1349" t="n"/>
      <c r="B885" s="1501" t="n"/>
      <c r="C885" s="1439" t="n"/>
      <c r="D885" s="1439" t="n"/>
      <c r="E885" s="1439" t="n"/>
      <c r="F885" s="1439" t="n"/>
      <c r="G885" s="1440" t="n"/>
      <c r="H885" s="1567" t="n"/>
      <c r="I885" s="1351" t="n"/>
      <c r="J885" s="1351" t="n"/>
      <c r="K885" s="1351" t="n"/>
      <c r="L885" s="1351" t="n"/>
      <c r="M885" s="1351" t="n"/>
      <c r="N885" s="1351" t="n"/>
      <c r="O885" s="1351" t="n"/>
      <c r="P885" s="1349" t="n"/>
    </row>
    <row r="886" customFormat="1" s="324">
      <c r="A886" s="1349" t="n"/>
      <c r="B886" s="1501" t="n"/>
      <c r="C886" s="1439" t="n"/>
      <c r="D886" s="1439" t="n"/>
      <c r="E886" s="1439" t="n"/>
      <c r="F886" s="1439" t="n"/>
      <c r="G886" s="1440" t="n"/>
      <c r="H886" s="1567" t="n"/>
      <c r="I886" s="1351" t="n"/>
      <c r="J886" s="1351" t="n"/>
      <c r="K886" s="1351" t="n"/>
      <c r="L886" s="1351" t="n"/>
      <c r="M886" s="1351" t="n"/>
      <c r="N886" s="1351" t="n"/>
      <c r="O886" s="1351" t="n"/>
      <c r="P886" s="1349" t="n"/>
    </row>
    <row r="887" customFormat="1" s="324">
      <c r="A887" s="1349" t="n"/>
      <c r="B887" s="1501" t="n"/>
      <c r="C887" s="1439" t="n"/>
      <c r="D887" s="1439" t="n"/>
      <c r="E887" s="1439" t="n"/>
      <c r="F887" s="1439" t="n"/>
      <c r="G887" s="1440" t="n"/>
      <c r="H887" s="1567" t="n"/>
      <c r="I887" s="1351" t="n"/>
      <c r="J887" s="1351" t="n"/>
      <c r="K887" s="1351" t="n"/>
      <c r="L887" s="1351" t="n"/>
      <c r="M887" s="1351" t="n"/>
      <c r="N887" s="1351" t="n"/>
      <c r="O887" s="1351" t="n"/>
      <c r="P887" s="1349" t="n"/>
    </row>
    <row r="888" customFormat="1" s="324">
      <c r="A888" s="1349" t="n"/>
      <c r="B888" s="1501" t="n"/>
      <c r="C888" s="1439" t="n"/>
      <c r="D888" s="1439" t="n"/>
      <c r="E888" s="1439" t="n"/>
      <c r="F888" s="1439" t="n"/>
      <c r="G888" s="1440" t="n"/>
      <c r="H888" s="1567" t="n"/>
      <c r="I888" s="1351" t="n"/>
      <c r="J888" s="1351" t="n"/>
      <c r="K888" s="1351" t="n"/>
      <c r="L888" s="1351" t="n"/>
      <c r="M888" s="1351" t="n"/>
      <c r="N888" s="1351" t="n"/>
      <c r="O888" s="1351" t="n"/>
      <c r="P888" s="1349" t="n"/>
    </row>
    <row r="889" customFormat="1" s="324">
      <c r="A889" s="1349" t="n"/>
      <c r="B889" s="1501" t="n"/>
      <c r="C889" s="1439" t="n"/>
      <c r="D889" s="1439" t="n"/>
      <c r="E889" s="1439" t="n"/>
      <c r="F889" s="1439" t="n"/>
      <c r="G889" s="1440" t="n"/>
      <c r="H889" s="1567" t="n"/>
      <c r="I889" s="1351" t="n"/>
      <c r="J889" s="1351" t="n"/>
      <c r="K889" s="1351" t="n"/>
      <c r="L889" s="1351" t="n"/>
      <c r="M889" s="1351" t="n"/>
      <c r="N889" s="1351" t="n"/>
      <c r="O889" s="1351" t="n"/>
      <c r="P889" s="1349" t="n"/>
    </row>
    <row r="890" customFormat="1" s="324">
      <c r="A890" s="1349" t="n"/>
      <c r="B890" s="1501" t="n"/>
      <c r="C890" s="1439" t="n"/>
      <c r="D890" s="1439" t="n"/>
      <c r="E890" s="1439" t="n"/>
      <c r="F890" s="1439" t="n"/>
      <c r="G890" s="1440" t="n"/>
      <c r="H890" s="1567" t="n"/>
      <c r="I890" s="1351" t="n"/>
      <c r="J890" s="1351" t="n"/>
      <c r="K890" s="1351" t="n"/>
      <c r="L890" s="1351" t="n"/>
      <c r="M890" s="1351" t="n"/>
      <c r="N890" s="1351" t="n"/>
      <c r="O890" s="1351" t="n"/>
      <c r="P890" s="1349" t="n"/>
    </row>
    <row r="891" customFormat="1" s="324">
      <c r="A891" s="1349" t="n"/>
      <c r="B891" s="1501" t="n"/>
      <c r="C891" s="1439" t="n"/>
      <c r="D891" s="1439" t="n"/>
      <c r="E891" s="1439" t="n"/>
      <c r="F891" s="1439" t="n"/>
      <c r="G891" s="1440" t="n"/>
      <c r="H891" s="1567" t="n"/>
      <c r="I891" s="1351" t="n"/>
      <c r="J891" s="1351" t="n"/>
      <c r="K891" s="1351" t="n"/>
      <c r="L891" s="1351" t="n"/>
      <c r="M891" s="1351" t="n"/>
      <c r="N891" s="1351" t="n"/>
      <c r="O891" s="1351" t="n"/>
      <c r="P891" s="1349" t="n"/>
    </row>
    <row r="892" customFormat="1" s="324">
      <c r="A892" s="1349" t="n"/>
      <c r="B892" s="1501" t="n"/>
      <c r="C892" s="1439" t="n"/>
      <c r="D892" s="1439" t="n"/>
      <c r="E892" s="1439" t="n"/>
      <c r="F892" s="1439" t="n"/>
      <c r="G892" s="1440" t="n"/>
      <c r="H892" s="1567" t="n"/>
      <c r="I892" s="1351" t="n"/>
      <c r="J892" s="1351" t="n"/>
      <c r="K892" s="1351" t="n"/>
      <c r="L892" s="1351" t="n"/>
      <c r="M892" s="1351" t="n"/>
      <c r="N892" s="1351" t="n"/>
      <c r="O892" s="1351" t="n"/>
      <c r="P892" s="1349" t="n"/>
    </row>
    <row r="893" customFormat="1" s="324">
      <c r="A893" s="1349" t="n"/>
      <c r="B893" s="1501" t="n"/>
      <c r="C893" s="1439" t="n"/>
      <c r="D893" s="1439" t="n"/>
      <c r="E893" s="1439" t="n"/>
      <c r="F893" s="1439" t="n"/>
      <c r="G893" s="1440" t="n"/>
      <c r="H893" s="1567" t="n"/>
      <c r="I893" s="1351" t="n"/>
      <c r="J893" s="1351" t="n"/>
      <c r="K893" s="1351" t="n"/>
      <c r="L893" s="1351" t="n"/>
      <c r="M893" s="1351" t="n"/>
      <c r="N893" s="1351" t="n"/>
      <c r="O893" s="1351" t="n"/>
      <c r="P893" s="1349" t="n"/>
    </row>
    <row r="894" customFormat="1" s="324">
      <c r="A894" s="1349" t="n"/>
      <c r="B894" s="1501" t="n"/>
      <c r="C894" s="1439" t="n"/>
      <c r="D894" s="1439" t="n"/>
      <c r="E894" s="1439" t="n"/>
      <c r="F894" s="1439" t="n"/>
      <c r="G894" s="1440" t="n"/>
      <c r="H894" s="1567" t="n"/>
      <c r="I894" s="1351" t="n"/>
      <c r="J894" s="1351" t="n"/>
      <c r="K894" s="1351" t="n"/>
      <c r="L894" s="1351" t="n"/>
      <c r="M894" s="1351" t="n"/>
      <c r="N894" s="1351" t="n"/>
      <c r="O894" s="1351" t="n"/>
      <c r="P894" s="1349" t="n"/>
    </row>
    <row r="895" customFormat="1" s="324">
      <c r="A895" s="1349" t="n"/>
      <c r="B895" s="1501" t="n"/>
      <c r="C895" s="1439" t="n"/>
      <c r="D895" s="1439" t="n"/>
      <c r="E895" s="1439" t="n"/>
      <c r="F895" s="1439" t="n"/>
      <c r="G895" s="1440" t="n"/>
      <c r="H895" s="1567" t="n"/>
      <c r="I895" s="1351" t="n"/>
      <c r="J895" s="1351" t="n"/>
      <c r="K895" s="1351" t="n"/>
      <c r="L895" s="1351" t="n"/>
      <c r="M895" s="1351" t="n"/>
      <c r="N895" s="1351" t="n"/>
      <c r="O895" s="1351" t="n"/>
      <c r="P895" s="1349" t="n"/>
    </row>
    <row r="896" customFormat="1" s="324">
      <c r="A896" s="1349" t="n"/>
      <c r="B896" s="1501" t="n"/>
      <c r="C896" s="1439" t="n"/>
      <c r="D896" s="1439" t="n"/>
      <c r="E896" s="1439" t="n"/>
      <c r="F896" s="1439" t="n"/>
      <c r="G896" s="1440" t="n"/>
      <c r="H896" s="1567" t="n"/>
      <c r="I896" s="1351" t="n"/>
      <c r="J896" s="1351" t="n"/>
      <c r="K896" s="1351" t="n"/>
      <c r="L896" s="1351" t="n"/>
      <c r="M896" s="1351" t="n"/>
      <c r="N896" s="1351" t="n"/>
      <c r="O896" s="1351" t="n"/>
      <c r="P896" s="1349" t="n"/>
    </row>
    <row r="897" customFormat="1" s="324">
      <c r="A897" s="1349" t="n"/>
      <c r="B897" s="1501" t="n"/>
      <c r="C897" s="1439" t="n"/>
      <c r="D897" s="1439" t="n"/>
      <c r="E897" s="1439" t="n"/>
      <c r="F897" s="1439" t="n"/>
      <c r="G897" s="1440" t="n"/>
      <c r="H897" s="1567" t="n"/>
      <c r="I897" s="1351" t="n"/>
      <c r="J897" s="1351" t="n"/>
      <c r="K897" s="1351" t="n"/>
      <c r="L897" s="1351" t="n"/>
      <c r="M897" s="1351" t="n"/>
      <c r="N897" s="1351" t="n"/>
      <c r="O897" s="1351" t="n"/>
      <c r="P897" s="1349" t="n"/>
    </row>
    <row r="898" customFormat="1" s="324">
      <c r="A898" s="1349" t="n"/>
      <c r="B898" s="1501" t="n"/>
      <c r="C898" s="1439" t="n"/>
      <c r="D898" s="1439" t="n"/>
      <c r="E898" s="1439" t="n"/>
      <c r="F898" s="1439" t="n"/>
      <c r="G898" s="1440" t="n"/>
      <c r="H898" s="1567" t="n"/>
      <c r="I898" s="1351" t="n"/>
      <c r="J898" s="1351" t="n"/>
      <c r="K898" s="1351" t="n"/>
      <c r="L898" s="1351" t="n"/>
      <c r="M898" s="1351" t="n"/>
      <c r="N898" s="1351" t="n"/>
      <c r="O898" s="1351" t="n"/>
      <c r="P898" s="1349" t="n"/>
    </row>
    <row r="899" customFormat="1" s="324">
      <c r="A899" s="1349" t="n"/>
      <c r="B899" s="1501" t="n"/>
      <c r="C899" s="1439" t="n"/>
      <c r="D899" s="1439" t="n"/>
      <c r="E899" s="1439" t="n"/>
      <c r="F899" s="1439" t="n"/>
      <c r="G899" s="1440" t="n"/>
      <c r="H899" s="1567" t="n"/>
      <c r="I899" s="1351" t="n"/>
      <c r="J899" s="1351" t="n"/>
      <c r="K899" s="1351" t="n"/>
      <c r="L899" s="1351" t="n"/>
      <c r="M899" s="1351" t="n"/>
      <c r="N899" s="1351" t="n"/>
      <c r="O899" s="1351" t="n"/>
      <c r="P899" s="1349" t="n"/>
    </row>
    <row r="900" customFormat="1" s="324">
      <c r="A900" s="1349" t="n"/>
      <c r="B900" s="1501" t="n"/>
      <c r="C900" s="1439" t="n"/>
      <c r="D900" s="1439" t="n"/>
      <c r="E900" s="1439" t="n"/>
      <c r="F900" s="1439" t="n"/>
      <c r="G900" s="1440" t="n"/>
      <c r="H900" s="1567" t="n"/>
      <c r="I900" s="1351" t="n"/>
      <c r="J900" s="1351" t="n"/>
      <c r="K900" s="1351" t="n"/>
      <c r="L900" s="1351" t="n"/>
      <c r="M900" s="1351" t="n"/>
      <c r="N900" s="1351" t="n"/>
      <c r="O900" s="1351" t="n"/>
      <c r="P900" s="1349" t="n"/>
    </row>
    <row r="901" customFormat="1" s="324">
      <c r="A901" s="1349" t="n"/>
      <c r="B901" s="1501" t="n"/>
      <c r="C901" s="1439" t="n"/>
      <c r="D901" s="1439" t="n"/>
      <c r="E901" s="1439" t="n"/>
      <c r="F901" s="1439" t="n"/>
      <c r="G901" s="1440" t="n"/>
      <c r="H901" s="1567" t="n"/>
      <c r="I901" s="1351" t="n"/>
      <c r="J901" s="1351" t="n"/>
      <c r="K901" s="1351" t="n"/>
      <c r="L901" s="1351" t="n"/>
      <c r="M901" s="1351" t="n"/>
      <c r="N901" s="1351" t="n"/>
      <c r="O901" s="1351" t="n"/>
      <c r="P901" s="1349" t="n"/>
    </row>
    <row r="902" customFormat="1" s="324">
      <c r="A902" s="1349" t="n"/>
      <c r="B902" s="1501" t="n"/>
      <c r="C902" s="1439" t="n"/>
      <c r="D902" s="1439" t="n"/>
      <c r="E902" s="1439" t="n"/>
      <c r="F902" s="1439" t="n"/>
      <c r="G902" s="1440" t="n"/>
      <c r="H902" s="1567" t="n"/>
      <c r="I902" s="1351" t="n"/>
      <c r="J902" s="1351" t="n"/>
      <c r="K902" s="1351" t="n"/>
      <c r="L902" s="1351" t="n"/>
      <c r="M902" s="1351" t="n"/>
      <c r="N902" s="1351" t="n"/>
      <c r="O902" s="1351" t="n"/>
      <c r="P902" s="1349" t="n"/>
    </row>
    <row r="903" customFormat="1" s="324">
      <c r="A903" s="1349" t="n"/>
      <c r="B903" s="1501" t="n"/>
      <c r="C903" s="1439" t="n"/>
      <c r="D903" s="1439" t="n"/>
      <c r="E903" s="1439" t="n"/>
      <c r="F903" s="1439" t="n"/>
      <c r="G903" s="1440" t="n"/>
      <c r="H903" s="1567" t="n"/>
      <c r="I903" s="1351" t="n"/>
      <c r="J903" s="1351" t="n"/>
      <c r="K903" s="1351" t="n"/>
      <c r="L903" s="1351" t="n"/>
      <c r="M903" s="1351" t="n"/>
      <c r="N903" s="1351" t="n"/>
      <c r="O903" s="1351" t="n"/>
      <c r="P903" s="1349" t="n"/>
    </row>
    <row r="904" customFormat="1" s="324">
      <c r="A904" s="1349" t="n"/>
      <c r="B904" s="1501" t="n"/>
      <c r="C904" s="1439" t="n"/>
      <c r="D904" s="1439" t="n"/>
      <c r="E904" s="1439" t="n"/>
      <c r="F904" s="1439" t="n"/>
      <c r="G904" s="1440" t="n"/>
      <c r="H904" s="1567" t="n"/>
      <c r="I904" s="1351" t="n"/>
      <c r="J904" s="1351" t="n"/>
      <c r="K904" s="1351" t="n"/>
      <c r="L904" s="1351" t="n"/>
      <c r="M904" s="1351" t="n"/>
      <c r="N904" s="1351" t="n"/>
      <c r="O904" s="1351" t="n"/>
      <c r="P904" s="1349" t="n"/>
    </row>
    <row r="905" customFormat="1" s="324">
      <c r="A905" s="1349" t="n"/>
      <c r="B905" s="1501" t="n"/>
      <c r="C905" s="1439" t="n"/>
      <c r="D905" s="1439" t="n"/>
      <c r="E905" s="1439" t="n"/>
      <c r="F905" s="1439" t="n"/>
      <c r="G905" s="1440" t="n"/>
      <c r="H905" s="1567" t="n"/>
      <c r="I905" s="1351" t="n"/>
      <c r="J905" s="1351" t="n"/>
      <c r="K905" s="1351" t="n"/>
      <c r="L905" s="1351" t="n"/>
      <c r="M905" s="1351" t="n"/>
      <c r="N905" s="1351" t="n"/>
      <c r="O905" s="1351" t="n"/>
      <c r="P905" s="1349" t="n"/>
    </row>
    <row r="906" customFormat="1" s="324">
      <c r="A906" s="1349" t="n"/>
      <c r="B906" s="1501" t="n"/>
      <c r="C906" s="1439" t="n"/>
      <c r="D906" s="1439" t="n"/>
      <c r="E906" s="1439" t="n"/>
      <c r="F906" s="1439" t="n"/>
      <c r="G906" s="1440" t="n"/>
      <c r="H906" s="1567" t="n"/>
      <c r="I906" s="1351" t="n"/>
      <c r="J906" s="1351" t="n"/>
      <c r="K906" s="1351" t="n"/>
      <c r="L906" s="1351" t="n"/>
      <c r="M906" s="1351" t="n"/>
      <c r="N906" s="1351" t="n"/>
      <c r="O906" s="1351" t="n"/>
      <c r="P906" s="1349" t="n"/>
    </row>
    <row r="907" customFormat="1" s="324">
      <c r="A907" s="1349" t="n"/>
      <c r="B907" s="1501" t="n"/>
      <c r="C907" s="1439" t="n"/>
      <c r="D907" s="1439" t="n"/>
      <c r="E907" s="1439" t="n"/>
      <c r="F907" s="1439" t="n"/>
      <c r="G907" s="1440" t="n"/>
      <c r="H907" s="1567" t="n"/>
      <c r="I907" s="1351" t="n"/>
      <c r="J907" s="1351" t="n"/>
      <c r="K907" s="1351" t="n"/>
      <c r="L907" s="1351" t="n"/>
      <c r="M907" s="1351" t="n"/>
      <c r="N907" s="1351" t="n"/>
      <c r="O907" s="1351" t="n"/>
      <c r="P907" s="1349" t="n"/>
    </row>
    <row r="908" customFormat="1" s="324">
      <c r="A908" s="1349" t="n"/>
      <c r="B908" s="1501" t="n"/>
      <c r="C908" s="1439" t="n"/>
      <c r="D908" s="1439" t="n"/>
      <c r="E908" s="1439" t="n"/>
      <c r="F908" s="1439" t="n"/>
      <c r="G908" s="1440" t="n"/>
      <c r="H908" s="1567" t="n"/>
      <c r="I908" s="1351" t="n"/>
      <c r="J908" s="1351" t="n"/>
      <c r="K908" s="1351" t="n"/>
      <c r="L908" s="1351" t="n"/>
      <c r="M908" s="1351" t="n"/>
      <c r="N908" s="1351" t="n"/>
      <c r="O908" s="1351" t="n"/>
      <c r="P908" s="1349" t="n"/>
    </row>
    <row r="909" customFormat="1" s="324">
      <c r="A909" s="1349" t="n"/>
      <c r="B909" s="1501" t="n"/>
      <c r="C909" s="1439" t="n"/>
      <c r="D909" s="1439" t="n"/>
      <c r="E909" s="1439" t="n"/>
      <c r="F909" s="1439" t="n"/>
      <c r="G909" s="1440" t="n"/>
      <c r="H909" s="1567" t="n"/>
      <c r="I909" s="1351" t="n"/>
      <c r="J909" s="1351" t="n"/>
      <c r="K909" s="1351" t="n"/>
      <c r="L909" s="1351" t="n"/>
      <c r="M909" s="1351" t="n"/>
      <c r="N909" s="1351" t="n"/>
      <c r="O909" s="1351" t="n"/>
      <c r="P909" s="1349" t="n"/>
    </row>
    <row r="910" customFormat="1" s="324">
      <c r="A910" s="1349" t="n"/>
      <c r="B910" s="1501" t="n"/>
      <c r="C910" s="1439" t="n"/>
      <c r="D910" s="1439" t="n"/>
      <c r="E910" s="1439" t="n"/>
      <c r="F910" s="1439" t="n"/>
      <c r="G910" s="1440" t="n"/>
      <c r="H910" s="1567" t="n"/>
      <c r="I910" s="1351" t="n"/>
      <c r="J910" s="1351" t="n"/>
      <c r="K910" s="1351" t="n"/>
      <c r="L910" s="1351" t="n"/>
      <c r="M910" s="1351" t="n"/>
      <c r="N910" s="1351" t="n"/>
      <c r="O910" s="1351" t="n"/>
      <c r="P910" s="1349" t="n"/>
    </row>
    <row r="911" customFormat="1" s="324">
      <c r="A911" s="1349" t="n"/>
      <c r="B911" s="1501" t="n"/>
      <c r="C911" s="1439" t="n"/>
      <c r="D911" s="1439" t="n"/>
      <c r="E911" s="1439" t="n"/>
      <c r="F911" s="1439" t="n"/>
      <c r="G911" s="1440" t="n"/>
      <c r="H911" s="1567" t="n"/>
      <c r="I911" s="1351" t="n"/>
      <c r="J911" s="1351" t="n"/>
      <c r="K911" s="1351" t="n"/>
      <c r="L911" s="1351" t="n"/>
      <c r="M911" s="1351" t="n"/>
      <c r="N911" s="1351" t="n"/>
      <c r="O911" s="1351" t="n"/>
      <c r="P911" s="1349" t="n"/>
    </row>
    <row r="912" customFormat="1" s="324">
      <c r="A912" s="1349" t="n"/>
      <c r="B912" s="1501" t="n"/>
      <c r="C912" s="1439" t="n"/>
      <c r="D912" s="1439" t="n"/>
      <c r="E912" s="1439" t="n"/>
      <c r="F912" s="1439" t="n"/>
      <c r="G912" s="1440" t="n"/>
      <c r="H912" s="1567" t="n"/>
      <c r="I912" s="1351" t="n"/>
      <c r="J912" s="1351" t="n"/>
      <c r="K912" s="1351" t="n"/>
      <c r="L912" s="1351" t="n"/>
      <c r="M912" s="1351" t="n"/>
      <c r="N912" s="1351" t="n"/>
      <c r="O912" s="1351" t="n"/>
      <c r="P912" s="1349" t="n"/>
    </row>
    <row r="913" customFormat="1" s="324">
      <c r="A913" s="1349" t="n"/>
      <c r="B913" s="1501" t="n"/>
      <c r="C913" s="1439" t="n"/>
      <c r="D913" s="1439" t="n"/>
      <c r="E913" s="1439" t="n"/>
      <c r="F913" s="1439" t="n"/>
      <c r="G913" s="1440" t="n"/>
      <c r="H913" s="1567" t="n"/>
      <c r="I913" s="1351" t="n"/>
      <c r="J913" s="1351" t="n"/>
      <c r="K913" s="1351" t="n"/>
      <c r="L913" s="1351" t="n"/>
      <c r="M913" s="1351" t="n"/>
      <c r="N913" s="1351" t="n"/>
      <c r="O913" s="1351" t="n"/>
      <c r="P913" s="1349" t="n"/>
    </row>
    <row r="914" customFormat="1" s="324">
      <c r="A914" s="1349" t="n"/>
      <c r="B914" s="1501" t="n"/>
      <c r="C914" s="1439" t="n"/>
      <c r="D914" s="1439" t="n"/>
      <c r="E914" s="1439" t="n"/>
      <c r="F914" s="1439" t="n"/>
      <c r="G914" s="1440" t="n"/>
      <c r="H914" s="1567" t="n"/>
      <c r="I914" s="1351" t="n"/>
      <c r="J914" s="1351" t="n"/>
      <c r="K914" s="1351" t="n"/>
      <c r="L914" s="1351" t="n"/>
      <c r="M914" s="1351" t="n"/>
      <c r="N914" s="1351" t="n"/>
      <c r="O914" s="1351" t="n"/>
      <c r="P914" s="1349" t="n"/>
    </row>
    <row r="915" customFormat="1" s="324">
      <c r="A915" s="1349" t="n"/>
      <c r="B915" s="1501" t="n"/>
      <c r="C915" s="1439" t="n"/>
      <c r="D915" s="1439" t="n"/>
      <c r="E915" s="1439" t="n"/>
      <c r="F915" s="1439" t="n"/>
      <c r="G915" s="1440" t="n"/>
      <c r="H915" s="1567" t="n"/>
      <c r="I915" s="1351" t="n"/>
      <c r="J915" s="1351" t="n"/>
      <c r="K915" s="1351" t="n"/>
      <c r="L915" s="1351" t="n"/>
      <c r="M915" s="1351" t="n"/>
      <c r="N915" s="1351" t="n"/>
      <c r="O915" s="1351" t="n"/>
      <c r="P915" s="1349" t="n"/>
    </row>
    <row r="916" customFormat="1" s="324">
      <c r="A916" s="1349" t="n"/>
      <c r="B916" s="1501" t="n"/>
      <c r="C916" s="1439" t="n"/>
      <c r="D916" s="1439" t="n"/>
      <c r="E916" s="1439" t="n"/>
      <c r="F916" s="1439" t="n"/>
      <c r="G916" s="1440" t="n"/>
      <c r="H916" s="1567" t="n"/>
      <c r="I916" s="1351" t="n"/>
      <c r="J916" s="1351" t="n"/>
      <c r="K916" s="1351" t="n"/>
      <c r="L916" s="1351" t="n"/>
      <c r="M916" s="1351" t="n"/>
      <c r="N916" s="1351" t="n"/>
      <c r="O916" s="1351" t="n"/>
      <c r="P916" s="1349" t="n"/>
    </row>
    <row r="917" customFormat="1" s="324">
      <c r="A917" s="1349" t="n"/>
      <c r="B917" s="1501" t="n"/>
      <c r="C917" s="1439" t="n"/>
      <c r="D917" s="1439" t="n"/>
      <c r="E917" s="1439" t="n"/>
      <c r="F917" s="1439" t="n"/>
      <c r="G917" s="1440" t="n"/>
      <c r="H917" s="1567" t="n"/>
      <c r="I917" s="1351" t="n"/>
      <c r="J917" s="1351" t="n"/>
      <c r="K917" s="1351" t="n"/>
      <c r="L917" s="1351" t="n"/>
      <c r="M917" s="1351" t="n"/>
      <c r="N917" s="1351" t="n"/>
      <c r="O917" s="1351" t="n"/>
      <c r="P917" s="1349" t="n"/>
    </row>
    <row r="918" customFormat="1" s="324">
      <c r="A918" s="1349" t="n"/>
      <c r="B918" s="1501" t="n"/>
      <c r="C918" s="1439" t="n"/>
      <c r="D918" s="1439" t="n"/>
      <c r="E918" s="1439" t="n"/>
      <c r="F918" s="1439" t="n"/>
      <c r="G918" s="1440" t="n"/>
      <c r="H918" s="1567" t="n"/>
      <c r="I918" s="1351" t="n"/>
      <c r="J918" s="1351" t="n"/>
      <c r="K918" s="1351" t="n"/>
      <c r="L918" s="1351" t="n"/>
      <c r="M918" s="1351" t="n"/>
      <c r="N918" s="1351" t="n"/>
      <c r="O918" s="1351" t="n"/>
      <c r="P918" s="1349" t="n"/>
    </row>
    <row r="919" customFormat="1" s="324">
      <c r="A919" s="1349" t="n"/>
      <c r="B919" s="1501" t="n"/>
      <c r="C919" s="1439" t="n"/>
      <c r="D919" s="1439" t="n"/>
      <c r="E919" s="1439" t="n"/>
      <c r="F919" s="1439" t="n"/>
      <c r="G919" s="1440" t="n"/>
      <c r="H919" s="1567" t="n"/>
      <c r="I919" s="1351" t="n"/>
      <c r="J919" s="1351" t="n"/>
      <c r="K919" s="1351" t="n"/>
      <c r="L919" s="1351" t="n"/>
      <c r="M919" s="1351" t="n"/>
      <c r="N919" s="1351" t="n"/>
      <c r="O919" s="1351" t="n"/>
      <c r="P919" s="1349" t="n"/>
    </row>
    <row r="920" customFormat="1" s="324">
      <c r="A920" s="1349" t="n"/>
      <c r="B920" s="1501" t="n"/>
      <c r="C920" s="1439" t="n"/>
      <c r="D920" s="1439" t="n"/>
      <c r="E920" s="1439" t="n"/>
      <c r="F920" s="1439" t="n"/>
      <c r="G920" s="1440" t="n"/>
      <c r="H920" s="1567" t="n"/>
      <c r="I920" s="1351" t="n"/>
      <c r="J920" s="1351" t="n"/>
      <c r="K920" s="1351" t="n"/>
      <c r="L920" s="1351" t="n"/>
      <c r="M920" s="1351" t="n"/>
      <c r="N920" s="1351" t="n"/>
      <c r="O920" s="1351" t="n"/>
      <c r="P920" s="1349" t="n"/>
    </row>
    <row r="921" customFormat="1" s="324">
      <c r="A921" s="1349" t="n"/>
      <c r="B921" s="1501" t="n"/>
      <c r="C921" s="1439" t="n"/>
      <c r="D921" s="1439" t="n"/>
      <c r="E921" s="1439" t="n"/>
      <c r="F921" s="1439" t="n"/>
      <c r="G921" s="1440" t="n"/>
      <c r="H921" s="1567" t="n"/>
      <c r="I921" s="1351" t="n"/>
      <c r="J921" s="1351" t="n"/>
      <c r="K921" s="1351" t="n"/>
      <c r="L921" s="1351" t="n"/>
      <c r="M921" s="1351" t="n"/>
      <c r="N921" s="1351" t="n"/>
      <c r="O921" s="1351" t="n"/>
      <c r="P921" s="1349" t="n"/>
    </row>
    <row r="922" customFormat="1" s="324">
      <c r="A922" s="1349" t="n"/>
      <c r="B922" s="1501" t="n"/>
      <c r="C922" s="1439" t="n"/>
      <c r="D922" s="1439" t="n"/>
      <c r="E922" s="1439" t="n"/>
      <c r="F922" s="1439" t="n"/>
      <c r="G922" s="1440" t="n"/>
      <c r="H922" s="1567" t="n"/>
      <c r="I922" s="1351" t="n"/>
      <c r="J922" s="1351" t="n"/>
      <c r="K922" s="1351" t="n"/>
      <c r="L922" s="1351" t="n"/>
      <c r="M922" s="1351" t="n"/>
      <c r="N922" s="1351" t="n"/>
      <c r="O922" s="1351" t="n"/>
      <c r="P922" s="1349" t="n"/>
    </row>
    <row r="923" customFormat="1" s="324">
      <c r="A923" s="1349" t="n"/>
      <c r="B923" s="1501" t="n"/>
      <c r="C923" s="1439" t="n"/>
      <c r="D923" s="1439" t="n"/>
      <c r="E923" s="1439" t="n"/>
      <c r="F923" s="1439" t="n"/>
      <c r="G923" s="1440" t="n"/>
      <c r="H923" s="1567" t="n"/>
      <c r="I923" s="1351" t="n"/>
      <c r="J923" s="1351" t="n"/>
      <c r="K923" s="1351" t="n"/>
      <c r="L923" s="1351" t="n"/>
      <c r="M923" s="1351" t="n"/>
      <c r="N923" s="1351" t="n"/>
      <c r="O923" s="1351" t="n"/>
      <c r="P923" s="1349" t="n"/>
    </row>
    <row r="924" customFormat="1" s="324">
      <c r="A924" s="1349" t="n"/>
      <c r="B924" s="1501" t="n"/>
      <c r="C924" s="1439" t="n"/>
      <c r="D924" s="1439" t="n"/>
      <c r="E924" s="1439" t="n"/>
      <c r="F924" s="1439" t="n"/>
      <c r="G924" s="1440" t="n"/>
      <c r="H924" s="1567" t="n"/>
      <c r="I924" s="1351" t="n"/>
      <c r="J924" s="1351" t="n"/>
      <c r="K924" s="1351" t="n"/>
      <c r="L924" s="1351" t="n"/>
      <c r="M924" s="1351" t="n"/>
      <c r="N924" s="1351" t="n"/>
      <c r="O924" s="1351" t="n"/>
      <c r="P924" s="1349" t="n"/>
    </row>
    <row r="925" customFormat="1" s="324">
      <c r="A925" s="1349" t="n"/>
      <c r="B925" s="1501" t="n"/>
      <c r="C925" s="1439" t="n"/>
      <c r="D925" s="1439" t="n"/>
      <c r="E925" s="1439" t="n"/>
      <c r="F925" s="1439" t="n"/>
      <c r="G925" s="1440" t="n"/>
      <c r="H925" s="1567" t="n"/>
      <c r="I925" s="1351" t="n"/>
      <c r="J925" s="1351" t="n"/>
      <c r="K925" s="1351" t="n"/>
      <c r="L925" s="1351" t="n"/>
      <c r="M925" s="1351" t="n"/>
      <c r="N925" s="1351" t="n"/>
      <c r="O925" s="1351" t="n"/>
      <c r="P925" s="1349" t="n"/>
    </row>
    <row r="926" customFormat="1" s="324">
      <c r="A926" s="1349" t="n"/>
      <c r="B926" s="1501" t="n"/>
      <c r="C926" s="1439" t="n"/>
      <c r="D926" s="1439" t="n"/>
      <c r="E926" s="1439" t="n"/>
      <c r="F926" s="1439" t="n"/>
      <c r="G926" s="1440" t="n"/>
      <c r="H926" s="1567" t="n"/>
      <c r="I926" s="1351" t="n"/>
      <c r="J926" s="1351" t="n"/>
      <c r="K926" s="1351" t="n"/>
      <c r="L926" s="1351" t="n"/>
      <c r="M926" s="1351" t="n"/>
      <c r="N926" s="1351" t="n"/>
      <c r="O926" s="1351" t="n"/>
      <c r="P926" s="1349" t="n"/>
    </row>
    <row r="927" customFormat="1" s="324">
      <c r="A927" s="1349" t="n"/>
      <c r="B927" s="1501" t="n"/>
      <c r="C927" s="1439" t="n"/>
      <c r="D927" s="1439" t="n"/>
      <c r="E927" s="1439" t="n"/>
      <c r="F927" s="1439" t="n"/>
      <c r="G927" s="1440" t="n"/>
      <c r="H927" s="1567" t="n"/>
      <c r="I927" s="1351" t="n"/>
      <c r="J927" s="1351" t="n"/>
      <c r="K927" s="1351" t="n"/>
      <c r="L927" s="1351" t="n"/>
      <c r="M927" s="1351" t="n"/>
      <c r="N927" s="1351" t="n"/>
      <c r="O927" s="1351" t="n"/>
      <c r="P927" s="1349" t="n"/>
    </row>
    <row r="928" customFormat="1" s="324">
      <c r="A928" s="1349" t="n"/>
      <c r="B928" s="1501" t="n"/>
      <c r="C928" s="1439" t="n"/>
      <c r="D928" s="1439" t="n"/>
      <c r="E928" s="1439" t="n"/>
      <c r="F928" s="1439" t="n"/>
      <c r="G928" s="1440" t="n"/>
      <c r="H928" s="1567" t="n"/>
      <c r="I928" s="1351" t="n"/>
      <c r="J928" s="1351" t="n"/>
      <c r="K928" s="1351" t="n"/>
      <c r="L928" s="1351" t="n"/>
      <c r="M928" s="1351" t="n"/>
      <c r="N928" s="1351" t="n"/>
      <c r="O928" s="1351" t="n"/>
      <c r="P928" s="1349" t="n"/>
    </row>
    <row r="929" customFormat="1" s="324">
      <c r="A929" s="1349" t="n"/>
      <c r="B929" s="1501" t="n"/>
      <c r="C929" s="1439" t="n"/>
      <c r="D929" s="1439" t="n"/>
      <c r="E929" s="1439" t="n"/>
      <c r="F929" s="1439" t="n"/>
      <c r="G929" s="1440" t="n"/>
      <c r="H929" s="1567" t="n"/>
      <c r="I929" s="1351" t="n"/>
      <c r="J929" s="1351" t="n"/>
      <c r="K929" s="1351" t="n"/>
      <c r="L929" s="1351" t="n"/>
      <c r="M929" s="1351" t="n"/>
      <c r="N929" s="1351" t="n"/>
      <c r="O929" s="1351" t="n"/>
      <c r="P929" s="1349" t="n"/>
    </row>
    <row r="930" customFormat="1" s="324">
      <c r="A930" s="1349" t="n"/>
      <c r="B930" s="1501" t="n"/>
      <c r="C930" s="1439" t="n"/>
      <c r="D930" s="1439" t="n"/>
      <c r="E930" s="1439" t="n"/>
      <c r="F930" s="1439" t="n"/>
      <c r="G930" s="1440" t="n"/>
      <c r="H930" s="1567" t="n"/>
      <c r="I930" s="1351" t="n"/>
      <c r="J930" s="1351" t="n"/>
      <c r="K930" s="1351" t="n"/>
      <c r="L930" s="1351" t="n"/>
      <c r="M930" s="1351" t="n"/>
      <c r="N930" s="1351" t="n"/>
      <c r="O930" s="1351" t="n"/>
      <c r="P930" s="1349" t="n"/>
    </row>
    <row r="931" customFormat="1" s="324">
      <c r="A931" s="1349" t="n"/>
      <c r="B931" s="1501" t="n"/>
      <c r="C931" s="1439" t="n"/>
      <c r="D931" s="1439" t="n"/>
      <c r="E931" s="1439" t="n"/>
      <c r="F931" s="1439" t="n"/>
      <c r="G931" s="1440" t="n"/>
      <c r="H931" s="1567" t="n"/>
      <c r="I931" s="1351" t="n"/>
      <c r="J931" s="1351" t="n"/>
      <c r="K931" s="1351" t="n"/>
      <c r="L931" s="1351" t="n"/>
      <c r="M931" s="1351" t="n"/>
      <c r="N931" s="1351" t="n"/>
      <c r="O931" s="1351" t="n"/>
      <c r="P931" s="1349" t="n"/>
    </row>
    <row r="932" customFormat="1" s="324">
      <c r="A932" s="1349" t="n"/>
      <c r="B932" s="1501" t="n"/>
      <c r="C932" s="1439" t="n"/>
      <c r="D932" s="1439" t="n"/>
      <c r="E932" s="1439" t="n"/>
      <c r="F932" s="1439" t="n"/>
      <c r="G932" s="1440" t="n"/>
      <c r="H932" s="1567" t="n"/>
      <c r="I932" s="1351" t="n"/>
      <c r="J932" s="1351" t="n"/>
      <c r="K932" s="1351" t="n"/>
      <c r="L932" s="1351" t="n"/>
      <c r="M932" s="1351" t="n"/>
      <c r="N932" s="1351" t="n"/>
      <c r="O932" s="1351" t="n"/>
      <c r="P932" s="1349" t="n"/>
    </row>
    <row r="933" customFormat="1" s="324">
      <c r="A933" s="1349" t="n"/>
      <c r="B933" s="1501" t="n"/>
      <c r="C933" s="1439" t="n"/>
      <c r="D933" s="1439" t="n"/>
      <c r="E933" s="1439" t="n"/>
      <c r="F933" s="1439" t="n"/>
      <c r="G933" s="1440" t="n"/>
      <c r="H933" s="1567" t="n"/>
      <c r="I933" s="1351" t="n"/>
      <c r="J933" s="1351" t="n"/>
      <c r="K933" s="1351" t="n"/>
      <c r="L933" s="1351" t="n"/>
      <c r="M933" s="1351" t="n"/>
      <c r="N933" s="1351" t="n"/>
      <c r="O933" s="1351" t="n"/>
      <c r="P933" s="1349" t="n"/>
    </row>
    <row r="934" customFormat="1" s="324">
      <c r="A934" s="1349" t="n"/>
      <c r="B934" s="1501" t="n"/>
      <c r="C934" s="1439" t="n"/>
      <c r="D934" s="1439" t="n"/>
      <c r="E934" s="1439" t="n"/>
      <c r="F934" s="1439" t="n"/>
      <c r="G934" s="1440" t="n"/>
      <c r="H934" s="1567" t="n"/>
      <c r="I934" s="1351" t="n"/>
      <c r="J934" s="1351" t="n"/>
      <c r="K934" s="1351" t="n"/>
      <c r="L934" s="1351" t="n"/>
      <c r="M934" s="1351" t="n"/>
      <c r="N934" s="1351" t="n"/>
      <c r="O934" s="1351" t="n"/>
      <c r="P934" s="1349" t="n"/>
    </row>
    <row r="935" customFormat="1" s="324">
      <c r="A935" s="1349" t="n"/>
      <c r="B935" s="1501" t="n"/>
      <c r="C935" s="1439" t="n"/>
      <c r="D935" s="1439" t="n"/>
      <c r="E935" s="1439" t="n"/>
      <c r="F935" s="1439" t="n"/>
      <c r="G935" s="1440" t="n"/>
      <c r="H935" s="1567" t="n"/>
      <c r="I935" s="1351" t="n"/>
      <c r="J935" s="1351" t="n"/>
      <c r="K935" s="1351" t="n"/>
      <c r="L935" s="1351" t="n"/>
      <c r="M935" s="1351" t="n"/>
      <c r="N935" s="1351" t="n"/>
      <c r="O935" s="1351" t="n"/>
      <c r="P935" s="1349" t="n"/>
    </row>
    <row r="936">
      <c r="A936" s="1389" t="n"/>
      <c r="B936" s="1349" t="n"/>
      <c r="C936" s="1351" t="n"/>
      <c r="D936" s="1351" t="n"/>
      <c r="E936" s="1351" t="n"/>
      <c r="F936" s="1351" t="n"/>
      <c r="G936" s="1351" t="n"/>
      <c r="H936" s="1351" t="n"/>
      <c r="I936" s="1351" t="n"/>
      <c r="J936" s="1351" t="n"/>
      <c r="K936" s="1351" t="n"/>
      <c r="L936" s="1351" t="n"/>
      <c r="M936" s="1351" t="n"/>
      <c r="N936" s="1351" t="n"/>
      <c r="O936" s="1351" t="n"/>
      <c r="P936" s="1349" t="n"/>
    </row>
    <row r="937">
      <c r="A937" s="1389" t="n"/>
      <c r="B937" s="1349" t="n"/>
      <c r="C937" s="1351" t="n"/>
      <c r="D937" s="1351" t="n"/>
      <c r="E937" s="1351" t="n"/>
      <c r="F937" s="1351" t="n"/>
      <c r="G937" s="1351" t="n"/>
      <c r="H937" s="1351" t="n"/>
      <c r="I937" s="1351" t="n"/>
      <c r="J937" s="1351" t="n"/>
      <c r="K937" s="1351" t="n"/>
      <c r="L937" s="1351" t="n"/>
      <c r="M937" s="1351" t="n"/>
      <c r="N937" s="1351" t="n"/>
      <c r="O937" s="1351" t="n"/>
      <c r="P937" s="1349" t="n"/>
    </row>
    <row r="938" customFormat="1" s="324">
      <c r="A938" s="1349" t="n"/>
      <c r="B938" s="1501" t="n"/>
      <c r="C938" s="1439" t="n"/>
      <c r="D938" s="1439" t="n"/>
      <c r="E938" s="1439" t="n"/>
      <c r="F938" s="1439" t="n"/>
      <c r="G938" s="1440" t="n"/>
      <c r="H938" s="1567" t="n"/>
      <c r="I938" s="1351" t="n"/>
      <c r="J938" s="1351" t="n"/>
      <c r="K938" s="1351" t="n"/>
      <c r="L938" s="1351" t="n"/>
      <c r="M938" s="1351" t="n"/>
      <c r="N938" s="1351" t="n"/>
      <c r="O938" s="1351" t="n"/>
      <c r="P938" s="1349" t="n"/>
    </row>
    <row r="939" customFormat="1" s="324">
      <c r="A939" s="1349" t="n"/>
      <c r="B939" s="1501" t="n"/>
      <c r="C939" s="1439" t="n"/>
      <c r="D939" s="1439" t="n"/>
      <c r="E939" s="1439" t="n"/>
      <c r="F939" s="1439" t="n"/>
      <c r="G939" s="1440" t="n"/>
      <c r="H939" s="1567" t="n"/>
      <c r="I939" s="1351" t="n"/>
      <c r="J939" s="1351" t="n"/>
      <c r="K939" s="1351" t="n"/>
      <c r="L939" s="1351" t="n"/>
      <c r="M939" s="1351" t="n"/>
      <c r="N939" s="1351" t="n"/>
      <c r="O939" s="1351" t="n"/>
      <c r="P939" s="1349" t="n"/>
    </row>
    <row r="940" customFormat="1" s="324">
      <c r="A940" s="1349" t="n"/>
      <c r="B940" s="1501" t="n"/>
      <c r="C940" s="1439" t="n"/>
      <c r="D940" s="1439" t="n"/>
      <c r="E940" s="1439" t="n"/>
      <c r="F940" s="1439" t="n"/>
      <c r="G940" s="1440" t="n"/>
      <c r="H940" s="1567" t="n"/>
      <c r="I940" s="1351" t="n"/>
      <c r="J940" s="1351" t="n"/>
      <c r="K940" s="1351" t="n"/>
      <c r="L940" s="1351" t="n"/>
      <c r="M940" s="1351" t="n"/>
      <c r="N940" s="1351" t="n"/>
      <c r="O940" s="1351" t="n"/>
      <c r="P940" s="1349" t="n"/>
    </row>
    <row r="941" customFormat="1" s="324">
      <c r="A941" s="1349" t="n"/>
      <c r="B941" s="1501" t="n"/>
      <c r="C941" s="1439" t="n"/>
      <c r="D941" s="1439" t="n"/>
      <c r="E941" s="1439" t="n"/>
      <c r="F941" s="1439" t="n"/>
      <c r="G941" s="1440" t="n"/>
      <c r="H941" s="1567" t="n"/>
      <c r="I941" s="1351" t="n"/>
      <c r="J941" s="1351" t="n"/>
      <c r="K941" s="1351" t="n"/>
      <c r="L941" s="1351" t="n"/>
      <c r="M941" s="1351" t="n"/>
      <c r="N941" s="1351" t="n"/>
      <c r="O941" s="1351" t="n"/>
      <c r="P941" s="1349" t="n"/>
    </row>
    <row r="942" customFormat="1" s="324">
      <c r="A942" s="1349" t="n"/>
      <c r="B942" s="1501" t="n"/>
      <c r="C942" s="1439" t="n"/>
      <c r="D942" s="1439" t="n"/>
      <c r="E942" s="1439" t="n"/>
      <c r="F942" s="1439" t="n"/>
      <c r="G942" s="1440" t="n"/>
      <c r="H942" s="1567" t="n"/>
      <c r="I942" s="1351" t="n"/>
      <c r="J942" s="1351" t="n"/>
      <c r="K942" s="1351" t="n"/>
      <c r="L942" s="1351" t="n"/>
      <c r="M942" s="1351" t="n"/>
      <c r="N942" s="1351" t="n"/>
      <c r="O942" s="1351" t="n"/>
      <c r="P942" s="1349" t="n"/>
    </row>
    <row r="943" customFormat="1" s="324">
      <c r="A943" s="1349" t="n"/>
      <c r="B943" s="1501" t="n"/>
      <c r="C943" s="1439" t="n"/>
      <c r="D943" s="1439" t="n"/>
      <c r="E943" s="1439" t="n"/>
      <c r="F943" s="1439" t="n"/>
      <c r="G943" s="1440" t="n"/>
      <c r="H943" s="1567" t="n"/>
      <c r="I943" s="1351" t="n"/>
      <c r="J943" s="1351" t="n"/>
      <c r="K943" s="1351" t="n"/>
      <c r="L943" s="1351" t="n"/>
      <c r="M943" s="1351" t="n"/>
      <c r="N943" s="1351" t="n"/>
      <c r="O943" s="1351" t="n"/>
      <c r="P943" s="1349" t="n"/>
    </row>
    <row r="944" customFormat="1" s="324">
      <c r="A944" s="1349" t="n"/>
      <c r="B944" s="1501" t="n"/>
      <c r="C944" s="1439" t="n"/>
      <c r="D944" s="1439" t="n"/>
      <c r="E944" s="1439" t="n"/>
      <c r="F944" s="1439" t="n"/>
      <c r="G944" s="1440" t="n"/>
      <c r="H944" s="1567" t="n"/>
      <c r="I944" s="1351" t="n"/>
      <c r="J944" s="1351" t="n"/>
      <c r="K944" s="1351" t="n"/>
      <c r="L944" s="1351" t="n"/>
      <c r="M944" s="1351" t="n"/>
      <c r="N944" s="1351" t="n"/>
      <c r="O944" s="1351" t="n"/>
      <c r="P944" s="1349" t="n"/>
    </row>
    <row r="945" customFormat="1" s="324">
      <c r="A945" s="1349" t="n"/>
      <c r="B945" s="1501" t="n"/>
      <c r="C945" s="1439" t="n"/>
      <c r="D945" s="1439" t="n"/>
      <c r="E945" s="1439" t="n"/>
      <c r="F945" s="1439" t="n"/>
      <c r="G945" s="1440" t="n"/>
      <c r="H945" s="1567" t="n"/>
      <c r="I945" s="1351" t="n"/>
      <c r="J945" s="1351" t="n"/>
      <c r="K945" s="1351" t="n"/>
      <c r="L945" s="1351" t="n"/>
      <c r="M945" s="1351" t="n"/>
      <c r="N945" s="1351" t="n"/>
      <c r="O945" s="1351" t="n"/>
      <c r="P945" s="1349" t="n"/>
    </row>
    <row r="946" customFormat="1" s="324">
      <c r="A946" s="1349" t="n"/>
      <c r="B946" s="1501" t="n"/>
      <c r="C946" s="1439" t="n"/>
      <c r="D946" s="1439" t="n"/>
      <c r="E946" s="1439" t="n"/>
      <c r="F946" s="1439" t="n"/>
      <c r="G946" s="1440" t="n"/>
      <c r="H946" s="1567" t="n"/>
      <c r="I946" s="1351" t="n"/>
      <c r="J946" s="1351" t="n"/>
      <c r="K946" s="1351" t="n"/>
      <c r="L946" s="1351" t="n"/>
      <c r="M946" s="1351" t="n"/>
      <c r="N946" s="1351" t="n"/>
      <c r="O946" s="1351" t="n"/>
      <c r="P946" s="1349" t="n"/>
    </row>
    <row r="947" customFormat="1" s="324">
      <c r="A947" s="1349" t="n"/>
      <c r="B947" s="1501" t="n"/>
      <c r="C947" s="1439" t="n"/>
      <c r="D947" s="1439" t="n"/>
      <c r="E947" s="1439" t="n"/>
      <c r="F947" s="1439" t="n"/>
      <c r="G947" s="1440" t="n"/>
      <c r="H947" s="1567" t="n"/>
      <c r="I947" s="1351" t="n"/>
      <c r="J947" s="1351" t="n"/>
      <c r="K947" s="1351" t="n"/>
      <c r="L947" s="1351" t="n"/>
      <c r="M947" s="1351" t="n"/>
      <c r="N947" s="1351" t="n"/>
      <c r="O947" s="1351" t="n"/>
      <c r="P947" s="1349" t="n"/>
    </row>
    <row r="948" customFormat="1" s="324">
      <c r="A948" s="1349" t="n"/>
      <c r="B948" s="1501" t="n"/>
      <c r="C948" s="1439" t="n"/>
      <c r="D948" s="1439" t="n"/>
      <c r="E948" s="1439" t="n"/>
      <c r="F948" s="1439" t="n"/>
      <c r="G948" s="1440" t="n"/>
      <c r="H948" s="1567" t="n"/>
      <c r="I948" s="1351" t="n"/>
      <c r="J948" s="1351" t="n"/>
      <c r="K948" s="1351" t="n"/>
      <c r="L948" s="1351" t="n"/>
      <c r="M948" s="1351" t="n"/>
      <c r="N948" s="1351" t="n"/>
      <c r="O948" s="1351" t="n"/>
      <c r="P948" s="1349" t="n"/>
    </row>
    <row r="949" customFormat="1" s="324">
      <c r="A949" s="1349" t="n"/>
      <c r="B949" s="1501" t="n"/>
      <c r="C949" s="1439" t="n"/>
      <c r="D949" s="1439" t="n"/>
      <c r="E949" s="1439" t="n"/>
      <c r="F949" s="1439" t="n"/>
      <c r="G949" s="1440" t="n"/>
      <c r="H949" s="1567" t="n"/>
      <c r="I949" s="1351" t="n"/>
      <c r="J949" s="1351" t="n"/>
      <c r="K949" s="1351" t="n"/>
      <c r="L949" s="1351" t="n"/>
      <c r="M949" s="1351" t="n"/>
      <c r="N949" s="1351" t="n"/>
      <c r="O949" s="1351" t="n"/>
      <c r="P949" s="1349" t="n"/>
    </row>
    <row r="950" customFormat="1" s="324">
      <c r="A950" s="1349" t="n"/>
      <c r="B950" s="1501" t="n"/>
      <c r="C950" s="1439" t="n"/>
      <c r="D950" s="1439" t="n"/>
      <c r="E950" s="1439" t="n"/>
      <c r="F950" s="1439" t="n"/>
      <c r="G950" s="1440" t="n"/>
      <c r="H950" s="1567" t="n"/>
      <c r="I950" s="1351" t="n"/>
      <c r="J950" s="1351" t="n"/>
      <c r="K950" s="1351" t="n"/>
      <c r="L950" s="1351" t="n"/>
      <c r="M950" s="1351" t="n"/>
      <c r="N950" s="1351" t="n"/>
      <c r="O950" s="1351" t="n"/>
      <c r="P950" s="1349" t="n"/>
    </row>
    <row r="951" customFormat="1" s="324">
      <c r="A951" s="1349" t="n"/>
      <c r="B951" s="1501" t="n"/>
      <c r="C951" s="1439" t="n"/>
      <c r="D951" s="1439" t="n"/>
      <c r="E951" s="1439" t="n"/>
      <c r="F951" s="1439" t="n"/>
      <c r="G951" s="1440" t="n"/>
      <c r="H951" s="1567" t="n"/>
      <c r="I951" s="1351" t="n"/>
      <c r="J951" s="1351" t="n"/>
      <c r="K951" s="1351" t="n"/>
      <c r="L951" s="1351" t="n"/>
      <c r="M951" s="1351" t="n"/>
      <c r="N951" s="1351" t="n"/>
      <c r="O951" s="1351" t="n"/>
      <c r="P951" s="1349" t="n"/>
    </row>
    <row r="952" customFormat="1" s="324">
      <c r="A952" s="1349" t="n"/>
      <c r="B952" s="1501" t="n"/>
      <c r="C952" s="1439" t="n"/>
      <c r="D952" s="1439" t="n"/>
      <c r="E952" s="1439" t="n"/>
      <c r="F952" s="1439" t="n"/>
      <c r="G952" s="1440" t="n"/>
      <c r="H952" s="1567" t="n"/>
      <c r="I952" s="1351" t="n"/>
      <c r="J952" s="1351" t="n"/>
      <c r="K952" s="1351" t="n"/>
      <c r="L952" s="1351" t="n"/>
      <c r="M952" s="1351" t="n"/>
      <c r="N952" s="1351" t="n"/>
      <c r="O952" s="1351" t="n"/>
      <c r="P952" s="1349" t="n"/>
    </row>
    <row r="953" customFormat="1" s="324">
      <c r="A953" s="1349" t="n"/>
      <c r="B953" s="1501" t="n"/>
      <c r="C953" s="1439" t="n"/>
      <c r="D953" s="1439" t="n"/>
      <c r="E953" s="1439" t="n"/>
      <c r="F953" s="1439" t="n"/>
      <c r="G953" s="1440" t="n"/>
      <c r="H953" s="1567" t="n"/>
      <c r="I953" s="1351" t="n"/>
      <c r="J953" s="1351" t="n"/>
      <c r="K953" s="1351" t="n"/>
      <c r="L953" s="1351" t="n"/>
      <c r="M953" s="1351" t="n"/>
      <c r="N953" s="1351" t="n"/>
      <c r="O953" s="1351" t="n"/>
      <c r="P953" s="1349" t="n"/>
    </row>
    <row r="954" customFormat="1" s="324">
      <c r="A954" s="1349" t="n"/>
      <c r="B954" s="1501" t="n"/>
      <c r="C954" s="1439" t="n"/>
      <c r="D954" s="1439" t="n"/>
      <c r="E954" s="1439" t="n"/>
      <c r="F954" s="1439" t="n"/>
      <c r="G954" s="1440" t="n"/>
      <c r="H954" s="1567" t="n"/>
      <c r="I954" s="1351" t="n"/>
      <c r="J954" s="1351" t="n"/>
      <c r="K954" s="1351" t="n"/>
      <c r="L954" s="1351" t="n"/>
      <c r="M954" s="1351" t="n"/>
      <c r="N954" s="1351" t="n"/>
      <c r="O954" s="1351" t="n"/>
      <c r="P954" s="1349" t="n"/>
    </row>
    <row r="955" customFormat="1" s="324">
      <c r="A955" s="1349" t="n"/>
      <c r="B955" s="1501" t="n"/>
      <c r="C955" s="1439" t="n"/>
      <c r="D955" s="1439" t="n"/>
      <c r="E955" s="1439" t="n"/>
      <c r="F955" s="1439" t="n"/>
      <c r="G955" s="1440" t="n"/>
      <c r="H955" s="1567" t="n"/>
      <c r="I955" s="1351" t="n"/>
      <c r="J955" s="1351" t="n"/>
      <c r="K955" s="1351" t="n"/>
      <c r="L955" s="1351" t="n"/>
      <c r="M955" s="1351" t="n"/>
      <c r="N955" s="1351" t="n"/>
      <c r="O955" s="1351" t="n"/>
      <c r="P955" s="1349" t="n"/>
    </row>
    <row r="956" customFormat="1" s="324">
      <c r="A956" s="1349" t="n"/>
      <c r="B956" s="1501" t="n"/>
      <c r="C956" s="1439" t="n"/>
      <c r="D956" s="1439" t="n"/>
      <c r="E956" s="1439" t="n"/>
      <c r="F956" s="1439" t="n"/>
      <c r="G956" s="1440" t="n"/>
      <c r="H956" s="1567" t="n"/>
      <c r="I956" s="1351" t="n"/>
      <c r="J956" s="1351" t="n"/>
      <c r="K956" s="1351" t="n"/>
      <c r="L956" s="1351" t="n"/>
      <c r="M956" s="1351" t="n"/>
      <c r="N956" s="1351" t="n"/>
      <c r="O956" s="1351" t="n"/>
      <c r="P956" s="1349" t="n"/>
    </row>
    <row r="957" customFormat="1" s="324">
      <c r="A957" s="1349" t="n"/>
      <c r="B957" s="1501" t="n"/>
      <c r="C957" s="1439" t="n"/>
      <c r="D957" s="1439" t="n"/>
      <c r="E957" s="1439" t="n"/>
      <c r="F957" s="1439" t="n"/>
      <c r="G957" s="1440" t="n"/>
      <c r="H957" s="1567" t="n"/>
      <c r="I957" s="1351" t="n"/>
      <c r="J957" s="1351" t="n"/>
      <c r="K957" s="1351" t="n"/>
      <c r="L957" s="1351" t="n"/>
      <c r="M957" s="1351" t="n"/>
      <c r="N957" s="1351" t="n"/>
      <c r="O957" s="1351" t="n"/>
      <c r="P957" s="1349" t="n"/>
    </row>
    <row r="958" customFormat="1" s="324">
      <c r="A958" s="1349" t="n"/>
      <c r="B958" s="1501" t="n"/>
      <c r="C958" s="1439" t="n"/>
      <c r="D958" s="1439" t="n"/>
      <c r="E958" s="1439" t="n"/>
      <c r="F958" s="1439" t="n"/>
      <c r="G958" s="1440" t="n"/>
      <c r="H958" s="1567" t="n"/>
      <c r="I958" s="1351" t="n"/>
      <c r="J958" s="1351" t="n"/>
      <c r="K958" s="1351" t="n"/>
      <c r="L958" s="1351" t="n"/>
      <c r="M958" s="1351" t="n"/>
      <c r="N958" s="1351" t="n"/>
      <c r="O958" s="1351" t="n"/>
      <c r="P958" s="1349" t="n"/>
    </row>
    <row r="959" customFormat="1" s="324">
      <c r="A959" s="1349" t="n"/>
      <c r="B959" s="1501" t="n"/>
      <c r="C959" s="1439" t="n"/>
      <c r="D959" s="1439" t="n"/>
      <c r="E959" s="1439" t="n"/>
      <c r="F959" s="1439" t="n"/>
      <c r="G959" s="1440" t="n"/>
      <c r="H959" s="1567" t="n"/>
      <c r="I959" s="1351" t="n"/>
      <c r="J959" s="1351" t="n"/>
      <c r="K959" s="1351" t="n"/>
      <c r="L959" s="1351" t="n"/>
      <c r="M959" s="1351" t="n"/>
      <c r="N959" s="1351" t="n"/>
      <c r="O959" s="1351" t="n"/>
      <c r="P959" s="1349" t="n"/>
    </row>
    <row r="960" customFormat="1" s="324">
      <c r="A960" s="1349" t="n"/>
      <c r="B960" s="1501" t="n"/>
      <c r="C960" s="1439" t="n"/>
      <c r="D960" s="1439" t="n"/>
      <c r="E960" s="1439" t="n"/>
      <c r="F960" s="1439" t="n"/>
      <c r="G960" s="1440" t="n"/>
      <c r="H960" s="1567" t="n"/>
      <c r="I960" s="1351" t="n"/>
      <c r="J960" s="1351" t="n"/>
      <c r="K960" s="1351" t="n"/>
      <c r="L960" s="1351" t="n"/>
      <c r="M960" s="1351" t="n"/>
      <c r="N960" s="1351" t="n"/>
      <c r="O960" s="1351" t="n"/>
      <c r="P960" s="1349" t="n"/>
    </row>
    <row r="961" customFormat="1" s="324">
      <c r="A961" s="1349" t="n"/>
      <c r="B961" s="1501" t="n"/>
      <c r="C961" s="1439" t="n"/>
      <c r="D961" s="1439" t="n"/>
      <c r="E961" s="1439" t="n"/>
      <c r="F961" s="1439" t="n"/>
      <c r="G961" s="1440" t="n"/>
      <c r="H961" s="1567" t="n"/>
      <c r="I961" s="1351" t="n"/>
      <c r="J961" s="1351" t="n"/>
      <c r="K961" s="1351" t="n"/>
      <c r="L961" s="1351" t="n"/>
      <c r="M961" s="1351" t="n"/>
      <c r="N961" s="1351" t="n"/>
      <c r="O961" s="1351" t="n"/>
      <c r="P961" s="1349" t="n"/>
    </row>
    <row r="962" customFormat="1" s="324">
      <c r="A962" s="1349" t="n"/>
      <c r="B962" s="1501" t="n"/>
      <c r="C962" s="1439" t="n"/>
      <c r="D962" s="1439" t="n"/>
      <c r="E962" s="1439" t="n"/>
      <c r="F962" s="1439" t="n"/>
      <c r="G962" s="1440" t="n"/>
      <c r="H962" s="1567" t="n"/>
      <c r="I962" s="1351" t="n"/>
      <c r="J962" s="1351" t="n"/>
      <c r="K962" s="1351" t="n"/>
      <c r="L962" s="1351" t="n"/>
      <c r="M962" s="1351" t="n"/>
      <c r="N962" s="1351" t="n"/>
      <c r="O962" s="1351" t="n"/>
      <c r="P962" s="1349" t="n"/>
    </row>
    <row r="963" customFormat="1" s="324">
      <c r="A963" s="1349" t="n"/>
      <c r="B963" s="1501" t="n"/>
      <c r="C963" s="1439" t="n"/>
      <c r="D963" s="1439" t="n"/>
      <c r="E963" s="1439" t="n"/>
      <c r="F963" s="1439" t="n"/>
      <c r="G963" s="1440" t="n"/>
      <c r="H963" s="1567" t="n"/>
      <c r="I963" s="1351" t="n"/>
      <c r="J963" s="1351" t="n"/>
      <c r="K963" s="1351" t="n"/>
      <c r="L963" s="1351" t="n"/>
      <c r="M963" s="1351" t="n"/>
      <c r="N963" s="1351" t="n"/>
      <c r="O963" s="1351" t="n"/>
      <c r="P963" s="1349" t="n"/>
    </row>
    <row r="964" customFormat="1" s="324">
      <c r="A964" s="1349" t="n"/>
      <c r="B964" s="1501" t="n"/>
      <c r="C964" s="1439" t="n"/>
      <c r="D964" s="1439" t="n"/>
      <c r="E964" s="1439" t="n"/>
      <c r="F964" s="1439" t="n"/>
      <c r="G964" s="1440" t="n"/>
      <c r="H964" s="1567" t="n"/>
      <c r="I964" s="1351" t="n"/>
      <c r="J964" s="1351" t="n"/>
      <c r="K964" s="1351" t="n"/>
      <c r="L964" s="1351" t="n"/>
      <c r="M964" s="1351" t="n"/>
      <c r="N964" s="1351" t="n"/>
      <c r="O964" s="1351" t="n"/>
      <c r="P964" s="1349" t="n"/>
    </row>
    <row r="965" customFormat="1" s="324">
      <c r="A965" s="1349" t="n"/>
      <c r="B965" s="1501" t="n"/>
      <c r="C965" s="1439" t="n"/>
      <c r="D965" s="1439" t="n"/>
      <c r="E965" s="1439" t="n"/>
      <c r="F965" s="1439" t="n"/>
      <c r="G965" s="1440" t="n"/>
      <c r="H965" s="1567" t="n"/>
      <c r="I965" s="1351" t="n"/>
      <c r="J965" s="1351" t="n"/>
      <c r="K965" s="1351" t="n"/>
      <c r="L965" s="1351" t="n"/>
      <c r="M965" s="1351" t="n"/>
      <c r="N965" s="1351" t="n"/>
      <c r="O965" s="1351" t="n"/>
      <c r="P965" s="1349" t="n"/>
    </row>
    <row r="966" customFormat="1" s="324">
      <c r="A966" s="1349" t="n"/>
      <c r="B966" s="1501" t="n"/>
      <c r="C966" s="1439" t="n"/>
      <c r="D966" s="1439" t="n"/>
      <c r="E966" s="1439" t="n"/>
      <c r="F966" s="1439" t="n"/>
      <c r="G966" s="1440" t="n"/>
      <c r="H966" s="1567" t="n"/>
      <c r="I966" s="1351" t="n"/>
      <c r="J966" s="1351" t="n"/>
      <c r="K966" s="1351" t="n"/>
      <c r="L966" s="1351" t="n"/>
      <c r="M966" s="1351" t="n"/>
      <c r="N966" s="1351" t="n"/>
      <c r="O966" s="1351" t="n"/>
      <c r="P966" s="1349" t="n"/>
    </row>
    <row r="967" customFormat="1" s="324">
      <c r="A967" s="1349" t="n"/>
      <c r="B967" s="1501" t="n"/>
      <c r="C967" s="1439" t="n"/>
      <c r="D967" s="1439" t="n"/>
      <c r="E967" s="1439" t="n"/>
      <c r="F967" s="1439" t="n"/>
      <c r="G967" s="1440" t="n"/>
      <c r="H967" s="1567" t="n"/>
      <c r="I967" s="1351" t="n"/>
      <c r="J967" s="1351" t="n"/>
      <c r="K967" s="1351" t="n"/>
      <c r="L967" s="1351" t="n"/>
      <c r="M967" s="1351" t="n"/>
      <c r="N967" s="1351" t="n"/>
      <c r="O967" s="1351" t="n"/>
      <c r="P967" s="1349" t="n"/>
    </row>
    <row r="968" customFormat="1" s="324">
      <c r="A968" s="1349" t="n"/>
      <c r="B968" s="1501" t="n"/>
      <c r="C968" s="1439" t="n"/>
      <c r="D968" s="1439" t="n"/>
      <c r="E968" s="1439" t="n"/>
      <c r="F968" s="1439" t="n"/>
      <c r="G968" s="1440" t="n"/>
      <c r="H968" s="1567" t="n"/>
      <c r="I968" s="1351" t="n"/>
      <c r="J968" s="1351" t="n"/>
      <c r="K968" s="1351" t="n"/>
      <c r="L968" s="1351" t="n"/>
      <c r="M968" s="1351" t="n"/>
      <c r="N968" s="1351" t="n"/>
      <c r="O968" s="1351" t="n"/>
      <c r="P968" s="1349" t="n"/>
    </row>
    <row r="969" customFormat="1" s="324">
      <c r="A969" s="1349" t="n"/>
      <c r="B969" s="1501" t="n"/>
      <c r="C969" s="1439" t="n"/>
      <c r="D969" s="1439" t="n"/>
      <c r="E969" s="1439" t="n"/>
      <c r="F969" s="1439" t="n"/>
      <c r="G969" s="1440" t="n"/>
      <c r="H969" s="1567" t="n"/>
      <c r="I969" s="1351" t="n"/>
      <c r="J969" s="1351" t="n"/>
      <c r="K969" s="1351" t="n"/>
      <c r="L969" s="1351" t="n"/>
      <c r="M969" s="1351" t="n"/>
      <c r="N969" s="1351" t="n"/>
      <c r="O969" s="1351" t="n"/>
      <c r="P969" s="1349" t="n"/>
    </row>
    <row r="970" customFormat="1" s="324">
      <c r="A970" s="1349" t="n"/>
      <c r="B970" s="1501" t="n"/>
      <c r="C970" s="1439" t="n"/>
      <c r="D970" s="1439" t="n"/>
      <c r="E970" s="1439" t="n"/>
      <c r="F970" s="1439" t="n"/>
      <c r="G970" s="1440" t="n"/>
      <c r="H970" s="1567" t="n"/>
      <c r="I970" s="1351" t="n"/>
      <c r="J970" s="1351" t="n"/>
      <c r="K970" s="1351" t="n"/>
      <c r="L970" s="1351" t="n"/>
      <c r="M970" s="1351" t="n"/>
      <c r="N970" s="1351" t="n"/>
      <c r="O970" s="1351" t="n"/>
      <c r="P970" s="1349" t="n"/>
    </row>
    <row r="971" customFormat="1" s="324">
      <c r="A971" s="1349" t="n"/>
      <c r="B971" s="1501" t="n"/>
      <c r="C971" s="1439" t="n"/>
      <c r="D971" s="1439" t="n"/>
      <c r="E971" s="1439" t="n"/>
      <c r="F971" s="1439" t="n"/>
      <c r="G971" s="1440" t="n"/>
      <c r="H971" s="1567" t="n"/>
      <c r="I971" s="1351" t="n"/>
      <c r="J971" s="1351" t="n"/>
      <c r="K971" s="1351" t="n"/>
      <c r="L971" s="1351" t="n"/>
      <c r="M971" s="1351" t="n"/>
      <c r="N971" s="1351" t="n"/>
      <c r="O971" s="1351" t="n"/>
      <c r="P971" s="1349" t="n"/>
    </row>
    <row r="972" customFormat="1" s="324">
      <c r="A972" s="1349" t="n"/>
      <c r="B972" s="1501" t="n"/>
      <c r="C972" s="1439" t="n"/>
      <c r="D972" s="1439" t="n"/>
      <c r="E972" s="1439" t="n"/>
      <c r="F972" s="1439" t="n"/>
      <c r="G972" s="1440" t="n"/>
      <c r="H972" s="1567" t="n"/>
      <c r="I972" s="1351" t="n"/>
      <c r="J972" s="1351" t="n"/>
      <c r="K972" s="1351" t="n"/>
      <c r="L972" s="1351" t="n"/>
      <c r="M972" s="1351" t="n"/>
      <c r="N972" s="1351" t="n"/>
      <c r="O972" s="1351" t="n"/>
      <c r="P972" s="1349" t="n"/>
    </row>
    <row r="973" customFormat="1" s="324">
      <c r="A973" s="1349" t="n"/>
      <c r="B973" s="1501" t="n"/>
      <c r="C973" s="1439" t="n"/>
      <c r="D973" s="1439" t="n"/>
      <c r="E973" s="1439" t="n"/>
      <c r="F973" s="1439" t="n"/>
      <c r="G973" s="1440" t="n"/>
      <c r="H973" s="1567" t="n"/>
      <c r="I973" s="1351" t="n"/>
      <c r="J973" s="1351" t="n"/>
      <c r="K973" s="1351" t="n"/>
      <c r="L973" s="1351" t="n"/>
      <c r="M973" s="1351" t="n"/>
      <c r="N973" s="1351" t="n"/>
      <c r="O973" s="1351" t="n"/>
      <c r="P973" s="1349" t="n"/>
    </row>
    <row r="974" customFormat="1" s="324">
      <c r="A974" s="1349" t="n"/>
      <c r="B974" s="1501" t="n"/>
      <c r="C974" s="1439" t="n"/>
      <c r="D974" s="1439" t="n"/>
      <c r="E974" s="1439" t="n"/>
      <c r="F974" s="1439" t="n"/>
      <c r="G974" s="1440" t="n"/>
      <c r="H974" s="1567" t="n"/>
      <c r="I974" s="1351" t="n"/>
      <c r="J974" s="1351" t="n"/>
      <c r="K974" s="1351" t="n"/>
      <c r="L974" s="1351" t="n"/>
      <c r="M974" s="1351" t="n"/>
      <c r="N974" s="1351" t="n"/>
      <c r="O974" s="1351" t="n"/>
      <c r="P974" s="1349" t="n"/>
    </row>
    <row r="975" customFormat="1" s="324">
      <c r="A975" s="1349" t="n"/>
      <c r="B975" s="1501" t="n"/>
      <c r="C975" s="1439" t="n"/>
      <c r="D975" s="1439" t="n"/>
      <c r="E975" s="1439" t="n"/>
      <c r="F975" s="1439" t="n"/>
      <c r="G975" s="1440" t="n"/>
      <c r="H975" s="1567" t="n"/>
      <c r="I975" s="1351" t="n"/>
      <c r="J975" s="1351" t="n"/>
      <c r="K975" s="1351" t="n"/>
      <c r="L975" s="1351" t="n"/>
      <c r="M975" s="1351" t="n"/>
      <c r="N975" s="1351" t="n"/>
      <c r="O975" s="1351" t="n"/>
      <c r="P975" s="1349" t="n"/>
    </row>
    <row r="976" customFormat="1" s="324">
      <c r="A976" s="1349" t="n"/>
      <c r="B976" s="1501" t="n"/>
      <c r="C976" s="1439" t="n"/>
      <c r="D976" s="1439" t="n"/>
      <c r="E976" s="1439" t="n"/>
      <c r="F976" s="1439" t="n"/>
      <c r="G976" s="1440" t="n"/>
      <c r="H976" s="1567" t="n"/>
      <c r="I976" s="1351" t="n"/>
      <c r="J976" s="1351" t="n"/>
      <c r="K976" s="1351" t="n"/>
      <c r="L976" s="1351" t="n"/>
      <c r="M976" s="1351" t="n"/>
      <c r="N976" s="1351" t="n"/>
      <c r="O976" s="1351" t="n"/>
      <c r="P976" s="1349" t="n"/>
    </row>
    <row r="977" customFormat="1" s="324">
      <c r="A977" s="1349" t="n"/>
      <c r="B977" s="1501" t="n"/>
      <c r="C977" s="1439" t="n"/>
      <c r="D977" s="1439" t="n"/>
      <c r="E977" s="1439" t="n"/>
      <c r="F977" s="1439" t="n"/>
      <c r="G977" s="1440" t="n"/>
      <c r="H977" s="1567" t="n"/>
      <c r="I977" s="1351" t="n"/>
      <c r="J977" s="1351" t="n"/>
      <c r="K977" s="1351" t="n"/>
      <c r="L977" s="1351" t="n"/>
      <c r="M977" s="1351" t="n"/>
      <c r="N977" s="1351" t="n"/>
      <c r="O977" s="1351" t="n"/>
      <c r="P977" s="1349" t="n"/>
    </row>
    <row r="978" customFormat="1" s="324">
      <c r="A978" s="1349" t="n"/>
      <c r="B978" s="1501" t="n"/>
      <c r="C978" s="1439" t="n"/>
      <c r="D978" s="1439" t="n"/>
      <c r="E978" s="1439" t="n"/>
      <c r="F978" s="1439" t="n"/>
      <c r="G978" s="1440" t="n"/>
      <c r="H978" s="1567" t="n"/>
      <c r="I978" s="1351" t="n"/>
      <c r="J978" s="1351" t="n"/>
      <c r="K978" s="1351" t="n"/>
      <c r="L978" s="1351" t="n"/>
      <c r="M978" s="1351" t="n"/>
      <c r="N978" s="1351" t="n"/>
      <c r="O978" s="1351" t="n"/>
      <c r="P978" s="1349" t="n"/>
    </row>
    <row r="979" customFormat="1" s="324">
      <c r="A979" s="1349" t="n"/>
      <c r="B979" s="1501" t="n"/>
      <c r="C979" s="1439" t="n"/>
      <c r="D979" s="1439" t="n"/>
      <c r="E979" s="1439" t="n"/>
      <c r="F979" s="1439" t="n"/>
      <c r="G979" s="1440" t="n"/>
      <c r="H979" s="1567" t="n"/>
      <c r="I979" s="1351" t="n"/>
      <c r="J979" s="1351" t="n"/>
      <c r="K979" s="1351" t="n"/>
      <c r="L979" s="1351" t="n"/>
      <c r="M979" s="1351" t="n"/>
      <c r="N979" s="1351" t="n"/>
      <c r="O979" s="1351" t="n"/>
      <c r="P979" s="1349" t="n"/>
    </row>
    <row r="980" customFormat="1" s="324">
      <c r="A980" s="1349" t="n"/>
      <c r="B980" s="1501" t="n"/>
      <c r="C980" s="1439" t="n"/>
      <c r="D980" s="1439" t="n"/>
      <c r="E980" s="1439" t="n"/>
      <c r="F980" s="1439" t="n"/>
      <c r="G980" s="1440" t="n"/>
      <c r="H980" s="1567" t="n"/>
      <c r="I980" s="1351" t="n"/>
      <c r="J980" s="1351" t="n"/>
      <c r="K980" s="1351" t="n"/>
      <c r="L980" s="1351" t="n"/>
      <c r="M980" s="1351" t="n"/>
      <c r="N980" s="1351" t="n"/>
      <c r="O980" s="1351" t="n"/>
      <c r="P980" s="1349" t="n"/>
    </row>
    <row r="981" customFormat="1" s="324">
      <c r="A981" s="1349" t="n"/>
      <c r="B981" s="1501" t="n"/>
      <c r="C981" s="1439" t="n"/>
      <c r="D981" s="1439" t="n"/>
      <c r="E981" s="1439" t="n"/>
      <c r="F981" s="1439" t="n"/>
      <c r="G981" s="1440" t="n"/>
      <c r="H981" s="1567" t="n"/>
      <c r="I981" s="1351" t="n"/>
      <c r="J981" s="1351" t="n"/>
      <c r="K981" s="1351" t="n"/>
      <c r="L981" s="1351" t="n"/>
      <c r="M981" s="1351" t="n"/>
      <c r="N981" s="1351" t="n"/>
      <c r="O981" s="1351" t="n"/>
      <c r="P981" s="1349" t="n"/>
    </row>
    <row r="982" customFormat="1" s="324">
      <c r="A982" s="1349" t="n"/>
      <c r="B982" s="1501" t="n"/>
      <c r="C982" s="1439" t="n"/>
      <c r="D982" s="1439" t="n"/>
      <c r="E982" s="1439" t="n"/>
      <c r="F982" s="1439" t="n"/>
      <c r="G982" s="1440" t="n"/>
      <c r="H982" s="1567" t="n"/>
      <c r="I982" s="1351" t="n"/>
      <c r="J982" s="1351" t="n"/>
      <c r="K982" s="1351" t="n"/>
      <c r="L982" s="1351" t="n"/>
      <c r="M982" s="1351" t="n"/>
      <c r="N982" s="1351" t="n"/>
      <c r="O982" s="1351" t="n"/>
      <c r="P982" s="1349" t="n"/>
    </row>
    <row r="983" customFormat="1" s="324">
      <c r="A983" s="1349" t="n"/>
      <c r="B983" s="1501" t="n"/>
      <c r="C983" s="1439" t="n"/>
      <c r="D983" s="1439" t="n"/>
      <c r="E983" s="1439" t="n"/>
      <c r="F983" s="1439" t="n"/>
      <c r="G983" s="1440" t="n"/>
      <c r="H983" s="1567" t="n"/>
      <c r="I983" s="1351" t="n"/>
      <c r="J983" s="1351" t="n"/>
      <c r="K983" s="1351" t="n"/>
      <c r="L983" s="1351" t="n"/>
      <c r="M983" s="1351" t="n"/>
      <c r="N983" s="1351" t="n"/>
      <c r="O983" s="1351" t="n"/>
      <c r="P983" s="1349" t="n"/>
    </row>
    <row r="984" customFormat="1" s="324">
      <c r="A984" s="1349" t="n"/>
      <c r="B984" s="1501" t="n"/>
      <c r="C984" s="1439" t="n"/>
      <c r="D984" s="1439" t="n"/>
      <c r="E984" s="1439" t="n"/>
      <c r="F984" s="1439" t="n"/>
      <c r="G984" s="1440" t="n"/>
      <c r="H984" s="1567" t="n"/>
      <c r="I984" s="1351" t="n"/>
      <c r="J984" s="1351" t="n"/>
      <c r="K984" s="1351" t="n"/>
      <c r="L984" s="1351" t="n"/>
      <c r="M984" s="1351" t="n"/>
      <c r="N984" s="1351" t="n"/>
      <c r="O984" s="1351" t="n"/>
      <c r="P984" s="1349" t="n"/>
    </row>
    <row r="985" customFormat="1" s="324">
      <c r="A985" s="1349" t="n"/>
      <c r="B985" s="1501" t="n"/>
      <c r="C985" s="1439" t="n"/>
      <c r="D985" s="1439" t="n"/>
      <c r="E985" s="1439" t="n"/>
      <c r="F985" s="1439" t="n"/>
      <c r="G985" s="1440" t="n"/>
      <c r="H985" s="1567" t="n"/>
      <c r="I985" s="1351" t="n"/>
      <c r="J985" s="1351" t="n"/>
      <c r="K985" s="1351" t="n"/>
      <c r="L985" s="1351" t="n"/>
      <c r="M985" s="1351" t="n"/>
      <c r="N985" s="1351" t="n"/>
      <c r="O985" s="1351" t="n"/>
      <c r="P985" s="1349" t="n"/>
    </row>
    <row r="986" customFormat="1" s="324">
      <c r="A986" s="1349" t="n"/>
      <c r="B986" s="1501" t="n"/>
      <c r="C986" s="1439" t="n"/>
      <c r="D986" s="1439" t="n"/>
      <c r="E986" s="1439" t="n"/>
      <c r="F986" s="1439" t="n"/>
      <c r="G986" s="1440" t="n"/>
      <c r="H986" s="1567" t="n"/>
      <c r="I986" s="1351" t="n"/>
      <c r="J986" s="1351" t="n"/>
      <c r="K986" s="1351" t="n"/>
      <c r="L986" s="1351" t="n"/>
      <c r="M986" s="1351" t="n"/>
      <c r="N986" s="1351" t="n"/>
      <c r="O986" s="1351" t="n"/>
      <c r="P986" s="1349" t="n"/>
    </row>
    <row r="987" customFormat="1" s="324">
      <c r="A987" s="1349" t="n"/>
      <c r="B987" s="1501" t="n"/>
      <c r="C987" s="1439" t="n"/>
      <c r="D987" s="1439" t="n"/>
      <c r="E987" s="1439" t="n"/>
      <c r="F987" s="1439" t="n"/>
      <c r="G987" s="1440" t="n"/>
      <c r="H987" s="1567" t="n"/>
      <c r="I987" s="1351" t="n"/>
      <c r="J987" s="1351" t="n"/>
      <c r="K987" s="1351" t="n"/>
      <c r="L987" s="1351" t="n"/>
      <c r="M987" s="1351" t="n"/>
      <c r="N987" s="1351" t="n"/>
      <c r="O987" s="1351" t="n"/>
      <c r="P987" s="1349" t="n"/>
    </row>
    <row r="988" customFormat="1" s="324">
      <c r="A988" s="1349" t="n"/>
      <c r="B988" s="1501" t="n"/>
      <c r="C988" s="1439" t="n"/>
      <c r="D988" s="1439" t="n"/>
      <c r="E988" s="1439" t="n"/>
      <c r="F988" s="1439" t="n"/>
      <c r="G988" s="1440" t="n"/>
      <c r="H988" s="1567" t="n"/>
      <c r="I988" s="1351" t="n"/>
      <c r="J988" s="1351" t="n"/>
      <c r="K988" s="1351" t="n"/>
      <c r="L988" s="1351" t="n"/>
      <c r="M988" s="1351" t="n"/>
      <c r="N988" s="1351" t="n"/>
      <c r="O988" s="1351" t="n"/>
      <c r="P988" s="1349" t="n"/>
    </row>
    <row r="989" customFormat="1" s="324">
      <c r="A989" s="1349" t="n"/>
      <c r="B989" s="1501" t="n"/>
      <c r="C989" s="1439" t="n"/>
      <c r="D989" s="1439" t="n"/>
      <c r="E989" s="1439" t="n"/>
      <c r="F989" s="1439" t="n"/>
      <c r="G989" s="1440" t="n"/>
      <c r="H989" s="1567" t="n"/>
      <c r="I989" s="1351" t="n"/>
      <c r="J989" s="1351" t="n"/>
      <c r="K989" s="1351" t="n"/>
      <c r="L989" s="1351" t="n"/>
      <c r="M989" s="1351" t="n"/>
      <c r="N989" s="1351" t="n"/>
      <c r="O989" s="1351" t="n"/>
      <c r="P989" s="1349" t="n"/>
    </row>
    <row r="990" customFormat="1" s="324">
      <c r="A990" s="1349" t="n"/>
      <c r="B990" s="1501" t="n"/>
      <c r="C990" s="1439" t="n"/>
      <c r="D990" s="1439" t="n"/>
      <c r="E990" s="1439" t="n"/>
      <c r="F990" s="1439" t="n"/>
      <c r="G990" s="1440" t="n"/>
      <c r="H990" s="1567" t="n"/>
      <c r="I990" s="1351" t="n"/>
      <c r="J990" s="1351" t="n"/>
      <c r="K990" s="1351" t="n"/>
      <c r="L990" s="1351" t="n"/>
      <c r="M990" s="1351" t="n"/>
      <c r="N990" s="1351" t="n"/>
      <c r="O990" s="1351" t="n"/>
      <c r="P990" s="1349" t="n"/>
    </row>
    <row r="991" customFormat="1" s="324">
      <c r="A991" s="1349" t="n"/>
      <c r="B991" s="1501" t="n"/>
      <c r="C991" s="1439" t="n"/>
      <c r="D991" s="1439" t="n"/>
      <c r="E991" s="1439" t="n"/>
      <c r="F991" s="1439" t="n"/>
      <c r="G991" s="1440" t="n"/>
      <c r="H991" s="1567" t="n"/>
      <c r="I991" s="1351" t="n"/>
      <c r="J991" s="1351" t="n"/>
      <c r="K991" s="1351" t="n"/>
      <c r="L991" s="1351" t="n"/>
      <c r="M991" s="1351" t="n"/>
      <c r="N991" s="1351" t="n"/>
      <c r="O991" s="1351" t="n"/>
      <c r="P991" s="1349" t="n"/>
    </row>
    <row r="992" customFormat="1" s="324">
      <c r="A992" s="1349" t="n"/>
      <c r="B992" s="1501" t="n"/>
      <c r="C992" s="1439" t="n"/>
      <c r="D992" s="1439" t="n"/>
      <c r="E992" s="1439" t="n"/>
      <c r="F992" s="1439" t="n"/>
      <c r="G992" s="1440" t="n"/>
      <c r="H992" s="1567" t="n"/>
      <c r="I992" s="1351" t="n"/>
      <c r="J992" s="1351" t="n"/>
      <c r="K992" s="1351" t="n"/>
      <c r="L992" s="1351" t="n"/>
      <c r="M992" s="1351" t="n"/>
      <c r="N992" s="1351" t="n"/>
      <c r="O992" s="1351" t="n"/>
      <c r="P992" s="1349" t="n"/>
    </row>
    <row r="993" customFormat="1" s="324">
      <c r="A993" s="1349" t="n"/>
      <c r="B993" s="1501" t="n"/>
      <c r="C993" s="1439" t="n"/>
      <c r="D993" s="1439" t="n"/>
      <c r="E993" s="1439" t="n"/>
      <c r="F993" s="1439" t="n"/>
      <c r="G993" s="1440" t="n"/>
      <c r="H993" s="1567" t="n"/>
      <c r="I993" s="1351" t="n"/>
      <c r="J993" s="1351" t="n"/>
      <c r="K993" s="1351" t="n"/>
      <c r="L993" s="1351" t="n"/>
      <c r="M993" s="1351" t="n"/>
      <c r="N993" s="1351" t="n"/>
      <c r="O993" s="1351" t="n"/>
      <c r="P993" s="1349" t="n"/>
    </row>
    <row r="994" customFormat="1" s="324">
      <c r="A994" s="1349" t="n"/>
      <c r="B994" s="1501" t="n"/>
      <c r="C994" s="1439" t="n"/>
      <c r="D994" s="1439" t="n"/>
      <c r="E994" s="1439" t="n"/>
      <c r="F994" s="1439" t="n"/>
      <c r="G994" s="1440" t="n"/>
      <c r="H994" s="1567" t="n"/>
      <c r="I994" s="1351" t="n"/>
      <c r="J994" s="1351" t="n"/>
      <c r="K994" s="1351" t="n"/>
      <c r="L994" s="1351" t="n"/>
      <c r="M994" s="1351" t="n"/>
      <c r="N994" s="1351" t="n"/>
      <c r="O994" s="1351" t="n"/>
      <c r="P994" s="1349" t="n"/>
    </row>
    <row r="995" customFormat="1" s="324">
      <c r="A995" s="1349" t="n"/>
      <c r="B995" s="1501" t="n"/>
      <c r="C995" s="1439" t="n"/>
      <c r="D995" s="1439" t="n"/>
      <c r="E995" s="1439" t="n"/>
      <c r="F995" s="1439" t="n"/>
      <c r="G995" s="1440" t="n"/>
      <c r="H995" s="1567" t="n"/>
      <c r="I995" s="1351" t="n"/>
      <c r="J995" s="1351" t="n"/>
      <c r="K995" s="1351" t="n"/>
      <c r="L995" s="1351" t="n"/>
      <c r="M995" s="1351" t="n"/>
      <c r="N995" s="1351" t="n"/>
      <c r="O995" s="1351" t="n"/>
      <c r="P995" s="1349" t="n"/>
    </row>
    <row r="996" customFormat="1" s="324">
      <c r="A996" s="1349" t="n"/>
      <c r="B996" s="1501" t="n"/>
      <c r="C996" s="1439" t="n"/>
      <c r="D996" s="1439" t="n"/>
      <c r="E996" s="1439" t="n"/>
      <c r="F996" s="1439" t="n"/>
      <c r="G996" s="1440" t="n"/>
      <c r="H996" s="1567" t="n"/>
      <c r="I996" s="1351" t="n"/>
      <c r="J996" s="1351" t="n"/>
      <c r="K996" s="1351" t="n"/>
      <c r="L996" s="1389" t="inlineStr">
        <is>
          <t xml:space="preserve"> </t>
        </is>
      </c>
      <c r="M996" s="1351" t="n"/>
      <c r="N996" s="1351" t="n"/>
      <c r="O996" s="1351" t="n"/>
      <c r="P996" s="1349" t="n"/>
    </row>
    <row r="997" customFormat="1" s="324">
      <c r="A997" s="1349" t="n"/>
      <c r="B997" s="1501" t="n"/>
      <c r="C997" s="1439" t="n"/>
      <c r="D997" s="1439" t="n"/>
      <c r="E997" s="1439" t="n"/>
      <c r="F997" s="1439" t="n"/>
      <c r="G997" s="1440" t="n"/>
      <c r="H997" s="1567" t="n"/>
      <c r="I997" s="1351" t="n"/>
      <c r="J997" s="1351" t="n"/>
      <c r="K997" s="1351" t="n"/>
      <c r="L997" s="1351" t="n"/>
      <c r="M997" s="1351" t="n"/>
      <c r="N997" s="1351" t="n"/>
      <c r="O997" s="1351" t="n"/>
      <c r="P997" s="1349" t="n"/>
    </row>
    <row r="998" customFormat="1" s="324">
      <c r="A998" s="1349" t="n"/>
      <c r="B998" s="1501" t="n"/>
      <c r="C998" s="1439" t="n"/>
      <c r="D998" s="1439" t="n"/>
      <c r="E998" s="1439" t="n"/>
      <c r="F998" s="1439" t="n"/>
      <c r="G998" s="1440" t="n"/>
      <c r="H998" s="1567" t="n"/>
      <c r="I998" s="1351" t="n"/>
      <c r="J998" s="1351" t="n"/>
      <c r="K998" s="1351" t="n"/>
      <c r="L998" s="1351" t="n"/>
      <c r="M998" s="1351" t="n"/>
      <c r="N998" s="1351" t="n"/>
      <c r="O998" s="1351" t="n"/>
      <c r="P998" s="1349" t="n"/>
    </row>
    <row r="999">
      <c r="A999" s="1389" t="n"/>
      <c r="B999" s="1349" t="n"/>
      <c r="C999" s="1351" t="n"/>
      <c r="D999" s="1351" t="n"/>
      <c r="E999" s="1351" t="n"/>
      <c r="F999" s="1351" t="n"/>
      <c r="G999" s="1351" t="n"/>
      <c r="H999" s="1351" t="n"/>
      <c r="I999" s="1351" t="n"/>
      <c r="J999" s="1351" t="n"/>
      <c r="K999" s="1351" t="n"/>
      <c r="L999" s="1351" t="n"/>
      <c r="M999" s="1351" t="n"/>
      <c r="N999" s="1351" t="n"/>
      <c r="O999" s="1351" t="n"/>
      <c r="P999" s="1349" t="n"/>
    </row>
    <row r="1000">
      <c r="A1000" s="1389" t="n"/>
      <c r="B1000" s="1349" t="n"/>
      <c r="C1000" s="1351" t="n"/>
      <c r="D1000" s="1351" t="n"/>
      <c r="E1000" s="1351" t="n"/>
      <c r="F1000" s="1351" t="n"/>
      <c r="G1000" s="1351" t="n"/>
      <c r="H1000" s="1351" t="n"/>
      <c r="I1000" s="1351" t="n"/>
      <c r="J1000" s="1351" t="n"/>
      <c r="K1000" s="1351" t="n"/>
      <c r="L1000" s="1351" t="n"/>
      <c r="M1000" s="1351" t="n"/>
      <c r="N1000" s="1351" t="n"/>
      <c r="O1000" s="1351" t="n"/>
      <c r="P1000" s="1349" t="n"/>
    </row>
    <row r="1001" customFormat="1" s="324">
      <c r="A1001" s="1349" t="n"/>
      <c r="B1001" s="1501" t="n"/>
      <c r="C1001" s="1439" t="n"/>
      <c r="D1001" s="1439" t="n"/>
      <c r="E1001" s="1439" t="n"/>
      <c r="F1001" s="1439" t="n"/>
      <c r="G1001" s="1440" t="n"/>
      <c r="H1001" s="1567" t="n"/>
      <c r="I1001" s="1351" t="n"/>
      <c r="J1001" s="1351" t="n"/>
      <c r="K1001" s="1351" t="n"/>
      <c r="L1001" s="1351" t="n"/>
      <c r="M1001" s="1351" t="n"/>
      <c r="N1001" s="1351" t="n"/>
      <c r="O1001" s="1351" t="n"/>
      <c r="P1001" s="1349" t="n"/>
    </row>
    <row r="1002" customFormat="1" s="324">
      <c r="A1002" s="1349" t="n"/>
      <c r="B1002" s="1501" t="n"/>
      <c r="C1002" s="1439" t="n"/>
      <c r="D1002" s="1439" t="n"/>
      <c r="E1002" s="1439" t="n"/>
      <c r="F1002" s="1439" t="n"/>
      <c r="G1002" s="1440" t="n"/>
      <c r="H1002" s="1567" t="n"/>
      <c r="I1002" s="1351" t="n"/>
      <c r="J1002" s="1351" t="n"/>
      <c r="K1002" s="1351" t="n"/>
      <c r="L1002" s="1351" t="n"/>
      <c r="M1002" s="1351" t="n"/>
      <c r="N1002" s="1351" t="n"/>
      <c r="O1002" s="1351" t="n"/>
      <c r="P1002" s="1349" t="n"/>
    </row>
    <row r="1003" customFormat="1" s="324">
      <c r="A1003" s="1349" t="n"/>
      <c r="B1003" s="1501" t="n"/>
      <c r="C1003" s="1439" t="n"/>
      <c r="D1003" s="1439" t="n"/>
      <c r="E1003" s="1439" t="n"/>
      <c r="F1003" s="1439" t="n"/>
      <c r="G1003" s="1440" t="n"/>
      <c r="H1003" s="1567" t="n"/>
      <c r="I1003" s="1351" t="n"/>
      <c r="J1003" s="1351" t="n"/>
      <c r="K1003" s="1351" t="n"/>
      <c r="L1003" s="1351" t="n"/>
      <c r="M1003" s="1351" t="n"/>
      <c r="N1003" s="1351" t="n"/>
      <c r="O1003" s="1351" t="n"/>
      <c r="P1003" s="1349" t="n"/>
    </row>
    <row r="1004" customFormat="1" s="324">
      <c r="A1004" s="1349" t="n"/>
      <c r="B1004" s="1501" t="n"/>
      <c r="C1004" s="1439" t="n"/>
      <c r="D1004" s="1439" t="n"/>
      <c r="E1004" s="1439" t="n"/>
      <c r="F1004" s="1439" t="n"/>
      <c r="G1004" s="1440" t="n"/>
      <c r="H1004" s="1567" t="n"/>
      <c r="I1004" s="1351" t="n"/>
      <c r="J1004" s="1351" t="n"/>
      <c r="K1004" s="1351" t="n"/>
      <c r="L1004" s="1351" t="n"/>
      <c r="M1004" s="1351" t="n"/>
      <c r="N1004" s="1351" t="n"/>
      <c r="O1004" s="1351" t="n"/>
      <c r="P1004" s="1349" t="n"/>
    </row>
    <row r="1005" customFormat="1" s="324">
      <c r="A1005" s="1349" t="n"/>
      <c r="B1005" s="1501" t="n"/>
      <c r="C1005" s="1439" t="n"/>
      <c r="D1005" s="1439" t="n"/>
      <c r="E1005" s="1439" t="n"/>
      <c r="F1005" s="1439" t="n"/>
      <c r="G1005" s="1440" t="n"/>
      <c r="H1005" s="1567" t="n"/>
      <c r="I1005" s="1351" t="n"/>
      <c r="J1005" s="1351" t="n"/>
      <c r="K1005" s="1351" t="n"/>
      <c r="L1005" s="1351" t="n"/>
      <c r="M1005" s="1351" t="n"/>
      <c r="N1005" s="1351" t="n"/>
      <c r="O1005" s="1351" t="n"/>
      <c r="P1005" s="1349" t="n"/>
    </row>
    <row r="1006" customFormat="1" s="324">
      <c r="A1006" s="1349" t="n"/>
      <c r="B1006" s="1501" t="n"/>
      <c r="C1006" s="1439" t="n"/>
      <c r="D1006" s="1439" t="n"/>
      <c r="E1006" s="1439" t="n"/>
      <c r="F1006" s="1439" t="n"/>
      <c r="G1006" s="1440" t="n"/>
      <c r="H1006" s="1567" t="n"/>
      <c r="I1006" s="1351" t="n"/>
      <c r="J1006" s="1351" t="n"/>
      <c r="K1006" s="1351" t="n"/>
      <c r="L1006" s="1351" t="n"/>
      <c r="M1006" s="1351" t="n"/>
      <c r="N1006" s="1351" t="n"/>
      <c r="O1006" s="1351" t="n"/>
      <c r="P1006" s="1349" t="n"/>
    </row>
    <row r="1007" customFormat="1" s="324">
      <c r="A1007" s="1349" t="n"/>
      <c r="B1007" s="1501" t="n"/>
      <c r="C1007" s="1439" t="n"/>
      <c r="D1007" s="1439" t="n"/>
      <c r="E1007" s="1439" t="n"/>
      <c r="F1007" s="1439" t="n"/>
      <c r="G1007" s="1440" t="n"/>
      <c r="H1007" s="1567" t="n"/>
      <c r="I1007" s="1351" t="n"/>
      <c r="J1007" s="1351" t="n"/>
      <c r="K1007" s="1351" t="n"/>
      <c r="L1007" s="1351" t="n"/>
      <c r="M1007" s="1351" t="n"/>
      <c r="N1007" s="1351" t="n"/>
      <c r="O1007" s="1351" t="n"/>
      <c r="P1007" s="1349" t="n"/>
    </row>
    <row r="1008" customFormat="1" s="324">
      <c r="A1008" s="1349" t="n"/>
      <c r="B1008" s="1501" t="n"/>
      <c r="C1008" s="1439" t="n"/>
      <c r="D1008" s="1439" t="n"/>
      <c r="E1008" s="1439" t="n"/>
      <c r="F1008" s="1439" t="n"/>
      <c r="G1008" s="1440" t="n"/>
      <c r="H1008" s="1567" t="n"/>
      <c r="I1008" s="1351" t="n"/>
      <c r="J1008" s="1351" t="n"/>
      <c r="K1008" s="1351" t="n"/>
      <c r="L1008" s="1351" t="n"/>
      <c r="M1008" s="1351" t="n"/>
      <c r="N1008" s="1351" t="n"/>
      <c r="O1008" s="1351" t="n"/>
      <c r="P1008" s="1349" t="n"/>
    </row>
    <row r="1009" customFormat="1" s="324">
      <c r="A1009" s="1349" t="n"/>
      <c r="B1009" s="1501" t="n"/>
      <c r="C1009" s="1439" t="n"/>
      <c r="D1009" s="1439" t="n"/>
      <c r="E1009" s="1439" t="n"/>
      <c r="F1009" s="1439" t="n"/>
      <c r="G1009" s="1440" t="n"/>
      <c r="H1009" s="1567" t="n"/>
      <c r="I1009" s="1351" t="n"/>
      <c r="J1009" s="1351" t="n"/>
      <c r="K1009" s="1351" t="n"/>
      <c r="L1009" s="1351" t="n"/>
      <c r="M1009" s="1351" t="n"/>
      <c r="N1009" s="1351" t="n"/>
      <c r="O1009" s="1351" t="n"/>
      <c r="P1009" s="1349" t="n"/>
    </row>
    <row r="1010" customFormat="1" s="324">
      <c r="A1010" s="1349" t="n"/>
      <c r="B1010" s="1501" t="n"/>
      <c r="C1010" s="1439" t="n"/>
      <c r="D1010" s="1439" t="n"/>
      <c r="E1010" s="1439" t="n"/>
      <c r="F1010" s="1439" t="n"/>
      <c r="G1010" s="1440" t="n"/>
      <c r="H1010" s="1567" t="n"/>
      <c r="I1010" s="1351" t="n"/>
      <c r="J1010" s="1351" t="n"/>
      <c r="K1010" s="1351" t="n"/>
      <c r="L1010" s="1351" t="n"/>
      <c r="M1010" s="1351" t="n"/>
      <c r="N1010" s="1351" t="n"/>
      <c r="O1010" s="1351" t="n"/>
      <c r="P1010" s="1349" t="n"/>
    </row>
    <row r="1011" customFormat="1" s="324">
      <c r="A1011" s="1349" t="n"/>
      <c r="B1011" s="1501" t="n"/>
      <c r="C1011" s="1439" t="n"/>
      <c r="D1011" s="1439" t="n"/>
      <c r="E1011" s="1439" t="n"/>
      <c r="F1011" s="1439" t="n"/>
      <c r="G1011" s="1440" t="n"/>
      <c r="H1011" s="1567" t="n"/>
      <c r="I1011" s="1351" t="n"/>
      <c r="J1011" s="1351" t="n"/>
      <c r="K1011" s="1351" t="n"/>
      <c r="L1011" s="1351" t="n"/>
      <c r="M1011" s="1351" t="n"/>
      <c r="N1011" s="1351" t="n"/>
      <c r="O1011" s="1351" t="n"/>
      <c r="P1011" s="1349" t="n"/>
    </row>
    <row r="1012" customFormat="1" s="324">
      <c r="A1012" s="1349" t="n"/>
      <c r="B1012" s="1501" t="n"/>
      <c r="C1012" s="1439" t="n"/>
      <c r="D1012" s="1439" t="n"/>
      <c r="E1012" s="1439" t="n"/>
      <c r="F1012" s="1439" t="n"/>
      <c r="G1012" s="1440" t="n"/>
      <c r="H1012" s="1567" t="n"/>
      <c r="I1012" s="1351" t="n"/>
      <c r="J1012" s="1351" t="n"/>
      <c r="K1012" s="1351" t="n"/>
      <c r="L1012" s="1351" t="n"/>
      <c r="M1012" s="1351" t="n"/>
      <c r="N1012" s="1351" t="n"/>
      <c r="O1012" s="1351" t="n"/>
      <c r="P1012" s="1349" t="n"/>
    </row>
    <row r="1013" customFormat="1" s="324">
      <c r="A1013" s="1349" t="n"/>
      <c r="B1013" s="1501" t="n"/>
      <c r="C1013" s="1439" t="n"/>
      <c r="D1013" s="1439" t="n"/>
      <c r="E1013" s="1439" t="n"/>
      <c r="F1013" s="1439" t="n"/>
      <c r="G1013" s="1440" t="n"/>
      <c r="H1013" s="1567" t="n"/>
      <c r="I1013" s="1351" t="n"/>
      <c r="J1013" s="1351" t="n"/>
      <c r="K1013" s="1351" t="n"/>
      <c r="L1013" s="1351" t="n"/>
      <c r="M1013" s="1351" t="n"/>
      <c r="N1013" s="1351" t="n"/>
      <c r="O1013" s="1351" t="n"/>
      <c r="P1013" s="1349" t="n"/>
    </row>
    <row r="1014" customFormat="1" s="324">
      <c r="A1014" s="1349" t="n"/>
      <c r="B1014" s="1501" t="n"/>
      <c r="C1014" s="1439" t="n"/>
      <c r="D1014" s="1439" t="n"/>
      <c r="E1014" s="1439" t="n"/>
      <c r="F1014" s="1439" t="n"/>
      <c r="G1014" s="1440" t="n"/>
      <c r="H1014" s="1567" t="n"/>
      <c r="I1014" s="1351" t="n"/>
      <c r="J1014" s="1351" t="n"/>
      <c r="K1014" s="1351" t="n"/>
      <c r="L1014" s="1351" t="n"/>
      <c r="M1014" s="1351" t="n"/>
      <c r="N1014" s="1351" t="n"/>
      <c r="O1014" s="1351" t="n"/>
      <c r="P1014" s="1349" t="n"/>
    </row>
    <row r="1015" customFormat="1" s="324">
      <c r="A1015" s="1349" t="n"/>
      <c r="B1015" s="1501" t="n"/>
      <c r="C1015" s="1439" t="n"/>
      <c r="D1015" s="1439" t="n"/>
      <c r="E1015" s="1439" t="n"/>
      <c r="F1015" s="1439" t="n"/>
      <c r="G1015" s="1440" t="n"/>
      <c r="H1015" s="1567" t="n"/>
      <c r="I1015" s="1351" t="n"/>
      <c r="J1015" s="1351" t="n"/>
      <c r="K1015" s="1351" t="n"/>
      <c r="L1015" s="1351" t="n"/>
      <c r="M1015" s="1351" t="n"/>
      <c r="N1015" s="1351" t="n"/>
      <c r="O1015" s="1351" t="n"/>
      <c r="P1015" s="1349" t="n"/>
    </row>
    <row r="1016" customFormat="1" s="324">
      <c r="A1016" s="1349" t="n"/>
      <c r="B1016" s="1501" t="n"/>
      <c r="C1016" s="1439" t="n"/>
      <c r="D1016" s="1439" t="n"/>
      <c r="E1016" s="1439" t="n"/>
      <c r="F1016" s="1439" t="n"/>
      <c r="G1016" s="1440" t="n"/>
      <c r="H1016" s="1567" t="n"/>
      <c r="I1016" s="1351" t="n"/>
      <c r="J1016" s="1351" t="n"/>
      <c r="K1016" s="1351" t="n"/>
      <c r="L1016" s="1351" t="n"/>
      <c r="M1016" s="1351" t="n"/>
      <c r="N1016" s="1351" t="n"/>
      <c r="O1016" s="1351" t="n"/>
      <c r="P1016" s="1349" t="n"/>
    </row>
    <row r="1017" customFormat="1" s="324">
      <c r="A1017" s="1349" t="n"/>
      <c r="B1017" s="1501" t="n"/>
      <c r="C1017" s="1439" t="n"/>
      <c r="D1017" s="1439" t="n"/>
      <c r="E1017" s="1439" t="n"/>
      <c r="F1017" s="1439" t="n"/>
      <c r="G1017" s="1440" t="n"/>
      <c r="H1017" s="1567" t="n"/>
      <c r="I1017" s="1351" t="n"/>
      <c r="J1017" s="1351" t="n"/>
      <c r="K1017" s="1351" t="n"/>
      <c r="L1017" s="1351" t="n"/>
      <c r="M1017" s="1351" t="n"/>
      <c r="N1017" s="1351" t="n"/>
      <c r="O1017" s="1351" t="n"/>
      <c r="P1017" s="1349" t="n"/>
    </row>
    <row r="1018" customFormat="1" s="324">
      <c r="A1018" s="1349" t="n"/>
      <c r="B1018" s="1501" t="n"/>
      <c r="C1018" s="1439" t="n"/>
      <c r="D1018" s="1439" t="n"/>
      <c r="E1018" s="1439" t="n"/>
      <c r="F1018" s="1439" t="n"/>
      <c r="G1018" s="1440" t="n"/>
      <c r="H1018" s="1567" t="n"/>
      <c r="I1018" s="1351" t="n"/>
      <c r="J1018" s="1351" t="n"/>
      <c r="K1018" s="1351" t="n"/>
      <c r="L1018" s="1351" t="n"/>
      <c r="M1018" s="1351" t="n"/>
      <c r="N1018" s="1351" t="n"/>
      <c r="O1018" s="1351" t="n"/>
      <c r="P1018" s="1349" t="n"/>
    </row>
    <row r="1019" customFormat="1" s="324">
      <c r="A1019" s="1349" t="n"/>
      <c r="B1019" s="1501" t="n"/>
      <c r="C1019" s="1439" t="n"/>
      <c r="D1019" s="1439" t="n"/>
      <c r="E1019" s="1439" t="n"/>
      <c r="F1019" s="1439" t="n"/>
      <c r="G1019" s="1440" t="n"/>
      <c r="H1019" s="1567" t="n"/>
      <c r="I1019" s="1351" t="n"/>
      <c r="J1019" s="1351" t="n"/>
      <c r="K1019" s="1351" t="n"/>
      <c r="L1019" s="1351" t="n"/>
      <c r="M1019" s="1351" t="n"/>
      <c r="N1019" s="1351" t="n"/>
      <c r="O1019" s="1351" t="n"/>
      <c r="P1019" s="1349" t="n"/>
    </row>
    <row r="1020" customFormat="1" s="324">
      <c r="A1020" s="1349" t="n"/>
      <c r="B1020" s="1501" t="n"/>
      <c r="C1020" s="1439" t="n"/>
      <c r="D1020" s="1439" t="n"/>
      <c r="E1020" s="1439" t="n"/>
      <c r="F1020" s="1439" t="n"/>
      <c r="G1020" s="1440" t="n"/>
      <c r="H1020" s="1567" t="n"/>
      <c r="I1020" s="1351" t="n"/>
      <c r="J1020" s="1351" t="n"/>
      <c r="K1020" s="1351" t="n"/>
      <c r="L1020" s="1351" t="n"/>
      <c r="M1020" s="1351" t="n"/>
      <c r="N1020" s="1351" t="n"/>
      <c r="O1020" s="1351" t="n"/>
      <c r="P1020" s="1349" t="n"/>
    </row>
    <row r="1021" customFormat="1" s="324">
      <c r="A1021" s="1349" t="n"/>
      <c r="B1021" s="1501" t="n"/>
      <c r="C1021" s="1439" t="n"/>
      <c r="D1021" s="1439" t="n"/>
      <c r="E1021" s="1439" t="n"/>
      <c r="F1021" s="1439" t="n"/>
      <c r="G1021" s="1440" t="n"/>
      <c r="H1021" s="1567" t="n"/>
      <c r="I1021" s="1351" t="n"/>
      <c r="J1021" s="1351" t="n"/>
      <c r="K1021" s="1351" t="n"/>
      <c r="L1021" s="1351" t="n"/>
      <c r="M1021" s="1351" t="n"/>
      <c r="N1021" s="1351" t="n"/>
      <c r="O1021" s="1351" t="n"/>
      <c r="P1021" s="1349" t="n"/>
    </row>
    <row r="1022" customFormat="1" s="324">
      <c r="A1022" s="1349" t="n"/>
      <c r="B1022" s="1501" t="n"/>
      <c r="C1022" s="1439" t="n"/>
      <c r="D1022" s="1439" t="n"/>
      <c r="E1022" s="1439" t="n"/>
      <c r="F1022" s="1439" t="n"/>
      <c r="G1022" s="1440" t="n"/>
      <c r="H1022" s="1567" t="n"/>
      <c r="I1022" s="1351" t="n"/>
      <c r="J1022" s="1351" t="n"/>
      <c r="K1022" s="1351" t="n"/>
      <c r="L1022" s="1351" t="n"/>
      <c r="M1022" s="1351" t="n"/>
      <c r="N1022" s="1351" t="n"/>
      <c r="O1022" s="1351" t="n"/>
      <c r="P1022" s="1349" t="n"/>
    </row>
    <row r="1023" customFormat="1" s="324">
      <c r="A1023" s="1349" t="n"/>
      <c r="B1023" s="1501" t="n"/>
      <c r="C1023" s="1439" t="n"/>
      <c r="D1023" s="1439" t="n"/>
      <c r="E1023" s="1439" t="n"/>
      <c r="F1023" s="1439" t="n"/>
      <c r="G1023" s="1440" t="n"/>
      <c r="H1023" s="1567" t="n"/>
      <c r="I1023" s="1351" t="n"/>
      <c r="J1023" s="1351" t="n"/>
      <c r="K1023" s="1351" t="n"/>
      <c r="L1023" s="1351" t="n"/>
      <c r="M1023" s="1351" t="n"/>
      <c r="N1023" s="1351" t="n"/>
      <c r="O1023" s="1351" t="n"/>
      <c r="P1023" s="1349" t="n"/>
    </row>
    <row r="1024" customFormat="1" s="324">
      <c r="A1024" s="1349" t="n"/>
      <c r="B1024" s="1501" t="n"/>
      <c r="C1024" s="1439" t="n"/>
      <c r="D1024" s="1439" t="n"/>
      <c r="E1024" s="1439" t="n"/>
      <c r="F1024" s="1439" t="n"/>
      <c r="G1024" s="1440" t="n"/>
      <c r="H1024" s="1567" t="n"/>
      <c r="I1024" s="1351" t="n"/>
      <c r="J1024" s="1351" t="n"/>
      <c r="K1024" s="1351" t="n"/>
      <c r="L1024" s="1351" t="n"/>
      <c r="M1024" s="1351" t="n"/>
      <c r="N1024" s="1351" t="n"/>
      <c r="O1024" s="1351" t="n"/>
      <c r="P1024" s="1349" t="n"/>
    </row>
    <row r="1025" customFormat="1" s="324">
      <c r="A1025" s="1349" t="n"/>
      <c r="B1025" s="1501" t="n"/>
      <c r="C1025" s="1439" t="n"/>
      <c r="D1025" s="1439" t="n"/>
      <c r="E1025" s="1439" t="n"/>
      <c r="F1025" s="1439" t="n"/>
      <c r="G1025" s="1440" t="n"/>
      <c r="H1025" s="1567" t="n"/>
      <c r="I1025" s="1351" t="n"/>
      <c r="J1025" s="1389" t="inlineStr">
        <is>
          <t xml:space="preserve"> </t>
        </is>
      </c>
      <c r="K1025" s="1351" t="n"/>
      <c r="L1025" s="1351" t="n"/>
      <c r="M1025" s="1351" t="n"/>
      <c r="N1025" s="1351" t="n"/>
      <c r="O1025" s="1351" t="n"/>
      <c r="P1025" s="1349" t="n"/>
    </row>
    <row r="1026" customFormat="1" s="324">
      <c r="A1026" s="1349" t="n"/>
      <c r="B1026" s="1501" t="n"/>
      <c r="C1026" s="1439" t="n"/>
      <c r="D1026" s="1439" t="n"/>
      <c r="E1026" s="1439" t="n"/>
      <c r="F1026" s="1439" t="n"/>
      <c r="G1026" s="1440" t="n"/>
      <c r="H1026" s="1567" t="n"/>
      <c r="I1026" s="1351" t="n"/>
      <c r="J1026" s="1351" t="n"/>
      <c r="K1026" s="1351" t="n"/>
      <c r="L1026" s="1351" t="n"/>
      <c r="M1026" s="1351" t="n"/>
      <c r="N1026" s="1351" t="n"/>
      <c r="O1026" s="1351" t="n"/>
      <c r="P1026" s="1349" t="n"/>
    </row>
    <row r="1027" customFormat="1" s="324">
      <c r="A1027" s="1349" t="n"/>
      <c r="B1027" s="1501" t="n"/>
      <c r="C1027" s="1439" t="n"/>
      <c r="D1027" s="1439" t="n"/>
      <c r="E1027" s="1439" t="n"/>
      <c r="F1027" s="1439" t="n"/>
      <c r="G1027" s="1440" t="n"/>
      <c r="H1027" s="1567" t="n"/>
      <c r="I1027" s="1351" t="n"/>
      <c r="J1027" s="1351" t="n"/>
      <c r="K1027" s="1351" t="n"/>
      <c r="L1027" s="1351" t="n"/>
      <c r="M1027" s="1351" t="n"/>
      <c r="N1027" s="1351" t="n"/>
      <c r="O1027" s="1351" t="n"/>
      <c r="P1027" s="1349" t="n"/>
    </row>
    <row r="1028" customFormat="1" s="324">
      <c r="A1028" s="1349" t="n"/>
      <c r="B1028" s="1501" t="n"/>
      <c r="C1028" s="1439" t="n"/>
      <c r="D1028" s="1439" t="n"/>
      <c r="E1028" s="1439" t="n"/>
      <c r="F1028" s="1439" t="n"/>
      <c r="G1028" s="1440" t="n"/>
      <c r="H1028" s="1567" t="n"/>
      <c r="I1028" s="1351" t="n"/>
      <c r="J1028" s="1351" t="n"/>
      <c r="K1028" s="1351" t="n"/>
      <c r="L1028" s="1351" t="n"/>
      <c r="M1028" s="1351" t="n"/>
      <c r="N1028" s="1351" t="n"/>
      <c r="O1028" s="1351" t="n"/>
      <c r="P1028" s="1349" t="n"/>
    </row>
    <row r="1029" customFormat="1" s="324">
      <c r="A1029" s="1349" t="n"/>
      <c r="B1029" s="1501" t="n"/>
      <c r="C1029" s="1439" t="n"/>
      <c r="D1029" s="1439" t="n"/>
      <c r="E1029" s="1439" t="n"/>
      <c r="F1029" s="1439" t="n"/>
      <c r="G1029" s="1440" t="n"/>
      <c r="H1029" s="1567" t="n"/>
      <c r="I1029" s="1351" t="n"/>
      <c r="J1029" s="1351" t="n"/>
      <c r="K1029" s="1351" t="n"/>
      <c r="L1029" s="1351" t="n"/>
      <c r="M1029" s="1351" t="n"/>
      <c r="N1029" s="1351" t="n"/>
      <c r="O1029" s="1351" t="n"/>
      <c r="P1029" s="1349" t="n"/>
    </row>
    <row r="1030" customFormat="1" s="324">
      <c r="A1030" s="1349" t="n"/>
      <c r="B1030" s="1501" t="n"/>
      <c r="C1030" s="1439" t="n"/>
      <c r="D1030" s="1439" t="n"/>
      <c r="E1030" s="1439" t="n"/>
      <c r="F1030" s="1439" t="n"/>
      <c r="G1030" s="1440" t="n"/>
      <c r="H1030" s="1567" t="n"/>
      <c r="I1030" s="1351" t="n"/>
      <c r="J1030" s="1351" t="n"/>
      <c r="K1030" s="1351" t="n"/>
      <c r="L1030" s="1351" t="n"/>
      <c r="M1030" s="1351" t="n"/>
      <c r="N1030" s="1351" t="n"/>
      <c r="O1030" s="1351" t="n"/>
      <c r="P1030" s="1349" t="n"/>
    </row>
    <row r="1031" customFormat="1" s="324">
      <c r="A1031" s="1349" t="n"/>
      <c r="B1031" s="1501" t="n"/>
      <c r="C1031" s="1439" t="n"/>
      <c r="D1031" s="1439" t="n"/>
      <c r="E1031" s="1439" t="n"/>
      <c r="F1031" s="1439" t="n"/>
      <c r="G1031" s="1440" t="n"/>
      <c r="H1031" s="1567" t="n"/>
      <c r="I1031" s="1351" t="n"/>
      <c r="J1031" s="1351" t="n"/>
      <c r="K1031" s="1351" t="n"/>
      <c r="L1031" s="1351" t="n"/>
      <c r="M1031" s="1351" t="n"/>
      <c r="N1031" s="1351" t="n"/>
      <c r="O1031" s="1351" t="n"/>
      <c r="P1031" s="1349" t="n"/>
    </row>
    <row r="1032" customFormat="1" s="324">
      <c r="A1032" s="1349" t="n"/>
      <c r="B1032" s="1501" t="n"/>
      <c r="C1032" s="1439" t="n"/>
      <c r="D1032" s="1439" t="n"/>
      <c r="E1032" s="1439" t="n"/>
      <c r="F1032" s="1439" t="n"/>
      <c r="G1032" s="1440" t="n"/>
      <c r="H1032" s="1567" t="n"/>
      <c r="I1032" s="1351" t="n"/>
      <c r="J1032" s="1351" t="n"/>
      <c r="K1032" s="1351" t="n"/>
      <c r="L1032" s="1351" t="n"/>
      <c r="M1032" s="1351" t="n"/>
      <c r="N1032" s="1351" t="n"/>
      <c r="O1032" s="1351" t="n"/>
      <c r="P1032" s="1349" t="n"/>
    </row>
    <row r="1033" customFormat="1" s="324">
      <c r="A1033" s="1349" t="n"/>
      <c r="B1033" s="1501" t="n"/>
      <c r="C1033" s="1439" t="n"/>
      <c r="D1033" s="1439" t="n"/>
      <c r="E1033" s="1439" t="n"/>
      <c r="F1033" s="1439" t="n"/>
      <c r="G1033" s="1440" t="n"/>
      <c r="H1033" s="1567" t="n"/>
      <c r="I1033" s="1351" t="n"/>
      <c r="J1033" s="1351" t="n"/>
      <c r="K1033" s="1351" t="n"/>
      <c r="L1033" s="1351" t="n"/>
      <c r="M1033" s="1351" t="n"/>
      <c r="N1033" s="1351" t="n"/>
      <c r="O1033" s="1351" t="n"/>
      <c r="P1033" s="1349" t="n"/>
    </row>
    <row r="1034" customFormat="1" s="324">
      <c r="A1034" s="1349" t="n"/>
      <c r="B1034" s="1501" t="n"/>
      <c r="C1034" s="1439" t="n"/>
      <c r="D1034" s="1439" t="n"/>
      <c r="E1034" s="1439" t="n"/>
      <c r="F1034" s="1439" t="n"/>
      <c r="G1034" s="1440" t="n"/>
      <c r="H1034" s="1567" t="n"/>
      <c r="I1034" s="1351" t="n"/>
      <c r="J1034" s="1351" t="n"/>
      <c r="K1034" s="1351" t="n"/>
      <c r="L1034" s="1351" t="n"/>
      <c r="M1034" s="1351" t="n"/>
      <c r="N1034" s="1351" t="n"/>
      <c r="O1034" s="1351" t="n"/>
      <c r="P1034" s="1349" t="n"/>
    </row>
    <row r="1035" customFormat="1" s="324">
      <c r="A1035" s="1349" t="n"/>
      <c r="B1035" s="1501" t="n"/>
      <c r="C1035" s="1439" t="n"/>
      <c r="D1035" s="1439" t="n"/>
      <c r="E1035" s="1439" t="n"/>
      <c r="F1035" s="1439" t="n"/>
      <c r="G1035" s="1440" t="n"/>
      <c r="H1035" s="1567" t="n"/>
      <c r="I1035" s="1351" t="n"/>
      <c r="J1035" s="1351" t="n"/>
      <c r="K1035" s="1351" t="n"/>
      <c r="L1035" s="1351" t="n"/>
      <c r="M1035" s="1351" t="n"/>
      <c r="N1035" s="1351" t="n"/>
      <c r="O1035" s="1351" t="n"/>
      <c r="P1035" s="1349" t="n"/>
    </row>
    <row r="1036" customFormat="1" s="324">
      <c r="A1036" s="1349" t="n"/>
      <c r="B1036" s="1501" t="n"/>
      <c r="C1036" s="1439" t="n"/>
      <c r="D1036" s="1439" t="n"/>
      <c r="E1036" s="1439" t="n"/>
      <c r="F1036" s="1439" t="n"/>
      <c r="G1036" s="1440" t="n"/>
      <c r="H1036" s="1567" t="n"/>
      <c r="I1036" s="1351" t="n"/>
      <c r="J1036" s="1351" t="n"/>
      <c r="K1036" s="1351" t="n"/>
      <c r="L1036" s="1351" t="n"/>
      <c r="M1036" s="1351" t="n"/>
      <c r="N1036" s="1351" t="n"/>
      <c r="O1036" s="1351" t="n"/>
      <c r="P1036" s="1349" t="n"/>
    </row>
    <row r="1037" customFormat="1" s="324">
      <c r="A1037" s="1349" t="n"/>
      <c r="B1037" s="1501" t="n"/>
      <c r="C1037" s="1439" t="n"/>
      <c r="D1037" s="1439" t="n"/>
      <c r="E1037" s="1439" t="n"/>
      <c r="F1037" s="1439" t="n"/>
      <c r="G1037" s="1440" t="n"/>
      <c r="H1037" s="1567" t="n"/>
      <c r="I1037" s="1351" t="n"/>
      <c r="J1037" s="1351" t="n"/>
      <c r="K1037" s="1351" t="n"/>
      <c r="L1037" s="1351" t="n"/>
      <c r="M1037" s="1351" t="n"/>
      <c r="N1037" s="1351" t="n"/>
      <c r="O1037" s="1351" t="n"/>
      <c r="P1037" s="1349" t="n"/>
    </row>
    <row r="1038" customFormat="1" s="324">
      <c r="A1038" s="1349" t="n"/>
      <c r="B1038" s="1501" t="n"/>
      <c r="C1038" s="1439" t="n"/>
      <c r="D1038" s="1439" t="n"/>
      <c r="E1038" s="1439" t="n"/>
      <c r="F1038" s="1439" t="n"/>
      <c r="G1038" s="1440" t="n"/>
      <c r="H1038" s="1567" t="n"/>
      <c r="I1038" s="1351" t="n"/>
      <c r="J1038" s="1351" t="n"/>
      <c r="K1038" s="1351" t="n"/>
      <c r="L1038" s="1351" t="n"/>
      <c r="M1038" s="1351" t="n"/>
      <c r="N1038" s="1351" t="n"/>
      <c r="O1038" s="1351" t="n"/>
      <c r="P1038" s="1349" t="n"/>
    </row>
    <row r="1039" customFormat="1" s="324">
      <c r="A1039" s="1349" t="n"/>
      <c r="B1039" s="1501" t="n"/>
      <c r="C1039" s="1439" t="n"/>
      <c r="D1039" s="1439" t="n"/>
      <c r="E1039" s="1439" t="n"/>
      <c r="F1039" s="1439" t="n"/>
      <c r="G1039" s="1440" t="n"/>
      <c r="H1039" s="1567" t="n"/>
      <c r="I1039" s="1351" t="n"/>
      <c r="J1039" s="1351" t="n"/>
      <c r="K1039" s="1351" t="n"/>
      <c r="L1039" s="1351" t="n"/>
      <c r="M1039" s="1351" t="n"/>
      <c r="N1039" s="1351" t="n"/>
      <c r="O1039" s="1351" t="n"/>
      <c r="P1039" s="1349" t="n"/>
    </row>
    <row r="1040" customFormat="1" s="324">
      <c r="A1040" s="1349" t="n"/>
      <c r="B1040" s="1501" t="n"/>
      <c r="C1040" s="1439" t="n"/>
      <c r="D1040" s="1439" t="n"/>
      <c r="E1040" s="1439" t="n"/>
      <c r="F1040" s="1439" t="n"/>
      <c r="G1040" s="1440" t="n"/>
      <c r="H1040" s="1567" t="n"/>
      <c r="I1040" s="1351" t="n"/>
      <c r="J1040" s="1351" t="n"/>
      <c r="K1040" s="1351" t="n"/>
      <c r="L1040" s="1351" t="n"/>
      <c r="M1040" s="1351" t="n"/>
      <c r="N1040" s="1351" t="n"/>
      <c r="O1040" s="1351" t="n"/>
      <c r="P1040" s="1349" t="n"/>
    </row>
    <row r="1041" customFormat="1" s="324">
      <c r="A1041" s="1349" t="n"/>
      <c r="B1041" s="1501" t="n"/>
      <c r="C1041" s="1439" t="n"/>
      <c r="D1041" s="1439" t="n"/>
      <c r="E1041" s="1439" t="n"/>
      <c r="F1041" s="1439" t="n"/>
      <c r="G1041" s="1440" t="n"/>
      <c r="H1041" s="1567" t="n"/>
      <c r="I1041" s="1351" t="n"/>
      <c r="J1041" s="1351" t="n"/>
      <c r="K1041" s="1351" t="n"/>
      <c r="L1041" s="1351" t="n"/>
      <c r="M1041" s="1351" t="n"/>
      <c r="N1041" s="1351" t="n"/>
      <c r="O1041" s="1351" t="n"/>
      <c r="P1041" s="1349" t="n"/>
    </row>
    <row r="1042" customFormat="1" s="324">
      <c r="A1042" s="1349" t="n"/>
      <c r="B1042" s="1501" t="n"/>
      <c r="C1042" s="1439" t="n"/>
      <c r="D1042" s="1439" t="n"/>
      <c r="E1042" s="1439" t="n"/>
      <c r="F1042" s="1439" t="n"/>
      <c r="G1042" s="1440" t="n"/>
      <c r="H1042" s="1567" t="n"/>
      <c r="I1042" s="1351" t="n"/>
      <c r="J1042" s="1351" t="n"/>
      <c r="K1042" s="1351" t="n"/>
      <c r="L1042" s="1351" t="n"/>
      <c r="M1042" s="1351" t="n"/>
      <c r="N1042" s="1351" t="n"/>
      <c r="O1042" s="1351" t="n"/>
      <c r="P1042" s="1349" t="n"/>
    </row>
    <row r="1043">
      <c r="A1043" s="1349" t="n"/>
      <c r="B1043" s="1349" t="n"/>
      <c r="C1043" s="1351" t="n"/>
      <c r="D1043" s="1351" t="n"/>
      <c r="E1043" s="1351" t="n"/>
      <c r="F1043" s="1351" t="n"/>
      <c r="G1043" s="1351" t="n"/>
      <c r="H1043" s="1351" t="n"/>
      <c r="I1043" s="1351" t="n"/>
      <c r="J1043" s="1351" t="n"/>
      <c r="K1043" s="1351" t="n"/>
      <c r="L1043" s="1351" t="n"/>
      <c r="M1043" s="1351" t="n"/>
      <c r="N1043" s="1351" t="n"/>
      <c r="O1043" s="1351" t="n"/>
      <c r="P1043" s="1349" t="n"/>
    </row>
    <row r="1044">
      <c r="A1044" s="1349" t="n"/>
      <c r="B1044" s="1349" t="n"/>
      <c r="C1044" s="1351" t="n"/>
      <c r="D1044" s="1351" t="n"/>
      <c r="E1044" s="1351" t="n"/>
      <c r="F1044" s="1351" t="n"/>
      <c r="G1044" s="1351" t="n"/>
      <c r="H1044" s="1351" t="n"/>
      <c r="I1044" s="1351" t="n"/>
      <c r="J1044" s="1351" t="n"/>
      <c r="K1044" s="1351" t="n"/>
      <c r="L1044" s="1351" t="n"/>
      <c r="M1044" s="1351" t="n"/>
      <c r="N1044" s="1351" t="n"/>
      <c r="O1044" s="1351" t="n"/>
      <c r="P1044" s="1349" t="n"/>
    </row>
    <row r="1045" customFormat="1" s="324">
      <c r="A1045" s="1349" t="n"/>
      <c r="B1045" s="1501" t="n"/>
      <c r="C1045" s="1439" t="n"/>
      <c r="D1045" s="1439" t="n"/>
      <c r="E1045" s="1439" t="n"/>
      <c r="F1045" s="1439" t="n"/>
      <c r="G1045" s="1440" t="n"/>
      <c r="H1045" s="1567" t="n"/>
      <c r="I1045" s="1351" t="n"/>
      <c r="J1045" s="1351" t="n"/>
      <c r="K1045" s="1351" t="n"/>
      <c r="L1045" s="1351" t="n"/>
      <c r="M1045" s="1351" t="n"/>
      <c r="N1045" s="1351" t="n"/>
      <c r="O1045" s="1351" t="n"/>
      <c r="P1045" s="1349" t="n"/>
    </row>
    <row r="1046" customFormat="1" s="324">
      <c r="A1046" s="1349" t="n"/>
      <c r="B1046" s="1501" t="n"/>
      <c r="C1046" s="1439" t="n"/>
      <c r="D1046" s="1439" t="n"/>
      <c r="E1046" s="1439" t="n"/>
      <c r="F1046" s="1439" t="n"/>
      <c r="G1046" s="1440" t="n"/>
      <c r="H1046" s="1567" t="n"/>
      <c r="I1046" s="1351" t="n"/>
      <c r="J1046" s="1351" t="n"/>
      <c r="K1046" s="1351" t="n"/>
      <c r="L1046" s="1351" t="n"/>
      <c r="M1046" s="1351" t="n"/>
      <c r="N1046" s="1351" t="n"/>
      <c r="O1046" s="1351" t="n"/>
      <c r="P1046" s="1349" t="n"/>
    </row>
    <row r="1047" customFormat="1" s="324">
      <c r="A1047" s="1349" t="n"/>
      <c r="B1047" s="1501" t="n"/>
      <c r="C1047" s="1439" t="n"/>
      <c r="D1047" s="1439" t="n"/>
      <c r="E1047" s="1439" t="n"/>
      <c r="F1047" s="1439" t="n"/>
      <c r="G1047" s="1440" t="n"/>
      <c r="H1047" s="1567" t="n"/>
      <c r="I1047" s="1351" t="n"/>
      <c r="J1047" s="1351" t="n"/>
      <c r="K1047" s="1351" t="n"/>
      <c r="L1047" s="1351" t="n"/>
      <c r="M1047" s="1351" t="n"/>
      <c r="N1047" s="1351" t="n"/>
      <c r="O1047" s="1351" t="n"/>
      <c r="P1047" s="1349" t="n"/>
    </row>
    <row r="1048" customFormat="1" s="324">
      <c r="A1048" s="1349" t="n"/>
      <c r="B1048" s="1501" t="n"/>
      <c r="C1048" s="1439" t="n"/>
      <c r="D1048" s="1439" t="n"/>
      <c r="E1048" s="1439" t="n"/>
      <c r="F1048" s="1439" t="n"/>
      <c r="G1048" s="1440" t="n"/>
      <c r="H1048" s="1567" t="n"/>
      <c r="I1048" s="1351" t="n"/>
      <c r="J1048" s="1351" t="n"/>
      <c r="K1048" s="1351" t="n"/>
      <c r="L1048" s="1351" t="n"/>
      <c r="M1048" s="1351" t="n"/>
      <c r="N1048" s="1351" t="n"/>
      <c r="O1048" s="1351" t="n"/>
      <c r="P1048" s="1349" t="n"/>
    </row>
    <row r="1049" customFormat="1" s="324">
      <c r="A1049" s="1349" t="n"/>
      <c r="B1049" s="1501" t="n"/>
      <c r="C1049" s="1439" t="n"/>
      <c r="D1049" s="1439" t="n"/>
      <c r="E1049" s="1439" t="n"/>
      <c r="F1049" s="1439" t="n"/>
      <c r="G1049" s="1440" t="n"/>
      <c r="H1049" s="1567" t="n"/>
      <c r="I1049" s="1351" t="n"/>
      <c r="J1049" s="1351" t="n"/>
      <c r="K1049" s="1351" t="n"/>
      <c r="L1049" s="1351" t="n"/>
      <c r="M1049" s="1351" t="n"/>
      <c r="N1049" s="1351" t="n"/>
      <c r="O1049" s="1351" t="n"/>
      <c r="P1049" s="1349" t="n"/>
    </row>
    <row r="1050" customFormat="1" s="324">
      <c r="A1050" s="1349" t="n"/>
      <c r="B1050" s="1501" t="n"/>
      <c r="C1050" s="1439" t="n"/>
      <c r="D1050" s="1439" t="n"/>
      <c r="E1050" s="1439" t="n"/>
      <c r="F1050" s="1439" t="n"/>
      <c r="G1050" s="1440" t="n"/>
      <c r="H1050" s="1567" t="n"/>
      <c r="I1050" s="1351" t="n"/>
      <c r="J1050" s="1351" t="n"/>
      <c r="K1050" s="1351" t="n"/>
      <c r="L1050" s="1351" t="n"/>
      <c r="M1050" s="1351" t="n"/>
      <c r="N1050" s="1351" t="n"/>
      <c r="O1050" s="1351" t="n"/>
      <c r="P1050" s="1349" t="n"/>
    </row>
    <row r="1051" customFormat="1" s="324">
      <c r="A1051" s="1349" t="n"/>
      <c r="B1051" s="1501" t="n"/>
      <c r="C1051" s="1439" t="n"/>
      <c r="D1051" s="1439" t="n"/>
      <c r="E1051" s="1439" t="n"/>
      <c r="F1051" s="1439" t="n"/>
      <c r="G1051" s="1440" t="n"/>
      <c r="H1051" s="1567" t="n"/>
      <c r="I1051" s="1351" t="n"/>
      <c r="J1051" s="1351" t="n"/>
      <c r="K1051" s="1351" t="n"/>
      <c r="L1051" s="1351" t="n"/>
      <c r="M1051" s="1351" t="n"/>
      <c r="N1051" s="1351" t="n"/>
      <c r="O1051" s="1351" t="n"/>
      <c r="P1051" s="1349" t="n"/>
    </row>
    <row r="1052" customFormat="1" s="324">
      <c r="A1052" s="1349" t="n"/>
      <c r="B1052" s="1501" t="n"/>
      <c r="C1052" s="1439" t="n"/>
      <c r="D1052" s="1439" t="n"/>
      <c r="E1052" s="1439" t="n"/>
      <c r="F1052" s="1439" t="n"/>
      <c r="G1052" s="1440" t="n"/>
      <c r="H1052" s="1567" t="n"/>
      <c r="I1052" s="1351" t="n"/>
      <c r="J1052" s="1351" t="n"/>
      <c r="K1052" s="1351" t="n"/>
      <c r="L1052" s="1351" t="n"/>
      <c r="M1052" s="1351" t="n"/>
      <c r="N1052" s="1351" t="n"/>
      <c r="O1052" s="1351" t="n"/>
      <c r="P1052" s="1349" t="n"/>
    </row>
    <row r="1053" customFormat="1" s="324">
      <c r="A1053" s="1349" t="n"/>
      <c r="B1053" s="1501" t="n"/>
      <c r="C1053" s="1439" t="n"/>
      <c r="D1053" s="1439" t="n"/>
      <c r="E1053" s="1439" t="n"/>
      <c r="F1053" s="1439" t="n"/>
      <c r="G1053" s="1440" t="n"/>
      <c r="H1053" s="1567" t="n"/>
      <c r="I1053" s="1351" t="n"/>
      <c r="J1053" s="1351" t="n"/>
      <c r="K1053" s="1351" t="n"/>
      <c r="L1053" s="1351" t="n"/>
      <c r="M1053" s="1351" t="n"/>
      <c r="N1053" s="1351" t="n"/>
      <c r="O1053" s="1351" t="n"/>
      <c r="P1053" s="1349" t="n"/>
    </row>
    <row r="1054" customFormat="1" s="324">
      <c r="A1054" s="1349" t="n"/>
      <c r="B1054" s="1501" t="n"/>
      <c r="C1054" s="1439" t="n"/>
      <c r="D1054" s="1439" t="n"/>
      <c r="E1054" s="1439" t="n"/>
      <c r="F1054" s="1439" t="n"/>
      <c r="G1054" s="1440" t="n"/>
      <c r="H1054" s="1567" t="n"/>
      <c r="I1054" s="1351" t="n"/>
      <c r="J1054" s="1351" t="n"/>
      <c r="K1054" s="1351" t="n"/>
      <c r="L1054" s="1351" t="n"/>
      <c r="M1054" s="1351" t="n"/>
      <c r="N1054" s="1351" t="n"/>
      <c r="O1054" s="1351" t="n"/>
      <c r="P1054" s="1349" t="n"/>
    </row>
    <row r="1055" customFormat="1" s="324">
      <c r="A1055" s="1349" t="n"/>
      <c r="B1055" s="1501" t="n"/>
      <c r="C1055" s="1439" t="n"/>
      <c r="D1055" s="1439" t="n"/>
      <c r="E1055" s="1439" t="n"/>
      <c r="F1055" s="1439" t="n"/>
      <c r="G1055" s="1440" t="n"/>
      <c r="H1055" s="1567" t="n"/>
      <c r="I1055" s="1351" t="n"/>
      <c r="J1055" s="1351" t="n"/>
      <c r="K1055" s="1351" t="n"/>
      <c r="L1055" s="1351" t="n"/>
      <c r="M1055" s="1351" t="n"/>
      <c r="N1055" s="1351" t="n"/>
      <c r="O1055" s="1351" t="n"/>
      <c r="P1055" s="1349" t="n"/>
    </row>
    <row r="1056" customFormat="1" s="324">
      <c r="A1056" s="1349" t="n"/>
      <c r="B1056" s="1501" t="n"/>
      <c r="C1056" s="1439" t="n"/>
      <c r="D1056" s="1439" t="n"/>
      <c r="E1056" s="1439" t="n"/>
      <c r="F1056" s="1439" t="n"/>
      <c r="G1056" s="1440" t="n"/>
      <c r="H1056" s="1567" t="n"/>
      <c r="I1056" s="1351" t="n"/>
      <c r="J1056" s="1351" t="n"/>
      <c r="K1056" s="1351" t="n"/>
      <c r="L1056" s="1351" t="n"/>
      <c r="M1056" s="1351" t="n"/>
      <c r="N1056" s="1351" t="n"/>
      <c r="O1056" s="1351" t="n"/>
      <c r="P1056" s="1349" t="n"/>
    </row>
    <row r="1057" customFormat="1" s="324">
      <c r="A1057" s="1349" t="n"/>
      <c r="B1057" s="1501" t="n"/>
      <c r="C1057" s="1439" t="n"/>
      <c r="D1057" s="1439" t="n"/>
      <c r="E1057" s="1439" t="n"/>
      <c r="F1057" s="1439" t="n"/>
      <c r="G1057" s="1440" t="n"/>
      <c r="H1057" s="1567" t="n"/>
      <c r="I1057" s="1351" t="n"/>
      <c r="J1057" s="1351" t="n"/>
      <c r="K1057" s="1351" t="n"/>
      <c r="L1057" s="1351" t="n"/>
      <c r="M1057" s="1351" t="n"/>
      <c r="N1057" s="1351" t="n"/>
      <c r="O1057" s="1351" t="n"/>
      <c r="P1057" s="1349" t="n"/>
    </row>
    <row r="1058" customFormat="1" s="324">
      <c r="A1058" s="1349" t="n"/>
      <c r="B1058" s="1501" t="n"/>
      <c r="C1058" s="1439" t="n"/>
      <c r="D1058" s="1439" t="n"/>
      <c r="E1058" s="1439" t="n"/>
      <c r="F1058" s="1439" t="n"/>
      <c r="G1058" s="1440" t="n"/>
      <c r="H1058" s="1567" t="n"/>
      <c r="I1058" s="1351" t="n"/>
      <c r="J1058" s="1351" t="n"/>
      <c r="K1058" s="1351" t="n"/>
      <c r="L1058" s="1351" t="n"/>
      <c r="M1058" s="1351" t="n"/>
      <c r="N1058" s="1351" t="n"/>
      <c r="O1058" s="1351" t="n"/>
      <c r="P1058" s="1349" t="n"/>
    </row>
    <row r="1059" customFormat="1" s="324">
      <c r="A1059" s="1349" t="n"/>
      <c r="B1059" s="1501" t="n"/>
      <c r="C1059" s="1439" t="n"/>
      <c r="D1059" s="1439" t="n"/>
      <c r="E1059" s="1439" t="n"/>
      <c r="F1059" s="1439" t="n"/>
      <c r="G1059" s="1440" t="n"/>
      <c r="H1059" s="1567" t="n"/>
      <c r="I1059" s="1351" t="n"/>
      <c r="J1059" s="1351" t="n"/>
      <c r="K1059" s="1351" t="n"/>
      <c r="L1059" s="1351" t="n"/>
      <c r="M1059" s="1351" t="n"/>
      <c r="N1059" s="1351" t="n"/>
      <c r="O1059" s="1351" t="n"/>
      <c r="P1059" s="1349" t="n"/>
    </row>
    <row r="1060" customFormat="1" s="324">
      <c r="A1060" s="1349" t="n"/>
      <c r="B1060" s="1501" t="n"/>
      <c r="C1060" s="1439" t="n"/>
      <c r="D1060" s="1439" t="n"/>
      <c r="E1060" s="1439" t="n"/>
      <c r="F1060" s="1439" t="n"/>
      <c r="G1060" s="1440" t="n"/>
      <c r="H1060" s="1567" t="n"/>
      <c r="I1060" s="1351" t="n"/>
      <c r="J1060" s="1351" t="n"/>
      <c r="K1060" s="1351" t="n"/>
      <c r="L1060" s="1351" t="n"/>
      <c r="M1060" s="1351" t="n"/>
      <c r="N1060" s="1351" t="n"/>
      <c r="O1060" s="1351" t="n"/>
      <c r="P1060" s="1349" t="n"/>
    </row>
    <row r="1061" customFormat="1" s="324">
      <c r="A1061" s="1349" t="n"/>
      <c r="B1061" s="1501" t="n"/>
      <c r="C1061" s="1439" t="n"/>
      <c r="D1061" s="1439" t="n"/>
      <c r="E1061" s="1439" t="n"/>
      <c r="F1061" s="1439" t="n"/>
      <c r="G1061" s="1440" t="n"/>
      <c r="H1061" s="1567" t="n"/>
      <c r="I1061" s="1351" t="n"/>
      <c r="J1061" s="1351" t="n"/>
      <c r="K1061" s="1351" t="n"/>
      <c r="L1061" s="1351" t="n"/>
      <c r="M1061" s="1351" t="n"/>
      <c r="N1061" s="1351" t="n"/>
      <c r="O1061" s="1351" t="n"/>
      <c r="P1061" s="1349" t="n"/>
    </row>
    <row r="1062" customFormat="1" s="324">
      <c r="A1062" s="1349" t="n"/>
      <c r="B1062" s="1501" t="n"/>
      <c r="C1062" s="1439" t="n"/>
      <c r="D1062" s="1439" t="n"/>
      <c r="E1062" s="1439" t="n"/>
      <c r="F1062" s="1439" t="n"/>
      <c r="G1062" s="1440" t="n"/>
      <c r="H1062" s="1567" t="n"/>
      <c r="I1062" s="1351" t="n"/>
      <c r="J1062" s="1351" t="n"/>
      <c r="K1062" s="1351" t="n"/>
      <c r="L1062" s="1351" t="n"/>
      <c r="M1062" s="1351" t="n"/>
      <c r="N1062" s="1351" t="n"/>
      <c r="O1062" s="1351" t="n"/>
      <c r="P1062" s="1349" t="n"/>
    </row>
    <row r="1063" customFormat="1" s="324">
      <c r="A1063" s="1349" t="n"/>
      <c r="B1063" s="1501" t="n"/>
      <c r="C1063" s="1439" t="n"/>
      <c r="D1063" s="1439" t="n"/>
      <c r="E1063" s="1439" t="n"/>
      <c r="F1063" s="1439" t="n"/>
      <c r="G1063" s="1440" t="n"/>
      <c r="H1063" s="1567" t="n"/>
      <c r="I1063" s="1351" t="n"/>
      <c r="J1063" s="1351" t="n"/>
      <c r="K1063" s="1351" t="n"/>
      <c r="L1063" s="1351" t="n"/>
      <c r="M1063" s="1351" t="n"/>
      <c r="N1063" s="1351" t="n"/>
      <c r="O1063" s="1351" t="n"/>
      <c r="P1063" s="1349" t="n"/>
    </row>
    <row r="1064" customFormat="1" s="324">
      <c r="A1064" s="1349" t="n"/>
      <c r="B1064" s="1501" t="n"/>
      <c r="C1064" s="1439" t="n"/>
      <c r="D1064" s="1439" t="n"/>
      <c r="E1064" s="1439" t="n"/>
      <c r="F1064" s="1439" t="n"/>
      <c r="G1064" s="1440" t="n"/>
      <c r="H1064" s="1567" t="n"/>
      <c r="I1064" s="1351" t="n"/>
      <c r="J1064" s="1351" t="n"/>
      <c r="K1064" s="1351" t="n"/>
      <c r="L1064" s="1351" t="n"/>
      <c r="M1064" s="1351" t="n"/>
      <c r="N1064" s="1351" t="n"/>
      <c r="O1064" s="1351" t="n"/>
      <c r="P1064" s="1349" t="n"/>
    </row>
    <row r="1065" customFormat="1" s="324">
      <c r="A1065" s="1349" t="n"/>
      <c r="B1065" s="1501" t="n"/>
      <c r="C1065" s="1439" t="n"/>
      <c r="D1065" s="1439" t="n"/>
      <c r="E1065" s="1439" t="n"/>
      <c r="F1065" s="1439" t="n"/>
      <c r="G1065" s="1440" t="n"/>
      <c r="H1065" s="1567" t="n"/>
      <c r="I1065" s="1351" t="n"/>
      <c r="J1065" s="1351" t="n"/>
      <c r="K1065" s="1351" t="n"/>
      <c r="L1065" s="1351" t="n"/>
      <c r="M1065" s="1351" t="n"/>
      <c r="N1065" s="1351" t="n"/>
      <c r="O1065" s="1351" t="n"/>
      <c r="P1065" s="1349" t="n"/>
    </row>
    <row r="1066" customFormat="1" s="324">
      <c r="A1066" s="1349" t="n"/>
      <c r="B1066" s="1501" t="n"/>
      <c r="C1066" s="1439" t="n"/>
      <c r="D1066" s="1439" t="n"/>
      <c r="E1066" s="1439" t="n"/>
      <c r="F1066" s="1439" t="n"/>
      <c r="G1066" s="1440" t="n"/>
      <c r="H1066" s="1567" t="n"/>
      <c r="I1066" s="1351" t="n"/>
      <c r="J1066" s="1351" t="n"/>
      <c r="K1066" s="1351" t="n"/>
      <c r="L1066" s="1351" t="n"/>
      <c r="M1066" s="1351" t="n"/>
      <c r="N1066" s="1351" t="n"/>
      <c r="O1066" s="1351" t="n"/>
      <c r="P1066" s="1349" t="n"/>
    </row>
    <row r="1067" customFormat="1" s="324">
      <c r="A1067" s="1349" t="n"/>
      <c r="B1067" s="1501" t="n"/>
      <c r="C1067" s="1439" t="n"/>
      <c r="D1067" s="1439" t="n"/>
      <c r="E1067" s="1439" t="n"/>
      <c r="F1067" s="1439" t="n"/>
      <c r="G1067" s="1440" t="n"/>
      <c r="H1067" s="1567" t="n"/>
      <c r="I1067" s="1351" t="n"/>
      <c r="J1067" s="1351" t="n"/>
      <c r="K1067" s="1351" t="n"/>
      <c r="L1067" s="1351" t="n"/>
      <c r="M1067" s="1351" t="n"/>
      <c r="N1067" s="1351" t="n"/>
      <c r="O1067" s="1351" t="n"/>
      <c r="P1067" s="1349" t="n"/>
    </row>
    <row r="1068" customFormat="1" s="324">
      <c r="A1068" s="1349" t="n"/>
      <c r="B1068" s="1501" t="n"/>
      <c r="C1068" s="1439" t="n"/>
      <c r="D1068" s="1439" t="n"/>
      <c r="E1068" s="1439" t="n"/>
      <c r="F1068" s="1439" t="n"/>
      <c r="G1068" s="1440" t="n"/>
      <c r="H1068" s="1567" t="n"/>
      <c r="I1068" s="1351" t="n"/>
      <c r="J1068" s="1351" t="n"/>
      <c r="K1068" s="1351" t="n"/>
      <c r="L1068" s="1351" t="n"/>
      <c r="M1068" s="1351" t="n"/>
      <c r="N1068" s="1351" t="n"/>
      <c r="O1068" s="1351" t="n"/>
      <c r="P1068" s="1349" t="n"/>
    </row>
    <row r="1069" customFormat="1" s="324">
      <c r="A1069" s="1349" t="n"/>
      <c r="B1069" s="1501" t="n"/>
      <c r="C1069" s="1439" t="n"/>
      <c r="D1069" s="1439" t="n"/>
      <c r="E1069" s="1439" t="n"/>
      <c r="F1069" s="1439" t="n"/>
      <c r="G1069" s="1440" t="n"/>
      <c r="H1069" s="1567" t="n"/>
      <c r="I1069" s="1351" t="n"/>
      <c r="J1069" s="1351" t="n"/>
      <c r="K1069" s="1351" t="n"/>
      <c r="L1069" s="1351" t="n"/>
      <c r="M1069" s="1351" t="n"/>
      <c r="N1069" s="1351" t="n"/>
      <c r="O1069" s="1351" t="n"/>
      <c r="P1069" s="1349" t="n"/>
    </row>
    <row r="1070" customFormat="1" s="324">
      <c r="A1070" s="1349" t="n"/>
      <c r="B1070" s="1501" t="n"/>
      <c r="C1070" s="1439" t="n"/>
      <c r="D1070" s="1439" t="n"/>
      <c r="E1070" s="1439" t="n"/>
      <c r="F1070" s="1439" t="n"/>
      <c r="G1070" s="1440" t="n"/>
      <c r="H1070" s="1567" t="n"/>
      <c r="I1070" s="1351" t="n"/>
      <c r="J1070" s="1351" t="n"/>
      <c r="K1070" s="1351" t="n"/>
      <c r="L1070" s="1351" t="n"/>
      <c r="M1070" s="1351" t="n"/>
      <c r="N1070" s="1351" t="n"/>
      <c r="O1070" s="1351" t="n"/>
      <c r="P1070" s="1349" t="n"/>
    </row>
    <row r="1071" customFormat="1" s="324">
      <c r="A1071" s="1349" t="n"/>
      <c r="B1071" s="1501" t="n"/>
      <c r="C1071" s="1439" t="n"/>
      <c r="D1071" s="1439" t="n"/>
      <c r="E1071" s="1439" t="n"/>
      <c r="F1071" s="1439" t="n"/>
      <c r="G1071" s="1440" t="n"/>
      <c r="H1071" s="1567" t="n"/>
      <c r="I1071" s="1351" t="n"/>
      <c r="J1071" s="1351" t="n"/>
      <c r="K1071" s="1351" t="n"/>
      <c r="L1071" s="1351" t="n"/>
      <c r="M1071" s="1351" t="n"/>
      <c r="N1071" s="1351" t="n"/>
      <c r="O1071" s="1351" t="n"/>
      <c r="P1071" s="1349" t="n"/>
    </row>
    <row r="1072" customFormat="1" s="324">
      <c r="A1072" s="1349" t="n"/>
      <c r="B1072" s="1501" t="n"/>
      <c r="C1072" s="1439" t="n"/>
      <c r="D1072" s="1439" t="n"/>
      <c r="E1072" s="1439" t="n"/>
      <c r="F1072" s="1439" t="n"/>
      <c r="G1072" s="1440" t="n"/>
      <c r="H1072" s="1567" t="n"/>
      <c r="I1072" s="1351" t="n"/>
      <c r="J1072" s="1351" t="n"/>
      <c r="K1072" s="1351" t="n"/>
      <c r="L1072" s="1351" t="n"/>
      <c r="M1072" s="1351" t="n"/>
      <c r="N1072" s="1351" t="n"/>
      <c r="O1072" s="1351" t="n"/>
      <c r="P1072" s="1349" t="n"/>
    </row>
    <row r="1073" customFormat="1" s="324">
      <c r="A1073" s="1349" t="n"/>
      <c r="B1073" s="1501" t="n"/>
      <c r="C1073" s="1439" t="n"/>
      <c r="D1073" s="1439" t="n"/>
      <c r="E1073" s="1439" t="n"/>
      <c r="F1073" s="1439" t="n"/>
      <c r="G1073" s="1440" t="n"/>
      <c r="H1073" s="1567" t="n"/>
      <c r="I1073" s="1351" t="n"/>
      <c r="J1073" s="1351" t="n"/>
      <c r="K1073" s="1351" t="n"/>
      <c r="L1073" s="1351" t="n"/>
      <c r="M1073" s="1351" t="n"/>
      <c r="N1073" s="1351" t="n"/>
      <c r="O1073" s="1351" t="n"/>
      <c r="P1073" s="1349" t="n"/>
    </row>
    <row r="1074" customFormat="1" s="324">
      <c r="A1074" s="1349" t="n"/>
      <c r="B1074" s="1501" t="n"/>
      <c r="C1074" s="1439" t="n"/>
      <c r="D1074" s="1439" t="n"/>
      <c r="E1074" s="1439" t="n"/>
      <c r="F1074" s="1439" t="n"/>
      <c r="G1074" s="1440" t="n"/>
      <c r="H1074" s="1567" t="n"/>
      <c r="I1074" s="1351" t="n"/>
      <c r="J1074" s="1351" t="n"/>
      <c r="K1074" s="1351" t="n"/>
      <c r="L1074" s="1351" t="n"/>
      <c r="M1074" s="1351" t="n"/>
      <c r="N1074" s="1351" t="n"/>
      <c r="O1074" s="1351" t="n"/>
      <c r="P1074" s="1349" t="n"/>
    </row>
    <row r="1075" customFormat="1" s="324">
      <c r="A1075" s="1349" t="n"/>
      <c r="B1075" s="1501" t="n"/>
      <c r="C1075" s="1439" t="n"/>
      <c r="D1075" s="1439" t="n"/>
      <c r="E1075" s="1439" t="n"/>
      <c r="F1075" s="1439" t="n"/>
      <c r="G1075" s="1440" t="n"/>
      <c r="H1075" s="1567" t="n"/>
      <c r="I1075" s="1351" t="n"/>
      <c r="J1075" s="1351" t="n"/>
      <c r="K1075" s="1351" t="n"/>
      <c r="L1075" s="1351" t="n"/>
      <c r="M1075" s="1351" t="n"/>
      <c r="N1075" s="1351" t="n"/>
      <c r="O1075" s="1351" t="n"/>
      <c r="P1075" s="1349" t="n"/>
    </row>
    <row r="1076" customFormat="1" s="324">
      <c r="A1076" s="1349" t="n"/>
      <c r="B1076" s="1501" t="n"/>
      <c r="C1076" s="1439" t="n"/>
      <c r="D1076" s="1439" t="n"/>
      <c r="E1076" s="1439" t="n"/>
      <c r="F1076" s="1439" t="n"/>
      <c r="G1076" s="1440" t="n"/>
      <c r="H1076" s="1567" t="n"/>
      <c r="I1076" s="1351" t="n"/>
      <c r="J1076" s="1351" t="n"/>
      <c r="K1076" s="1351" t="n"/>
      <c r="L1076" s="1351" t="n"/>
      <c r="M1076" s="1351" t="n"/>
      <c r="N1076" s="1351" t="n"/>
      <c r="O1076" s="1351" t="n"/>
      <c r="P1076" s="1349" t="n"/>
    </row>
    <row r="1077" customFormat="1" s="324">
      <c r="A1077" s="1349" t="n"/>
      <c r="B1077" s="1501" t="n"/>
      <c r="C1077" s="1439" t="n"/>
      <c r="D1077" s="1439" t="n"/>
      <c r="E1077" s="1439" t="n"/>
      <c r="F1077" s="1439" t="n"/>
      <c r="G1077" s="1440" t="n"/>
      <c r="H1077" s="1567" t="n"/>
      <c r="I1077" s="1351" t="n"/>
      <c r="J1077" s="1351" t="n"/>
      <c r="K1077" s="1351" t="n"/>
      <c r="L1077" s="1351" t="n"/>
      <c r="M1077" s="1351" t="n"/>
      <c r="N1077" s="1351" t="n"/>
      <c r="O1077" s="1351" t="n"/>
      <c r="P1077" s="1349" t="n"/>
    </row>
    <row r="1078" customFormat="1" s="324">
      <c r="A1078" s="1349" t="n"/>
      <c r="B1078" s="1501" t="n"/>
      <c r="C1078" s="1439" t="n"/>
      <c r="D1078" s="1439" t="n"/>
      <c r="E1078" s="1439" t="n"/>
      <c r="F1078" s="1439" t="n"/>
      <c r="G1078" s="1440" t="n"/>
      <c r="H1078" s="1567" t="n"/>
      <c r="I1078" s="1351" t="n"/>
      <c r="J1078" s="1351" t="n"/>
      <c r="K1078" s="1351" t="n"/>
      <c r="L1078" s="1351" t="n"/>
      <c r="M1078" s="1351" t="n"/>
      <c r="N1078" s="1351" t="n"/>
      <c r="O1078" s="1351" t="n"/>
      <c r="P1078" s="1349" t="n"/>
    </row>
    <row r="1079" customFormat="1" s="324">
      <c r="A1079" s="1349" t="n"/>
      <c r="B1079" s="1501" t="n"/>
      <c r="C1079" s="1439" t="n"/>
      <c r="D1079" s="1439" t="n"/>
      <c r="E1079" s="1439" t="n"/>
      <c r="F1079" s="1439" t="n"/>
      <c r="G1079" s="1440" t="n"/>
      <c r="H1079" s="1567" t="n"/>
      <c r="I1079" s="1351" t="n"/>
      <c r="J1079" s="1351" t="n"/>
      <c r="K1079" s="1351" t="n"/>
      <c r="L1079" s="1351" t="n"/>
      <c r="M1079" s="1351" t="n"/>
      <c r="N1079" s="1351" t="n"/>
      <c r="O1079" s="1351" t="n"/>
      <c r="P1079" s="1349" t="n"/>
    </row>
    <row r="1080" customFormat="1" s="324">
      <c r="A1080" s="1349" t="n"/>
      <c r="B1080" s="1501" t="n"/>
      <c r="C1080" s="1439" t="n"/>
      <c r="D1080" s="1439" t="n"/>
      <c r="E1080" s="1439" t="n"/>
      <c r="F1080" s="1439" t="n"/>
      <c r="G1080" s="1440" t="n"/>
      <c r="H1080" s="1567" t="n"/>
      <c r="I1080" s="1351" t="n"/>
      <c r="J1080" s="1351" t="n"/>
      <c r="K1080" s="1351" t="n"/>
      <c r="L1080" s="1351" t="n"/>
      <c r="M1080" s="1351" t="n"/>
      <c r="N1080" s="1351" t="n"/>
      <c r="O1080" s="1351" t="n"/>
      <c r="P1080" s="1349" t="n"/>
    </row>
    <row r="1081" customFormat="1" s="324">
      <c r="A1081" s="1349" t="n"/>
      <c r="B1081" s="1501" t="n"/>
      <c r="C1081" s="1439" t="n"/>
      <c r="D1081" s="1439" t="n"/>
      <c r="E1081" s="1439" t="n"/>
      <c r="F1081" s="1439" t="n"/>
      <c r="G1081" s="1440" t="n"/>
      <c r="H1081" s="1567" t="n"/>
      <c r="I1081" s="1351" t="n"/>
      <c r="J1081" s="1351" t="n"/>
      <c r="K1081" s="1351" t="n"/>
      <c r="L1081" s="1351" t="n"/>
      <c r="M1081" s="1351" t="n"/>
      <c r="N1081" s="1351" t="n"/>
      <c r="O1081" s="1351" t="n"/>
      <c r="P1081" s="1349" t="n"/>
    </row>
    <row r="1082" customFormat="1" s="3">
      <c r="A1082" s="1389" t="n"/>
      <c r="B1082" s="1501" t="n"/>
      <c r="C1082" s="1439" t="n"/>
      <c r="D1082" s="1439" t="n"/>
      <c r="E1082" s="1439" t="n"/>
      <c r="F1082" s="1439" t="n"/>
      <c r="G1082" s="1440" t="n"/>
      <c r="H1082" s="1567" t="n"/>
      <c r="I1082" s="1351" t="n"/>
      <c r="J1082" s="1351" t="n"/>
      <c r="K1082" s="1351" t="n"/>
      <c r="L1082" s="1351" t="n"/>
      <c r="M1082" s="1351" t="n"/>
      <c r="N1082" s="1351" t="n"/>
      <c r="O1082" s="1351" t="n"/>
      <c r="P1082" s="1349" t="n"/>
    </row>
    <row r="1083" customFormat="1" s="324">
      <c r="A1083" s="1349" t="n"/>
      <c r="B1083" s="1501" t="n"/>
      <c r="C1083" s="1439" t="n"/>
      <c r="D1083" s="1439" t="n"/>
      <c r="E1083" s="1439" t="n"/>
      <c r="F1083" s="1439" t="n"/>
      <c r="G1083" s="1440" t="n"/>
      <c r="H1083" s="1567" t="n"/>
      <c r="I1083" s="1351" t="n"/>
      <c r="J1083" s="1351" t="n"/>
      <c r="K1083" s="1351" t="n"/>
      <c r="L1083" s="1351" t="n"/>
      <c r="M1083" s="1351" t="n"/>
      <c r="N1083" s="1351" t="n"/>
      <c r="O1083" s="1351" t="n"/>
      <c r="P1083" s="1349" t="n"/>
    </row>
    <row r="1084" customFormat="1" s="324">
      <c r="A1084" s="1349" t="n"/>
      <c r="B1084" s="1501" t="n"/>
      <c r="C1084" s="1439" t="n"/>
      <c r="D1084" s="1439" t="n"/>
      <c r="E1084" s="1439" t="n"/>
      <c r="F1084" s="1439" t="n"/>
      <c r="G1084" s="1440" t="n"/>
      <c r="H1084" s="1567" t="n"/>
      <c r="I1084" s="1351" t="n"/>
      <c r="J1084" s="1351" t="n"/>
      <c r="K1084" s="1351" t="n"/>
      <c r="L1084" s="1351" t="n"/>
      <c r="M1084" s="1351" t="n"/>
      <c r="N1084" s="1351" t="n"/>
      <c r="O1084" s="1351" t="n"/>
      <c r="P1084" s="1349" t="n"/>
    </row>
    <row r="1085" customFormat="1" s="324">
      <c r="A1085" s="1349" t="n"/>
      <c r="B1085" s="1501" t="n"/>
      <c r="C1085" s="1439" t="n"/>
      <c r="D1085" s="1439" t="n"/>
      <c r="E1085" s="1439" t="n"/>
      <c r="F1085" s="1439" t="n"/>
      <c r="G1085" s="1440" t="n"/>
      <c r="H1085" s="1567" t="n"/>
      <c r="I1085" s="1351" t="n"/>
      <c r="J1085" s="1351" t="n"/>
      <c r="K1085" s="1351" t="n"/>
      <c r="L1085" s="1351" t="n"/>
      <c r="M1085" s="1351" t="n"/>
      <c r="N1085" s="1351" t="n"/>
      <c r="O1085" s="1351" t="n"/>
      <c r="P1085" s="1349" t="n"/>
    </row>
    <row r="1086">
      <c r="A1086" s="1349" t="n"/>
      <c r="B1086" s="1349" t="n"/>
      <c r="C1086" s="1351" t="n"/>
      <c r="D1086" s="1351" t="n"/>
      <c r="E1086" s="1351" t="n"/>
      <c r="F1086" s="1351" t="n"/>
      <c r="G1086" s="1351" t="n"/>
      <c r="H1086" s="1351" t="n"/>
      <c r="I1086" s="1351" t="n"/>
      <c r="J1086" s="1351" t="n"/>
      <c r="K1086" s="1351" t="n"/>
      <c r="L1086" s="1351" t="n"/>
      <c r="M1086" s="1351" t="n"/>
      <c r="N1086" s="1351" t="n"/>
      <c r="O1086" s="1351" t="n"/>
      <c r="P1086" s="1349" t="n"/>
    </row>
    <row r="1087">
      <c r="A1087" s="1349" t="n"/>
      <c r="B1087" s="1349" t="n"/>
      <c r="C1087" s="1351" t="n"/>
      <c r="D1087" s="1351" t="n"/>
      <c r="E1087" s="1351" t="n"/>
      <c r="F1087" s="1351" t="n"/>
      <c r="G1087" s="1351" t="n"/>
      <c r="H1087" s="1351" t="n"/>
      <c r="I1087" s="1351" t="n"/>
      <c r="J1087" s="1351" t="n"/>
      <c r="K1087" s="1351" t="n"/>
      <c r="L1087" s="1351" t="n"/>
      <c r="M1087" s="1351" t="n"/>
      <c r="N1087" s="1351" t="n"/>
      <c r="O1087" s="1351" t="n"/>
      <c r="P1087" s="1349" t="n"/>
    </row>
    <row r="1088" customFormat="1" s="324">
      <c r="A1088" s="1349" t="n"/>
      <c r="B1088" s="1501" t="n"/>
      <c r="C1088" s="1439" t="n"/>
      <c r="D1088" s="1439" t="n"/>
      <c r="E1088" s="1439" t="n"/>
      <c r="F1088" s="1439" t="n"/>
      <c r="G1088" s="1440" t="n"/>
      <c r="H1088" s="1567" t="n"/>
      <c r="I1088" s="1351" t="n"/>
      <c r="J1088" s="1351" t="n"/>
      <c r="K1088" s="1351" t="n"/>
      <c r="L1088" s="1351" t="n"/>
      <c r="M1088" s="1351" t="n"/>
      <c r="N1088" s="1351" t="n"/>
      <c r="O1088" s="1351" t="n"/>
      <c r="P1088" s="1349" t="n"/>
    </row>
    <row r="1089" customFormat="1" s="324">
      <c r="A1089" s="1349" t="n"/>
      <c r="B1089" s="1501" t="n"/>
      <c r="C1089" s="1439" t="n"/>
      <c r="D1089" s="1439" t="n"/>
      <c r="E1089" s="1439" t="n"/>
      <c r="F1089" s="1439" t="n"/>
      <c r="G1089" s="1440" t="n"/>
      <c r="H1089" s="1567" t="n"/>
      <c r="I1089" s="1351" t="n"/>
      <c r="J1089" s="1351" t="n"/>
      <c r="K1089" s="1351" t="n"/>
      <c r="L1089" s="1351" t="n"/>
      <c r="M1089" s="1351" t="n"/>
      <c r="N1089" s="1351" t="n"/>
      <c r="O1089" s="1351" t="n"/>
      <c r="P1089" s="1349" t="n"/>
    </row>
    <row r="1090" customFormat="1" s="324">
      <c r="A1090" s="1349" t="n"/>
      <c r="B1090" s="1501" t="n"/>
      <c r="C1090" s="1439" t="n"/>
      <c r="D1090" s="1439" t="n"/>
      <c r="E1090" s="1439" t="n"/>
      <c r="F1090" s="1439" t="n"/>
      <c r="G1090" s="1440" t="n"/>
      <c r="H1090" s="1567" t="n"/>
      <c r="I1090" s="1351" t="n"/>
      <c r="J1090" s="1351" t="n"/>
      <c r="K1090" s="1351" t="n"/>
      <c r="L1090" s="1351" t="n"/>
      <c r="M1090" s="1351" t="n"/>
      <c r="N1090" s="1351" t="n"/>
      <c r="O1090" s="1351" t="n"/>
      <c r="P1090" s="1349" t="n"/>
    </row>
    <row r="1091" customFormat="1" s="324">
      <c r="A1091" s="1349" t="n"/>
      <c r="B1091" s="1501" t="n"/>
      <c r="C1091" s="1439" t="n"/>
      <c r="D1091" s="1439" t="n"/>
      <c r="E1091" s="1439" t="n"/>
      <c r="F1091" s="1439" t="n"/>
      <c r="G1091" s="1440" t="n"/>
      <c r="H1091" s="1567" t="n"/>
      <c r="I1091" s="1351" t="n"/>
      <c r="J1091" s="1351" t="n"/>
      <c r="K1091" s="1351" t="n"/>
      <c r="L1091" s="1351" t="n"/>
      <c r="M1091" s="1351" t="n"/>
      <c r="N1091" s="1351" t="n"/>
      <c r="O1091" s="1351" t="n"/>
      <c r="P1091" s="1349" t="n"/>
    </row>
    <row r="1092" customFormat="1" s="324">
      <c r="A1092" s="1349" t="n"/>
      <c r="B1092" s="1501" t="n"/>
      <c r="C1092" s="1439" t="n"/>
      <c r="D1092" s="1439" t="n"/>
      <c r="E1092" s="1439" t="n"/>
      <c r="F1092" s="1439" t="n"/>
      <c r="G1092" s="1440" t="n"/>
      <c r="H1092" s="1567" t="n"/>
      <c r="I1092" s="1351" t="n"/>
      <c r="J1092" s="1351" t="n"/>
      <c r="K1092" s="1351" t="n"/>
      <c r="L1092" s="1351" t="n"/>
      <c r="M1092" s="1351" t="n"/>
      <c r="N1092" s="1351" t="n"/>
      <c r="O1092" s="1351" t="n"/>
      <c r="P1092" s="1349" t="n"/>
    </row>
    <row r="1093" customFormat="1" s="324">
      <c r="A1093" s="1349" t="n"/>
      <c r="B1093" s="1501" t="n"/>
      <c r="C1093" s="1439" t="n"/>
      <c r="D1093" s="1439" t="n"/>
      <c r="E1093" s="1439" t="n"/>
      <c r="F1093" s="1439" t="n"/>
      <c r="G1093" s="1440" t="n"/>
      <c r="H1093" s="1567" t="n"/>
      <c r="I1093" s="1351" t="n"/>
      <c r="J1093" s="1351" t="n"/>
      <c r="K1093" s="1351" t="n"/>
      <c r="L1093" s="1351" t="n"/>
      <c r="M1093" s="1351" t="n"/>
      <c r="N1093" s="1351" t="n"/>
      <c r="O1093" s="1351" t="n"/>
      <c r="P1093" s="1349" t="n"/>
    </row>
    <row r="1094" customFormat="1" s="324">
      <c r="A1094" s="1349" t="n"/>
      <c r="B1094" s="1501" t="n"/>
      <c r="C1094" s="1439" t="n"/>
      <c r="D1094" s="1439" t="n"/>
      <c r="E1094" s="1439" t="n"/>
      <c r="F1094" s="1439" t="n"/>
      <c r="G1094" s="1440" t="n"/>
      <c r="H1094" s="1567" t="n"/>
      <c r="I1094" s="1351" t="n"/>
      <c r="J1094" s="1351" t="n"/>
      <c r="K1094" s="1351" t="n"/>
      <c r="L1094" s="1351" t="n"/>
      <c r="M1094" s="1351" t="n"/>
      <c r="N1094" s="1351" t="n"/>
      <c r="O1094" s="1351" t="n"/>
      <c r="P1094" s="1349" t="n"/>
    </row>
    <row r="1095" customFormat="1" s="324">
      <c r="A1095" s="1349" t="n"/>
      <c r="B1095" s="1501" t="n"/>
      <c r="C1095" s="1439" t="n"/>
      <c r="D1095" s="1439" t="n"/>
      <c r="E1095" s="1439" t="n"/>
      <c r="F1095" s="1439" t="n"/>
      <c r="G1095" s="1440" t="n"/>
      <c r="H1095" s="1567" t="n"/>
      <c r="I1095" s="1351" t="n"/>
      <c r="J1095" s="1351" t="n"/>
      <c r="K1095" s="1351" t="n"/>
      <c r="L1095" s="1351" t="n"/>
      <c r="M1095" s="1351" t="n"/>
      <c r="N1095" s="1351" t="n"/>
      <c r="O1095" s="1351" t="n"/>
      <c r="P1095" s="1349" t="n"/>
    </row>
    <row r="1096" customFormat="1" s="324">
      <c r="A1096" s="1349" t="n"/>
      <c r="B1096" s="1501" t="n"/>
      <c r="C1096" s="1439" t="n"/>
      <c r="D1096" s="1439" t="n"/>
      <c r="E1096" s="1439" t="n"/>
      <c r="F1096" s="1439" t="n"/>
      <c r="G1096" s="1440" t="n"/>
      <c r="H1096" s="1567" t="n"/>
      <c r="I1096" s="1351" t="n"/>
      <c r="J1096" s="1351" t="n"/>
      <c r="K1096" s="1351" t="n"/>
      <c r="L1096" s="1351" t="n"/>
      <c r="M1096" s="1351" t="n"/>
      <c r="N1096" s="1351" t="n"/>
      <c r="O1096" s="1351" t="n"/>
      <c r="P1096" s="1349" t="n"/>
    </row>
    <row r="1097" customFormat="1" s="324">
      <c r="A1097" s="1349" t="n"/>
      <c r="B1097" s="1501" t="n"/>
      <c r="C1097" s="1439" t="n"/>
      <c r="D1097" s="1439" t="n"/>
      <c r="E1097" s="1439" t="n"/>
      <c r="F1097" s="1439" t="n"/>
      <c r="G1097" s="1440" t="n"/>
      <c r="H1097" s="1567" t="n"/>
      <c r="I1097" s="1351" t="n"/>
      <c r="J1097" s="1351" t="n"/>
      <c r="K1097" s="1351" t="n"/>
      <c r="L1097" s="1351" t="n"/>
      <c r="M1097" s="1351" t="n"/>
      <c r="N1097" s="1351" t="n"/>
      <c r="O1097" s="1351" t="n"/>
      <c r="P1097" s="1349" t="n"/>
    </row>
    <row r="1098" customFormat="1" s="324">
      <c r="A1098" s="1349" t="n"/>
      <c r="B1098" s="1501" t="n"/>
      <c r="C1098" s="1439" t="n"/>
      <c r="D1098" s="1439" t="n"/>
      <c r="E1098" s="1439" t="n"/>
      <c r="F1098" s="1439" t="n"/>
      <c r="G1098" s="1440" t="n"/>
      <c r="H1098" s="1567" t="n"/>
      <c r="I1098" s="1351" t="n"/>
      <c r="J1098" s="1351" t="n"/>
      <c r="K1098" s="1351" t="n"/>
      <c r="L1098" s="1351" t="n"/>
      <c r="M1098" s="1351" t="n"/>
      <c r="N1098" s="1351" t="n"/>
      <c r="O1098" s="1351" t="n"/>
      <c r="P1098" s="1349" t="n"/>
    </row>
    <row r="1099" customFormat="1" s="324">
      <c r="A1099" s="1349" t="n"/>
      <c r="B1099" s="1501" t="n"/>
      <c r="C1099" s="1439" t="n"/>
      <c r="D1099" s="1439" t="n"/>
      <c r="E1099" s="1439" t="n"/>
      <c r="F1099" s="1439" t="n"/>
      <c r="G1099" s="1440" t="n"/>
      <c r="H1099" s="1567" t="n"/>
      <c r="I1099" s="1351" t="n"/>
      <c r="J1099" s="1351" t="n"/>
      <c r="K1099" s="1351" t="n"/>
      <c r="L1099" s="1351" t="n"/>
      <c r="M1099" s="1351" t="n"/>
      <c r="N1099" s="1351" t="n"/>
      <c r="O1099" s="1351" t="n"/>
      <c r="P1099" s="1349" t="n"/>
    </row>
    <row r="1100" customFormat="1" s="324">
      <c r="A1100" s="1349" t="n"/>
      <c r="B1100" s="1501" t="n"/>
      <c r="C1100" s="1439" t="n"/>
      <c r="D1100" s="1439" t="n"/>
      <c r="E1100" s="1439" t="n"/>
      <c r="F1100" s="1439" t="n"/>
      <c r="G1100" s="1440" t="n"/>
      <c r="H1100" s="1567" t="n"/>
      <c r="I1100" s="1351" t="n"/>
      <c r="J1100" s="1351" t="n"/>
      <c r="K1100" s="1351" t="n"/>
      <c r="L1100" s="1351" t="n"/>
      <c r="M1100" s="1351" t="n"/>
      <c r="N1100" s="1351" t="n"/>
      <c r="O1100" s="1351" t="n"/>
      <c r="P1100" s="1349" t="n"/>
    </row>
    <row r="1101" customFormat="1" s="324">
      <c r="A1101" s="1349" t="n"/>
      <c r="B1101" s="1501" t="n"/>
      <c r="C1101" s="1439" t="n"/>
      <c r="D1101" s="1439" t="n"/>
      <c r="E1101" s="1439" t="n"/>
      <c r="F1101" s="1439" t="n"/>
      <c r="G1101" s="1440" t="n"/>
      <c r="H1101" s="1567" t="n"/>
      <c r="I1101" s="1351" t="n"/>
      <c r="J1101" s="1351" t="n"/>
      <c r="K1101" s="1351" t="n"/>
      <c r="L1101" s="1351" t="n"/>
      <c r="M1101" s="1351" t="n"/>
      <c r="N1101" s="1351" t="n"/>
      <c r="O1101" s="1351" t="n"/>
      <c r="P1101" s="1349" t="n"/>
    </row>
    <row r="1102" customFormat="1" s="324">
      <c r="A1102" s="1349" t="n"/>
      <c r="B1102" s="1501" t="n"/>
      <c r="C1102" s="1439" t="n"/>
      <c r="D1102" s="1439" t="n"/>
      <c r="E1102" s="1439" t="n"/>
      <c r="F1102" s="1439" t="n"/>
      <c r="G1102" s="1440" t="n"/>
      <c r="H1102" s="1567" t="n"/>
      <c r="I1102" s="1351" t="n"/>
      <c r="J1102" s="1351" t="n"/>
      <c r="K1102" s="1351" t="n"/>
      <c r="L1102" s="1351" t="n"/>
      <c r="M1102" s="1351" t="n"/>
      <c r="N1102" s="1351" t="n"/>
      <c r="O1102" s="1351" t="n"/>
      <c r="P1102" s="1349" t="n"/>
    </row>
    <row r="1103" customFormat="1" s="324">
      <c r="A1103" s="1349" t="n"/>
      <c r="B1103" s="1501" t="n"/>
      <c r="C1103" s="1439" t="n"/>
      <c r="D1103" s="1439" t="n"/>
      <c r="E1103" s="1439" t="n"/>
      <c r="F1103" s="1439" t="n"/>
      <c r="G1103" s="1440" t="n"/>
      <c r="H1103" s="1567" t="n"/>
      <c r="I1103" s="1351" t="n"/>
      <c r="J1103" s="1351" t="n"/>
      <c r="K1103" s="1351" t="n"/>
      <c r="L1103" s="1351" t="n"/>
      <c r="M1103" s="1351" t="n"/>
      <c r="N1103" s="1351" t="n"/>
      <c r="O1103" s="1351" t="n"/>
      <c r="P1103" s="1349" t="n"/>
    </row>
    <row r="1104" customFormat="1" s="324">
      <c r="A1104" s="1572" t="n"/>
      <c r="B1104" s="1501" t="n"/>
      <c r="C1104" s="1439" t="n"/>
      <c r="D1104" s="1439" t="n"/>
      <c r="E1104" s="1439" t="n"/>
      <c r="F1104" s="1439" t="n"/>
      <c r="G1104" s="1440" t="n"/>
      <c r="H1104" s="1567" t="n"/>
      <c r="I1104" s="1351" t="n"/>
      <c r="J1104" s="1351" t="n"/>
      <c r="K1104" s="1351" t="n"/>
      <c r="L1104" s="1351" t="n"/>
      <c r="M1104" s="1351" t="n"/>
      <c r="N1104" s="1351" t="n"/>
      <c r="O1104" s="1351" t="n"/>
      <c r="P1104" s="1349" t="n"/>
    </row>
    <row r="1105" customFormat="1" s="324">
      <c r="A1105" s="1349" t="n"/>
      <c r="B1105" s="1501" t="n"/>
      <c r="C1105" s="1439" t="n"/>
      <c r="D1105" s="1439" t="n"/>
      <c r="E1105" s="1439" t="n"/>
      <c r="F1105" s="1439" t="n"/>
      <c r="G1105" s="1440" t="n"/>
      <c r="H1105" s="1567" t="n"/>
      <c r="I1105" s="1351" t="n"/>
      <c r="J1105" s="1351" t="n"/>
      <c r="K1105" s="1351" t="n"/>
      <c r="L1105" s="1351" t="n"/>
      <c r="M1105" s="1351" t="n"/>
      <c r="N1105" s="1351" t="n"/>
      <c r="O1105" s="1351" t="n"/>
      <c r="P1105" s="1349" t="n"/>
    </row>
    <row r="1106" customFormat="1" s="324">
      <c r="A1106" s="1349" t="n"/>
      <c r="B1106" s="1501" t="n"/>
      <c r="C1106" s="1439" t="n"/>
      <c r="D1106" s="1439" t="n"/>
      <c r="E1106" s="1439" t="n"/>
      <c r="F1106" s="1439" t="n"/>
      <c r="G1106" s="1440" t="n"/>
      <c r="H1106" s="1567" t="n"/>
      <c r="I1106" s="1351" t="n"/>
      <c r="J1106" s="1351" t="n"/>
      <c r="K1106" s="1351" t="n"/>
      <c r="L1106" s="1351" t="n"/>
      <c r="M1106" s="1351" t="n"/>
      <c r="N1106" s="1351" t="n"/>
      <c r="O1106" s="1351" t="n"/>
      <c r="P1106" s="1349" t="n"/>
    </row>
    <row r="1107" customFormat="1" s="324">
      <c r="A1107" s="1349" t="n"/>
      <c r="B1107" s="1501" t="n"/>
      <c r="C1107" s="1439" t="n"/>
      <c r="D1107" s="1439" t="n"/>
      <c r="E1107" s="1439" t="n"/>
      <c r="F1107" s="1439" t="n"/>
      <c r="G1107" s="1440" t="n"/>
      <c r="H1107" s="1567" t="n"/>
      <c r="I1107" s="1351" t="n"/>
      <c r="J1107" s="1351" t="n"/>
      <c r="K1107" s="1351" t="n"/>
      <c r="L1107" s="1351" t="n"/>
      <c r="M1107" s="1351" t="n"/>
      <c r="N1107" s="1351" t="n"/>
      <c r="O1107" s="1351" t="n"/>
      <c r="P1107" s="1349" t="n"/>
    </row>
    <row r="1108" customFormat="1" s="324">
      <c r="A1108" s="1349" t="n"/>
      <c r="B1108" s="1501" t="n"/>
      <c r="C1108" s="1439" t="n"/>
      <c r="D1108" s="1439" t="n"/>
      <c r="E1108" s="1439" t="n"/>
      <c r="F1108" s="1439" t="n"/>
      <c r="G1108" s="1440" t="n"/>
      <c r="H1108" s="1567" t="n"/>
      <c r="I1108" s="1351" t="n"/>
      <c r="J1108" s="1351" t="n"/>
      <c r="K1108" s="1351" t="n"/>
      <c r="L1108" s="1351" t="n"/>
      <c r="M1108" s="1351" t="n"/>
      <c r="N1108" s="1351" t="n"/>
      <c r="O1108" s="1351" t="n"/>
      <c r="P1108" s="1349" t="n"/>
    </row>
    <row r="1109" customFormat="1" s="324">
      <c r="A1109" s="1349" t="n"/>
      <c r="B1109" s="1501" t="n"/>
      <c r="C1109" s="1439" t="n"/>
      <c r="D1109" s="1439" t="n"/>
      <c r="E1109" s="1439" t="n"/>
      <c r="F1109" s="1439" t="n"/>
      <c r="G1109" s="1440" t="n"/>
      <c r="H1109" s="1567" t="n"/>
      <c r="I1109" s="1351" t="n"/>
      <c r="J1109" s="1351" t="n"/>
      <c r="K1109" s="1351" t="n"/>
      <c r="L1109" s="1351" t="n"/>
      <c r="M1109" s="1351" t="n"/>
      <c r="N1109" s="1351" t="n"/>
      <c r="O1109" s="1351" t="n"/>
      <c r="P1109" s="1349" t="n"/>
    </row>
    <row r="1110" customFormat="1" s="324">
      <c r="A1110" s="1349" t="n"/>
      <c r="B1110" s="1501" t="n"/>
      <c r="C1110" s="1439" t="n"/>
      <c r="D1110" s="1439" t="n"/>
      <c r="E1110" s="1439" t="n"/>
      <c r="F1110" s="1439" t="n"/>
      <c r="G1110" s="1440" t="n"/>
      <c r="H1110" s="1567" t="n"/>
      <c r="I1110" s="1351" t="n"/>
      <c r="J1110" s="1351" t="n"/>
      <c r="K1110" s="1351" t="n"/>
      <c r="L1110" s="1351" t="n"/>
      <c r="M1110" s="1351" t="n"/>
      <c r="N1110" s="1351" t="n"/>
      <c r="O1110" s="1351" t="n"/>
      <c r="P1110" s="1349" t="n"/>
    </row>
    <row r="1111" customFormat="1" s="324">
      <c r="A1111" s="1349" t="n"/>
      <c r="B1111" s="1501" t="n"/>
      <c r="C1111" s="1439" t="n"/>
      <c r="D1111" s="1439" t="n"/>
      <c r="E1111" s="1439" t="n"/>
      <c r="F1111" s="1439" t="n"/>
      <c r="G1111" s="1440" t="n"/>
      <c r="H1111" s="1567" t="n"/>
      <c r="I1111" s="1351" t="n"/>
      <c r="J1111" s="1351" t="n"/>
      <c r="K1111" s="1351" t="n"/>
      <c r="L1111" s="1351" t="n"/>
      <c r="M1111" s="1351" t="n"/>
      <c r="N1111" s="1351" t="n"/>
      <c r="O1111" s="1351" t="n"/>
      <c r="P1111" s="1349" t="n"/>
    </row>
    <row r="1112" customFormat="1" s="324">
      <c r="A1112" s="1349" t="n"/>
      <c r="B1112" s="1501" t="n"/>
      <c r="C1112" s="1439" t="n"/>
      <c r="D1112" s="1439" t="n"/>
      <c r="E1112" s="1439" t="n"/>
      <c r="F1112" s="1439" t="n"/>
      <c r="G1112" s="1440" t="n"/>
      <c r="H1112" s="1567" t="n"/>
      <c r="I1112" s="1351" t="n"/>
      <c r="J1112" s="1351" t="n"/>
      <c r="K1112" s="1351" t="n"/>
      <c r="L1112" s="1351" t="n"/>
      <c r="M1112" s="1351" t="n"/>
      <c r="N1112" s="1351" t="n"/>
      <c r="O1112" s="1351" t="n"/>
      <c r="P1112" s="1349" t="n"/>
    </row>
    <row r="1113" customFormat="1" s="324">
      <c r="A1113" s="1573" t="n"/>
      <c r="B1113" s="1501" t="n"/>
      <c r="C1113" s="1439" t="n"/>
      <c r="D1113" s="1439" t="n"/>
      <c r="E1113" s="1439" t="n"/>
      <c r="F1113" s="1439" t="n"/>
      <c r="G1113" s="1440" t="n"/>
      <c r="H1113" s="1567" t="n"/>
      <c r="I1113" s="1351" t="n"/>
      <c r="J1113" s="1351" t="n"/>
      <c r="K1113" s="1351" t="n"/>
      <c r="L1113" s="1351" t="n"/>
      <c r="M1113" s="1351" t="n"/>
      <c r="N1113" s="1351" t="n"/>
      <c r="O1113" s="1351" t="n"/>
      <c r="P1113" s="1349" t="n"/>
    </row>
    <row r="1114" customFormat="1" s="324">
      <c r="A1114" s="1573" t="n"/>
      <c r="B1114" s="1501" t="n"/>
      <c r="C1114" s="1439" t="n"/>
      <c r="D1114" s="1439" t="n"/>
      <c r="E1114" s="1439" t="n"/>
      <c r="F1114" s="1439" t="n"/>
      <c r="G1114" s="1440" t="n"/>
      <c r="H1114" s="1567" t="n"/>
      <c r="I1114" s="1351" t="n"/>
      <c r="J1114" s="1351" t="n"/>
      <c r="K1114" s="1351" t="n"/>
      <c r="L1114" s="1351" t="n"/>
      <c r="M1114" s="1351" t="n"/>
      <c r="N1114" s="1351" t="n"/>
      <c r="O1114" s="1351" t="n"/>
      <c r="P1114" s="1349" t="n"/>
    </row>
    <row r="1115" customFormat="1" s="324">
      <c r="A1115" s="1349" t="n"/>
      <c r="B1115" s="1501" t="n"/>
      <c r="C1115" s="1439" t="n"/>
      <c r="D1115" s="1439" t="n"/>
      <c r="E1115" s="1439" t="n"/>
      <c r="F1115" s="1439" t="n"/>
      <c r="G1115" s="1440" t="n"/>
      <c r="H1115" s="1567" t="n"/>
      <c r="I1115" s="1351" t="n"/>
      <c r="J1115" s="1351" t="n"/>
      <c r="K1115" s="1351" t="n"/>
      <c r="L1115" s="1351" t="n"/>
      <c r="M1115" s="1351" t="n"/>
      <c r="N1115" s="1351" t="n"/>
      <c r="O1115" s="1351" t="n"/>
      <c r="P1115" s="1349" t="n"/>
    </row>
    <row r="1116" ht="15.65" customFormat="1" customHeight="1" s="324">
      <c r="A1116" s="1349" t="n"/>
      <c r="B1116" s="1501" t="n"/>
      <c r="C1116" s="1439" t="n"/>
      <c r="D1116" s="1439" t="n"/>
      <c r="E1116" s="1439" t="n"/>
      <c r="F1116" s="1439" t="n"/>
      <c r="G1116" s="1440" t="n"/>
      <c r="H1116" s="1567" t="n"/>
      <c r="I1116" s="1351" t="n"/>
      <c r="J1116" s="1351" t="n"/>
      <c r="K1116" s="1351" t="n"/>
      <c r="L1116" s="1351" t="n"/>
      <c r="M1116" s="1351" t="n"/>
      <c r="N1116" s="1351" t="n"/>
      <c r="O1116" s="1351" t="n"/>
      <c r="P1116" s="1349" t="n"/>
    </row>
    <row r="1117" ht="15.75" customFormat="1" customHeight="1" s="324">
      <c r="A1117" s="1349" t="n"/>
      <c r="B1117" s="1501" t="n"/>
      <c r="C1117" s="1439" t="n"/>
      <c r="D1117" s="1439" t="n"/>
      <c r="E1117" s="1439" t="n"/>
      <c r="F1117" s="1439" t="n"/>
      <c r="G1117" s="1440" t="n"/>
      <c r="H1117" s="1567" t="n"/>
      <c r="I1117" s="1351" t="n"/>
      <c r="J1117" s="1351" t="n"/>
      <c r="K1117" s="1351" t="n"/>
      <c r="L1117" s="1351" t="n"/>
      <c r="M1117" s="1351" t="n"/>
      <c r="N1117" s="1351" t="n"/>
      <c r="O1117" s="1351" t="n"/>
      <c r="P1117" s="1349" t="n"/>
    </row>
    <row r="1118">
      <c r="A1118" s="1349" t="n"/>
      <c r="B1118" s="1349" t="n"/>
      <c r="C1118" s="1351" t="n"/>
      <c r="D1118" s="1351" t="n"/>
      <c r="E1118" s="1351" t="n"/>
      <c r="F1118" s="1351" t="n"/>
      <c r="G1118" s="1351" t="n"/>
      <c r="H1118" s="1351" t="n"/>
      <c r="I1118" s="1351" t="n"/>
      <c r="J1118" s="1351" t="n"/>
      <c r="K1118" s="1351" t="n"/>
      <c r="L1118" s="1351" t="n"/>
      <c r="M1118" s="1351" t="n"/>
      <c r="N1118" s="1351" t="n"/>
      <c r="O1118" s="1351" t="n"/>
      <c r="P1118" s="1349" t="n"/>
    </row>
    <row r="1119">
      <c r="A1119" s="1349" t="n"/>
      <c r="B1119" s="1349" t="n"/>
      <c r="C1119" s="1351" t="n"/>
      <c r="D1119" s="1351" t="n"/>
      <c r="E1119" s="1351" t="n"/>
      <c r="F1119" s="1351" t="n"/>
      <c r="G1119" s="1351" t="n"/>
      <c r="H1119" s="1351" t="n"/>
      <c r="I1119" s="1351" t="n"/>
      <c r="J1119" s="1351" t="n"/>
      <c r="K1119" s="1351" t="n"/>
      <c r="L1119" s="1351" t="n"/>
      <c r="M1119" s="1351" t="n"/>
      <c r="N1119" s="1351" t="n"/>
      <c r="O1119" s="1351" t="n"/>
      <c r="P1119" s="1349" t="n"/>
    </row>
    <row r="1120" customFormat="1" s="324">
      <c r="A1120" s="1349" t="n"/>
      <c r="B1120" s="1501" t="n"/>
      <c r="C1120" s="1439" t="n"/>
      <c r="D1120" s="1439" t="n"/>
      <c r="E1120" s="1439" t="n"/>
      <c r="F1120" s="1439" t="n"/>
      <c r="G1120" s="1440" t="n"/>
      <c r="H1120" s="1567" t="n"/>
      <c r="I1120" s="1351" t="n"/>
      <c r="J1120" s="1351" t="n"/>
      <c r="K1120" s="1351" t="n"/>
      <c r="L1120" s="1351" t="n"/>
      <c r="M1120" s="1351" t="n"/>
      <c r="N1120" s="1351" t="n"/>
      <c r="O1120" s="1351" t="n"/>
      <c r="P1120" s="1349" t="n"/>
    </row>
    <row r="1121" customFormat="1" s="324">
      <c r="A1121" s="1349" t="n"/>
      <c r="B1121" s="1501" t="n"/>
      <c r="C1121" s="1439" t="n"/>
      <c r="D1121" s="1439" t="n"/>
      <c r="E1121" s="1439" t="n"/>
      <c r="F1121" s="1439" t="n"/>
      <c r="G1121" s="1440" t="n"/>
      <c r="H1121" s="1567" t="n"/>
      <c r="I1121" s="1351" t="n"/>
      <c r="J1121" s="1351" t="n"/>
      <c r="K1121" s="1351" t="n"/>
      <c r="L1121" s="1351" t="n"/>
      <c r="M1121" s="1351" t="n"/>
      <c r="N1121" s="1351" t="n"/>
      <c r="O1121" s="1351" t="n"/>
      <c r="P1121" s="1349" t="n"/>
    </row>
    <row r="1122" customFormat="1" s="324">
      <c r="A1122" s="1349" t="n"/>
      <c r="B1122" s="1501" t="n"/>
      <c r="C1122" s="1439" t="n"/>
      <c r="D1122" s="1439" t="n"/>
      <c r="E1122" s="1439" t="n"/>
      <c r="F1122" s="1439" t="n"/>
      <c r="G1122" s="1440" t="n"/>
      <c r="H1122" s="1567" t="n"/>
      <c r="I1122" s="1351" t="n"/>
      <c r="J1122" s="1351" t="n"/>
      <c r="K1122" s="1351" t="n"/>
      <c r="L1122" s="1351" t="n"/>
      <c r="M1122" s="1351" t="n"/>
      <c r="N1122" s="1351" t="n"/>
      <c r="O1122" s="1351" t="n"/>
      <c r="P1122" s="1349" t="n"/>
    </row>
    <row r="1123" customFormat="1" s="324">
      <c r="A1123" s="1349" t="n"/>
      <c r="B1123" s="1501" t="n"/>
      <c r="C1123" s="1439" t="n"/>
      <c r="D1123" s="1439" t="n"/>
      <c r="E1123" s="1439" t="n"/>
      <c r="F1123" s="1439" t="n"/>
      <c r="G1123" s="1440" t="n"/>
      <c r="H1123" s="1567" t="n"/>
      <c r="I1123" s="1351" t="n"/>
      <c r="J1123" s="1351" t="n"/>
      <c r="K1123" s="1351" t="n"/>
      <c r="L1123" s="1351" t="n"/>
      <c r="M1123" s="1351" t="n"/>
      <c r="N1123" s="1351" t="n"/>
      <c r="O1123" s="1351" t="n"/>
      <c r="P1123" s="1349" t="n"/>
    </row>
    <row r="1124" customFormat="1" s="324">
      <c r="A1124" s="1349" t="n"/>
      <c r="B1124" s="1501" t="n"/>
      <c r="C1124" s="1439" t="n"/>
      <c r="D1124" s="1439" t="n"/>
      <c r="E1124" s="1439" t="n"/>
      <c r="F1124" s="1439" t="n"/>
      <c r="G1124" s="1440" t="n"/>
      <c r="H1124" s="1567" t="n"/>
      <c r="I1124" s="1351" t="n"/>
      <c r="J1124" s="1351" t="n"/>
      <c r="K1124" s="1351" t="n"/>
      <c r="L1124" s="1351" t="n"/>
      <c r="M1124" s="1351" t="n"/>
      <c r="N1124" s="1351" t="n"/>
      <c r="O1124" s="1351" t="n"/>
      <c r="P1124" s="1349" t="n"/>
    </row>
    <row r="1125" customFormat="1" s="324">
      <c r="A1125" s="1349" t="n"/>
      <c r="B1125" s="1501" t="n"/>
      <c r="C1125" s="1439" t="n"/>
      <c r="D1125" s="1439" t="n"/>
      <c r="E1125" s="1439" t="n"/>
      <c r="F1125" s="1439" t="n"/>
      <c r="G1125" s="1440" t="n"/>
      <c r="H1125" s="1567" t="n"/>
      <c r="I1125" s="1351" t="n"/>
      <c r="J1125" s="1351" t="n"/>
      <c r="K1125" s="1351" t="n"/>
      <c r="L1125" s="1351" t="n"/>
      <c r="M1125" s="1351" t="n"/>
      <c r="N1125" s="1351" t="n"/>
      <c r="O1125" s="1351" t="n"/>
      <c r="P1125" s="1349" t="n"/>
    </row>
    <row r="1126" customFormat="1" s="324">
      <c r="A1126" s="1349" t="n"/>
      <c r="B1126" s="1501" t="n"/>
      <c r="C1126" s="1439" t="n"/>
      <c r="D1126" s="1439" t="n"/>
      <c r="E1126" s="1439" t="n"/>
      <c r="F1126" s="1439" t="n"/>
      <c r="G1126" s="1440" t="n"/>
      <c r="H1126" s="1567" t="n"/>
      <c r="I1126" s="1351" t="n"/>
      <c r="J1126" s="1351" t="n"/>
      <c r="K1126" s="1351" t="n"/>
      <c r="L1126" s="1351" t="n"/>
      <c r="M1126" s="1351" t="n"/>
      <c r="N1126" s="1351" t="n"/>
      <c r="O1126" s="1351" t="n"/>
      <c r="P1126" s="1349" t="n"/>
    </row>
    <row r="1127" customFormat="1" s="324">
      <c r="A1127" s="1349" t="n"/>
      <c r="B1127" s="1501" t="n"/>
      <c r="C1127" s="1439" t="n"/>
      <c r="D1127" s="1439" t="n"/>
      <c r="E1127" s="1439" t="n"/>
      <c r="F1127" s="1439" t="n"/>
      <c r="G1127" s="1440" t="n"/>
      <c r="H1127" s="1567" t="n"/>
      <c r="I1127" s="1351" t="n"/>
      <c r="J1127" s="1351" t="n"/>
      <c r="K1127" s="1351" t="n"/>
      <c r="L1127" s="1351" t="n"/>
      <c r="M1127" s="1351" t="n"/>
      <c r="N1127" s="1351" t="n"/>
      <c r="O1127" s="1351" t="n"/>
      <c r="P1127" s="1349" t="n"/>
    </row>
    <row r="1128" customFormat="1" s="324">
      <c r="A1128" s="1349" t="n"/>
      <c r="B1128" s="1501" t="n"/>
      <c r="C1128" s="1439" t="n"/>
      <c r="D1128" s="1439" t="n"/>
      <c r="E1128" s="1439" t="n"/>
      <c r="F1128" s="1439" t="n"/>
      <c r="G1128" s="1440" t="n"/>
      <c r="H1128" s="1567" t="n"/>
      <c r="I1128" s="1351" t="n"/>
      <c r="J1128" s="1351" t="n"/>
      <c r="K1128" s="1351" t="n"/>
      <c r="L1128" s="1351" t="n"/>
      <c r="M1128" s="1351" t="n"/>
      <c r="N1128" s="1351" t="n"/>
      <c r="O1128" s="1351" t="n"/>
      <c r="P1128" s="1349" t="n"/>
    </row>
    <row r="1129" customFormat="1" s="324">
      <c r="A1129" s="1349" t="n"/>
      <c r="B1129" s="1501" t="n"/>
      <c r="C1129" s="1439" t="n"/>
      <c r="D1129" s="1439" t="n"/>
      <c r="E1129" s="1439" t="n"/>
      <c r="F1129" s="1439" t="n"/>
      <c r="G1129" s="1440" t="n"/>
      <c r="H1129" s="1567" t="n"/>
      <c r="I1129" s="1351" t="n"/>
      <c r="J1129" s="1351" t="n"/>
      <c r="K1129" s="1351" t="n"/>
      <c r="L1129" s="1351" t="n"/>
      <c r="M1129" s="1351" t="n"/>
      <c r="N1129" s="1351" t="n"/>
      <c r="O1129" s="1351" t="n"/>
      <c r="P1129" s="1349" t="n"/>
    </row>
    <row r="1130" customFormat="1" s="324">
      <c r="A1130" s="1349" t="n"/>
      <c r="B1130" s="1501" t="n"/>
      <c r="C1130" s="1439" t="n"/>
      <c r="D1130" s="1439" t="n"/>
      <c r="E1130" s="1439" t="n"/>
      <c r="F1130" s="1439" t="n"/>
      <c r="G1130" s="1440" t="n"/>
      <c r="H1130" s="1567" t="n"/>
      <c r="I1130" s="1351" t="n"/>
      <c r="J1130" s="1351" t="n"/>
      <c r="K1130" s="1351" t="n"/>
      <c r="L1130" s="1351" t="n"/>
      <c r="M1130" s="1351" t="n"/>
      <c r="N1130" s="1351" t="n"/>
      <c r="O1130" s="1351" t="n"/>
      <c r="P1130" s="1349" t="n"/>
    </row>
    <row r="1131" customFormat="1" s="324">
      <c r="A1131" s="1349" t="n"/>
      <c r="B1131" s="1501" t="n"/>
      <c r="C1131" s="1439" t="n"/>
      <c r="D1131" s="1439" t="n"/>
      <c r="E1131" s="1439" t="n"/>
      <c r="F1131" s="1439" t="n"/>
      <c r="G1131" s="1440" t="n"/>
      <c r="H1131" s="1567" t="n"/>
      <c r="I1131" s="1351" t="n"/>
      <c r="J1131" s="1351" t="n"/>
      <c r="K1131" s="1351" t="n"/>
      <c r="L1131" s="1351" t="n"/>
      <c r="M1131" s="1351" t="n"/>
      <c r="N1131" s="1351" t="n"/>
      <c r="O1131" s="1351" t="n"/>
      <c r="P1131" s="1349" t="n"/>
    </row>
    <row r="1132" customFormat="1" s="324">
      <c r="A1132" s="1349" t="n"/>
      <c r="B1132" s="1501" t="n"/>
      <c r="C1132" s="1439" t="n"/>
      <c r="D1132" s="1439" t="n"/>
      <c r="E1132" s="1439" t="n"/>
      <c r="F1132" s="1439" t="n"/>
      <c r="G1132" s="1440" t="n"/>
      <c r="H1132" s="1567" t="n"/>
      <c r="I1132" s="1351" t="n"/>
      <c r="J1132" s="1351" t="n"/>
      <c r="K1132" s="1351" t="n"/>
      <c r="L1132" s="1351" t="n"/>
      <c r="M1132" s="1351" t="n"/>
      <c r="N1132" s="1351" t="n"/>
      <c r="O1132" s="1351" t="n"/>
      <c r="P1132" s="1349" t="n"/>
    </row>
    <row r="1133" customFormat="1" s="324">
      <c r="A1133" s="1349" t="n"/>
      <c r="B1133" s="1501" t="n"/>
      <c r="C1133" s="1439" t="n"/>
      <c r="D1133" s="1439" t="n"/>
      <c r="E1133" s="1439" t="n"/>
      <c r="F1133" s="1439" t="n"/>
      <c r="G1133" s="1440" t="n"/>
      <c r="H1133" s="1567" t="n"/>
      <c r="I1133" s="1351" t="n"/>
      <c r="J1133" s="1351" t="n"/>
      <c r="K1133" s="1351" t="n"/>
      <c r="L1133" s="1351" t="n"/>
      <c r="M1133" s="1351" t="n"/>
      <c r="N1133" s="1351" t="n"/>
      <c r="O1133" s="1351" t="n"/>
      <c r="P1133" s="1349" t="n"/>
    </row>
    <row r="1134" customFormat="1" s="324">
      <c r="A1134" s="1349" t="n"/>
      <c r="B1134" s="1501" t="n"/>
      <c r="C1134" s="1439" t="n"/>
      <c r="D1134" s="1439" t="n"/>
      <c r="E1134" s="1439" t="n"/>
      <c r="F1134" s="1439" t="n"/>
      <c r="G1134" s="1440" t="n"/>
      <c r="H1134" s="1567" t="n"/>
      <c r="I1134" s="1351" t="n"/>
      <c r="J1134" s="1351" t="n"/>
      <c r="K1134" s="1351" t="n"/>
      <c r="L1134" s="1351" t="n"/>
      <c r="M1134" s="1351" t="n"/>
      <c r="N1134" s="1351" t="n"/>
      <c r="O1134" s="1351" t="n"/>
      <c r="P1134" s="1349" t="n"/>
    </row>
    <row r="1135" customFormat="1" s="324">
      <c r="A1135" s="1349" t="n"/>
      <c r="B1135" s="1501" t="n"/>
      <c r="C1135" s="1439" t="n"/>
      <c r="D1135" s="1439" t="n"/>
      <c r="E1135" s="1439" t="n"/>
      <c r="F1135" s="1439" t="n"/>
      <c r="G1135" s="1440" t="n"/>
      <c r="H1135" s="1567" t="n"/>
      <c r="I1135" s="1351" t="n"/>
      <c r="J1135" s="1351" t="n"/>
      <c r="K1135" s="1351" t="n"/>
      <c r="L1135" s="1351" t="n"/>
      <c r="M1135" s="1351" t="n"/>
      <c r="N1135" s="1351" t="n"/>
      <c r="O1135" s="1351" t="n"/>
      <c r="P1135" s="1349" t="n"/>
    </row>
    <row r="1136" customFormat="1" s="324">
      <c r="A1136" s="1349" t="n"/>
      <c r="B1136" s="1501" t="n"/>
      <c r="C1136" s="1439" t="n"/>
      <c r="D1136" s="1439" t="n"/>
      <c r="E1136" s="1439" t="n"/>
      <c r="F1136" s="1439" t="n"/>
      <c r="G1136" s="1440" t="n"/>
      <c r="H1136" s="1567" t="n"/>
      <c r="I1136" s="1351" t="n"/>
      <c r="J1136" s="1351" t="n"/>
      <c r="K1136" s="1351" t="n"/>
      <c r="L1136" s="1351" t="n"/>
      <c r="M1136" s="1351" t="n"/>
      <c r="N1136" s="1351" t="n"/>
      <c r="O1136" s="1351" t="n"/>
      <c r="P1136" s="1349" t="n"/>
    </row>
    <row r="1137" customFormat="1" s="324">
      <c r="A1137" s="1349" t="n"/>
      <c r="B1137" s="1501" t="n"/>
      <c r="C1137" s="1439" t="n"/>
      <c r="D1137" s="1439" t="n"/>
      <c r="E1137" s="1439" t="n"/>
      <c r="F1137" s="1439" t="n"/>
      <c r="G1137" s="1440" t="n"/>
      <c r="H1137" s="1567" t="n"/>
      <c r="I1137" s="1351" t="n"/>
      <c r="J1137" s="1351" t="n"/>
      <c r="K1137" s="1351" t="n"/>
      <c r="L1137" s="1351" t="n"/>
      <c r="M1137" s="1351" t="n"/>
      <c r="N1137" s="1351" t="n"/>
      <c r="O1137" s="1351" t="n"/>
      <c r="P1137" s="1349" t="n"/>
    </row>
    <row r="1138" customFormat="1" s="42">
      <c r="A1138" s="1389" t="n"/>
      <c r="B1138" s="1501" t="n"/>
      <c r="C1138" s="1439" t="n"/>
      <c r="D1138" s="1439" t="n"/>
      <c r="E1138" s="1439" t="n"/>
      <c r="F1138" s="1439" t="n"/>
      <c r="G1138" s="1440" t="n"/>
      <c r="H1138" s="1567" t="n"/>
      <c r="I1138" s="1351" t="n"/>
      <c r="J1138" s="1351" t="n"/>
      <c r="K1138" s="1351" t="n"/>
      <c r="L1138" s="1351" t="n"/>
      <c r="M1138" s="1351" t="n"/>
      <c r="N1138" s="1351" t="n"/>
      <c r="O1138" s="1351" t="n"/>
      <c r="P1138" s="1349" t="n"/>
    </row>
    <row r="1139" customFormat="1" s="324">
      <c r="A1139" s="1349" t="n"/>
      <c r="B1139" s="1501" t="n"/>
      <c r="C1139" s="1439" t="n"/>
      <c r="D1139" s="1439" t="n"/>
      <c r="E1139" s="1439" t="n"/>
      <c r="F1139" s="1439" t="n"/>
      <c r="G1139" s="1440" t="n"/>
      <c r="H1139" s="1567" t="n"/>
      <c r="I1139" s="1351" t="n"/>
      <c r="J1139" s="1351" t="n"/>
      <c r="K1139" s="1351" t="n"/>
      <c r="L1139" s="1351" t="n"/>
      <c r="M1139" s="1351" t="n"/>
      <c r="N1139" s="1351" t="n"/>
      <c r="O1139" s="1351" t="n"/>
      <c r="P1139" s="1349" t="n"/>
    </row>
    <row r="1140" customFormat="1" s="324">
      <c r="A1140" s="1349" t="n"/>
      <c r="B1140" s="1501" t="n"/>
      <c r="C1140" s="1439" t="n"/>
      <c r="D1140" s="1439" t="n"/>
      <c r="E1140" s="1439" t="n"/>
      <c r="F1140" s="1439" t="n"/>
      <c r="G1140" s="1440" t="n"/>
      <c r="H1140" s="1567" t="n"/>
      <c r="I1140" s="1351" t="n"/>
      <c r="J1140" s="1351" t="n"/>
      <c r="K1140" s="1351" t="n"/>
      <c r="L1140" s="1351" t="n"/>
      <c r="M1140" s="1351" t="n"/>
      <c r="N1140" s="1351" t="n"/>
      <c r="O1140" s="1351" t="n"/>
      <c r="P1140" s="1349" t="n"/>
    </row>
    <row r="1141" customFormat="1" s="324">
      <c r="A1141" s="1349" t="n"/>
      <c r="B1141" s="1501" t="n"/>
      <c r="C1141" s="1439" t="n"/>
      <c r="D1141" s="1439" t="n"/>
      <c r="E1141" s="1439" t="n"/>
      <c r="F1141" s="1439" t="n"/>
      <c r="G1141" s="1440" t="n"/>
      <c r="H1141" s="1567" t="n"/>
      <c r="I1141" s="1351" t="n"/>
      <c r="J1141" s="1351" t="n"/>
      <c r="K1141" s="1351" t="n"/>
      <c r="L1141" s="1351" t="n"/>
      <c r="M1141" s="1351" t="n"/>
      <c r="N1141" s="1351" t="n"/>
      <c r="O1141" s="1351" t="n"/>
      <c r="P1141" s="1349" t="n"/>
    </row>
    <row r="1142" customFormat="1" s="324">
      <c r="A1142" s="1349" t="n"/>
      <c r="B1142" s="1501" t="n"/>
      <c r="C1142" s="1439" t="n"/>
      <c r="D1142" s="1439" t="n"/>
      <c r="E1142" s="1439" t="n"/>
      <c r="F1142" s="1439" t="n"/>
      <c r="G1142" s="1440" t="n"/>
      <c r="H1142" s="1567" t="n"/>
      <c r="I1142" s="1351" t="n"/>
      <c r="J1142" s="1351" t="n"/>
      <c r="K1142" s="1351" t="n"/>
      <c r="L1142" s="1351" t="n"/>
      <c r="M1142" s="1351" t="n"/>
      <c r="N1142" s="1351" t="n"/>
      <c r="O1142" s="1351" t="n"/>
      <c r="P1142" s="1349" t="n"/>
    </row>
    <row r="1143" customFormat="1" s="324">
      <c r="A1143" s="1349" t="n"/>
      <c r="B1143" s="1501" t="n"/>
      <c r="C1143" s="1439" t="n"/>
      <c r="D1143" s="1439" t="n"/>
      <c r="E1143" s="1439" t="n"/>
      <c r="F1143" s="1439" t="n"/>
      <c r="G1143" s="1440" t="n"/>
      <c r="H1143" s="1567" t="n"/>
      <c r="I1143" s="1351" t="n"/>
      <c r="J1143" s="1351" t="n"/>
      <c r="K1143" s="1351" t="n"/>
      <c r="L1143" s="1351" t="n"/>
      <c r="M1143" s="1351" t="n"/>
      <c r="N1143" s="1351" t="n"/>
      <c r="O1143" s="1351" t="n"/>
      <c r="P1143" s="1349" t="n"/>
    </row>
    <row r="1144" customFormat="1" s="324">
      <c r="A1144" s="1349" t="n"/>
      <c r="B1144" s="1501" t="n"/>
      <c r="C1144" s="1439" t="n"/>
      <c r="D1144" s="1439" t="n"/>
      <c r="E1144" s="1439" t="n"/>
      <c r="F1144" s="1439" t="n"/>
      <c r="G1144" s="1440" t="n"/>
      <c r="H1144" s="1567" t="n"/>
      <c r="I1144" s="1351" t="n"/>
      <c r="J1144" s="1351" t="n"/>
      <c r="K1144" s="1351" t="n"/>
      <c r="L1144" s="1351" t="n"/>
      <c r="M1144" s="1351" t="n"/>
      <c r="N1144" s="1351" t="n"/>
      <c r="O1144" s="1351" t="n"/>
      <c r="P1144" s="1349" t="n"/>
    </row>
    <row r="1145" customFormat="1" s="324">
      <c r="A1145" s="1349" t="n"/>
      <c r="B1145" s="1501" t="n"/>
      <c r="C1145" s="1439" t="n"/>
      <c r="D1145" s="1439" t="n"/>
      <c r="E1145" s="1439" t="n"/>
      <c r="F1145" s="1439" t="n"/>
      <c r="G1145" s="1440" t="n"/>
      <c r="H1145" s="1567" t="n"/>
      <c r="I1145" s="1351" t="n"/>
      <c r="J1145" s="1351" t="n"/>
      <c r="K1145" s="1351" t="n"/>
      <c r="L1145" s="1351" t="n"/>
      <c r="M1145" s="1351" t="n"/>
      <c r="N1145" s="1351" t="n"/>
      <c r="O1145" s="1351" t="n"/>
      <c r="P1145" s="1349" t="n"/>
    </row>
    <row r="1146" customFormat="1" s="324">
      <c r="A1146" s="1349" t="n"/>
      <c r="B1146" s="1501" t="n"/>
      <c r="C1146" s="1439" t="n"/>
      <c r="D1146" s="1439" t="n"/>
      <c r="E1146" s="1439" t="n"/>
      <c r="F1146" s="1439" t="n"/>
      <c r="G1146" s="1440" t="n"/>
      <c r="H1146" s="1567" t="n"/>
      <c r="I1146" s="1351" t="n"/>
      <c r="J1146" s="1351" t="n"/>
      <c r="K1146" s="1351" t="n"/>
      <c r="L1146" s="1351" t="n"/>
      <c r="M1146" s="1351" t="n"/>
      <c r="N1146" s="1351" t="n"/>
      <c r="O1146" s="1351" t="n"/>
      <c r="P1146" s="1349" t="n"/>
    </row>
    <row r="1147" customFormat="1" s="324">
      <c r="A1147" s="1349" t="n"/>
      <c r="B1147" s="1501" t="n"/>
      <c r="C1147" s="1439" t="n"/>
      <c r="D1147" s="1439" t="n"/>
      <c r="E1147" s="1439" t="n"/>
      <c r="F1147" s="1439" t="n"/>
      <c r="G1147" s="1440" t="n"/>
      <c r="H1147" s="1567" t="n"/>
      <c r="I1147" s="1351" t="n"/>
      <c r="J1147" s="1351" t="n"/>
      <c r="K1147" s="1351" t="n"/>
      <c r="L1147" s="1351" t="n"/>
      <c r="M1147" s="1351" t="n"/>
      <c r="N1147" s="1351" t="n"/>
      <c r="O1147" s="1351" t="n"/>
      <c r="P1147" s="1349" t="n"/>
    </row>
    <row r="1148" customFormat="1" s="324">
      <c r="A1148" s="1349" t="n"/>
      <c r="B1148" s="1501" t="n"/>
      <c r="C1148" s="1439" t="n"/>
      <c r="D1148" s="1439" t="n"/>
      <c r="E1148" s="1439" t="n"/>
      <c r="F1148" s="1439" t="n"/>
      <c r="G1148" s="1440" t="n"/>
      <c r="H1148" s="1567" t="n"/>
      <c r="I1148" s="1351" t="n"/>
      <c r="J1148" s="1351" t="n"/>
      <c r="K1148" s="1351" t="n"/>
      <c r="L1148" s="1351" t="n"/>
      <c r="M1148" s="1351" t="n"/>
      <c r="N1148" s="1351" t="n"/>
      <c r="O1148" s="1351" t="n"/>
      <c r="P1148" s="1349" t="n"/>
    </row>
    <row r="1149" customFormat="1" s="324">
      <c r="A1149" s="1349" t="n"/>
      <c r="B1149" s="1501" t="n"/>
      <c r="C1149" s="1439" t="n"/>
      <c r="D1149" s="1439" t="n"/>
      <c r="E1149" s="1439" t="n"/>
      <c r="F1149" s="1439" t="n"/>
      <c r="G1149" s="1440" t="n"/>
      <c r="H1149" s="1567" t="n"/>
      <c r="I1149" s="1351" t="n"/>
      <c r="J1149" s="1351" t="n"/>
      <c r="K1149" s="1351" t="n"/>
      <c r="L1149" s="1351" t="n"/>
      <c r="M1149" s="1351" t="n"/>
      <c r="N1149" s="1351" t="n"/>
      <c r="O1149" s="1351" t="n"/>
      <c r="P1149" s="1349" t="n"/>
    </row>
    <row r="1150" customFormat="1" s="324">
      <c r="A1150" s="1349" t="n"/>
      <c r="B1150" s="1501" t="n"/>
      <c r="C1150" s="1439" t="n"/>
      <c r="D1150" s="1439" t="n"/>
      <c r="E1150" s="1439" t="n"/>
      <c r="F1150" s="1439" t="n"/>
      <c r="G1150" s="1440" t="n"/>
      <c r="H1150" s="1567" t="n"/>
      <c r="I1150" s="1351" t="n"/>
      <c r="J1150" s="1351" t="n"/>
      <c r="K1150" s="1351" t="n"/>
      <c r="L1150" s="1351" t="n"/>
      <c r="M1150" s="1351" t="n"/>
      <c r="N1150" s="1351" t="n"/>
      <c r="O1150" s="1351" t="n"/>
      <c r="P1150" s="1349" t="n"/>
    </row>
    <row r="1151" customFormat="1" s="324">
      <c r="A1151" s="1349" t="n"/>
      <c r="B1151" s="1501" t="n"/>
      <c r="C1151" s="1439" t="n"/>
      <c r="D1151" s="1439" t="n"/>
      <c r="E1151" s="1439" t="n"/>
      <c r="F1151" s="1439" t="n"/>
      <c r="G1151" s="1440" t="n"/>
      <c r="H1151" s="1567" t="n"/>
      <c r="I1151" s="1351" t="n"/>
      <c r="J1151" s="1351" t="n"/>
      <c r="K1151" s="1351" t="n"/>
      <c r="L1151" s="1351" t="n"/>
      <c r="M1151" s="1351" t="n"/>
      <c r="N1151" s="1351" t="n"/>
      <c r="O1151" s="1351" t="n"/>
      <c r="P1151" s="1349" t="n"/>
    </row>
    <row r="1152" customFormat="1" s="324">
      <c r="A1152" s="1349" t="n"/>
      <c r="B1152" s="1501" t="n"/>
      <c r="C1152" s="1439" t="n"/>
      <c r="D1152" s="1439" t="n"/>
      <c r="E1152" s="1439" t="n"/>
      <c r="F1152" s="1439" t="n"/>
      <c r="G1152" s="1440" t="n"/>
      <c r="H1152" s="1567" t="n"/>
      <c r="I1152" s="1351" t="n"/>
      <c r="J1152" s="1351" t="n"/>
      <c r="K1152" s="1351" t="n"/>
      <c r="L1152" s="1351" t="n"/>
      <c r="M1152" s="1351" t="n"/>
      <c r="N1152" s="1351" t="n"/>
      <c r="O1152" s="1351" t="n"/>
      <c r="P1152" s="1349" t="n"/>
    </row>
    <row r="1153" customFormat="1" s="324">
      <c r="A1153" s="1349" t="n"/>
      <c r="B1153" s="1501" t="n"/>
      <c r="C1153" s="1439" t="n"/>
      <c r="D1153" s="1439" t="n"/>
      <c r="E1153" s="1439" t="n"/>
      <c r="F1153" s="1439" t="n"/>
      <c r="G1153" s="1440" t="n"/>
      <c r="H1153" s="1567" t="n"/>
      <c r="I1153" s="1351" t="n"/>
      <c r="J1153" s="1351" t="n"/>
      <c r="K1153" s="1351" t="n"/>
      <c r="L1153" s="1351" t="n"/>
      <c r="M1153" s="1351" t="n"/>
      <c r="N1153" s="1351" t="n"/>
      <c r="O1153" s="1351" t="n"/>
      <c r="P1153" s="1349" t="n"/>
    </row>
    <row r="1154" customFormat="1" s="324">
      <c r="A1154" s="1349" t="n"/>
      <c r="B1154" s="1501" t="n"/>
      <c r="C1154" s="1439" t="n"/>
      <c r="D1154" s="1439" t="n"/>
      <c r="E1154" s="1439" t="n"/>
      <c r="F1154" s="1439" t="n"/>
      <c r="G1154" s="1440" t="n"/>
      <c r="H1154" s="1567" t="n"/>
      <c r="I1154" s="1351" t="n"/>
      <c r="J1154" s="1351" t="n"/>
      <c r="K1154" s="1351" t="n"/>
      <c r="L1154" s="1351" t="n"/>
      <c r="M1154" s="1351" t="n"/>
      <c r="N1154" s="1351" t="n"/>
      <c r="O1154" s="1351" t="n"/>
      <c r="P1154" s="1349" t="n"/>
    </row>
    <row r="1155" customFormat="1" s="324">
      <c r="A1155" s="1349" t="n"/>
      <c r="B1155" s="1501" t="n"/>
      <c r="C1155" s="1439" t="n"/>
      <c r="D1155" s="1439" t="n"/>
      <c r="E1155" s="1439" t="n"/>
      <c r="F1155" s="1439" t="n"/>
      <c r="G1155" s="1440" t="n"/>
      <c r="H1155" s="1567" t="n"/>
      <c r="I1155" s="1351" t="n"/>
      <c r="J1155" s="1351" t="n"/>
      <c r="K1155" s="1351" t="n"/>
      <c r="L1155" s="1351" t="n"/>
      <c r="M1155" s="1351" t="n"/>
      <c r="N1155" s="1351" t="n"/>
      <c r="O1155" s="1351" t="n"/>
      <c r="P1155" s="1349" t="n"/>
    </row>
    <row r="1156" customFormat="1" s="324">
      <c r="A1156" s="1349" t="n"/>
      <c r="B1156" s="1501" t="n"/>
      <c r="C1156" s="1439" t="n"/>
      <c r="D1156" s="1439" t="n"/>
      <c r="E1156" s="1439" t="n"/>
      <c r="F1156" s="1439" t="n"/>
      <c r="G1156" s="1440" t="n"/>
      <c r="H1156" s="1567" t="n"/>
      <c r="I1156" s="1351" t="n"/>
      <c r="J1156" s="1351" t="n"/>
      <c r="K1156" s="1351" t="n"/>
      <c r="L1156" s="1351" t="n"/>
      <c r="M1156" s="1351" t="n"/>
      <c r="N1156" s="1351" t="n"/>
      <c r="O1156" s="1351" t="n"/>
      <c r="P1156" s="1349" t="n"/>
    </row>
    <row r="1157" customFormat="1" s="324">
      <c r="A1157" s="1349" t="n"/>
      <c r="B1157" s="1501" t="n"/>
      <c r="C1157" s="1439" t="n"/>
      <c r="D1157" s="1439" t="n"/>
      <c r="E1157" s="1439" t="n"/>
      <c r="F1157" s="1439" t="n"/>
      <c r="G1157" s="1440" t="n"/>
      <c r="H1157" s="1567" t="n"/>
      <c r="I1157" s="1351" t="n"/>
      <c r="J1157" s="1351" t="n"/>
      <c r="K1157" s="1351" t="n"/>
      <c r="L1157" s="1351" t="n"/>
      <c r="M1157" s="1351" t="n"/>
      <c r="N1157" s="1351" t="n"/>
      <c r="O1157" s="1351" t="n"/>
      <c r="P1157" s="1349" t="n"/>
    </row>
    <row r="1158" customFormat="1" s="324">
      <c r="A1158" s="1349" t="n"/>
      <c r="B1158" s="1501" t="n"/>
      <c r="C1158" s="1439" t="n"/>
      <c r="D1158" s="1439" t="n"/>
      <c r="E1158" s="1439" t="n"/>
      <c r="F1158" s="1439" t="n"/>
      <c r="G1158" s="1440" t="n"/>
      <c r="H1158" s="1567" t="n"/>
      <c r="I1158" s="1351" t="n"/>
      <c r="J1158" s="1351" t="n"/>
      <c r="K1158" s="1351" t="n"/>
      <c r="L1158" s="1351" t="n"/>
      <c r="M1158" s="1351" t="n"/>
      <c r="N1158" s="1351" t="n"/>
      <c r="O1158" s="1351" t="n"/>
      <c r="P1158" s="1349" t="n"/>
    </row>
    <row r="1159" customFormat="1" s="324">
      <c r="A1159" s="1349" t="n"/>
      <c r="B1159" s="1501" t="n"/>
      <c r="C1159" s="1439" t="n"/>
      <c r="D1159" s="1439" t="n"/>
      <c r="E1159" s="1439" t="n"/>
      <c r="F1159" s="1439" t="n"/>
      <c r="G1159" s="1440" t="n"/>
      <c r="H1159" s="1567" t="n"/>
      <c r="I1159" s="1351" t="n"/>
      <c r="J1159" s="1351" t="n"/>
      <c r="K1159" s="1351" t="n"/>
      <c r="L1159" s="1351" t="n"/>
      <c r="M1159" s="1351" t="n"/>
      <c r="N1159" s="1351" t="n"/>
      <c r="O1159" s="1351" t="n"/>
      <c r="P1159" s="1349" t="n"/>
    </row>
    <row r="1160" customFormat="1" s="324">
      <c r="A1160" s="1349" t="n"/>
      <c r="B1160" s="1501" t="n"/>
      <c r="C1160" s="1439" t="n"/>
      <c r="D1160" s="1439" t="n"/>
      <c r="E1160" s="1439" t="n"/>
      <c r="F1160" s="1439" t="n"/>
      <c r="G1160" s="1440" t="n"/>
      <c r="H1160" s="1567" t="n"/>
      <c r="I1160" s="1351" t="n"/>
      <c r="J1160" s="1351" t="n"/>
      <c r="K1160" s="1351" t="n"/>
      <c r="L1160" s="1351" t="n"/>
      <c r="M1160" s="1351" t="n"/>
      <c r="N1160" s="1351" t="n"/>
      <c r="O1160" s="1351" t="n"/>
      <c r="P1160" s="1349" t="n"/>
    </row>
    <row r="1161" customFormat="1" s="324">
      <c r="A1161" s="1349" t="n"/>
      <c r="B1161" s="1501" t="n"/>
      <c r="C1161" s="1439" t="n"/>
      <c r="D1161" s="1439" t="n"/>
      <c r="E1161" s="1439" t="n"/>
      <c r="F1161" s="1439" t="n"/>
      <c r="G1161" s="1440" t="n"/>
      <c r="H1161" s="1567" t="n"/>
      <c r="I1161" s="1351" t="n"/>
      <c r="J1161" s="1351" t="n"/>
      <c r="K1161" s="1351" t="n"/>
      <c r="L1161" s="1351" t="n"/>
      <c r="M1161" s="1351" t="n"/>
      <c r="N1161" s="1351" t="n"/>
      <c r="O1161" s="1351" t="n"/>
      <c r="P1161" s="1349" t="n"/>
    </row>
    <row r="1162" customFormat="1" s="324">
      <c r="A1162" s="1349" t="n"/>
      <c r="B1162" s="1501" t="n"/>
      <c r="C1162" s="1439" t="n"/>
      <c r="D1162" s="1439" t="n"/>
      <c r="E1162" s="1439" t="n"/>
      <c r="F1162" s="1439" t="n"/>
      <c r="G1162" s="1440" t="n"/>
      <c r="H1162" s="1567" t="n"/>
      <c r="I1162" s="1351" t="n"/>
      <c r="J1162" s="1351" t="n"/>
      <c r="K1162" s="1351" t="n"/>
      <c r="L1162" s="1351" t="n"/>
      <c r="M1162" s="1351" t="n"/>
      <c r="N1162" s="1351" t="n"/>
      <c r="O1162" s="1351" t="n"/>
      <c r="P1162" s="1349" t="n"/>
    </row>
    <row r="1163" customFormat="1" s="324">
      <c r="A1163" s="1349" t="n"/>
      <c r="B1163" s="1501" t="n"/>
      <c r="C1163" s="1439" t="n"/>
      <c r="D1163" s="1439" t="n"/>
      <c r="E1163" s="1439" t="n"/>
      <c r="F1163" s="1439" t="n"/>
      <c r="G1163" s="1440" t="n"/>
      <c r="H1163" s="1567" t="n"/>
      <c r="I1163" s="1351" t="n"/>
      <c r="J1163" s="1351" t="n"/>
      <c r="K1163" s="1351" t="n"/>
      <c r="L1163" s="1351" t="n"/>
      <c r="M1163" s="1351" t="n"/>
      <c r="N1163" s="1351" t="n"/>
      <c r="O1163" s="1351" t="n"/>
      <c r="P1163" s="1349" t="n"/>
    </row>
    <row r="1164" customFormat="1" s="324">
      <c r="A1164" s="1349" t="n"/>
      <c r="B1164" s="1501" t="n"/>
      <c r="C1164" s="1439" t="n"/>
      <c r="D1164" s="1439" t="n"/>
      <c r="E1164" s="1439" t="n"/>
      <c r="F1164" s="1439" t="n"/>
      <c r="G1164" s="1440" t="n"/>
      <c r="H1164" s="1567" t="n"/>
      <c r="I1164" s="1351" t="n"/>
      <c r="J1164" s="1351" t="n"/>
      <c r="K1164" s="1351" t="n"/>
      <c r="L1164" s="1351" t="n"/>
      <c r="M1164" s="1351" t="n"/>
      <c r="N1164" s="1351" t="n"/>
      <c r="O1164" s="1351" t="n"/>
      <c r="P1164" s="1349" t="n"/>
    </row>
    <row r="1165" customFormat="1" s="324">
      <c r="A1165" s="1349" t="n"/>
      <c r="B1165" s="1501" t="n"/>
      <c r="C1165" s="1439" t="n"/>
      <c r="D1165" s="1439" t="n"/>
      <c r="E1165" s="1439" t="n"/>
      <c r="F1165" s="1439" t="n"/>
      <c r="G1165" s="1440" t="n"/>
      <c r="H1165" s="1567" t="n"/>
      <c r="I1165" s="1351" t="n"/>
      <c r="J1165" s="1351" t="n"/>
      <c r="K1165" s="1351" t="n"/>
      <c r="L1165" s="1351" t="n"/>
      <c r="M1165" s="1351" t="n"/>
      <c r="N1165" s="1351" t="n"/>
      <c r="O1165" s="1351" t="n"/>
      <c r="P1165" s="1349" t="n"/>
    </row>
    <row r="1166" customFormat="1" s="324">
      <c r="A1166" s="1349" t="n"/>
      <c r="B1166" s="1501" t="n"/>
      <c r="C1166" s="1439" t="n"/>
      <c r="D1166" s="1439" t="n"/>
      <c r="E1166" s="1439" t="n"/>
      <c r="F1166" s="1439" t="n"/>
      <c r="G1166" s="1440" t="n"/>
      <c r="H1166" s="1567" t="n"/>
      <c r="I1166" s="1351" t="n"/>
      <c r="J1166" s="1351" t="n"/>
      <c r="K1166" s="1351" t="n"/>
      <c r="L1166" s="1351" t="n"/>
      <c r="M1166" s="1351" t="n"/>
      <c r="N1166" s="1351" t="n"/>
      <c r="O1166" s="1351" t="n"/>
      <c r="P1166" s="1349" t="n"/>
    </row>
    <row r="1167" customFormat="1" s="324">
      <c r="A1167" s="1349" t="n"/>
      <c r="B1167" s="1501" t="n"/>
      <c r="C1167" s="1439" t="n"/>
      <c r="D1167" s="1439" t="n"/>
      <c r="E1167" s="1439" t="n"/>
      <c r="F1167" s="1439" t="n"/>
      <c r="G1167" s="1440" t="n"/>
      <c r="H1167" s="1567" t="n"/>
      <c r="I1167" s="1351" t="n"/>
      <c r="J1167" s="1351" t="n"/>
      <c r="K1167" s="1351" t="n"/>
      <c r="L1167" s="1351" t="n"/>
      <c r="M1167" s="1351" t="n"/>
      <c r="N1167" s="1351" t="n"/>
      <c r="O1167" s="1351" t="n"/>
      <c r="P1167" s="1349" t="n"/>
    </row>
    <row r="1168" customFormat="1" s="324">
      <c r="A1168" s="1349" t="n"/>
      <c r="B1168" s="1501" t="n"/>
      <c r="C1168" s="1439" t="n"/>
      <c r="D1168" s="1439" t="n"/>
      <c r="E1168" s="1439" t="n"/>
      <c r="F1168" s="1439" t="n"/>
      <c r="G1168" s="1440" t="n"/>
      <c r="H1168" s="1567" t="n"/>
      <c r="I1168" s="1351" t="n"/>
      <c r="J1168" s="1351" t="n"/>
      <c r="K1168" s="1351" t="n"/>
      <c r="L1168" s="1351" t="n"/>
      <c r="M1168" s="1351" t="n"/>
      <c r="N1168" s="1351" t="n"/>
      <c r="O1168" s="1351" t="n"/>
      <c r="P1168" s="1349" t="n"/>
    </row>
    <row r="1169" customFormat="1" s="324">
      <c r="A1169" s="1349" t="n"/>
      <c r="B1169" s="1501" t="n"/>
      <c r="C1169" s="1439" t="n"/>
      <c r="D1169" s="1439" t="n"/>
      <c r="E1169" s="1439" t="n"/>
      <c r="F1169" s="1439" t="n"/>
      <c r="G1169" s="1440" t="n"/>
      <c r="H1169" s="1567" t="n"/>
      <c r="I1169" s="1351" t="n"/>
      <c r="J1169" s="1351" t="n"/>
      <c r="K1169" s="1351" t="n"/>
      <c r="L1169" s="1351" t="n"/>
      <c r="M1169" s="1351" t="n"/>
      <c r="N1169" s="1351" t="n"/>
      <c r="O1169" s="1351" t="n"/>
      <c r="P1169" s="1349" t="n"/>
    </row>
    <row r="1170" customFormat="1" s="324">
      <c r="A1170" s="1349" t="n"/>
      <c r="B1170" s="1501" t="n"/>
      <c r="C1170" s="1439" t="n"/>
      <c r="D1170" s="1439" t="n"/>
      <c r="E1170" s="1439" t="n"/>
      <c r="F1170" s="1439" t="n"/>
      <c r="G1170" s="1440" t="n"/>
      <c r="H1170" s="1567" t="n"/>
      <c r="I1170" s="1351" t="n"/>
      <c r="J1170" s="1351" t="n"/>
      <c r="K1170" s="1351" t="n"/>
      <c r="L1170" s="1351" t="n"/>
      <c r="M1170" s="1351" t="n"/>
      <c r="N1170" s="1351" t="n"/>
      <c r="O1170" s="1351" t="n"/>
      <c r="P1170" s="1349" t="n"/>
    </row>
    <row r="1171" customFormat="1" s="324">
      <c r="A1171" s="1349" t="n"/>
      <c r="B1171" s="1501" t="n"/>
      <c r="C1171" s="1439" t="n"/>
      <c r="D1171" s="1439" t="n"/>
      <c r="E1171" s="1439" t="n"/>
      <c r="F1171" s="1439" t="n"/>
      <c r="G1171" s="1440" t="n"/>
      <c r="H1171" s="1567" t="n"/>
      <c r="I1171" s="1351" t="n"/>
      <c r="J1171" s="1351" t="n"/>
      <c r="K1171" s="1351" t="n"/>
      <c r="L1171" s="1351" t="n"/>
      <c r="M1171" s="1351" t="n"/>
      <c r="N1171" s="1351" t="n"/>
      <c r="O1171" s="1351" t="n"/>
      <c r="P1171" s="1349" t="n"/>
    </row>
    <row r="1172" customFormat="1" s="324">
      <c r="A1172" s="1349" t="n"/>
      <c r="B1172" s="1501" t="n"/>
      <c r="C1172" s="1439" t="n"/>
      <c r="D1172" s="1439" t="n"/>
      <c r="E1172" s="1439" t="n"/>
      <c r="F1172" s="1439" t="n"/>
      <c r="G1172" s="1440" t="n"/>
      <c r="H1172" s="1567" t="n"/>
      <c r="I1172" s="1351" t="n"/>
      <c r="J1172" s="1351" t="n"/>
      <c r="K1172" s="1351" t="n"/>
      <c r="L1172" s="1351" t="n"/>
      <c r="M1172" s="1351" t="n"/>
      <c r="N1172" s="1351" t="n"/>
      <c r="O1172" s="1351" t="n"/>
      <c r="P1172" s="1349" t="n"/>
    </row>
    <row r="1173" customFormat="1" s="324">
      <c r="A1173" s="1349" t="n"/>
      <c r="B1173" s="1501" t="n"/>
      <c r="C1173" s="1439" t="n"/>
      <c r="D1173" s="1439" t="n"/>
      <c r="E1173" s="1439" t="n"/>
      <c r="F1173" s="1439" t="n"/>
      <c r="G1173" s="1440" t="n"/>
      <c r="H1173" s="1567" t="n"/>
      <c r="I1173" s="1351" t="n"/>
      <c r="J1173" s="1351" t="n"/>
      <c r="K1173" s="1351" t="n"/>
      <c r="L1173" s="1351" t="n"/>
      <c r="M1173" s="1351" t="n"/>
      <c r="N1173" s="1351" t="n"/>
      <c r="O1173" s="1351" t="n"/>
      <c r="P1173" s="1349" t="n"/>
    </row>
    <row r="1174" customFormat="1" s="324">
      <c r="A1174" s="1349" t="n"/>
      <c r="B1174" s="1501" t="n"/>
      <c r="C1174" s="1439" t="n"/>
      <c r="D1174" s="1439" t="n"/>
      <c r="E1174" s="1439" t="n"/>
      <c r="F1174" s="1439" t="n"/>
      <c r="G1174" s="1440" t="n"/>
      <c r="H1174" s="1567" t="n"/>
      <c r="I1174" s="1351" t="n"/>
      <c r="J1174" s="1351" t="n"/>
      <c r="K1174" s="1351" t="n"/>
      <c r="L1174" s="1351" t="n"/>
      <c r="M1174" s="1351" t="n"/>
      <c r="N1174" s="1351" t="n"/>
      <c r="O1174" s="1351" t="n"/>
      <c r="P1174" s="1349" t="n"/>
    </row>
    <row r="1175" customFormat="1" s="324">
      <c r="A1175" s="1349" t="n"/>
      <c r="B1175" s="1501" t="n"/>
      <c r="C1175" s="1439" t="n"/>
      <c r="D1175" s="1439" t="n"/>
      <c r="E1175" s="1439" t="n"/>
      <c r="F1175" s="1439" t="n"/>
      <c r="G1175" s="1440" t="n"/>
      <c r="H1175" s="1567" t="n"/>
      <c r="I1175" s="1351" t="n"/>
      <c r="J1175" s="1351" t="n"/>
      <c r="K1175" s="1351" t="n"/>
      <c r="L1175" s="1351" t="n"/>
      <c r="M1175" s="1351" t="n"/>
      <c r="N1175" s="1351" t="n"/>
      <c r="O1175" s="1351" t="n"/>
      <c r="P1175" s="1349" t="n"/>
    </row>
    <row r="1176" customFormat="1" s="324">
      <c r="A1176" s="1349" t="n"/>
      <c r="B1176" s="1501" t="n"/>
      <c r="C1176" s="1439" t="n"/>
      <c r="D1176" s="1439" t="n"/>
      <c r="E1176" s="1439" t="n"/>
      <c r="F1176" s="1439" t="n"/>
      <c r="G1176" s="1440" t="n"/>
      <c r="H1176" s="1567" t="n"/>
      <c r="I1176" s="1351" t="n"/>
      <c r="J1176" s="1351" t="n"/>
      <c r="K1176" s="1351" t="n"/>
      <c r="L1176" s="1351" t="n"/>
      <c r="M1176" s="1351" t="n"/>
      <c r="N1176" s="1351" t="n"/>
      <c r="O1176" s="1351" t="n"/>
      <c r="P1176" s="1349" t="n"/>
    </row>
    <row r="1177" customFormat="1" s="324">
      <c r="A1177" s="1349" t="n"/>
      <c r="B1177" s="1501" t="n"/>
      <c r="C1177" s="1439" t="n"/>
      <c r="D1177" s="1439" t="n"/>
      <c r="E1177" s="1439" t="n"/>
      <c r="F1177" s="1439" t="n"/>
      <c r="G1177" s="1440" t="n"/>
      <c r="H1177" s="1567" t="n"/>
      <c r="I1177" s="1351" t="n"/>
      <c r="J1177" s="1351" t="n"/>
      <c r="K1177" s="1351" t="n"/>
      <c r="L1177" s="1351" t="n"/>
      <c r="M1177" s="1351" t="n"/>
      <c r="N1177" s="1351" t="n"/>
      <c r="O1177" s="1351" t="n"/>
      <c r="P1177" s="1349" t="n"/>
    </row>
    <row r="1178" customFormat="1" s="324">
      <c r="A1178" s="1349" t="n"/>
      <c r="B1178" s="1501" t="n"/>
      <c r="C1178" s="1439" t="n"/>
      <c r="D1178" s="1439" t="n"/>
      <c r="E1178" s="1439" t="n"/>
      <c r="F1178" s="1439" t="n"/>
      <c r="G1178" s="1440" t="n"/>
      <c r="H1178" s="1567" t="n"/>
      <c r="I1178" s="1351" t="n"/>
      <c r="J1178" s="1351" t="n"/>
      <c r="K1178" s="1351" t="n"/>
      <c r="L1178" s="1351" t="n"/>
      <c r="M1178" s="1351" t="n"/>
      <c r="N1178" s="1351" t="n"/>
      <c r="O1178" s="1351" t="n"/>
      <c r="P1178" s="1349" t="n"/>
    </row>
    <row r="1179" customFormat="1" s="324">
      <c r="A1179" s="1349" t="n"/>
      <c r="B1179" s="1501" t="n"/>
      <c r="C1179" s="1439" t="n"/>
      <c r="D1179" s="1439" t="n"/>
      <c r="E1179" s="1439" t="n"/>
      <c r="F1179" s="1439" t="n"/>
      <c r="G1179" s="1440" t="n"/>
      <c r="H1179" s="1567" t="n"/>
      <c r="I1179" s="1351" t="n"/>
      <c r="J1179" s="1351" t="n"/>
      <c r="K1179" s="1351" t="n"/>
      <c r="L1179" s="1351" t="n"/>
      <c r="M1179" s="1351" t="n"/>
      <c r="N1179" s="1351" t="n"/>
      <c r="O1179" s="1351" t="n"/>
      <c r="P1179" s="1349" t="n"/>
    </row>
    <row r="1180" ht="24" customFormat="1" customHeight="1" s="324">
      <c r="A1180" s="1349" t="n"/>
      <c r="B1180" s="1501" t="n"/>
      <c r="C1180" s="1439" t="n"/>
      <c r="D1180" s="1439" t="n"/>
      <c r="E1180" s="1439" t="n"/>
      <c r="F1180" s="1439" t="n"/>
      <c r="G1180" s="1440" t="n"/>
      <c r="H1180" s="1567" t="n"/>
      <c r="I1180" s="1351" t="n"/>
      <c r="J1180" s="1351" t="n"/>
      <c r="K1180" s="1351" t="n"/>
      <c r="L1180" s="1351" t="n"/>
      <c r="M1180" s="1351" t="n"/>
      <c r="N1180" s="1351" t="n"/>
      <c r="O1180" s="1351" t="n"/>
      <c r="P1180" s="1349" t="n"/>
    </row>
    <row r="1181" ht="24" customFormat="1" customHeight="1" s="324">
      <c r="A1181" s="1349" t="n"/>
      <c r="B1181" s="1501" t="n"/>
      <c r="C1181" s="1439" t="n"/>
      <c r="D1181" s="1439" t="n"/>
      <c r="E1181" s="1439" t="n"/>
      <c r="F1181" s="1439" t="n"/>
      <c r="G1181" s="1440" t="n"/>
      <c r="H1181" s="1567" t="n"/>
      <c r="I1181" s="1351" t="n"/>
      <c r="J1181" s="1351" t="n"/>
      <c r="K1181" s="1351" t="n"/>
      <c r="L1181" s="1351" t="n"/>
      <c r="M1181" s="1351" t="n"/>
      <c r="N1181" s="1351" t="n"/>
      <c r="O1181" s="1351" t="n"/>
      <c r="P1181" s="1349" t="n"/>
    </row>
    <row r="1182" customFormat="1" s="324">
      <c r="A1182" s="1349" t="n"/>
      <c r="B1182" s="1501" t="n"/>
      <c r="C1182" s="1439" t="n"/>
      <c r="D1182" s="1439" t="n"/>
      <c r="E1182" s="1439" t="n"/>
      <c r="F1182" s="1439" t="n"/>
      <c r="G1182" s="1440" t="n"/>
      <c r="H1182" s="1567" t="n"/>
      <c r="I1182" s="1351" t="n"/>
      <c r="J1182" s="1351" t="n"/>
      <c r="K1182" s="1351" t="n"/>
      <c r="L1182" s="1351" t="n"/>
      <c r="M1182" s="1351" t="n"/>
      <c r="N1182" s="1351" t="n"/>
      <c r="O1182" s="1351" t="n"/>
      <c r="P1182" s="1349" t="n"/>
    </row>
    <row r="1183" ht="14.25" customFormat="1" customHeight="1" s="324">
      <c r="A1183" s="1349" t="n"/>
      <c r="B1183" s="1501" t="n"/>
      <c r="C1183" s="1439" t="n"/>
      <c r="D1183" s="1439" t="n"/>
      <c r="E1183" s="1439" t="n"/>
      <c r="F1183" s="1439" t="n"/>
      <c r="G1183" s="1440" t="n"/>
      <c r="H1183" s="1567" t="n"/>
      <c r="I1183" s="1351" t="n"/>
      <c r="J1183" s="1351" t="n"/>
      <c r="K1183" s="1351" t="n"/>
      <c r="L1183" s="1351" t="n"/>
      <c r="M1183" s="1351" t="n"/>
      <c r="N1183" s="1351" t="n"/>
      <c r="O1183" s="1351" t="n"/>
      <c r="P1183" s="1349" t="n"/>
    </row>
    <row r="1184" customFormat="1" s="324">
      <c r="A1184" s="1349" t="n"/>
      <c r="B1184" s="1501" t="n"/>
      <c r="C1184" s="1439" t="n"/>
      <c r="D1184" s="1439" t="n"/>
      <c r="E1184" s="1439" t="n"/>
      <c r="F1184" s="1439" t="n"/>
      <c r="G1184" s="1440" t="n"/>
      <c r="H1184" s="1567" t="n"/>
      <c r="I1184" s="1351" t="n"/>
      <c r="J1184" s="1351" t="n"/>
      <c r="K1184" s="1351" t="n"/>
      <c r="L1184" s="1351" t="n"/>
      <c r="M1184" s="1351" t="n"/>
      <c r="N1184" s="1351" t="n"/>
      <c r="O1184" s="1351" t="n"/>
      <c r="P1184" s="1349" t="n"/>
    </row>
    <row r="1185" customFormat="1" s="324">
      <c r="A1185" s="1349" t="n"/>
      <c r="B1185" s="1501" t="n"/>
      <c r="C1185" s="1439" t="n"/>
      <c r="D1185" s="1439" t="n"/>
      <c r="E1185" s="1439" t="n"/>
      <c r="F1185" s="1439" t="n"/>
      <c r="G1185" s="1440" t="n"/>
      <c r="H1185" s="1567" t="n"/>
      <c r="I1185" s="1351" t="n"/>
      <c r="J1185" s="1351" t="n"/>
      <c r="K1185" s="1351" t="n"/>
      <c r="L1185" s="1351" t="n"/>
      <c r="M1185" s="1351" t="n"/>
      <c r="N1185" s="1351" t="n"/>
      <c r="O1185" s="1351" t="n"/>
      <c r="P1185" s="1349" t="n"/>
    </row>
    <row r="1186" customFormat="1" s="324">
      <c r="A1186" s="1349" t="n"/>
      <c r="B1186" s="1501" t="n"/>
      <c r="C1186" s="1439" t="n"/>
      <c r="D1186" s="1439" t="n"/>
      <c r="E1186" s="1439" t="n"/>
      <c r="F1186" s="1439" t="n"/>
      <c r="G1186" s="1440" t="n"/>
      <c r="H1186" s="1567" t="n"/>
      <c r="I1186" s="1351" t="n"/>
      <c r="J1186" s="1351" t="n"/>
      <c r="K1186" s="1351" t="n"/>
      <c r="L1186" s="1351" t="n"/>
      <c r="M1186" s="1351" t="n"/>
      <c r="N1186" s="1351" t="n"/>
      <c r="O1186" s="1351" t="n"/>
      <c r="P1186" s="1349" t="n"/>
    </row>
    <row r="1187" customFormat="1" s="324">
      <c r="A1187" s="1349" t="n"/>
      <c r="B1187" s="1501" t="n"/>
      <c r="C1187" s="1439" t="n"/>
      <c r="D1187" s="1439" t="n"/>
      <c r="E1187" s="1439" t="n"/>
      <c r="F1187" s="1439" t="n"/>
      <c r="G1187" s="1440" t="n"/>
      <c r="H1187" s="1567" t="n"/>
      <c r="I1187" s="1351" t="n"/>
      <c r="J1187" s="1351" t="n"/>
      <c r="K1187" s="1351" t="n"/>
      <c r="L1187" s="1351" t="n"/>
      <c r="M1187" s="1351" t="n"/>
      <c r="N1187" s="1351" t="n"/>
      <c r="O1187" s="1351" t="n"/>
      <c r="P1187" s="1349" t="n"/>
    </row>
    <row r="1188" customFormat="1" s="324">
      <c r="A1188" s="1349" t="n"/>
      <c r="B1188" s="1501" t="n"/>
      <c r="C1188" s="1439" t="n"/>
      <c r="D1188" s="1439" t="n"/>
      <c r="E1188" s="1439" t="n"/>
      <c r="F1188" s="1439" t="n"/>
      <c r="G1188" s="1440" t="n"/>
      <c r="H1188" s="1567" t="n"/>
      <c r="I1188" s="1351" t="n"/>
      <c r="J1188" s="1351" t="n"/>
      <c r="K1188" s="1351" t="n"/>
      <c r="L1188" s="1351" t="n"/>
      <c r="M1188" s="1351" t="n"/>
      <c r="N1188" s="1351" t="n"/>
      <c r="O1188" s="1351" t="n"/>
      <c r="P1188" s="1349" t="n"/>
    </row>
    <row r="1189" customFormat="1" s="324">
      <c r="A1189" s="1349" t="n"/>
      <c r="B1189" s="1501" t="n"/>
      <c r="C1189" s="1439" t="n"/>
      <c r="D1189" s="1439" t="n"/>
      <c r="E1189" s="1439" t="n"/>
      <c r="F1189" s="1439" t="n"/>
      <c r="G1189" s="1440" t="n"/>
      <c r="H1189" s="1567" t="n"/>
      <c r="I1189" s="1351" t="n"/>
      <c r="J1189" s="1351" t="n"/>
      <c r="K1189" s="1351" t="n"/>
      <c r="L1189" s="1351" t="n"/>
      <c r="M1189" s="1351" t="n"/>
      <c r="N1189" s="1351" t="n"/>
      <c r="O1189" s="1351" t="n"/>
      <c r="P1189" s="1349" t="n"/>
    </row>
    <row r="1190" customFormat="1" s="324">
      <c r="A1190" s="1349" t="n"/>
      <c r="B1190" s="1501" t="n"/>
      <c r="C1190" s="1439" t="n"/>
      <c r="D1190" s="1439" t="n"/>
      <c r="E1190" s="1439" t="n"/>
      <c r="F1190" s="1439" t="n"/>
      <c r="G1190" s="1440" t="n"/>
      <c r="H1190" s="1567" t="n"/>
      <c r="I1190" s="1351" t="n"/>
      <c r="J1190" s="1351" t="n"/>
      <c r="K1190" s="1351" t="n"/>
      <c r="L1190" s="1351" t="n"/>
      <c r="M1190" s="1351" t="n"/>
      <c r="N1190" s="1351" t="n"/>
      <c r="O1190" s="1351" t="n"/>
      <c r="P1190" s="1349" t="n"/>
    </row>
    <row r="1191" customFormat="1" s="324">
      <c r="A1191" s="1349" t="n"/>
      <c r="B1191" s="1501" t="n"/>
      <c r="C1191" s="1439" t="n"/>
      <c r="D1191" s="1439" t="n"/>
      <c r="E1191" s="1439" t="n"/>
      <c r="F1191" s="1439" t="n"/>
      <c r="G1191" s="1440" t="n"/>
      <c r="H1191" s="1567" t="n"/>
      <c r="I1191" s="1351" t="n"/>
      <c r="J1191" s="1351" t="n"/>
      <c r="K1191" s="1351" t="n"/>
      <c r="L1191" s="1351" t="n"/>
      <c r="M1191" s="1351" t="n"/>
      <c r="N1191" s="1351" t="n"/>
      <c r="O1191" s="1351" t="n"/>
      <c r="P1191" s="1349" t="n"/>
    </row>
    <row r="1192" customFormat="1" s="324">
      <c r="A1192" s="1349" t="n"/>
      <c r="B1192" s="1501" t="n"/>
      <c r="C1192" s="1439" t="n"/>
      <c r="D1192" s="1439" t="n"/>
      <c r="E1192" s="1439" t="n"/>
      <c r="F1192" s="1439" t="n"/>
      <c r="G1192" s="1440" t="n"/>
      <c r="H1192" s="1567" t="n"/>
      <c r="I1192" s="1351" t="n"/>
      <c r="J1192" s="1351" t="n"/>
      <c r="K1192" s="1351" t="n"/>
      <c r="L1192" s="1351" t="n"/>
      <c r="M1192" s="1351" t="n"/>
      <c r="N1192" s="1351" t="n"/>
      <c r="O1192" s="1351" t="n"/>
      <c r="P1192" s="1349" t="n"/>
    </row>
    <row r="1193" customFormat="1" s="324">
      <c r="A1193" s="1349" t="n"/>
      <c r="B1193" s="1501" t="n"/>
      <c r="C1193" s="1439" t="n"/>
      <c r="D1193" s="1439" t="n"/>
      <c r="E1193" s="1439" t="n"/>
      <c r="F1193" s="1439" t="n"/>
      <c r="G1193" s="1440" t="n"/>
      <c r="H1193" s="1567" t="n"/>
      <c r="I1193" s="1351" t="n"/>
      <c r="J1193" s="1351" t="n"/>
      <c r="K1193" s="1351" t="n"/>
      <c r="L1193" s="1351" t="n"/>
      <c r="M1193" s="1351" t="n"/>
      <c r="N1193" s="1351" t="n"/>
      <c r="O1193" s="1351" t="n"/>
      <c r="P1193" s="1349" t="n"/>
    </row>
    <row r="1194" customFormat="1" s="324">
      <c r="A1194" s="1349" t="n"/>
      <c r="B1194" s="1501" t="n"/>
      <c r="C1194" s="1439" t="n"/>
      <c r="D1194" s="1439" t="n"/>
      <c r="E1194" s="1439" t="n"/>
      <c r="F1194" s="1439" t="n"/>
      <c r="G1194" s="1440" t="n"/>
      <c r="H1194" s="1567" t="n"/>
      <c r="I1194" s="1351" t="n"/>
      <c r="J1194" s="1351" t="n"/>
      <c r="K1194" s="1351" t="n"/>
      <c r="L1194" s="1351" t="n"/>
      <c r="M1194" s="1351" t="n"/>
      <c r="N1194" s="1351" t="n"/>
      <c r="O1194" s="1351" t="n"/>
      <c r="P1194" s="1349" t="n"/>
    </row>
    <row r="1195" customFormat="1" s="324">
      <c r="A1195" s="1349" t="n"/>
      <c r="B1195" s="1501" t="n"/>
      <c r="C1195" s="1439" t="n"/>
      <c r="D1195" s="1439" t="n"/>
      <c r="E1195" s="1439" t="n"/>
      <c r="F1195" s="1439" t="n"/>
      <c r="G1195" s="1440" t="n"/>
      <c r="H1195" s="1567" t="n"/>
      <c r="I1195" s="1351" t="n"/>
      <c r="J1195" s="1351" t="n"/>
      <c r="K1195" s="1351" t="n"/>
      <c r="L1195" s="1351" t="n"/>
      <c r="M1195" s="1351" t="n"/>
      <c r="N1195" s="1351" t="n"/>
      <c r="O1195" s="1351" t="n"/>
      <c r="P1195" s="1349" t="n"/>
    </row>
    <row r="1196" customFormat="1" s="324">
      <c r="A1196" s="1349" t="n"/>
      <c r="B1196" s="1501" t="n"/>
      <c r="C1196" s="1439" t="n"/>
      <c r="D1196" s="1439" t="n"/>
      <c r="E1196" s="1439" t="n"/>
      <c r="F1196" s="1439" t="n"/>
      <c r="G1196" s="1440" t="n"/>
      <c r="H1196" s="1567" t="n"/>
      <c r="I1196" s="1351" t="n"/>
      <c r="J1196" s="1351" t="n"/>
      <c r="K1196" s="1351" t="n"/>
      <c r="L1196" s="1351" t="n"/>
      <c r="M1196" s="1351" t="n"/>
      <c r="N1196" s="1351" t="n"/>
      <c r="O1196" s="1351" t="n"/>
      <c r="P1196" s="1349" t="n"/>
    </row>
    <row r="1197" customFormat="1" s="324">
      <c r="A1197" s="1349" t="n"/>
      <c r="B1197" s="1501" t="n"/>
      <c r="C1197" s="1439" t="n"/>
      <c r="D1197" s="1439" t="n"/>
      <c r="E1197" s="1439" t="n"/>
      <c r="F1197" s="1439" t="n"/>
      <c r="G1197" s="1440" t="n"/>
      <c r="H1197" s="1567" t="n"/>
      <c r="I1197" s="1351" t="n"/>
      <c r="J1197" s="1351" t="n"/>
      <c r="K1197" s="1351" t="n"/>
      <c r="L1197" s="1351" t="n"/>
      <c r="M1197" s="1351" t="n"/>
      <c r="N1197" s="1351" t="n"/>
      <c r="O1197" s="1351" t="n"/>
      <c r="P1197" s="1349" t="n"/>
    </row>
    <row r="1198" customFormat="1" s="324">
      <c r="A1198" s="1349" t="n"/>
      <c r="B1198" s="1501" t="n"/>
      <c r="C1198" s="1439" t="n"/>
      <c r="D1198" s="1439" t="n"/>
      <c r="E1198" s="1439" t="n"/>
      <c r="F1198" s="1439" t="n"/>
      <c r="G1198" s="1440" t="n"/>
      <c r="H1198" s="1567" t="n"/>
      <c r="I1198" s="1351" t="n"/>
      <c r="J1198" s="1351" t="n"/>
      <c r="K1198" s="1351" t="n"/>
      <c r="L1198" s="1351" t="n"/>
      <c r="M1198" s="1351" t="n"/>
      <c r="N1198" s="1351" t="n"/>
      <c r="O1198" s="1351" t="n"/>
      <c r="P1198" s="1349" t="n"/>
    </row>
    <row r="1199" customFormat="1" s="324">
      <c r="A1199" s="1349" t="n"/>
      <c r="B1199" s="1501" t="n"/>
      <c r="C1199" s="1439" t="n"/>
      <c r="D1199" s="1439" t="n"/>
      <c r="E1199" s="1439" t="n"/>
      <c r="F1199" s="1439" t="n"/>
      <c r="G1199" s="1440" t="n"/>
      <c r="H1199" s="1567" t="n"/>
      <c r="I1199" s="1351" t="n"/>
      <c r="J1199" s="1351" t="n"/>
      <c r="K1199" s="1351" t="n"/>
      <c r="L1199" s="1351" t="n"/>
      <c r="M1199" s="1351" t="n"/>
      <c r="N1199" s="1351" t="n"/>
      <c r="O1199" s="1351" t="n"/>
      <c r="P1199" s="1349" t="n"/>
    </row>
    <row r="1200" customFormat="1" s="324">
      <c r="A1200" s="1349" t="n"/>
      <c r="B1200" s="1501" t="n"/>
      <c r="C1200" s="1439" t="n"/>
      <c r="D1200" s="1439" t="n"/>
      <c r="E1200" s="1439" t="n"/>
      <c r="F1200" s="1439" t="n"/>
      <c r="G1200" s="1440" t="n"/>
      <c r="H1200" s="1567" t="n"/>
      <c r="I1200" s="1351" t="n"/>
      <c r="J1200" s="1351" t="n"/>
      <c r="K1200" s="1351" t="n"/>
      <c r="L1200" s="1351" t="n"/>
      <c r="M1200" s="1351" t="n"/>
      <c r="N1200" s="1351" t="n"/>
      <c r="O1200" s="1351" t="n"/>
      <c r="P1200" s="1349" t="n"/>
    </row>
    <row r="1201" customFormat="1" s="324">
      <c r="A1201" s="1349" t="n"/>
      <c r="B1201" s="1501" t="n"/>
      <c r="C1201" s="1439" t="n"/>
      <c r="D1201" s="1439" t="n"/>
      <c r="E1201" s="1439" t="n"/>
      <c r="F1201" s="1439" t="n"/>
      <c r="G1201" s="1440" t="n"/>
      <c r="H1201" s="1567" t="n"/>
      <c r="I1201" s="1351" t="n"/>
      <c r="J1201" s="1351" t="n"/>
      <c r="K1201" s="1351" t="n"/>
      <c r="L1201" s="1351" t="n"/>
      <c r="M1201" s="1351" t="n"/>
      <c r="N1201" s="1351" t="n"/>
      <c r="O1201" s="1351" t="n"/>
      <c r="P1201" s="1349" t="n"/>
    </row>
    <row r="1202" customFormat="1" s="324">
      <c r="A1202" s="1349" t="n"/>
      <c r="B1202" s="1501" t="n"/>
      <c r="C1202" s="1439" t="n"/>
      <c r="D1202" s="1439" t="n"/>
      <c r="E1202" s="1439" t="n"/>
      <c r="F1202" s="1439" t="n"/>
      <c r="G1202" s="1440" t="n"/>
      <c r="H1202" s="1567" t="n"/>
      <c r="I1202" s="1351" t="n"/>
      <c r="J1202" s="1351" t="n"/>
      <c r="K1202" s="1351" t="n"/>
      <c r="L1202" s="1351" t="n"/>
      <c r="M1202" s="1351" t="n"/>
      <c r="N1202" s="1351" t="n"/>
      <c r="O1202" s="1351" t="n"/>
      <c r="P1202" s="1349" t="n"/>
    </row>
    <row r="1203" ht="15.65" customFormat="1" customHeight="1" s="324">
      <c r="A1203" s="1349" t="n"/>
      <c r="B1203" s="1501" t="n"/>
      <c r="C1203" s="1439" t="n"/>
      <c r="D1203" s="1439" t="n"/>
      <c r="E1203" s="1439" t="n"/>
      <c r="F1203" s="1439" t="n"/>
      <c r="G1203" s="1440" t="n"/>
      <c r="H1203" s="1567" t="n"/>
      <c r="I1203" s="1351" t="n"/>
      <c r="J1203" s="1351" t="n"/>
      <c r="K1203" s="1351" t="n"/>
      <c r="L1203" s="1351" t="n"/>
      <c r="M1203" s="1351" t="n"/>
      <c r="N1203" s="1351" t="n"/>
      <c r="O1203" s="1351" t="n"/>
      <c r="P1203" s="1349" t="n"/>
    </row>
    <row r="1204" customFormat="1" s="324">
      <c r="A1204" s="1349" t="n"/>
      <c r="B1204" s="1501" t="n"/>
      <c r="C1204" s="1439" t="n"/>
      <c r="D1204" s="1439" t="n"/>
      <c r="E1204" s="1439" t="n"/>
      <c r="F1204" s="1439" t="n"/>
      <c r="G1204" s="1440" t="n"/>
      <c r="H1204" s="1567" t="n"/>
      <c r="I1204" s="1351" t="n"/>
      <c r="J1204" s="1351" t="n"/>
      <c r="K1204" s="1351" t="n"/>
      <c r="L1204" s="1351" t="n"/>
      <c r="M1204" s="1351" t="n"/>
      <c r="N1204" s="1351" t="n"/>
      <c r="O1204" s="1351" t="n"/>
      <c r="P1204" s="1349" t="n"/>
    </row>
    <row r="1205" customFormat="1" s="324">
      <c r="A1205" s="1349" t="n"/>
      <c r="B1205" s="1501" t="n"/>
      <c r="C1205" s="1439" t="n"/>
      <c r="D1205" s="1439" t="n"/>
      <c r="E1205" s="1439" t="n"/>
      <c r="F1205" s="1439" t="n"/>
      <c r="G1205" s="1440" t="n"/>
      <c r="H1205" s="1567" t="n"/>
      <c r="I1205" s="1351" t="n"/>
      <c r="J1205" s="1351" t="n"/>
      <c r="K1205" s="1351" t="n"/>
      <c r="L1205" s="1351" t="n"/>
      <c r="M1205" s="1351" t="n"/>
      <c r="N1205" s="1351" t="n"/>
      <c r="O1205" s="1351" t="n"/>
      <c r="P1205" s="1349" t="n"/>
    </row>
    <row r="1206" customFormat="1" s="324">
      <c r="A1206" s="1349" t="n"/>
      <c r="B1206" s="1501" t="n"/>
      <c r="C1206" s="1439" t="n"/>
      <c r="D1206" s="1439" t="n"/>
      <c r="E1206" s="1439" t="n"/>
      <c r="F1206" s="1439" t="n"/>
      <c r="G1206" s="1440" t="n"/>
      <c r="H1206" s="1567" t="n"/>
      <c r="I1206" s="1351" t="n"/>
      <c r="J1206" s="1351" t="n"/>
      <c r="K1206" s="1351" t="n"/>
      <c r="L1206" s="1351" t="n"/>
      <c r="M1206" s="1351" t="n"/>
      <c r="N1206" s="1351" t="n"/>
      <c r="O1206" s="1351" t="n"/>
      <c r="P1206" s="1349" t="n"/>
    </row>
    <row r="1207" customFormat="1" s="324">
      <c r="A1207" s="1349" t="n"/>
      <c r="B1207" s="1501" t="n"/>
      <c r="C1207" s="1439" t="n"/>
      <c r="D1207" s="1439" t="n"/>
      <c r="E1207" s="1439" t="n"/>
      <c r="F1207" s="1439" t="n"/>
      <c r="G1207" s="1440" t="n"/>
      <c r="H1207" s="1567" t="n"/>
      <c r="I1207" s="1351" t="n"/>
      <c r="J1207" s="1351" t="n"/>
      <c r="K1207" s="1351" t="n"/>
      <c r="L1207" s="1351" t="n"/>
      <c r="M1207" s="1351" t="n"/>
      <c r="N1207" s="1351" t="n"/>
      <c r="O1207" s="1351" t="n"/>
      <c r="P1207" s="1349" t="n"/>
    </row>
    <row r="1208" customFormat="1" s="324">
      <c r="A1208" s="1349" t="n"/>
      <c r="B1208" s="1501" t="n"/>
      <c r="C1208" s="1439" t="n"/>
      <c r="D1208" s="1439" t="n"/>
      <c r="E1208" s="1439" t="n"/>
      <c r="F1208" s="1439" t="n"/>
      <c r="G1208" s="1440" t="n"/>
      <c r="H1208" s="1567" t="n"/>
      <c r="I1208" s="1351" t="n"/>
      <c r="J1208" s="1351" t="n"/>
      <c r="K1208" s="1351" t="n"/>
      <c r="L1208" s="1351" t="n"/>
      <c r="M1208" s="1351" t="n"/>
      <c r="N1208" s="1351" t="n"/>
      <c r="O1208" s="1351" t="n"/>
      <c r="P1208" s="1349" t="n"/>
    </row>
    <row r="1209" customFormat="1" s="324">
      <c r="A1209" s="1349" t="n"/>
      <c r="B1209" s="1501" t="n"/>
      <c r="C1209" s="1439" t="n"/>
      <c r="D1209" s="1439" t="n"/>
      <c r="E1209" s="1439" t="n"/>
      <c r="F1209" s="1439" t="n"/>
      <c r="G1209" s="1440" t="n"/>
      <c r="H1209" s="1567" t="n"/>
      <c r="I1209" s="1351" t="n"/>
      <c r="J1209" s="1351" t="n"/>
      <c r="K1209" s="1351" t="n"/>
      <c r="L1209" s="1351" t="n"/>
      <c r="M1209" s="1351" t="n"/>
      <c r="N1209" s="1351" t="n"/>
      <c r="O1209" s="1351" t="n"/>
      <c r="P1209" s="1349" t="n"/>
    </row>
    <row r="1210" customFormat="1" s="324">
      <c r="A1210" s="1349" t="n"/>
      <c r="B1210" s="1501" t="n"/>
      <c r="C1210" s="1439" t="n"/>
      <c r="D1210" s="1439" t="n"/>
      <c r="E1210" s="1439" t="n"/>
      <c r="F1210" s="1439" t="n"/>
      <c r="G1210" s="1440" t="n"/>
      <c r="H1210" s="1567" t="n"/>
      <c r="I1210" s="1351" t="n"/>
      <c r="J1210" s="1351" t="n"/>
      <c r="K1210" s="1351" t="n"/>
      <c r="L1210" s="1351" t="n"/>
      <c r="M1210" s="1351" t="n"/>
      <c r="N1210" s="1351" t="n"/>
      <c r="O1210" s="1351" t="n"/>
      <c r="P1210" s="1349" t="n"/>
    </row>
    <row r="1211" customFormat="1" s="324">
      <c r="A1211" s="1349" t="n"/>
      <c r="B1211" s="1501" t="n"/>
      <c r="C1211" s="1439" t="n"/>
      <c r="D1211" s="1439" t="n"/>
      <c r="E1211" s="1439" t="n"/>
      <c r="F1211" s="1439" t="n"/>
      <c r="G1211" s="1440" t="n"/>
      <c r="H1211" s="1567" t="n"/>
      <c r="I1211" s="1351" t="n"/>
      <c r="J1211" s="1351" t="n"/>
      <c r="K1211" s="1351" t="n"/>
      <c r="L1211" s="1351" t="n"/>
      <c r="M1211" s="1351" t="n"/>
      <c r="N1211" s="1351" t="n"/>
      <c r="O1211" s="1351" t="n"/>
      <c r="P1211" s="1349" t="n"/>
    </row>
    <row r="1212" customFormat="1" s="324">
      <c r="A1212" s="1349" t="n"/>
      <c r="B1212" s="1501" t="n"/>
      <c r="C1212" s="1439" t="n"/>
      <c r="D1212" s="1439" t="n"/>
      <c r="E1212" s="1439" t="n"/>
      <c r="F1212" s="1439" t="n"/>
      <c r="G1212" s="1440" t="n"/>
      <c r="H1212" s="1567" t="n"/>
      <c r="I1212" s="1351" t="n"/>
      <c r="J1212" s="1351" t="n"/>
      <c r="K1212" s="1351" t="n"/>
      <c r="L1212" s="1351" t="n"/>
      <c r="M1212" s="1351" t="n"/>
      <c r="N1212" s="1351" t="n"/>
      <c r="O1212" s="1351" t="n"/>
      <c r="P1212" s="1349" t="n"/>
    </row>
    <row r="1213" customFormat="1" s="324">
      <c r="A1213" s="1349" t="n"/>
      <c r="B1213" s="1501" t="n"/>
      <c r="C1213" s="1439" t="n"/>
      <c r="D1213" s="1439" t="n"/>
      <c r="E1213" s="1439" t="n"/>
      <c r="F1213" s="1439" t="n"/>
      <c r="G1213" s="1440" t="n"/>
      <c r="H1213" s="1567" t="n"/>
      <c r="I1213" s="1351" t="n"/>
      <c r="J1213" s="1351" t="n"/>
      <c r="K1213" s="1351" t="n"/>
      <c r="L1213" s="1351" t="n"/>
      <c r="M1213" s="1351" t="n"/>
      <c r="N1213" s="1351" t="n"/>
      <c r="O1213" s="1351" t="n"/>
      <c r="P1213" s="1349" t="n"/>
    </row>
    <row r="1214" customFormat="1" s="324">
      <c r="A1214" s="1349" t="n"/>
      <c r="B1214" s="1501" t="n"/>
      <c r="C1214" s="1439" t="n"/>
      <c r="D1214" s="1439" t="n"/>
      <c r="E1214" s="1439" t="n"/>
      <c r="F1214" s="1439" t="n"/>
      <c r="G1214" s="1440" t="n"/>
      <c r="H1214" s="1567" t="n"/>
      <c r="I1214" s="1351" t="n"/>
      <c r="J1214" s="1351" t="n"/>
      <c r="K1214" s="1351" t="n"/>
      <c r="L1214" s="1351" t="n"/>
      <c r="M1214" s="1351" t="n"/>
      <c r="N1214" s="1351" t="n"/>
      <c r="O1214" s="1351" t="n"/>
      <c r="P1214" s="1349" t="n"/>
    </row>
    <row r="1215" customFormat="1" s="324">
      <c r="A1215" s="1349" t="n"/>
      <c r="B1215" s="1501" t="n"/>
      <c r="C1215" s="1439" t="n"/>
      <c r="D1215" s="1439" t="n"/>
      <c r="E1215" s="1439" t="n"/>
      <c r="F1215" s="1439" t="n"/>
      <c r="G1215" s="1440" t="n"/>
      <c r="H1215" s="1567" t="n"/>
      <c r="I1215" s="1351" t="n"/>
      <c r="J1215" s="1389" t="inlineStr">
        <is>
          <t xml:space="preserve"> </t>
        </is>
      </c>
      <c r="K1215" s="1351" t="n"/>
      <c r="L1215" s="1351" t="n"/>
      <c r="M1215" s="1351" t="n"/>
      <c r="N1215" s="1351" t="n"/>
      <c r="O1215" s="1351" t="n"/>
      <c r="P1215" s="1349" t="n"/>
    </row>
    <row r="1216" customFormat="1" s="324">
      <c r="A1216" s="1349" t="n"/>
      <c r="B1216" s="1501" t="n"/>
      <c r="C1216" s="1439" t="n"/>
      <c r="D1216" s="1439" t="n"/>
      <c r="E1216" s="1439" t="n"/>
      <c r="F1216" s="1439" t="n"/>
      <c r="G1216" s="1440" t="n"/>
      <c r="H1216" s="1567" t="n"/>
      <c r="I1216" s="1351" t="n"/>
      <c r="J1216" s="1351" t="n"/>
      <c r="K1216" s="1351" t="n"/>
      <c r="L1216" s="1351" t="n"/>
      <c r="M1216" s="1351" t="n"/>
      <c r="N1216" s="1351" t="n"/>
      <c r="O1216" s="1351" t="n"/>
      <c r="P1216" s="1349" t="n"/>
    </row>
    <row r="1217" customFormat="1" s="324">
      <c r="A1217" s="1349" t="n"/>
      <c r="B1217" s="1501" t="n"/>
      <c r="C1217" s="1439" t="n"/>
      <c r="D1217" s="1439" t="n"/>
      <c r="E1217" s="1439" t="n"/>
      <c r="F1217" s="1439" t="n"/>
      <c r="G1217" s="1440" t="n"/>
      <c r="H1217" s="1567" t="n"/>
      <c r="I1217" s="1351" t="n"/>
      <c r="J1217" s="1351" t="n"/>
      <c r="K1217" s="1351" t="n"/>
      <c r="L1217" s="1351" t="n"/>
      <c r="M1217" s="1351" t="n"/>
      <c r="N1217" s="1351" t="n"/>
      <c r="O1217" s="1351" t="n"/>
      <c r="P1217" s="1349" t="n"/>
    </row>
    <row r="1218" customFormat="1" s="324">
      <c r="A1218" s="1349" t="n"/>
      <c r="B1218" s="1501" t="n"/>
      <c r="C1218" s="1439" t="n"/>
      <c r="D1218" s="1439" t="n"/>
      <c r="E1218" s="1439" t="n"/>
      <c r="F1218" s="1439" t="n"/>
      <c r="G1218" s="1440" t="n"/>
      <c r="H1218" s="1567" t="n"/>
      <c r="I1218" s="1351" t="n"/>
      <c r="J1218" s="1351" t="n"/>
      <c r="K1218" s="1351" t="n"/>
      <c r="L1218" s="1351" t="n"/>
      <c r="M1218" s="1351" t="n"/>
      <c r="N1218" s="1351" t="n"/>
      <c r="O1218" s="1351" t="n"/>
      <c r="P1218" s="1349" t="n"/>
    </row>
    <row r="1219" customFormat="1" s="324">
      <c r="A1219" s="1349" t="n"/>
      <c r="B1219" s="1501" t="n"/>
      <c r="C1219" s="1439" t="n"/>
      <c r="D1219" s="1439" t="n"/>
      <c r="E1219" s="1439" t="n"/>
      <c r="F1219" s="1439" t="n"/>
      <c r="G1219" s="1440" t="n"/>
      <c r="H1219" s="1567" t="n"/>
      <c r="I1219" s="1351" t="n"/>
      <c r="J1219" s="1351" t="n"/>
      <c r="K1219" s="1351" t="n"/>
      <c r="L1219" s="1351" t="n"/>
      <c r="M1219" s="1351" t="n"/>
      <c r="N1219" s="1351" t="n"/>
      <c r="O1219" s="1351" t="n"/>
      <c r="P1219" s="1349" t="n"/>
    </row>
    <row r="1220" customFormat="1" s="324">
      <c r="A1220" s="1349" t="n"/>
      <c r="B1220" s="1501" t="n"/>
      <c r="C1220" s="1439" t="n"/>
      <c r="D1220" s="1439" t="n"/>
      <c r="E1220" s="1439" t="n"/>
      <c r="F1220" s="1439" t="n"/>
      <c r="G1220" s="1440" t="n"/>
      <c r="H1220" s="1567" t="n"/>
      <c r="I1220" s="1389" t="inlineStr">
        <is>
          <t xml:space="preserve"> </t>
        </is>
      </c>
      <c r="J1220" s="1351" t="n"/>
      <c r="K1220" s="1351" t="n"/>
      <c r="L1220" s="1351" t="n"/>
      <c r="M1220" s="1351" t="n"/>
      <c r="N1220" s="1351" t="n"/>
      <c r="O1220" s="1351" t="n"/>
      <c r="P1220" s="1349" t="n"/>
    </row>
    <row r="1221" customFormat="1" s="324">
      <c r="A1221" s="1349" t="n"/>
      <c r="B1221" s="1501" t="n"/>
      <c r="C1221" s="1439" t="n"/>
      <c r="D1221" s="1439" t="n"/>
      <c r="E1221" s="1439" t="n"/>
      <c r="F1221" s="1439" t="n"/>
      <c r="G1221" s="1440" t="n"/>
      <c r="H1221" s="1567" t="n"/>
      <c r="I1221" s="1351" t="n"/>
      <c r="J1221" s="1351" t="n"/>
      <c r="K1221" s="1351" t="n"/>
      <c r="L1221" s="1351" t="n"/>
      <c r="M1221" s="1351" t="n"/>
      <c r="N1221" s="1351" t="n"/>
      <c r="O1221" s="1351" t="n"/>
      <c r="P1221" s="1349" t="n"/>
    </row>
    <row r="1222" customFormat="1" s="324">
      <c r="A1222" s="1349" t="n"/>
      <c r="B1222" s="1501" t="n"/>
      <c r="C1222" s="1439" t="n"/>
      <c r="D1222" s="1439" t="n"/>
      <c r="E1222" s="1439" t="n"/>
      <c r="F1222" s="1439" t="n"/>
      <c r="G1222" s="1440" t="n"/>
      <c r="H1222" s="1567" t="n"/>
      <c r="I1222" s="1351" t="n"/>
      <c r="J1222" s="1351" t="n"/>
      <c r="K1222" s="1351" t="n"/>
      <c r="L1222" s="1351" t="n"/>
      <c r="M1222" s="1351" t="n"/>
      <c r="N1222" s="1351" t="n"/>
      <c r="O1222" s="1351" t="n"/>
      <c r="P1222" s="1349" t="n"/>
    </row>
    <row r="1223" customFormat="1" s="324">
      <c r="A1223" s="1349" t="n"/>
      <c r="B1223" s="1501" t="n"/>
      <c r="C1223" s="1439" t="n"/>
      <c r="D1223" s="1439" t="n"/>
      <c r="E1223" s="1439" t="n"/>
      <c r="F1223" s="1439" t="n"/>
      <c r="G1223" s="1440" t="n"/>
      <c r="H1223" s="1567" t="n"/>
      <c r="I1223" s="1351" t="n"/>
      <c r="J1223" s="1351" t="n"/>
      <c r="K1223" s="1351" t="n"/>
      <c r="L1223" s="1351" t="n"/>
      <c r="M1223" s="1351" t="n"/>
      <c r="N1223" s="1351" t="n"/>
      <c r="O1223" s="1351" t="n"/>
      <c r="P1223" s="1349" t="n"/>
    </row>
    <row r="1224" ht="15.65" customFormat="1" customHeight="1" s="324">
      <c r="A1224" s="1349" t="n"/>
      <c r="B1224" s="1501" t="n"/>
      <c r="C1224" s="1439" t="n"/>
      <c r="D1224" s="1439" t="n"/>
      <c r="E1224" s="1439" t="n"/>
      <c r="F1224" s="1439" t="n"/>
      <c r="G1224" s="1440" t="n"/>
      <c r="H1224" s="1351" t="n"/>
      <c r="I1224" s="1351" t="n"/>
      <c r="J1224" s="1351" t="n"/>
      <c r="K1224" s="1351" t="n"/>
      <c r="L1224" s="1351" t="n"/>
      <c r="M1224" s="1351" t="n"/>
      <c r="N1224" s="1351" t="n"/>
      <c r="O1224" s="1351" t="n"/>
      <c r="P1224" s="1349" t="n"/>
    </row>
    <row r="1225" customFormat="1" s="324">
      <c r="A1225" s="1349" t="n"/>
      <c r="B1225" s="1501" t="n"/>
      <c r="C1225" s="1439" t="n"/>
      <c r="D1225" s="1439" t="n"/>
      <c r="E1225" s="1439" t="n"/>
      <c r="F1225" s="1439" t="n"/>
      <c r="G1225" s="1440" t="n"/>
      <c r="H1225" s="1351" t="n"/>
      <c r="I1225" s="1351" t="n"/>
      <c r="J1225" s="1351" t="n"/>
      <c r="K1225" s="1351" t="n"/>
      <c r="L1225" s="1351" t="n"/>
      <c r="M1225" s="1351" t="n"/>
      <c r="N1225" s="1351" t="n"/>
      <c r="O1225" s="1351" t="n"/>
      <c r="P1225" s="1349" t="n"/>
    </row>
    <row r="1226" customFormat="1" s="324">
      <c r="A1226" s="1349" t="n"/>
      <c r="B1226" s="1501" t="n"/>
      <c r="C1226" s="1439" t="n"/>
      <c r="D1226" s="1439" t="n"/>
      <c r="E1226" s="1439" t="n"/>
      <c r="F1226" s="1439" t="n"/>
      <c r="G1226" s="1440" t="n"/>
      <c r="H1226" s="1351" t="n"/>
      <c r="I1226" s="1351" t="n"/>
      <c r="J1226" s="1351" t="n"/>
      <c r="K1226" s="1351" t="n"/>
      <c r="L1226" s="1351" t="n"/>
      <c r="M1226" s="1351" t="n"/>
      <c r="N1226" s="1351" t="n"/>
      <c r="O1226" s="1351" t="n"/>
      <c r="P1226" s="1349" t="n"/>
    </row>
    <row r="1227" customFormat="1" s="324">
      <c r="A1227" s="1349" t="n"/>
      <c r="B1227" s="1501" t="n"/>
      <c r="C1227" s="1439" t="n"/>
      <c r="D1227" s="1439" t="n"/>
      <c r="E1227" s="1439" t="n"/>
      <c r="F1227" s="1439" t="n"/>
      <c r="G1227" s="1440" t="n"/>
      <c r="H1227" s="1351" t="n"/>
      <c r="I1227" s="1351" t="n"/>
      <c r="J1227" s="1351" t="n"/>
      <c r="K1227" s="1351" t="n"/>
      <c r="L1227" s="1351" t="n"/>
      <c r="M1227" s="1351" t="n"/>
      <c r="N1227" s="1351" t="n"/>
      <c r="O1227" s="1351" t="n"/>
      <c r="P1227" s="1349" t="n"/>
    </row>
    <row r="1228" customFormat="1" s="324">
      <c r="A1228" s="1349" t="n"/>
      <c r="B1228" s="1501" t="n"/>
      <c r="C1228" s="1439" t="n"/>
      <c r="D1228" s="1439" t="n"/>
      <c r="E1228" s="1439" t="n"/>
      <c r="F1228" s="1439" t="n"/>
      <c r="G1228" s="1440" t="n"/>
      <c r="H1228" s="1351" t="n"/>
      <c r="I1228" s="1351" t="n"/>
      <c r="J1228" s="1351" t="n"/>
      <c r="K1228" s="1351" t="n"/>
      <c r="L1228" s="1351" t="n"/>
      <c r="M1228" s="1351" t="n"/>
      <c r="N1228" s="1351" t="n"/>
      <c r="O1228" s="1351" t="n"/>
      <c r="P1228" s="1349" t="n"/>
    </row>
    <row r="1229" customFormat="1" s="324">
      <c r="A1229" s="1349" t="n"/>
      <c r="B1229" s="1501" t="n"/>
      <c r="C1229" s="1439" t="n"/>
      <c r="D1229" s="1439" t="n"/>
      <c r="E1229" s="1439" t="n"/>
      <c r="F1229" s="1439" t="n"/>
      <c r="G1229" s="1440" t="n"/>
      <c r="H1229" s="1351" t="n"/>
      <c r="I1229" s="1351" t="n"/>
      <c r="J1229" s="1351" t="n"/>
      <c r="K1229" s="1351" t="n"/>
      <c r="L1229" s="1351" t="n"/>
      <c r="M1229" s="1351" t="n"/>
      <c r="N1229" s="1351" t="n"/>
      <c r="O1229" s="1351" t="n"/>
      <c r="P1229" s="1349" t="n"/>
    </row>
    <row r="1230" customFormat="1" s="324">
      <c r="A1230" s="1349" t="n"/>
      <c r="B1230" s="1501" t="n"/>
      <c r="C1230" s="1439" t="n"/>
      <c r="D1230" s="1439" t="n"/>
      <c r="E1230" s="1439" t="n"/>
      <c r="F1230" s="1439" t="n"/>
      <c r="G1230" s="1440" t="n"/>
      <c r="H1230" s="1351" t="n"/>
      <c r="I1230" s="1351" t="n"/>
      <c r="J1230" s="1351" t="n"/>
      <c r="K1230" s="1351" t="n"/>
      <c r="L1230" s="1351" t="n"/>
      <c r="M1230" s="1351" t="n"/>
      <c r="N1230" s="1351" t="n"/>
      <c r="O1230" s="1351" t="n"/>
      <c r="P1230" s="1349" t="n"/>
    </row>
    <row r="1231" customFormat="1" s="324">
      <c r="A1231" s="1349" t="n"/>
      <c r="B1231" s="1501" t="n"/>
      <c r="C1231" s="1439" t="n"/>
      <c r="D1231" s="1439" t="n"/>
      <c r="E1231" s="1439" t="n"/>
      <c r="F1231" s="1439" t="n"/>
      <c r="G1231" s="1440" t="n"/>
      <c r="H1231" s="1351" t="n"/>
      <c r="I1231" s="1351" t="n"/>
      <c r="J1231" s="1351" t="n"/>
      <c r="K1231" s="1351" t="n"/>
      <c r="L1231" s="1351" t="n"/>
      <c r="M1231" s="1351" t="n"/>
      <c r="N1231" s="1351" t="n"/>
      <c r="O1231" s="1351" t="n"/>
      <c r="P1231" s="1349" t="n"/>
    </row>
    <row r="1232" customFormat="1" s="324">
      <c r="A1232" s="1349" t="n"/>
      <c r="B1232" s="1501" t="n"/>
      <c r="C1232" s="1439" t="n"/>
      <c r="D1232" s="1439" t="n"/>
      <c r="E1232" s="1439" t="n"/>
      <c r="F1232" s="1439" t="n"/>
      <c r="G1232" s="1440" t="n"/>
      <c r="H1232" s="1351" t="n"/>
      <c r="I1232" s="1351" t="n"/>
      <c r="J1232" s="1351" t="n"/>
      <c r="K1232" s="1351" t="n"/>
      <c r="L1232" s="1351" t="n"/>
      <c r="M1232" s="1351" t="n"/>
      <c r="N1232" s="1351" t="n"/>
      <c r="O1232" s="1351" t="n"/>
      <c r="P1232" s="1349" t="n"/>
    </row>
    <row r="1233" customFormat="1" s="324">
      <c r="A1233" s="1349" t="n"/>
      <c r="B1233" s="1501" t="n"/>
      <c r="C1233" s="1439" t="n"/>
      <c r="D1233" s="1439" t="n"/>
      <c r="E1233" s="1439" t="n"/>
      <c r="F1233" s="1439" t="n"/>
      <c r="G1233" s="1440" t="n"/>
      <c r="H1233" s="1351" t="n"/>
      <c r="I1233" s="1351" t="n"/>
      <c r="J1233" s="1351" t="n"/>
      <c r="K1233" s="1351" t="n"/>
      <c r="L1233" s="1351" t="n"/>
      <c r="M1233" s="1351" t="n"/>
      <c r="N1233" s="1351" t="n"/>
      <c r="O1233" s="1351" t="n"/>
      <c r="P1233" s="1349" t="n"/>
    </row>
    <row r="1234" customFormat="1" s="324">
      <c r="A1234" s="1349" t="n"/>
      <c r="B1234" s="1501" t="n"/>
      <c r="C1234" s="1439" t="n"/>
      <c r="D1234" s="1439" t="n"/>
      <c r="E1234" s="1439" t="n"/>
      <c r="F1234" s="1439" t="n"/>
      <c r="G1234" s="1440" t="n"/>
      <c r="H1234" s="1351" t="n"/>
      <c r="I1234" s="1351" t="n"/>
      <c r="J1234" s="1351" t="n"/>
      <c r="K1234" s="1351" t="n"/>
      <c r="L1234" s="1351" t="n"/>
      <c r="M1234" s="1351" t="n"/>
      <c r="N1234" s="1351" t="n"/>
      <c r="O1234" s="1351" t="n"/>
      <c r="P1234" s="1349" t="n"/>
    </row>
    <row r="1235" customFormat="1" s="324">
      <c r="A1235" s="1349" t="n"/>
      <c r="B1235" s="1501" t="n"/>
      <c r="C1235" s="1439" t="n"/>
      <c r="D1235" s="1439" t="n"/>
      <c r="E1235" s="1439" t="n"/>
      <c r="F1235" s="1439" t="n"/>
      <c r="G1235" s="1440" t="n"/>
      <c r="H1235" s="1351" t="n"/>
      <c r="I1235" s="1351" t="n"/>
      <c r="J1235" s="1351" t="n"/>
      <c r="K1235" s="1351" t="n"/>
      <c r="L1235" s="1351" t="n"/>
      <c r="M1235" s="1351" t="n"/>
      <c r="N1235" s="1351" t="n"/>
      <c r="O1235" s="1351" t="n"/>
      <c r="P1235" s="1349" t="n"/>
    </row>
    <row r="1236" customFormat="1" s="324">
      <c r="A1236" s="1349" t="n"/>
      <c r="B1236" s="1501" t="n"/>
      <c r="C1236" s="1439" t="n"/>
      <c r="D1236" s="1439" t="n"/>
      <c r="E1236" s="1439" t="n"/>
      <c r="F1236" s="1439" t="n"/>
      <c r="G1236" s="1440" t="n"/>
      <c r="H1236" s="1351" t="n"/>
      <c r="I1236" s="1351" t="n"/>
      <c r="J1236" s="1351" t="n"/>
      <c r="K1236" s="1351" t="n"/>
      <c r="L1236" s="1351" t="n"/>
      <c r="M1236" s="1351" t="n"/>
      <c r="N1236" s="1351" t="n"/>
      <c r="O1236" s="1351" t="n"/>
      <c r="P1236" s="1349" t="n"/>
    </row>
    <row r="1237" customFormat="1" s="324">
      <c r="A1237" s="1349" t="n"/>
      <c r="B1237" s="1501" t="n"/>
      <c r="C1237" s="1439" t="n"/>
      <c r="D1237" s="1439" t="n"/>
      <c r="E1237" s="1439" t="n"/>
      <c r="F1237" s="1439" t="n"/>
      <c r="G1237" s="1440" t="n"/>
      <c r="H1237" s="1351" t="n"/>
      <c r="I1237" s="1351" t="n"/>
      <c r="J1237" s="1351" t="n"/>
      <c r="K1237" s="1351" t="n"/>
      <c r="L1237" s="1351" t="n"/>
      <c r="M1237" s="1351" t="n"/>
      <c r="N1237" s="1351" t="n"/>
      <c r="O1237" s="1351" t="n"/>
      <c r="P1237" s="1349" t="n"/>
    </row>
    <row r="1238" customFormat="1" s="324">
      <c r="A1238" s="1349" t="n"/>
      <c r="B1238" s="1501" t="n"/>
      <c r="C1238" s="1439" t="n"/>
      <c r="D1238" s="1439" t="n"/>
      <c r="E1238" s="1439" t="n"/>
      <c r="F1238" s="1439" t="n"/>
      <c r="G1238" s="1440" t="n"/>
      <c r="H1238" s="1351" t="n"/>
      <c r="I1238" s="1351" t="n"/>
      <c r="J1238" s="1351" t="n"/>
      <c r="K1238" s="1351" t="n"/>
      <c r="L1238" s="1351" t="n"/>
      <c r="M1238" s="1351" t="n"/>
      <c r="N1238" s="1351" t="n"/>
      <c r="O1238" s="1351" t="n"/>
      <c r="P1238" s="1349" t="n"/>
    </row>
    <row r="1239" customFormat="1" s="324">
      <c r="A1239" s="1349" t="n"/>
      <c r="B1239" s="1501" t="n"/>
      <c r="C1239" s="1439" t="n"/>
      <c r="D1239" s="1439" t="n"/>
      <c r="E1239" s="1439" t="n"/>
      <c r="F1239" s="1439" t="n"/>
      <c r="G1239" s="1440" t="n"/>
      <c r="H1239" s="1351" t="n"/>
      <c r="I1239" s="1351" t="n"/>
      <c r="J1239" s="1351" t="n"/>
      <c r="K1239" s="1351" t="n"/>
      <c r="L1239" s="1351" t="n"/>
      <c r="M1239" s="1351" t="n"/>
      <c r="N1239" s="1351" t="n"/>
      <c r="O1239" s="1351" t="n"/>
      <c r="P1239" s="1349" t="n"/>
    </row>
    <row r="1240" customFormat="1" s="324">
      <c r="A1240" s="1349" t="n"/>
      <c r="B1240" s="1501" t="n"/>
      <c r="C1240" s="1439" t="n"/>
      <c r="D1240" s="1439" t="n"/>
      <c r="E1240" s="1439" t="n"/>
      <c r="F1240" s="1439" t="n"/>
      <c r="G1240" s="1440" t="n"/>
      <c r="H1240" s="1351" t="n"/>
      <c r="I1240" s="1351" t="n"/>
      <c r="J1240" s="1351" t="n"/>
      <c r="K1240" s="1351" t="n"/>
      <c r="L1240" s="1351" t="n"/>
      <c r="M1240" s="1351" t="n"/>
      <c r="N1240" s="1351" t="n"/>
      <c r="O1240" s="1351" t="n"/>
      <c r="P1240" s="1349" t="n"/>
    </row>
    <row r="1241" customFormat="1" s="324">
      <c r="A1241" s="1349" t="n"/>
      <c r="B1241" s="1501" t="n"/>
      <c r="C1241" s="1439" t="n"/>
      <c r="D1241" s="1439" t="n"/>
      <c r="E1241" s="1439" t="n"/>
      <c r="F1241" s="1439" t="n"/>
      <c r="G1241" s="1440" t="n"/>
      <c r="H1241" s="1351" t="n"/>
      <c r="I1241" s="1351" t="n"/>
      <c r="J1241" s="1351" t="n"/>
      <c r="K1241" s="1351" t="n"/>
      <c r="L1241" s="1351" t="n"/>
      <c r="M1241" s="1351" t="n"/>
      <c r="N1241" s="1351" t="n"/>
      <c r="O1241" s="1351" t="n"/>
      <c r="P1241" s="1349" t="n"/>
    </row>
    <row r="1242" customFormat="1" s="324">
      <c r="A1242" s="1349" t="n"/>
      <c r="B1242" s="1501" t="n"/>
      <c r="C1242" s="1439" t="n"/>
      <c r="D1242" s="1439" t="n"/>
      <c r="E1242" s="1439" t="n"/>
      <c r="F1242" s="1439" t="n"/>
      <c r="G1242" s="1440" t="n"/>
      <c r="H1242" s="1351" t="n"/>
      <c r="I1242" s="1351" t="n"/>
      <c r="J1242" s="1351" t="n"/>
      <c r="K1242" s="1351" t="n"/>
      <c r="L1242" s="1351" t="n"/>
      <c r="M1242" s="1351" t="n"/>
      <c r="N1242" s="1351" t="n"/>
      <c r="O1242" s="1351" t="n"/>
      <c r="P1242" s="1349" t="n"/>
    </row>
    <row r="1243" customFormat="1" s="324">
      <c r="A1243" s="1349" t="n"/>
      <c r="B1243" s="1501" t="n"/>
      <c r="C1243" s="1439" t="n"/>
      <c r="D1243" s="1439" t="n"/>
      <c r="E1243" s="1439" t="n"/>
      <c r="F1243" s="1439" t="n"/>
      <c r="G1243" s="1440" t="n"/>
      <c r="H1243" s="1351" t="n"/>
      <c r="I1243" s="1351" t="n"/>
      <c r="J1243" s="1351" t="n"/>
      <c r="K1243" s="1351" t="n"/>
      <c r="L1243" s="1351" t="n"/>
      <c r="M1243" s="1351" t="n"/>
      <c r="N1243" s="1351" t="n"/>
      <c r="O1243" s="1351" t="n"/>
      <c r="P1243" s="1349" t="n"/>
    </row>
    <row r="1244" customFormat="1" s="324">
      <c r="A1244" s="1349" t="n"/>
      <c r="B1244" s="1501" t="n"/>
      <c r="C1244" s="1439" t="n"/>
      <c r="D1244" s="1439" t="n"/>
      <c r="E1244" s="1439" t="n"/>
      <c r="F1244" s="1439" t="n"/>
      <c r="G1244" s="1440" t="n"/>
      <c r="H1244" s="1351" t="n"/>
      <c r="I1244" s="1351" t="n"/>
      <c r="J1244" s="1351" t="n"/>
      <c r="K1244" s="1351" t="n"/>
      <c r="L1244" s="1351" t="n"/>
      <c r="M1244" s="1351" t="n"/>
      <c r="N1244" s="1351" t="n"/>
      <c r="O1244" s="1351" t="n"/>
      <c r="P1244" s="1349" t="n"/>
    </row>
    <row r="1245" customFormat="1" s="324">
      <c r="A1245" s="1349" t="n"/>
      <c r="B1245" s="1501" t="n"/>
      <c r="C1245" s="1439" t="n"/>
      <c r="D1245" s="1439" t="n"/>
      <c r="E1245" s="1439" t="n"/>
      <c r="F1245" s="1439" t="n"/>
      <c r="G1245" s="1440" t="n"/>
      <c r="H1245" s="1351" t="n"/>
      <c r="I1245" s="1351" t="n"/>
      <c r="J1245" s="1351" t="n"/>
      <c r="K1245" s="1351" t="n"/>
      <c r="L1245" s="1351" t="n"/>
      <c r="M1245" s="1351" t="n"/>
      <c r="N1245" s="1351" t="n"/>
      <c r="O1245" s="1351" t="n"/>
      <c r="P1245" s="1349" t="n"/>
    </row>
    <row r="1246" customFormat="1" s="324">
      <c r="A1246" s="1349" t="n"/>
      <c r="B1246" s="1501" t="n"/>
      <c r="C1246" s="1439" t="n"/>
      <c r="D1246" s="1439" t="n"/>
      <c r="E1246" s="1439" t="n"/>
      <c r="F1246" s="1439" t="n"/>
      <c r="G1246" s="1440" t="n"/>
      <c r="H1246" s="1351" t="n"/>
      <c r="I1246" s="1351" t="n"/>
      <c r="J1246" s="1351" t="n"/>
      <c r="K1246" s="1351" t="n"/>
      <c r="L1246" s="1351" t="n"/>
      <c r="M1246" s="1351" t="n"/>
      <c r="N1246" s="1351" t="n"/>
      <c r="O1246" s="1351" t="n"/>
      <c r="P1246" s="1349" t="n"/>
    </row>
    <row r="1247" customFormat="1" s="324">
      <c r="A1247" s="1349" t="n"/>
      <c r="B1247" s="1501" t="n"/>
      <c r="C1247" s="1439" t="n"/>
      <c r="D1247" s="1439" t="n"/>
      <c r="E1247" s="1439" t="n"/>
      <c r="F1247" s="1439" t="n"/>
      <c r="G1247" s="1440" t="n"/>
      <c r="H1247" s="1351" t="n"/>
      <c r="I1247" s="1351" t="n"/>
      <c r="J1247" s="1351" t="n"/>
      <c r="K1247" s="1351" t="n"/>
      <c r="L1247" s="1351" t="n"/>
      <c r="M1247" s="1351" t="n"/>
      <c r="N1247" s="1351" t="n"/>
      <c r="O1247" s="1351" t="n"/>
      <c r="P1247" s="1349" t="n"/>
    </row>
    <row r="1248" customFormat="1" s="324">
      <c r="A1248" s="1349" t="n"/>
      <c r="B1248" s="1501" t="n"/>
      <c r="C1248" s="1439" t="n"/>
      <c r="D1248" s="1439" t="n"/>
      <c r="E1248" s="1439" t="n"/>
      <c r="F1248" s="1439" t="n"/>
      <c r="G1248" s="1440" t="n"/>
      <c r="H1248" s="1351" t="n"/>
      <c r="I1248" s="1351" t="n"/>
      <c r="J1248" s="1351" t="n"/>
      <c r="K1248" s="1351" t="n"/>
      <c r="L1248" s="1351" t="n"/>
      <c r="M1248" s="1351" t="n"/>
      <c r="N1248" s="1351" t="n"/>
      <c r="O1248" s="1351" t="n"/>
      <c r="P1248" s="1349" t="n"/>
    </row>
    <row r="1249" customFormat="1" s="324">
      <c r="A1249" s="1349" t="n"/>
      <c r="B1249" s="1501" t="n"/>
      <c r="C1249" s="1439" t="n"/>
      <c r="D1249" s="1439" t="n"/>
      <c r="E1249" s="1439" t="n"/>
      <c r="F1249" s="1439" t="n"/>
      <c r="G1249" s="1440" t="n"/>
      <c r="H1249" s="1351" t="n"/>
      <c r="I1249" s="1351" t="n"/>
      <c r="J1249" s="1351" t="n"/>
      <c r="K1249" s="1351" t="n"/>
      <c r="L1249" s="1351" t="n"/>
      <c r="M1249" s="1351" t="n"/>
      <c r="N1249" s="1351" t="n"/>
      <c r="O1249" s="1351" t="n"/>
      <c r="P1249" s="1349" t="n"/>
    </row>
    <row r="1250" customFormat="1" s="324">
      <c r="A1250" s="1349" t="n"/>
      <c r="B1250" s="1501" t="n"/>
      <c r="C1250" s="1439" t="n"/>
      <c r="D1250" s="1439" t="n"/>
      <c r="E1250" s="1439" t="n"/>
      <c r="F1250" s="1439" t="n"/>
      <c r="G1250" s="1440" t="n"/>
      <c r="H1250" s="1351" t="n"/>
      <c r="I1250" s="1351" t="n"/>
      <c r="J1250" s="1351" t="n"/>
      <c r="K1250" s="1351" t="n"/>
      <c r="L1250" s="1351" t="n"/>
      <c r="M1250" s="1351" t="n"/>
      <c r="N1250" s="1351" t="n"/>
      <c r="O1250" s="1351" t="n"/>
      <c r="P1250" s="1349" t="n"/>
    </row>
    <row r="1251" customFormat="1" s="324">
      <c r="A1251" s="1349" t="n"/>
      <c r="B1251" s="1501" t="n"/>
      <c r="C1251" s="1439" t="n"/>
      <c r="D1251" s="1439" t="n"/>
      <c r="E1251" s="1439" t="n"/>
      <c r="F1251" s="1439" t="n"/>
      <c r="G1251" s="1440" t="n"/>
      <c r="H1251" s="1351" t="n"/>
      <c r="I1251" s="1351" t="n"/>
      <c r="J1251" s="1351" t="n"/>
      <c r="K1251" s="1351" t="n"/>
      <c r="L1251" s="1351" t="n"/>
      <c r="M1251" s="1351" t="n"/>
      <c r="N1251" s="1351" t="n"/>
      <c r="O1251" s="1351" t="n"/>
      <c r="P1251" s="1349" t="n"/>
    </row>
    <row r="1252" customFormat="1" s="324">
      <c r="A1252" s="1349" t="n"/>
      <c r="B1252" s="1501" t="n"/>
      <c r="C1252" s="1439" t="n"/>
      <c r="D1252" s="1439" t="n"/>
      <c r="E1252" s="1439" t="n"/>
      <c r="F1252" s="1439" t="n"/>
      <c r="G1252" s="1440" t="n"/>
      <c r="H1252" s="1351" t="n"/>
      <c r="I1252" s="1351" t="n"/>
      <c r="J1252" s="1351" t="n"/>
      <c r="K1252" s="1351" t="n"/>
      <c r="L1252" s="1351" t="n"/>
      <c r="M1252" s="1351" t="n"/>
      <c r="N1252" s="1351" t="n"/>
      <c r="O1252" s="1351" t="n"/>
      <c r="P1252" s="1349" t="n"/>
    </row>
    <row r="1253" customFormat="1" s="324">
      <c r="A1253" s="1349" t="n"/>
      <c r="B1253" s="1501" t="n"/>
      <c r="C1253" s="1439" t="n"/>
      <c r="D1253" s="1439" t="n"/>
      <c r="E1253" s="1439" t="n"/>
      <c r="F1253" s="1439" t="n"/>
      <c r="G1253" s="1440" t="n"/>
      <c r="H1253" s="1351" t="n"/>
      <c r="I1253" s="1351" t="n"/>
      <c r="J1253" s="1351" t="n"/>
      <c r="K1253" s="1351" t="n"/>
      <c r="L1253" s="1351" t="n"/>
      <c r="M1253" s="1351" t="n"/>
      <c r="N1253" s="1351" t="n"/>
      <c r="O1253" s="1351" t="n"/>
      <c r="P1253" s="1349" t="n"/>
    </row>
    <row r="1254" customFormat="1" s="324">
      <c r="A1254" s="1349" t="n"/>
      <c r="B1254" s="1501" t="n"/>
      <c r="C1254" s="1439" t="n"/>
      <c r="D1254" s="1439" t="n"/>
      <c r="E1254" s="1439" t="n"/>
      <c r="F1254" s="1439" t="n"/>
      <c r="G1254" s="1440" t="n"/>
      <c r="H1254" s="1351" t="n"/>
      <c r="I1254" s="1351" t="n"/>
      <c r="J1254" s="1351" t="n"/>
      <c r="K1254" s="1351" t="n"/>
      <c r="L1254" s="1351" t="n"/>
      <c r="M1254" s="1351" t="n"/>
      <c r="N1254" s="1351" t="n"/>
      <c r="O1254" s="1351" t="n"/>
      <c r="P1254" s="1349" t="n"/>
    </row>
    <row r="1255" customFormat="1" s="324">
      <c r="A1255" s="1349" t="n"/>
      <c r="B1255" s="1501" t="n"/>
      <c r="C1255" s="1439" t="n"/>
      <c r="D1255" s="1439" t="n"/>
      <c r="E1255" s="1439" t="n"/>
      <c r="F1255" s="1439" t="n"/>
      <c r="G1255" s="1440" t="n"/>
      <c r="H1255" s="1351" t="n"/>
      <c r="I1255" s="1351" t="n"/>
      <c r="J1255" s="1351" t="n"/>
      <c r="K1255" s="1351" t="n"/>
      <c r="L1255" s="1351" t="n"/>
      <c r="M1255" s="1351" t="n"/>
      <c r="N1255" s="1351" t="n"/>
      <c r="O1255" s="1351" t="n"/>
      <c r="P1255" s="1349" t="n"/>
    </row>
    <row r="1256" customFormat="1" s="324">
      <c r="A1256" s="1349" t="n"/>
      <c r="B1256" s="1501" t="n"/>
      <c r="C1256" s="1439" t="n"/>
      <c r="D1256" s="1439" t="n"/>
      <c r="E1256" s="1439" t="n"/>
      <c r="F1256" s="1439" t="n"/>
      <c r="G1256" s="1440" t="n"/>
      <c r="H1256" s="1351" t="n"/>
      <c r="I1256" s="1351" t="n"/>
      <c r="J1256" s="1351" t="n"/>
      <c r="K1256" s="1351" t="n"/>
      <c r="L1256" s="1351" t="n"/>
      <c r="M1256" s="1351" t="n"/>
      <c r="N1256" s="1351" t="n"/>
      <c r="O1256" s="1351" t="n"/>
      <c r="P1256" s="1349" t="n"/>
    </row>
    <row r="1257" customFormat="1" s="324">
      <c r="A1257" s="1349" t="n"/>
      <c r="B1257" s="1501" t="n"/>
      <c r="C1257" s="1439" t="n"/>
      <c r="D1257" s="1439" t="n"/>
      <c r="E1257" s="1439" t="n"/>
      <c r="F1257" s="1439" t="n"/>
      <c r="G1257" s="1440" t="n"/>
      <c r="H1257" s="1351" t="n"/>
      <c r="I1257" s="1351" t="n"/>
      <c r="J1257" s="1351" t="n"/>
      <c r="K1257" s="1351" t="n"/>
      <c r="L1257" s="1351" t="n"/>
      <c r="M1257" s="1351" t="n"/>
      <c r="N1257" s="1351" t="n"/>
      <c r="O1257" s="1351" t="n"/>
      <c r="P1257" s="1349" t="n"/>
    </row>
    <row r="1258" customFormat="1" s="324">
      <c r="A1258" s="1349" t="n"/>
      <c r="B1258" s="1501" t="n"/>
      <c r="C1258" s="1439" t="n"/>
      <c r="D1258" s="1439" t="n"/>
      <c r="E1258" s="1439" t="n"/>
      <c r="F1258" s="1439" t="n"/>
      <c r="G1258" s="1440" t="n"/>
      <c r="H1258" s="1351" t="n"/>
      <c r="I1258" s="1351" t="n"/>
      <c r="J1258" s="1351" t="n"/>
      <c r="K1258" s="1351" t="n"/>
      <c r="L1258" s="1351" t="n"/>
      <c r="M1258" s="1351" t="n"/>
      <c r="N1258" s="1351" t="n"/>
      <c r="O1258" s="1351" t="n"/>
      <c r="P1258" s="1349" t="n"/>
    </row>
    <row r="1259" customFormat="1" s="324">
      <c r="A1259" s="1349" t="n"/>
      <c r="B1259" s="1501" t="n"/>
      <c r="C1259" s="1439" t="n"/>
      <c r="D1259" s="1439" t="n"/>
      <c r="E1259" s="1439" t="n"/>
      <c r="F1259" s="1439" t="n"/>
      <c r="G1259" s="1440" t="n"/>
      <c r="H1259" s="1351" t="n"/>
      <c r="I1259" s="1351" t="n"/>
      <c r="J1259" s="1351" t="n"/>
      <c r="K1259" s="1351" t="n"/>
      <c r="L1259" s="1351" t="n"/>
      <c r="M1259" s="1351" t="n"/>
      <c r="N1259" s="1351" t="n"/>
      <c r="O1259" s="1351" t="n"/>
      <c r="P1259" s="1349" t="n"/>
    </row>
    <row r="1260" customFormat="1" s="324">
      <c r="A1260" s="1349" t="n"/>
      <c r="B1260" s="1501" t="n"/>
      <c r="C1260" s="1439" t="n"/>
      <c r="D1260" s="1439" t="n"/>
      <c r="E1260" s="1439" t="n"/>
      <c r="F1260" s="1439" t="n"/>
      <c r="G1260" s="1440" t="n"/>
      <c r="H1260" s="1351" t="n"/>
      <c r="I1260" s="1351" t="n"/>
      <c r="J1260" s="1351" t="n"/>
      <c r="K1260" s="1351" t="n"/>
      <c r="L1260" s="1351" t="n"/>
      <c r="M1260" s="1351" t="n"/>
      <c r="N1260" s="1351" t="n"/>
      <c r="O1260" s="1351" t="n"/>
      <c r="P1260" s="1349" t="n"/>
    </row>
    <row r="1261" customFormat="1" s="324">
      <c r="A1261" s="1349" t="n"/>
      <c r="B1261" s="1501" t="n"/>
      <c r="C1261" s="1439" t="n"/>
      <c r="D1261" s="1439" t="n"/>
      <c r="E1261" s="1439" t="n"/>
      <c r="F1261" s="1439" t="n"/>
      <c r="G1261" s="1440" t="n"/>
      <c r="H1261" s="1351" t="n"/>
      <c r="I1261" s="1351" t="n"/>
      <c r="J1261" s="1351" t="n"/>
      <c r="K1261" s="1351" t="n"/>
      <c r="L1261" s="1351" t="n"/>
      <c r="M1261" s="1351" t="n"/>
      <c r="N1261" s="1351" t="n"/>
      <c r="O1261" s="1351" t="n"/>
      <c r="P1261" s="1349" t="n"/>
    </row>
    <row r="1262" customFormat="1" s="324">
      <c r="A1262" s="1349" t="n"/>
      <c r="B1262" s="1501" t="n"/>
      <c r="C1262" s="1439" t="n"/>
      <c r="D1262" s="1439" t="n"/>
      <c r="E1262" s="1439" t="n"/>
      <c r="F1262" s="1439" t="n"/>
      <c r="G1262" s="1440" t="n"/>
      <c r="H1262" s="1351" t="n"/>
      <c r="I1262" s="1351" t="n"/>
      <c r="J1262" s="1351" t="n"/>
      <c r="K1262" s="1351" t="n"/>
      <c r="L1262" s="1351" t="n"/>
      <c r="M1262" s="1351" t="n"/>
      <c r="N1262" s="1351" t="n"/>
      <c r="O1262" s="1351" t="n"/>
      <c r="P1262" s="1349" t="n"/>
    </row>
    <row r="1263" customFormat="1" s="324">
      <c r="A1263" s="1349" t="n"/>
      <c r="B1263" s="1501" t="n"/>
      <c r="C1263" s="1439" t="n"/>
      <c r="D1263" s="1439" t="n"/>
      <c r="E1263" s="1439" t="n"/>
      <c r="F1263" s="1439" t="n"/>
      <c r="G1263" s="1440" t="n"/>
      <c r="H1263" s="1351" t="n"/>
      <c r="I1263" s="1351" t="n"/>
      <c r="J1263" s="1351" t="n"/>
      <c r="K1263" s="1351" t="n"/>
      <c r="L1263" s="1351" t="n"/>
      <c r="M1263" s="1351" t="n"/>
      <c r="N1263" s="1351" t="n"/>
      <c r="O1263" s="1351" t="n"/>
      <c r="P1263" s="1349" t="n"/>
    </row>
    <row r="1264" customFormat="1" s="324">
      <c r="A1264" s="1349" t="n"/>
      <c r="B1264" s="1501" t="n"/>
      <c r="C1264" s="1439" t="n"/>
      <c r="D1264" s="1439" t="n"/>
      <c r="E1264" s="1439" t="n"/>
      <c r="F1264" s="1439" t="n"/>
      <c r="G1264" s="1440" t="n"/>
      <c r="H1264" s="1351" t="n"/>
      <c r="I1264" s="1351" t="n"/>
      <c r="J1264" s="1351" t="n"/>
      <c r="K1264" s="1351" t="n"/>
      <c r="L1264" s="1351" t="n"/>
      <c r="M1264" s="1351" t="n"/>
      <c r="N1264" s="1351" t="n"/>
      <c r="O1264" s="1351" t="n"/>
      <c r="P1264" s="1349" t="n"/>
    </row>
    <row r="1265" customFormat="1" s="324">
      <c r="A1265" s="1349" t="n"/>
      <c r="B1265" s="1501" t="n"/>
      <c r="C1265" s="1439" t="n"/>
      <c r="D1265" s="1439" t="n"/>
      <c r="E1265" s="1439" t="n"/>
      <c r="F1265" s="1439" t="n"/>
      <c r="G1265" s="1440" t="n"/>
      <c r="H1265" s="1351" t="n"/>
      <c r="I1265" s="1351" t="n"/>
      <c r="J1265" s="1351" t="n"/>
      <c r="K1265" s="1351" t="n"/>
      <c r="L1265" s="1351" t="n"/>
      <c r="M1265" s="1351" t="n"/>
      <c r="N1265" s="1351" t="n"/>
      <c r="O1265" s="1351" t="n"/>
      <c r="P1265" s="1349" t="n"/>
    </row>
    <row r="1266" customFormat="1" s="324">
      <c r="A1266" s="1349" t="n"/>
      <c r="B1266" s="1501" t="n"/>
      <c r="C1266" s="1439" t="n"/>
      <c r="D1266" s="1439" t="n"/>
      <c r="E1266" s="1439" t="n"/>
      <c r="F1266" s="1439" t="n"/>
      <c r="G1266" s="1440" t="n"/>
      <c r="H1266" s="1351" t="n"/>
      <c r="I1266" s="1351" t="n"/>
      <c r="J1266" s="1351" t="n"/>
      <c r="K1266" s="1351" t="n"/>
      <c r="L1266" s="1351" t="n"/>
      <c r="M1266" s="1351" t="n"/>
      <c r="N1266" s="1351" t="n"/>
      <c r="O1266" s="1351" t="n"/>
      <c r="P1266" s="1349" t="n"/>
    </row>
    <row r="1267" customFormat="1" s="324">
      <c r="A1267" s="1349" t="n"/>
      <c r="B1267" s="1501" t="n"/>
      <c r="C1267" s="1439" t="n"/>
      <c r="D1267" s="1439" t="n"/>
      <c r="E1267" s="1439" t="n"/>
      <c r="F1267" s="1439" t="n"/>
      <c r="G1267" s="1440" t="n"/>
      <c r="H1267" s="1351" t="n"/>
      <c r="I1267" s="1351" t="n"/>
      <c r="J1267" s="1351" t="n"/>
      <c r="K1267" s="1351" t="n"/>
      <c r="L1267" s="1351" t="n"/>
      <c r="M1267" s="1351" t="n"/>
      <c r="N1267" s="1351" t="n"/>
      <c r="O1267" s="1351" t="n"/>
      <c r="P1267" s="1349" t="n"/>
    </row>
    <row r="1268" customFormat="1" s="324">
      <c r="A1268" s="1349" t="n"/>
      <c r="B1268" s="1501" t="n"/>
      <c r="C1268" s="1439" t="n"/>
      <c r="D1268" s="1439" t="n"/>
      <c r="E1268" s="1439" t="n"/>
      <c r="F1268" s="1439" t="n"/>
      <c r="G1268" s="1440" t="n"/>
      <c r="H1268" s="1351" t="n"/>
      <c r="I1268" s="1351" t="n"/>
      <c r="J1268" s="1351" t="n"/>
      <c r="K1268" s="1351" t="n"/>
      <c r="L1268" s="1351" t="n"/>
      <c r="M1268" s="1351" t="n"/>
      <c r="N1268" s="1351" t="n"/>
      <c r="O1268" s="1351" t="n"/>
      <c r="P1268" s="1349" t="n"/>
    </row>
    <row r="1269" customFormat="1" s="324">
      <c r="A1269" s="1349" t="n"/>
      <c r="B1269" s="1501" t="n"/>
      <c r="C1269" s="1439" t="n"/>
      <c r="D1269" s="1439" t="n"/>
      <c r="E1269" s="1439" t="n"/>
      <c r="F1269" s="1439" t="n"/>
      <c r="G1269" s="1440" t="n"/>
      <c r="H1269" s="1351" t="n"/>
      <c r="I1269" s="1351" t="n"/>
      <c r="J1269" s="1351" t="n"/>
      <c r="K1269" s="1351" t="n"/>
      <c r="L1269" s="1351" t="n"/>
      <c r="M1269" s="1351" t="n"/>
      <c r="N1269" s="1351" t="n"/>
      <c r="O1269" s="1351" t="n"/>
      <c r="P1269" s="1349" t="n"/>
    </row>
    <row r="1270" customFormat="1" s="324">
      <c r="A1270" s="1349" t="n"/>
      <c r="B1270" s="1501" t="n"/>
      <c r="C1270" s="1439" t="n"/>
      <c r="D1270" s="1439" t="n"/>
      <c r="E1270" s="1439" t="n"/>
      <c r="F1270" s="1439" t="n"/>
      <c r="G1270" s="1440" t="n"/>
      <c r="H1270" s="1351" t="n"/>
      <c r="I1270" s="1351" t="n"/>
      <c r="J1270" s="1351" t="n"/>
      <c r="K1270" s="1351" t="n"/>
      <c r="L1270" s="1351" t="n"/>
      <c r="M1270" s="1351" t="n"/>
      <c r="N1270" s="1351" t="n"/>
      <c r="O1270" s="1351" t="n"/>
      <c r="P1270" s="1349" t="n"/>
    </row>
    <row r="1271" customFormat="1" s="324">
      <c r="A1271" s="1349" t="n"/>
      <c r="B1271" s="1501" t="n"/>
      <c r="C1271" s="1439" t="n"/>
      <c r="D1271" s="1439" t="n"/>
      <c r="E1271" s="1439" t="n"/>
      <c r="F1271" s="1439" t="n"/>
      <c r="G1271" s="1440" t="n"/>
      <c r="H1271" s="1351" t="n"/>
      <c r="I1271" s="1351" t="n"/>
      <c r="J1271" s="1351" t="n"/>
      <c r="K1271" s="1351" t="n"/>
      <c r="L1271" s="1351" t="n"/>
      <c r="M1271" s="1351" t="n"/>
      <c r="N1271" s="1351" t="n"/>
      <c r="O1271" s="1351" t="n"/>
      <c r="P1271" s="1349" t="n"/>
    </row>
    <row r="1272" customFormat="1" s="324">
      <c r="A1272" s="1349" t="n"/>
      <c r="B1272" s="1501" t="n"/>
      <c r="C1272" s="1439" t="n"/>
      <c r="D1272" s="1439" t="n"/>
      <c r="E1272" s="1439" t="n"/>
      <c r="F1272" s="1439" t="n"/>
      <c r="G1272" s="1440" t="n"/>
      <c r="H1272" s="1351" t="n"/>
      <c r="I1272" s="1351" t="n"/>
      <c r="J1272" s="1351" t="n"/>
      <c r="K1272" s="1351" t="n"/>
      <c r="L1272" s="1351" t="n"/>
      <c r="M1272" s="1351" t="n"/>
      <c r="N1272" s="1351" t="n"/>
      <c r="O1272" s="1351" t="n"/>
      <c r="P1272" s="1349" t="n"/>
    </row>
    <row r="1273" customFormat="1" s="324">
      <c r="A1273" s="1349" t="n"/>
      <c r="B1273" s="1501" t="n"/>
      <c r="C1273" s="1439" t="n"/>
      <c r="D1273" s="1439" t="n"/>
      <c r="E1273" s="1439" t="n"/>
      <c r="F1273" s="1439" t="n"/>
      <c r="G1273" s="1440" t="n"/>
      <c r="H1273" s="1351" t="n"/>
      <c r="I1273" s="1351" t="n"/>
      <c r="J1273" s="1351" t="n"/>
      <c r="K1273" s="1351" t="n"/>
      <c r="L1273" s="1351" t="n"/>
      <c r="M1273" s="1351" t="n"/>
      <c r="N1273" s="1351" t="n"/>
      <c r="O1273" s="1351" t="n"/>
      <c r="P1273" s="1349" t="n"/>
    </row>
    <row r="1274" customFormat="1" s="324">
      <c r="A1274" s="1349" t="n"/>
      <c r="B1274" s="1501" t="n"/>
      <c r="C1274" s="1439" t="n"/>
      <c r="D1274" s="1439" t="n"/>
      <c r="E1274" s="1439" t="n"/>
      <c r="F1274" s="1439" t="n"/>
      <c r="G1274" s="1440" t="n"/>
      <c r="H1274" s="1351" t="n"/>
      <c r="I1274" s="1351" t="n"/>
      <c r="J1274" s="1351" t="n"/>
      <c r="K1274" s="1351" t="n"/>
      <c r="L1274" s="1351" t="n"/>
      <c r="M1274" s="1351" t="n"/>
      <c r="N1274" s="1351" t="n"/>
      <c r="O1274" s="1351" t="n"/>
      <c r="P1274" s="1349" t="n"/>
    </row>
    <row r="1275" customFormat="1" s="324">
      <c r="A1275" s="1349" t="n"/>
      <c r="B1275" s="1501" t="n"/>
      <c r="C1275" s="1439" t="n"/>
      <c r="D1275" s="1439" t="n"/>
      <c r="E1275" s="1439" t="n"/>
      <c r="F1275" s="1439" t="n"/>
      <c r="G1275" s="1440" t="n"/>
      <c r="H1275" s="1351" t="n"/>
      <c r="I1275" s="1351" t="n"/>
      <c r="J1275" s="1351" t="n"/>
      <c r="K1275" s="1351" t="n"/>
      <c r="L1275" s="1351" t="n"/>
      <c r="M1275" s="1351" t="n"/>
      <c r="N1275" s="1351" t="n"/>
      <c r="O1275" s="1351" t="n"/>
      <c r="P1275" s="1349" t="n"/>
    </row>
    <row r="1276" customFormat="1" s="324">
      <c r="A1276" s="1349" t="n"/>
      <c r="B1276" s="1501" t="n"/>
      <c r="C1276" s="1439" t="n"/>
      <c r="D1276" s="1439" t="n"/>
      <c r="E1276" s="1439" t="n"/>
      <c r="F1276" s="1439" t="n"/>
      <c r="G1276" s="1440" t="n"/>
      <c r="H1276" s="1351" t="n"/>
      <c r="I1276" s="1351" t="n"/>
      <c r="J1276" s="1351" t="n"/>
      <c r="K1276" s="1351" t="n"/>
      <c r="L1276" s="1351" t="n"/>
      <c r="M1276" s="1351" t="n"/>
      <c r="N1276" s="1351" t="n"/>
      <c r="O1276" s="1351" t="n"/>
      <c r="P1276" s="1349" t="n"/>
    </row>
    <row r="1277" customFormat="1" s="324">
      <c r="A1277" s="1349" t="n"/>
      <c r="B1277" s="1501" t="n"/>
      <c r="C1277" s="1439" t="n"/>
      <c r="D1277" s="1439" t="n"/>
      <c r="E1277" s="1439" t="n"/>
      <c r="F1277" s="1439" t="n"/>
      <c r="G1277" s="1440" t="n"/>
      <c r="H1277" s="1351" t="n"/>
      <c r="I1277" s="1351" t="n"/>
      <c r="J1277" s="1351" t="n"/>
      <c r="K1277" s="1351" t="n"/>
      <c r="L1277" s="1351" t="n"/>
      <c r="M1277" s="1351" t="n"/>
      <c r="N1277" s="1351" t="n"/>
      <c r="O1277" s="1351" t="n"/>
      <c r="P1277" s="1349" t="n"/>
    </row>
    <row r="1278" customFormat="1" s="324">
      <c r="A1278" s="1349" t="n"/>
      <c r="B1278" s="1501" t="n"/>
      <c r="C1278" s="1439" t="n"/>
      <c r="D1278" s="1439" t="n"/>
      <c r="E1278" s="1439" t="n"/>
      <c r="F1278" s="1439" t="n"/>
      <c r="G1278" s="1440" t="n"/>
      <c r="H1278" s="1351" t="n"/>
      <c r="I1278" s="1351" t="n"/>
      <c r="J1278" s="1351" t="n"/>
      <c r="K1278" s="1351" t="n"/>
      <c r="L1278" s="1351" t="n"/>
      <c r="M1278" s="1351" t="n"/>
      <c r="N1278" s="1351" t="n"/>
      <c r="O1278" s="1351" t="n"/>
      <c r="P1278" s="1349" t="n"/>
    </row>
    <row r="1279" customFormat="1" s="324">
      <c r="A1279" s="1349" t="n"/>
      <c r="B1279" s="1501" t="n"/>
      <c r="C1279" s="1439" t="n"/>
      <c r="D1279" s="1439" t="n"/>
      <c r="E1279" s="1439" t="n"/>
      <c r="F1279" s="1439" t="n"/>
      <c r="G1279" s="1440" t="n"/>
      <c r="H1279" s="1351" t="n"/>
      <c r="I1279" s="1351" t="n"/>
      <c r="J1279" s="1351" t="n"/>
      <c r="K1279" s="1351" t="n"/>
      <c r="L1279" s="1351" t="n"/>
      <c r="M1279" s="1351" t="n"/>
      <c r="N1279" s="1351" t="n"/>
      <c r="O1279" s="1351" t="n"/>
      <c r="P1279" s="1349" t="n"/>
    </row>
    <row r="1280" customFormat="1" s="324">
      <c r="A1280" s="1349" t="n"/>
      <c r="B1280" s="1501" t="n"/>
      <c r="C1280" s="1439" t="n"/>
      <c r="D1280" s="1439" t="n"/>
      <c r="E1280" s="1439" t="n"/>
      <c r="F1280" s="1439" t="n"/>
      <c r="G1280" s="1440" t="n"/>
      <c r="H1280" s="1351" t="n"/>
      <c r="I1280" s="1351" t="n"/>
      <c r="J1280" s="1351" t="n"/>
      <c r="K1280" s="1351" t="n"/>
      <c r="L1280" s="1351" t="n"/>
      <c r="M1280" s="1351" t="n"/>
      <c r="N1280" s="1351" t="n"/>
      <c r="O1280" s="1351" t="n"/>
      <c r="P1280" s="1349" t="n"/>
    </row>
    <row r="1281" customFormat="1" s="324">
      <c r="A1281" s="1349" t="n"/>
      <c r="B1281" s="1501" t="n"/>
      <c r="C1281" s="1439" t="n"/>
      <c r="D1281" s="1439" t="n"/>
      <c r="E1281" s="1439" t="n"/>
      <c r="F1281" s="1439" t="n"/>
      <c r="G1281" s="1440" t="n"/>
      <c r="H1281" s="1351" t="n"/>
      <c r="I1281" s="1351" t="n"/>
      <c r="J1281" s="1351" t="n"/>
      <c r="K1281" s="1351" t="n"/>
      <c r="L1281" s="1351" t="n"/>
      <c r="M1281" s="1351" t="n"/>
      <c r="N1281" s="1351" t="n"/>
      <c r="O1281" s="1351" t="n"/>
      <c r="P1281" s="1349" t="n"/>
    </row>
    <row r="1282" customFormat="1" s="324">
      <c r="A1282" s="1349" t="n"/>
      <c r="B1282" s="1501" t="n"/>
      <c r="C1282" s="1439" t="n"/>
      <c r="D1282" s="1439" t="n"/>
      <c r="E1282" s="1439" t="n"/>
      <c r="F1282" s="1439" t="n"/>
      <c r="G1282" s="1440" t="n"/>
      <c r="H1282" s="1351" t="n"/>
      <c r="I1282" s="1351" t="n"/>
      <c r="J1282" s="1351" t="n"/>
      <c r="K1282" s="1351" t="n"/>
      <c r="L1282" s="1351" t="n"/>
      <c r="M1282" s="1351" t="n"/>
      <c r="N1282" s="1351" t="n"/>
      <c r="O1282" s="1351" t="n"/>
      <c r="P1282" s="1349" t="n"/>
    </row>
    <row r="1283" customFormat="1" s="324">
      <c r="A1283" s="1349" t="n"/>
      <c r="B1283" s="1501" t="n"/>
      <c r="C1283" s="1439" t="n"/>
      <c r="D1283" s="1439" t="n"/>
      <c r="E1283" s="1439" t="n"/>
      <c r="F1283" s="1439" t="n"/>
      <c r="G1283" s="1440" t="n"/>
      <c r="H1283" s="1351" t="n"/>
      <c r="I1283" s="1351" t="n"/>
      <c r="J1283" s="1351" t="n"/>
      <c r="K1283" s="1351" t="n"/>
      <c r="L1283" s="1351" t="n"/>
      <c r="M1283" s="1351" t="n"/>
      <c r="N1283" s="1351" t="n"/>
      <c r="O1283" s="1351" t="n"/>
      <c r="P1283" s="1349" t="n"/>
    </row>
    <row r="1284" customFormat="1" s="324">
      <c r="A1284" s="1349" t="n"/>
      <c r="B1284" s="1501" t="n"/>
      <c r="C1284" s="1439" t="n"/>
      <c r="D1284" s="1439" t="n"/>
      <c r="E1284" s="1439" t="n"/>
      <c r="F1284" s="1439" t="n"/>
      <c r="G1284" s="1440" t="n"/>
      <c r="H1284" s="1351" t="n"/>
      <c r="I1284" s="1351" t="n"/>
      <c r="J1284" s="1351" t="n"/>
      <c r="K1284" s="1351" t="n"/>
      <c r="L1284" s="1351" t="n"/>
      <c r="M1284" s="1351" t="n"/>
      <c r="N1284" s="1351" t="n"/>
      <c r="O1284" s="1351" t="n"/>
      <c r="P1284" s="1349" t="n"/>
    </row>
    <row r="1285" customFormat="1" s="324">
      <c r="A1285" s="1349" t="n"/>
      <c r="B1285" s="1501" t="n"/>
      <c r="C1285" s="1439" t="n"/>
      <c r="D1285" s="1439" t="n"/>
      <c r="E1285" s="1439" t="n"/>
      <c r="F1285" s="1439" t="n"/>
      <c r="G1285" s="1440" t="n"/>
      <c r="H1285" s="1351" t="n"/>
      <c r="I1285" s="1351" t="n"/>
      <c r="J1285" s="1351" t="n"/>
      <c r="K1285" s="1351" t="n"/>
      <c r="L1285" s="1351" t="n"/>
      <c r="M1285" s="1351" t="n"/>
      <c r="N1285" s="1351" t="n"/>
      <c r="O1285" s="1351" t="n"/>
      <c r="P1285" s="1349" t="n"/>
    </row>
    <row r="1286" customFormat="1" s="324">
      <c r="A1286" s="1349" t="n"/>
      <c r="B1286" s="1501" t="n"/>
      <c r="C1286" s="1439" t="n"/>
      <c r="D1286" s="1439" t="n"/>
      <c r="E1286" s="1439" t="n"/>
      <c r="F1286" s="1439" t="n"/>
      <c r="G1286" s="1440" t="n"/>
      <c r="H1286" s="1351" t="n"/>
      <c r="I1286" s="1351" t="n"/>
      <c r="J1286" s="1351" t="n"/>
      <c r="K1286" s="1351" t="n"/>
      <c r="L1286" s="1351" t="n"/>
      <c r="M1286" s="1351" t="n"/>
      <c r="N1286" s="1351" t="n"/>
      <c r="O1286" s="1351" t="n"/>
      <c r="P1286" s="1349" t="n"/>
    </row>
    <row r="1287" customFormat="1" s="324">
      <c r="A1287" s="1349" t="n"/>
      <c r="B1287" s="1501" t="n"/>
      <c r="C1287" s="1439" t="n"/>
      <c r="D1287" s="1439" t="n"/>
      <c r="E1287" s="1439" t="n"/>
      <c r="F1287" s="1439" t="n"/>
      <c r="G1287" s="1440" t="n"/>
      <c r="H1287" s="1351" t="n"/>
      <c r="I1287" s="1351" t="n"/>
      <c r="J1287" s="1351" t="n"/>
      <c r="K1287" s="1351" t="n"/>
      <c r="L1287" s="1351" t="n"/>
      <c r="M1287" s="1351" t="n"/>
      <c r="N1287" s="1351" t="n"/>
      <c r="O1287" s="1351" t="n"/>
      <c r="P1287" s="1349" t="n"/>
    </row>
    <row r="1288" customFormat="1" s="324">
      <c r="A1288" s="1349" t="n"/>
      <c r="B1288" s="1501" t="n"/>
      <c r="C1288" s="1439" t="n"/>
      <c r="D1288" s="1439" t="n"/>
      <c r="E1288" s="1439" t="n"/>
      <c r="F1288" s="1439" t="n"/>
      <c r="G1288" s="1440" t="n"/>
      <c r="H1288" s="1351" t="n"/>
      <c r="I1288" s="1351" t="n"/>
      <c r="J1288" s="1351" t="n"/>
      <c r="K1288" s="1351" t="n"/>
      <c r="L1288" s="1351" t="n"/>
      <c r="M1288" s="1351" t="n"/>
      <c r="N1288" s="1351" t="n"/>
      <c r="O1288" s="1351" t="n"/>
      <c r="P1288" s="1349" t="n"/>
    </row>
    <row r="1289" customFormat="1" s="324">
      <c r="A1289" s="1349" t="n"/>
      <c r="B1289" s="1501" t="n"/>
      <c r="C1289" s="1439" t="n"/>
      <c r="D1289" s="1439" t="n"/>
      <c r="E1289" s="1439" t="n"/>
      <c r="F1289" s="1439" t="n"/>
      <c r="G1289" s="1440" t="n"/>
      <c r="H1289" s="1351" t="n"/>
      <c r="I1289" s="1351" t="n"/>
      <c r="J1289" s="1351" t="n"/>
      <c r="K1289" s="1351" t="n"/>
      <c r="L1289" s="1351" t="n"/>
      <c r="M1289" s="1351" t="n"/>
      <c r="N1289" s="1351" t="n"/>
      <c r="O1289" s="1351" t="n"/>
      <c r="P1289" s="1349" t="n"/>
    </row>
    <row r="1290" customFormat="1" s="324">
      <c r="A1290" s="1349" t="n"/>
      <c r="B1290" s="1501" t="n"/>
      <c r="C1290" s="1439" t="n"/>
      <c r="D1290" s="1439" t="n"/>
      <c r="E1290" s="1439" t="n"/>
      <c r="F1290" s="1439" t="n"/>
      <c r="G1290" s="1440" t="n"/>
      <c r="H1290" s="1351" t="n"/>
      <c r="I1290" s="1351" t="n"/>
      <c r="J1290" s="1351" t="n"/>
      <c r="K1290" s="1351" t="n"/>
      <c r="L1290" s="1351" t="n"/>
      <c r="M1290" s="1351" t="n"/>
      <c r="N1290" s="1351" t="n"/>
      <c r="O1290" s="1351" t="n"/>
      <c r="P1290" s="1349" t="n"/>
    </row>
    <row r="1291" customFormat="1" s="324">
      <c r="A1291" s="1349" t="n"/>
      <c r="B1291" s="1501" t="n"/>
      <c r="C1291" s="1439" t="n"/>
      <c r="D1291" s="1439" t="n"/>
      <c r="E1291" s="1439" t="n"/>
      <c r="F1291" s="1439" t="n"/>
      <c r="G1291" s="1440" t="n"/>
      <c r="H1291" s="1351" t="n"/>
      <c r="I1291" s="1351" t="n"/>
      <c r="J1291" s="1351" t="n"/>
      <c r="K1291" s="1351" t="n"/>
      <c r="L1291" s="1351" t="n"/>
      <c r="M1291" s="1351" t="n"/>
      <c r="N1291" s="1351" t="n"/>
      <c r="O1291" s="1351" t="n"/>
      <c r="P1291" s="1349" t="n"/>
    </row>
    <row r="1292" customFormat="1" s="324">
      <c r="A1292" s="1349" t="n"/>
      <c r="B1292" s="1501" t="n"/>
      <c r="C1292" s="1439" t="n"/>
      <c r="D1292" s="1439" t="n"/>
      <c r="E1292" s="1439" t="n"/>
      <c r="F1292" s="1439" t="n"/>
      <c r="G1292" s="1440" t="n"/>
      <c r="H1292" s="1351" t="n"/>
      <c r="I1292" s="1351" t="n"/>
      <c r="J1292" s="1351" t="n"/>
      <c r="K1292" s="1351" t="n"/>
      <c r="L1292" s="1351" t="n"/>
      <c r="M1292" s="1351" t="n"/>
      <c r="N1292" s="1351" t="n"/>
      <c r="O1292" s="1351" t="n"/>
      <c r="P1292" s="1349" t="n"/>
    </row>
    <row r="1293" customFormat="1" s="324">
      <c r="A1293" s="1349" t="n"/>
      <c r="B1293" s="1501" t="n"/>
      <c r="C1293" s="1439" t="n"/>
      <c r="D1293" s="1439" t="n"/>
      <c r="E1293" s="1439" t="n"/>
      <c r="F1293" s="1439" t="n"/>
      <c r="G1293" s="1440" t="n"/>
      <c r="H1293" s="1351" t="n"/>
      <c r="I1293" s="1351" t="n"/>
      <c r="J1293" s="1351" t="n"/>
      <c r="K1293" s="1351" t="n"/>
      <c r="L1293" s="1351" t="n"/>
      <c r="M1293" s="1351" t="n"/>
      <c r="N1293" s="1351" t="n"/>
      <c r="O1293" s="1351" t="n"/>
      <c r="P1293" s="1349" t="n"/>
    </row>
    <row r="1294" customFormat="1" s="324">
      <c r="A1294" s="1349" t="n"/>
      <c r="B1294" s="1501" t="n"/>
      <c r="C1294" s="1439" t="n"/>
      <c r="D1294" s="1439" t="n"/>
      <c r="E1294" s="1439" t="n"/>
      <c r="F1294" s="1439" t="n"/>
      <c r="G1294" s="1440" t="n"/>
      <c r="H1294" s="1351" t="n"/>
      <c r="I1294" s="1351" t="n"/>
      <c r="J1294" s="1351" t="n"/>
      <c r="K1294" s="1351" t="n"/>
      <c r="L1294" s="1351" t="n"/>
      <c r="M1294" s="1351" t="n"/>
      <c r="N1294" s="1351" t="n"/>
      <c r="O1294" s="1351" t="n"/>
      <c r="P1294" s="1349" t="n"/>
    </row>
    <row r="1295" customFormat="1" s="324">
      <c r="A1295" s="1349" t="n"/>
      <c r="B1295" s="1501" t="n"/>
      <c r="C1295" s="1439" t="n"/>
      <c r="D1295" s="1439" t="n"/>
      <c r="E1295" s="1439" t="n"/>
      <c r="F1295" s="1439" t="n"/>
      <c r="G1295" s="1440" t="n"/>
      <c r="H1295" s="1351" t="n"/>
      <c r="I1295" s="1351" t="n"/>
      <c r="J1295" s="1351" t="n"/>
      <c r="K1295" s="1351" t="n"/>
      <c r="L1295" s="1351" t="n"/>
      <c r="M1295" s="1351" t="n"/>
      <c r="N1295" s="1351" t="n"/>
      <c r="O1295" s="1351" t="n"/>
      <c r="P1295" s="1349" t="n"/>
    </row>
    <row r="1296" customFormat="1" s="324">
      <c r="A1296" s="1349" t="n"/>
      <c r="B1296" s="1501" t="n"/>
      <c r="C1296" s="1439" t="n"/>
      <c r="D1296" s="1439" t="n"/>
      <c r="E1296" s="1439" t="n"/>
      <c r="F1296" s="1439" t="n"/>
      <c r="G1296" s="1440" t="n"/>
      <c r="H1296" s="1351" t="n"/>
      <c r="I1296" s="1351" t="n"/>
      <c r="J1296" s="1351" t="n"/>
      <c r="K1296" s="1351" t="n"/>
      <c r="L1296" s="1351" t="n"/>
      <c r="M1296" s="1351" t="n"/>
      <c r="N1296" s="1351" t="n"/>
      <c r="O1296" s="1351" t="n"/>
      <c r="P1296" s="1349" t="n"/>
    </row>
    <row r="1297" customFormat="1" s="324">
      <c r="A1297" s="1349" t="n"/>
      <c r="B1297" s="1501" t="n"/>
      <c r="C1297" s="1439" t="n"/>
      <c r="D1297" s="1439" t="n"/>
      <c r="E1297" s="1439" t="n"/>
      <c r="F1297" s="1439" t="n"/>
      <c r="G1297" s="1440" t="n"/>
      <c r="H1297" s="1351" t="n"/>
      <c r="I1297" s="1351" t="n"/>
      <c r="J1297" s="1351" t="n"/>
      <c r="K1297" s="1351" t="n"/>
      <c r="L1297" s="1351" t="n"/>
      <c r="M1297" s="1351" t="n"/>
      <c r="N1297" s="1351" t="n"/>
      <c r="O1297" s="1351" t="n"/>
      <c r="P1297" s="1349" t="n"/>
    </row>
    <row r="1298" customFormat="1" s="324">
      <c r="A1298" s="1349" t="n"/>
      <c r="B1298" s="1501" t="n"/>
      <c r="C1298" s="1439" t="n"/>
      <c r="D1298" s="1439" t="n"/>
      <c r="E1298" s="1439" t="n"/>
      <c r="F1298" s="1439" t="n"/>
      <c r="G1298" s="1440" t="n"/>
      <c r="H1298" s="1351" t="n"/>
      <c r="I1298" s="1351" t="n"/>
      <c r="J1298" s="1351" t="n"/>
      <c r="K1298" s="1351" t="n"/>
      <c r="L1298" s="1351" t="n"/>
      <c r="M1298" s="1351" t="n"/>
      <c r="N1298" s="1351" t="n"/>
      <c r="O1298" s="1351" t="n"/>
      <c r="P1298" s="1349" t="n"/>
    </row>
    <row r="1299" customFormat="1" s="324">
      <c r="A1299" s="1349" t="n"/>
      <c r="B1299" s="1501" t="n"/>
      <c r="C1299" s="1439" t="n"/>
      <c r="D1299" s="1439" t="n"/>
      <c r="E1299" s="1439" t="n"/>
      <c r="F1299" s="1439" t="n"/>
      <c r="G1299" s="1440" t="n"/>
      <c r="H1299" s="1351" t="n"/>
      <c r="I1299" s="1351" t="n"/>
      <c r="J1299" s="1351" t="n"/>
      <c r="K1299" s="1351" t="n"/>
      <c r="L1299" s="1351" t="n"/>
      <c r="M1299" s="1351" t="n"/>
      <c r="N1299" s="1351" t="n"/>
      <c r="O1299" s="1351" t="n"/>
      <c r="P1299" s="1349" t="n"/>
    </row>
    <row r="1300" customFormat="1" s="324">
      <c r="A1300" s="1349" t="n"/>
      <c r="B1300" s="1501" t="n"/>
      <c r="C1300" s="1439" t="n"/>
      <c r="D1300" s="1439" t="n"/>
      <c r="E1300" s="1439" t="n"/>
      <c r="F1300" s="1439" t="n"/>
      <c r="G1300" s="1440" t="n"/>
      <c r="H1300" s="1351" t="n"/>
      <c r="I1300" s="1351" t="n"/>
      <c r="J1300" s="1351" t="n"/>
      <c r="K1300" s="1351" t="n"/>
      <c r="L1300" s="1351" t="n"/>
      <c r="M1300" s="1351" t="n"/>
      <c r="N1300" s="1351" t="n"/>
      <c r="O1300" s="1351" t="n"/>
      <c r="P1300" s="1349" t="n"/>
    </row>
    <row r="1301" customFormat="1" s="324">
      <c r="A1301" s="1349" t="n"/>
      <c r="B1301" s="1501" t="n"/>
      <c r="C1301" s="1439" t="n"/>
      <c r="D1301" s="1439" t="n"/>
      <c r="E1301" s="1439" t="n"/>
      <c r="F1301" s="1439" t="n"/>
      <c r="G1301" s="1440" t="n"/>
      <c r="H1301" s="1351" t="n"/>
      <c r="I1301" s="1351" t="n"/>
      <c r="J1301" s="1351" t="n"/>
      <c r="K1301" s="1351" t="n"/>
      <c r="L1301" s="1351" t="n"/>
      <c r="M1301" s="1351" t="n"/>
      <c r="N1301" s="1351" t="n"/>
      <c r="O1301" s="1351" t="n"/>
      <c r="P1301" s="1349" t="n"/>
    </row>
    <row r="1302" customFormat="1" s="324">
      <c r="A1302" s="1349" t="n"/>
      <c r="B1302" s="1501" t="n"/>
      <c r="C1302" s="1439" t="n"/>
      <c r="D1302" s="1439" t="n"/>
      <c r="E1302" s="1439" t="n"/>
      <c r="F1302" s="1439" t="n"/>
      <c r="G1302" s="1440" t="n"/>
      <c r="H1302" s="1351" t="n"/>
      <c r="I1302" s="1351" t="n"/>
      <c r="J1302" s="1351" t="n"/>
      <c r="K1302" s="1351" t="n"/>
      <c r="L1302" s="1351" t="n"/>
      <c r="M1302" s="1351" t="n"/>
      <c r="N1302" s="1351" t="n"/>
      <c r="O1302" s="1351" t="n"/>
      <c r="P1302" s="1349" t="n"/>
    </row>
    <row r="1303" customFormat="1" s="324">
      <c r="A1303" s="1349" t="n"/>
      <c r="B1303" s="1501" t="n"/>
      <c r="C1303" s="1439" t="n"/>
      <c r="D1303" s="1439" t="n"/>
      <c r="E1303" s="1439" t="n"/>
      <c r="F1303" s="1439" t="n"/>
      <c r="G1303" s="1440" t="n"/>
      <c r="H1303" s="1351" t="n"/>
      <c r="I1303" s="1351" t="n"/>
      <c r="J1303" s="1351" t="n"/>
      <c r="K1303" s="1351" t="n"/>
      <c r="L1303" s="1351" t="n"/>
      <c r="M1303" s="1351" t="n"/>
      <c r="N1303" s="1351" t="n"/>
      <c r="O1303" s="1351" t="n"/>
      <c r="P1303" s="1349" t="n"/>
    </row>
    <row r="1304" customFormat="1" s="324">
      <c r="A1304" s="1349" t="n"/>
      <c r="B1304" s="1501" t="n"/>
      <c r="C1304" s="1439" t="n"/>
      <c r="D1304" s="1439" t="n"/>
      <c r="E1304" s="1439" t="n"/>
      <c r="F1304" s="1439" t="n"/>
      <c r="G1304" s="1440" t="n"/>
      <c r="H1304" s="1351" t="n"/>
      <c r="I1304" s="1351" t="n"/>
      <c r="J1304" s="1351" t="n"/>
      <c r="K1304" s="1351" t="n"/>
      <c r="L1304" s="1351" t="n"/>
      <c r="M1304" s="1351" t="n"/>
      <c r="N1304" s="1351" t="n"/>
      <c r="O1304" s="1351" t="n"/>
      <c r="P1304" s="1349" t="n"/>
    </row>
    <row r="1305" ht="14.25" customFormat="1" customHeight="1" s="324">
      <c r="A1305" s="1349" t="n"/>
      <c r="B1305" s="1501" t="n"/>
      <c r="C1305" s="1439" t="n"/>
      <c r="D1305" s="1439" t="n"/>
      <c r="E1305" s="1439" t="n"/>
      <c r="F1305" s="1439" t="n"/>
      <c r="G1305" s="1440" t="n"/>
      <c r="H1305" s="1574" t="n"/>
      <c r="I1305" s="1351" t="n"/>
      <c r="J1305" s="1351" t="n"/>
      <c r="K1305" s="1351" t="n"/>
      <c r="L1305" s="1351" t="n"/>
      <c r="M1305" s="1351" t="n"/>
      <c r="N1305" s="1351" t="n"/>
      <c r="O1305" s="1351" t="n"/>
      <c r="P1305" s="1349" t="n"/>
    </row>
    <row r="1306" ht="11.25" customFormat="1" customHeight="1" s="324">
      <c r="A1306" s="1349" t="n"/>
      <c r="B1306" s="1501" t="n"/>
      <c r="C1306" s="1439" t="n"/>
      <c r="D1306" s="1439" t="n"/>
      <c r="E1306" s="1439" t="n"/>
      <c r="F1306" s="1439" t="n"/>
      <c r="G1306" s="1440" t="n"/>
      <c r="H1306" s="1508" t="n"/>
      <c r="I1306" s="1351" t="n"/>
      <c r="J1306" s="1351" t="n"/>
      <c r="K1306" s="1351" t="n"/>
      <c r="L1306" s="1351" t="n"/>
      <c r="M1306" s="1351" t="n"/>
      <c r="N1306" s="1351" t="n"/>
      <c r="O1306" s="1351" t="n"/>
      <c r="P1306" s="1349" t="n"/>
    </row>
    <row r="1307" ht="18.75" customFormat="1" customHeight="1" s="324">
      <c r="A1307" s="1349" t="n"/>
      <c r="B1307" s="1501" t="n"/>
      <c r="C1307" s="1439" t="n"/>
      <c r="D1307" s="1439" t="n"/>
      <c r="E1307" s="1439" t="n"/>
      <c r="F1307" s="1439" t="n"/>
      <c r="G1307" s="1440" t="n"/>
      <c r="H1307" s="1470" t="n"/>
      <c r="I1307" s="1351" t="n"/>
      <c r="J1307" s="1351" t="n"/>
      <c r="K1307" s="1351" t="n"/>
      <c r="L1307" s="1351" t="n"/>
      <c r="M1307" s="1351" t="n"/>
      <c r="N1307" s="1351" t="n"/>
      <c r="O1307" s="1351" t="n"/>
      <c r="P1307" s="1349" t="n"/>
    </row>
    <row r="1308" ht="15" customFormat="1" customHeight="1" s="324">
      <c r="A1308" s="1349" t="n"/>
      <c r="B1308" s="1501" t="n"/>
      <c r="C1308" s="1439" t="n"/>
      <c r="D1308" s="1439" t="n"/>
      <c r="E1308" s="1439" t="n"/>
      <c r="F1308" s="1439" t="n"/>
      <c r="G1308" s="1440" t="n"/>
      <c r="H1308" s="1351" t="n"/>
      <c r="I1308" s="1351" t="n"/>
      <c r="J1308" s="1351" t="n"/>
      <c r="K1308" s="1351" t="n"/>
      <c r="L1308" s="1351" t="n"/>
      <c r="M1308" s="1351" t="n"/>
      <c r="N1308" s="1351" t="n"/>
      <c r="O1308" s="1351" t="n"/>
      <c r="P1308" s="1349" t="n"/>
    </row>
    <row r="1309" customFormat="1" s="324">
      <c r="A1309" s="1349" t="n"/>
      <c r="B1309" s="1501" t="n"/>
      <c r="C1309" s="1439" t="n"/>
      <c r="D1309" s="1439" t="n"/>
      <c r="E1309" s="1439" t="n"/>
      <c r="F1309" s="1439" t="n"/>
      <c r="G1309" s="1440" t="n"/>
      <c r="H1309" s="1351" t="n"/>
      <c r="I1309" s="1351" t="n"/>
      <c r="J1309" s="1351" t="n"/>
      <c r="K1309" s="1351" t="n"/>
      <c r="L1309" s="1351" t="n"/>
      <c r="M1309" s="1351" t="n"/>
      <c r="N1309" s="1351" t="n"/>
      <c r="O1309" s="1351" t="n"/>
      <c r="P1309" s="1349" t="n"/>
    </row>
    <row r="1310" ht="18.75" customFormat="1" customHeight="1" s="324">
      <c r="A1310" s="1349" t="n"/>
      <c r="B1310" s="1501" t="n"/>
      <c r="C1310" s="1439" t="n"/>
      <c r="D1310" s="1439" t="n"/>
      <c r="E1310" s="1439" t="n"/>
      <c r="F1310" s="1439" t="n"/>
      <c r="G1310" s="1440" t="n"/>
      <c r="H1310" s="1351" t="n"/>
      <c r="I1310" s="1351" t="n"/>
      <c r="J1310" s="1351" t="n"/>
      <c r="K1310" s="1351" t="n"/>
      <c r="L1310" s="1351" t="n"/>
      <c r="M1310" s="1351" t="n"/>
      <c r="N1310" s="1351" t="n"/>
      <c r="O1310" s="1351" t="n"/>
      <c r="P1310" s="1349" t="n"/>
    </row>
    <row r="1311" ht="18.75" customFormat="1" customHeight="1" s="324">
      <c r="A1311" s="1349" t="n"/>
      <c r="B1311" s="1501" t="n"/>
      <c r="C1311" s="1439" t="n"/>
      <c r="D1311" s="1439" t="n"/>
      <c r="E1311" s="1439" t="n"/>
      <c r="F1311" s="1439" t="n"/>
      <c r="G1311" s="1440" t="n"/>
      <c r="H1311" s="1351" t="n"/>
      <c r="I1311" s="1351" t="n"/>
      <c r="J1311" s="1351" t="n"/>
      <c r="K1311" s="1351" t="n"/>
      <c r="L1311" s="1351" t="n"/>
      <c r="M1311" s="1351" t="n"/>
      <c r="N1311" s="1351" t="n"/>
      <c r="O1311" s="1351" t="n"/>
      <c r="P1311" s="1349" t="n"/>
    </row>
    <row r="1312" ht="18.75" customFormat="1" customHeight="1" s="324">
      <c r="A1312" s="1349" t="n"/>
      <c r="B1312" s="1501" t="n"/>
      <c r="C1312" s="1439" t="n"/>
      <c r="D1312" s="1439" t="n"/>
      <c r="E1312" s="1439" t="n"/>
      <c r="F1312" s="1439" t="n"/>
      <c r="G1312" s="1440" t="n"/>
      <c r="H1312" s="1351" t="n"/>
      <c r="I1312" s="1351" t="n"/>
      <c r="J1312" s="1351" t="n"/>
      <c r="K1312" s="1351" t="n"/>
      <c r="L1312" s="1351" t="n"/>
      <c r="M1312" s="1351" t="n"/>
      <c r="N1312" s="1351" t="n"/>
      <c r="O1312" s="1351" t="n"/>
      <c r="P1312" s="1349" t="n"/>
    </row>
    <row r="1313" ht="18.75" customFormat="1" customHeight="1" s="324">
      <c r="A1313" s="1349" t="n"/>
      <c r="B1313" s="1501" t="n"/>
      <c r="C1313" s="1439" t="n"/>
      <c r="D1313" s="1439" t="n"/>
      <c r="E1313" s="1439" t="n"/>
      <c r="F1313" s="1439" t="n"/>
      <c r="G1313" s="1440" t="n"/>
      <c r="H1313" s="1351" t="n"/>
      <c r="I1313" s="1351" t="n"/>
      <c r="J1313" s="1351" t="n"/>
      <c r="K1313" s="1351" t="n"/>
      <c r="L1313" s="1351" t="n"/>
      <c r="M1313" s="1351" t="n"/>
      <c r="N1313" s="1351" t="n"/>
      <c r="O1313" s="1351" t="n"/>
      <c r="P1313" s="1349" t="n"/>
    </row>
    <row r="1314" ht="18.75" customFormat="1" customHeight="1" s="324">
      <c r="A1314" s="1349" t="n"/>
      <c r="B1314" s="1501" t="n"/>
      <c r="C1314" s="1439" t="n"/>
      <c r="D1314" s="1439" t="n"/>
      <c r="E1314" s="1439" t="n"/>
      <c r="F1314" s="1439" t="n"/>
      <c r="G1314" s="1440" t="n"/>
      <c r="H1314" s="1351" t="n"/>
      <c r="I1314" s="1351" t="n"/>
      <c r="J1314" s="1351" t="n"/>
      <c r="K1314" s="1351" t="n"/>
      <c r="L1314" s="1351" t="n"/>
      <c r="M1314" s="1351" t="n"/>
      <c r="N1314" s="1351" t="n"/>
      <c r="O1314" s="1351" t="n"/>
      <c r="P1314" s="1349" t="n"/>
    </row>
    <row r="1315" customFormat="1" s="324">
      <c r="A1315" s="1349" t="n"/>
      <c r="B1315" s="1501" t="n"/>
      <c r="C1315" s="1439" t="n"/>
      <c r="D1315" s="1439" t="n"/>
      <c r="E1315" s="1439" t="n"/>
      <c r="F1315" s="1439" t="n"/>
      <c r="G1315" s="1440" t="n"/>
      <c r="H1315" s="1351" t="n"/>
      <c r="I1315" s="1351" t="n"/>
      <c r="J1315" s="1351" t="n"/>
      <c r="K1315" s="1351" t="n"/>
      <c r="L1315" s="1351" t="n"/>
      <c r="M1315" s="1351" t="n"/>
      <c r="N1315" s="1351" t="n"/>
      <c r="O1315" s="1351" t="n"/>
      <c r="P1315" s="1349" t="n"/>
    </row>
    <row r="1316" ht="18.75" customFormat="1" customHeight="1" s="324">
      <c r="A1316" s="1349" t="n"/>
      <c r="B1316" s="1501" t="n"/>
      <c r="C1316" s="1439" t="n"/>
      <c r="D1316" s="1439" t="n"/>
      <c r="E1316" s="1439" t="n"/>
      <c r="F1316" s="1439" t="n"/>
      <c r="G1316" s="1440" t="n"/>
      <c r="H1316" s="1351" t="n"/>
      <c r="I1316" s="1351" t="n"/>
      <c r="J1316" s="1351" t="n"/>
      <c r="K1316" s="1351" t="n"/>
      <c r="L1316" s="1351" t="n"/>
      <c r="M1316" s="1351" t="n"/>
      <c r="N1316" s="1351" t="n"/>
      <c r="O1316" s="1351" t="n"/>
      <c r="P1316" s="1349" t="n"/>
    </row>
    <row r="1317" ht="18.75" customFormat="1" customHeight="1" s="324">
      <c r="A1317" s="1349" t="n"/>
      <c r="B1317" s="1501" t="n"/>
      <c r="C1317" s="1439" t="n"/>
      <c r="D1317" s="1439" t="n"/>
      <c r="E1317" s="1439" t="n"/>
      <c r="F1317" s="1439" t="n"/>
      <c r="G1317" s="1440" t="n"/>
      <c r="H1317" s="1351" t="n"/>
      <c r="I1317" s="1351" t="n"/>
      <c r="J1317" s="1351" t="n"/>
      <c r="K1317" s="1351" t="n"/>
      <c r="L1317" s="1351" t="n"/>
      <c r="M1317" s="1351" t="n"/>
      <c r="N1317" s="1351" t="n"/>
      <c r="O1317" s="1351" t="n"/>
      <c r="P1317" s="1349" t="n"/>
    </row>
    <row r="1318" ht="18.75" customFormat="1" customHeight="1" s="324">
      <c r="A1318" s="1349" t="n"/>
      <c r="B1318" s="1501" t="n"/>
      <c r="C1318" s="1439" t="n"/>
      <c r="D1318" s="1439" t="n"/>
      <c r="E1318" s="1439" t="n"/>
      <c r="F1318" s="1439" t="n"/>
      <c r="G1318" s="1440" t="n"/>
      <c r="H1318" s="1351" t="n"/>
      <c r="I1318" s="1351" t="n"/>
      <c r="J1318" s="1351" t="n"/>
      <c r="K1318" s="1351" t="n"/>
      <c r="L1318" s="1351" t="n"/>
      <c r="M1318" s="1351" t="n"/>
      <c r="N1318" s="1351" t="n"/>
      <c r="O1318" s="1351" t="n"/>
      <c r="P1318" s="1349" t="n"/>
    </row>
    <row r="1319" ht="18.75" customFormat="1" customHeight="1" s="324">
      <c r="A1319" s="1349" t="n"/>
      <c r="B1319" s="1501" t="n"/>
      <c r="C1319" s="1439" t="n"/>
      <c r="D1319" s="1439" t="n"/>
      <c r="E1319" s="1439" t="n"/>
      <c r="F1319" s="1439" t="n"/>
      <c r="G1319" s="1440" t="n"/>
      <c r="H1319" s="1351" t="n"/>
      <c r="I1319" s="1351" t="n"/>
      <c r="J1319" s="1351" t="n"/>
      <c r="K1319" s="1351" t="n"/>
      <c r="L1319" s="1351" t="n"/>
      <c r="M1319" s="1351" t="n"/>
      <c r="N1319" s="1351" t="n"/>
      <c r="O1319" s="1351" t="n"/>
      <c r="P1319" s="1349" t="n"/>
    </row>
    <row r="1320" ht="18.75" customFormat="1" customHeight="1" s="324">
      <c r="A1320" s="1349" t="n"/>
      <c r="B1320" s="1501" t="n"/>
      <c r="C1320" s="1439" t="n"/>
      <c r="D1320" s="1439" t="n"/>
      <c r="E1320" s="1439" t="n"/>
      <c r="F1320" s="1439" t="n"/>
      <c r="G1320" s="1440" t="n"/>
      <c r="H1320" s="1351" t="n"/>
      <c r="I1320" s="1351" t="n"/>
      <c r="J1320" s="1351" t="n"/>
      <c r="K1320" s="1351" t="n"/>
      <c r="L1320" s="1351" t="n"/>
      <c r="M1320" s="1351" t="n"/>
      <c r="N1320" s="1351" t="n"/>
      <c r="O1320" s="1351" t="n"/>
      <c r="P1320" s="1349" t="n"/>
    </row>
    <row r="1321" ht="18.75" customFormat="1" customHeight="1" s="324">
      <c r="A1321" s="1349" t="n"/>
      <c r="B1321" s="1501" t="n"/>
      <c r="C1321" s="1439" t="n"/>
      <c r="D1321" s="1439" t="n"/>
      <c r="E1321" s="1439" t="n"/>
      <c r="F1321" s="1439" t="n"/>
      <c r="G1321" s="1440" t="n"/>
      <c r="H1321" s="1351" t="n"/>
      <c r="I1321" s="1351" t="n"/>
      <c r="J1321" s="1351" t="n"/>
      <c r="K1321" s="1351" t="n"/>
      <c r="L1321" s="1351" t="n"/>
      <c r="M1321" s="1351" t="n"/>
      <c r="N1321" s="1351" t="n"/>
      <c r="O1321" s="1351" t="n"/>
      <c r="P1321" s="1349" t="n"/>
    </row>
    <row r="1322" ht="18.75" customFormat="1" customHeight="1" s="324">
      <c r="A1322" s="1349" t="n"/>
      <c r="B1322" s="1501" t="n"/>
      <c r="C1322" s="1439" t="n"/>
      <c r="D1322" s="1439" t="n"/>
      <c r="E1322" s="1439" t="n"/>
      <c r="F1322" s="1439" t="n"/>
      <c r="G1322" s="1440" t="n"/>
      <c r="H1322" s="1351" t="n"/>
      <c r="I1322" s="1351" t="n"/>
      <c r="J1322" s="1351" t="n"/>
      <c r="K1322" s="1351" t="n"/>
      <c r="L1322" s="1351" t="n"/>
      <c r="M1322" s="1351" t="n"/>
      <c r="N1322" s="1351" t="n"/>
      <c r="O1322" s="1351" t="n"/>
      <c r="P1322" s="1349" t="n"/>
    </row>
    <row r="1323" customFormat="1" s="324">
      <c r="A1323" s="1349" t="n"/>
      <c r="B1323" s="1501" t="n"/>
      <c r="C1323" s="1439" t="n"/>
      <c r="D1323" s="1439" t="n"/>
      <c r="E1323" s="1439" t="n"/>
      <c r="F1323" s="1439" t="n"/>
      <c r="G1323" s="1440" t="n"/>
      <c r="H1323" s="1351" t="n"/>
      <c r="I1323" s="1351" t="n"/>
      <c r="J1323" s="1351" t="n"/>
      <c r="K1323" s="1351" t="n"/>
      <c r="L1323" s="1351" t="n"/>
      <c r="M1323" s="1351" t="n"/>
      <c r="N1323" s="1351" t="n"/>
      <c r="O1323" s="1351" t="n"/>
      <c r="P1323" s="1349" t="n"/>
    </row>
    <row r="1324" ht="18.75" customFormat="1" customHeight="1" s="324">
      <c r="A1324" s="1349" t="n"/>
      <c r="B1324" s="1501" t="n"/>
      <c r="C1324" s="1439" t="n"/>
      <c r="D1324" s="1439" t="n"/>
      <c r="E1324" s="1439" t="n"/>
      <c r="F1324" s="1439" t="n"/>
      <c r="G1324" s="1440" t="n"/>
      <c r="H1324" s="1351" t="n"/>
      <c r="I1324" s="1351" t="n"/>
      <c r="J1324" s="1351" t="n"/>
      <c r="K1324" s="1351" t="n"/>
      <c r="L1324" s="1351" t="n"/>
      <c r="M1324" s="1351" t="n"/>
      <c r="N1324" s="1351" t="n"/>
      <c r="O1324" s="1351" t="n"/>
      <c r="P1324" s="1349" t="n"/>
    </row>
    <row r="1325" customFormat="1" s="324">
      <c r="A1325" s="1349" t="n"/>
      <c r="B1325" s="1501" t="n"/>
      <c r="C1325" s="1439" t="n"/>
      <c r="D1325" s="1439" t="n"/>
      <c r="E1325" s="1439" t="n"/>
      <c r="F1325" s="1439" t="n"/>
      <c r="G1325" s="1440" t="n"/>
      <c r="H1325" s="1351" t="n"/>
      <c r="I1325" s="1351" t="n"/>
      <c r="J1325" s="1351" t="n"/>
      <c r="K1325" s="1351" t="n"/>
      <c r="L1325" s="1351" t="n"/>
      <c r="M1325" s="1351" t="n"/>
      <c r="N1325" s="1351" t="n"/>
      <c r="O1325" s="1351" t="n"/>
      <c r="P1325" s="1349" t="n"/>
    </row>
    <row r="1326" ht="18.75" customFormat="1" customHeight="1" s="324">
      <c r="A1326" s="1349" t="n"/>
      <c r="B1326" s="1501" t="n"/>
      <c r="C1326" s="1439" t="n"/>
      <c r="D1326" s="1439" t="n"/>
      <c r="E1326" s="1439" t="n"/>
      <c r="F1326" s="1439" t="n"/>
      <c r="G1326" s="1440" t="n"/>
      <c r="H1326" s="1351" t="n"/>
      <c r="I1326" s="1351" t="n"/>
      <c r="J1326" s="1351" t="n"/>
      <c r="K1326" s="1351" t="n"/>
      <c r="L1326" s="1351" t="n"/>
      <c r="M1326" s="1351" t="n"/>
      <c r="N1326" s="1351" t="n"/>
      <c r="O1326" s="1351" t="n"/>
      <c r="P1326" s="1349" t="n"/>
    </row>
    <row r="1327" customFormat="1" s="324">
      <c r="A1327" s="1349" t="n"/>
      <c r="B1327" s="1501" t="n"/>
      <c r="C1327" s="1439" t="n"/>
      <c r="D1327" s="1439" t="n"/>
      <c r="E1327" s="1439" t="n"/>
      <c r="F1327" s="1439" t="n"/>
      <c r="G1327" s="1440" t="n"/>
      <c r="H1327" s="1351" t="n"/>
      <c r="I1327" s="1351" t="n"/>
      <c r="J1327" s="1351" t="n"/>
      <c r="K1327" s="1351" t="n"/>
      <c r="L1327" s="1351" t="n"/>
      <c r="M1327" s="1351" t="n"/>
      <c r="N1327" s="1351" t="n"/>
      <c r="O1327" s="1351" t="n"/>
      <c r="P1327" s="1349" t="n"/>
    </row>
    <row r="1328" customFormat="1" s="324">
      <c r="A1328" s="1349" t="n"/>
      <c r="B1328" s="1501" t="n"/>
      <c r="C1328" s="1439" t="n"/>
      <c r="D1328" s="1439" t="n"/>
      <c r="E1328" s="1439" t="n"/>
      <c r="F1328" s="1439" t="n"/>
      <c r="G1328" s="1440" t="n"/>
      <c r="H1328" s="1351" t="n"/>
      <c r="I1328" s="1351" t="n"/>
      <c r="J1328" s="1351" t="n"/>
      <c r="K1328" s="1351" t="n"/>
      <c r="L1328" s="1351" t="n"/>
      <c r="M1328" s="1351" t="n"/>
      <c r="N1328" s="1351" t="n"/>
      <c r="O1328" s="1351" t="n"/>
      <c r="P1328" s="1349" t="n"/>
    </row>
    <row r="1329" customFormat="1" s="324">
      <c r="A1329" s="1349" t="n"/>
      <c r="B1329" s="1501" t="n"/>
      <c r="C1329" s="1439" t="n"/>
      <c r="D1329" s="1439" t="n"/>
      <c r="E1329" s="1439" t="n"/>
      <c r="F1329" s="1439" t="n"/>
      <c r="G1329" s="1440" t="n"/>
      <c r="H1329" s="1391" t="n"/>
      <c r="I1329" s="1351" t="n"/>
      <c r="J1329" s="1351" t="n"/>
      <c r="K1329" s="1351" t="n"/>
      <c r="L1329" s="1351" t="n"/>
      <c r="M1329" s="1351" t="n"/>
      <c r="N1329" s="1351" t="n"/>
      <c r="O1329" s="1351" t="n"/>
      <c r="P1329" s="1349" t="n"/>
    </row>
    <row r="1330" customFormat="1" s="324">
      <c r="A1330" s="1349" t="n"/>
      <c r="B1330" s="1501" t="n"/>
      <c r="C1330" s="1439" t="n"/>
      <c r="D1330" s="1439" t="n"/>
      <c r="E1330" s="1439" t="n"/>
      <c r="F1330" s="1439" t="n"/>
      <c r="G1330" s="1440" t="n"/>
      <c r="H1330" s="1567" t="n"/>
      <c r="I1330" s="1351" t="n"/>
      <c r="J1330" s="1351" t="n"/>
      <c r="K1330" s="1351" t="n"/>
      <c r="L1330" s="1351" t="n"/>
      <c r="M1330" s="1351" t="n"/>
      <c r="N1330" s="1351" t="n"/>
      <c r="O1330" s="1351" t="n"/>
      <c r="P1330" s="1349" t="n"/>
    </row>
    <row r="1331" customFormat="1" s="324">
      <c r="A1331" s="1349" t="n"/>
      <c r="B1331" s="1501" t="n"/>
      <c r="C1331" s="1439" t="n"/>
      <c r="D1331" s="1439" t="n"/>
      <c r="E1331" s="1439" t="n"/>
      <c r="F1331" s="1439" t="n"/>
      <c r="G1331" s="1440" t="n"/>
      <c r="H1331" s="1391" t="n"/>
      <c r="I1331" s="1351" t="n"/>
      <c r="J1331" s="1351" t="n"/>
      <c r="K1331" s="1351" t="n"/>
      <c r="L1331" s="1351" t="n"/>
      <c r="M1331" s="1351" t="n"/>
      <c r="N1331" s="1351" t="n"/>
      <c r="O1331" s="1351" t="n"/>
      <c r="P1331" s="1349" t="n"/>
    </row>
    <row r="1332" ht="15.65" customFormat="1" customHeight="1" s="324">
      <c r="A1332" s="1349" t="n"/>
      <c r="B1332" s="1501" t="n"/>
      <c r="C1332" s="1439" t="n"/>
      <c r="D1332" s="1439" t="n"/>
      <c r="E1332" s="1439" t="n"/>
      <c r="F1332" s="1439" t="n"/>
      <c r="G1332" s="1440" t="n"/>
      <c r="H1332" s="1351" t="n"/>
      <c r="I1332" s="1351" t="n"/>
      <c r="J1332" s="1351" t="n"/>
      <c r="K1332" s="1351" t="n"/>
      <c r="L1332" s="1351" t="n"/>
      <c r="M1332" s="1351" t="n"/>
      <c r="N1332" s="1351" t="n"/>
      <c r="O1332" s="1351" t="n"/>
      <c r="P1332" s="1349" t="n"/>
    </row>
    <row r="1333" customFormat="1" s="324">
      <c r="A1333" s="1349" t="n"/>
      <c r="B1333" s="1501" t="n"/>
      <c r="C1333" s="1439" t="n"/>
      <c r="D1333" s="1439" t="n"/>
      <c r="E1333" s="1439" t="n"/>
      <c r="F1333" s="1439" t="n"/>
      <c r="G1333" s="1440" t="n"/>
      <c r="H1333" s="1351" t="n"/>
      <c r="I1333" s="1351" t="n"/>
      <c r="J1333" s="1351" t="n"/>
      <c r="K1333" s="1351" t="n"/>
      <c r="L1333" s="1351" t="n"/>
      <c r="M1333" s="1351" t="n"/>
      <c r="N1333" s="1351" t="n"/>
      <c r="O1333" s="1351" t="n"/>
      <c r="P1333" s="1349" t="n"/>
    </row>
    <row r="1334" customFormat="1" s="324">
      <c r="A1334" s="1349" t="n"/>
      <c r="B1334" s="1501" t="n"/>
      <c r="C1334" s="1439" t="n"/>
      <c r="D1334" s="1439" t="n"/>
      <c r="E1334" s="1439" t="n"/>
      <c r="F1334" s="1439" t="n"/>
      <c r="G1334" s="1440" t="n"/>
      <c r="H1334" s="1351" t="n"/>
      <c r="I1334" s="1351" t="n"/>
      <c r="J1334" s="1351" t="n"/>
      <c r="K1334" s="1351" t="n"/>
      <c r="L1334" s="1351" t="n"/>
      <c r="M1334" s="1351" t="n"/>
      <c r="N1334" s="1351" t="n"/>
      <c r="O1334" s="1351" t="n"/>
      <c r="P1334" s="1349" t="n"/>
    </row>
    <row r="1335" customFormat="1" s="324">
      <c r="A1335" s="1349" t="n"/>
      <c r="B1335" s="1501" t="n"/>
      <c r="C1335" s="1439" t="n"/>
      <c r="D1335" s="1439" t="n"/>
      <c r="E1335" s="1439" t="n"/>
      <c r="F1335" s="1439" t="n"/>
      <c r="G1335" s="1440" t="n"/>
      <c r="H1335" s="1351" t="n"/>
      <c r="I1335" s="1351" t="n"/>
      <c r="J1335" s="1351" t="n"/>
      <c r="K1335" s="1351" t="n"/>
      <c r="L1335" s="1351" t="n"/>
      <c r="M1335" s="1351" t="n"/>
      <c r="N1335" s="1351" t="n"/>
      <c r="O1335" s="1351" t="n"/>
      <c r="P1335" s="1349" t="n"/>
    </row>
    <row r="1336" customFormat="1" s="324">
      <c r="A1336" s="1349" t="n"/>
      <c r="B1336" s="1501" t="n"/>
      <c r="C1336" s="1439" t="n"/>
      <c r="D1336" s="1439" t="n"/>
      <c r="E1336" s="1439" t="n"/>
      <c r="F1336" s="1439" t="n"/>
      <c r="G1336" s="1440" t="n"/>
      <c r="H1336" s="1351" t="n"/>
      <c r="I1336" s="1351" t="n"/>
      <c r="J1336" s="1351" t="n"/>
      <c r="K1336" s="1351" t="n"/>
      <c r="L1336" s="1351" t="n"/>
      <c r="M1336" s="1351" t="n"/>
      <c r="N1336" s="1351" t="n"/>
      <c r="O1336" s="1351" t="n"/>
      <c r="P1336" s="1349" t="n"/>
    </row>
    <row r="1337" customFormat="1" s="324">
      <c r="A1337" s="1349" t="n"/>
      <c r="B1337" s="1501" t="n"/>
      <c r="C1337" s="1439" t="n"/>
      <c r="D1337" s="1439" t="n"/>
      <c r="E1337" s="1439" t="n"/>
      <c r="F1337" s="1439" t="n"/>
      <c r="G1337" s="1440" t="n"/>
      <c r="H1337" s="1351" t="n"/>
      <c r="I1337" s="1351" t="n"/>
      <c r="J1337" s="1351" t="n"/>
      <c r="K1337" s="1351" t="n"/>
      <c r="L1337" s="1351" t="n"/>
      <c r="M1337" s="1351" t="n"/>
      <c r="N1337" s="1351" t="n"/>
      <c r="O1337" s="1351" t="n"/>
      <c r="P1337" s="1349" t="n"/>
    </row>
    <row r="1338" customFormat="1" s="324">
      <c r="A1338" s="1349" t="n"/>
      <c r="B1338" s="1501" t="n"/>
      <c r="C1338" s="1439" t="n"/>
      <c r="D1338" s="1439" t="n"/>
      <c r="E1338" s="1439" t="n"/>
      <c r="F1338" s="1439" t="n"/>
      <c r="G1338" s="1440" t="n"/>
      <c r="H1338" s="1351" t="n"/>
      <c r="I1338" s="1351" t="n"/>
      <c r="J1338" s="1351" t="n"/>
      <c r="K1338" s="1351" t="n"/>
      <c r="L1338" s="1351" t="n"/>
      <c r="M1338" s="1351" t="n"/>
      <c r="N1338" s="1351" t="n"/>
      <c r="O1338" s="1351" t="n"/>
      <c r="P1338" s="1349" t="n"/>
    </row>
    <row r="1339" customFormat="1" s="324">
      <c r="A1339" s="1349" t="n"/>
      <c r="B1339" s="1501" t="n"/>
      <c r="C1339" s="1439" t="n"/>
      <c r="D1339" s="1439" t="n"/>
      <c r="E1339" s="1439" t="n"/>
      <c r="F1339" s="1439" t="n"/>
      <c r="G1339" s="1440" t="n"/>
      <c r="H1339" s="1351" t="n"/>
      <c r="I1339" s="1351" t="n"/>
      <c r="J1339" s="1351" t="n"/>
      <c r="K1339" s="1351" t="n"/>
      <c r="L1339" s="1351" t="n"/>
      <c r="M1339" s="1351" t="n"/>
      <c r="N1339" s="1351" t="n"/>
      <c r="O1339" s="1351" t="n"/>
      <c r="P1339" s="1349" t="n"/>
    </row>
    <row r="1340" customFormat="1" s="324">
      <c r="A1340" s="1349" t="n"/>
      <c r="B1340" s="1501" t="n"/>
      <c r="C1340" s="1439" t="n"/>
      <c r="D1340" s="1439" t="n"/>
      <c r="E1340" s="1439" t="n"/>
      <c r="F1340" s="1439" t="n"/>
      <c r="G1340" s="1440" t="n"/>
      <c r="H1340" s="1351" t="n"/>
      <c r="I1340" s="1351" t="n"/>
      <c r="J1340" s="1351" t="n"/>
      <c r="K1340" s="1351" t="n"/>
      <c r="L1340" s="1351" t="n"/>
      <c r="M1340" s="1351" t="n"/>
      <c r="N1340" s="1351" t="n"/>
      <c r="O1340" s="1351" t="n"/>
      <c r="P1340" s="1349" t="n"/>
    </row>
    <row r="1341" customFormat="1" s="324">
      <c r="A1341" s="1349" t="n"/>
      <c r="B1341" s="1501" t="n"/>
      <c r="C1341" s="1439" t="n"/>
      <c r="D1341" s="1439" t="n"/>
      <c r="E1341" s="1439" t="n"/>
      <c r="F1341" s="1439" t="n"/>
      <c r="G1341" s="1440" t="n"/>
      <c r="H1341" s="1351" t="n"/>
      <c r="I1341" s="1351" t="n"/>
      <c r="J1341" s="1351" t="n"/>
      <c r="K1341" s="1351" t="n"/>
      <c r="L1341" s="1351" t="n"/>
      <c r="M1341" s="1351" t="n"/>
      <c r="N1341" s="1351" t="n"/>
      <c r="O1341" s="1351" t="n"/>
      <c r="P1341" s="1349" t="n"/>
    </row>
    <row r="1342" customFormat="1" s="324">
      <c r="A1342" s="1349" t="n"/>
      <c r="B1342" s="1501" t="n"/>
      <c r="C1342" s="1439" t="n"/>
      <c r="D1342" s="1439" t="n"/>
      <c r="E1342" s="1439" t="n"/>
      <c r="F1342" s="1439" t="n"/>
      <c r="G1342" s="1440" t="n"/>
      <c r="H1342" s="1351" t="n"/>
      <c r="I1342" s="1351" t="n"/>
      <c r="J1342" s="1351" t="n"/>
      <c r="K1342" s="1351" t="n"/>
      <c r="L1342" s="1351" t="n"/>
      <c r="M1342" s="1351" t="n"/>
      <c r="N1342" s="1351" t="n"/>
      <c r="O1342" s="1351" t="n"/>
      <c r="P1342" s="1349" t="n"/>
    </row>
    <row r="1343" customFormat="1" s="324">
      <c r="A1343" s="1349" t="n"/>
      <c r="B1343" s="1501" t="n"/>
      <c r="C1343" s="1439" t="n"/>
      <c r="D1343" s="1439" t="n"/>
      <c r="E1343" s="1439" t="n"/>
      <c r="F1343" s="1439" t="n"/>
      <c r="G1343" s="1440" t="n"/>
      <c r="H1343" s="1351" t="n"/>
      <c r="I1343" s="1351" t="n"/>
      <c r="J1343" s="1351" t="n"/>
      <c r="K1343" s="1351" t="n"/>
      <c r="L1343" s="1351" t="n"/>
      <c r="M1343" s="1351" t="n"/>
      <c r="N1343" s="1351" t="n"/>
      <c r="O1343" s="1351" t="n"/>
      <c r="P1343" s="1349" t="n"/>
    </row>
    <row r="1344" customFormat="1" s="324">
      <c r="A1344" s="1349" t="n"/>
      <c r="B1344" s="1501" t="n"/>
      <c r="C1344" s="1439" t="n"/>
      <c r="D1344" s="1439" t="n"/>
      <c r="E1344" s="1439" t="n"/>
      <c r="F1344" s="1439" t="n"/>
      <c r="G1344" s="1440" t="n"/>
      <c r="H1344" s="1351" t="n"/>
      <c r="I1344" s="1351" t="n"/>
      <c r="J1344" s="1351" t="n"/>
      <c r="K1344" s="1351" t="n"/>
      <c r="L1344" s="1351" t="n"/>
      <c r="M1344" s="1351" t="n"/>
      <c r="N1344" s="1351" t="n"/>
      <c r="O1344" s="1351" t="n"/>
      <c r="P1344" s="1349" t="n"/>
    </row>
    <row r="1345" customFormat="1" s="324">
      <c r="A1345" s="1349" t="n"/>
      <c r="B1345" s="1501" t="n"/>
      <c r="C1345" s="1439" t="n"/>
      <c r="D1345" s="1439" t="n"/>
      <c r="E1345" s="1439" t="n"/>
      <c r="F1345" s="1439" t="n"/>
      <c r="G1345" s="1440" t="n"/>
      <c r="H1345" s="1351" t="n"/>
      <c r="I1345" s="1351" t="n"/>
      <c r="J1345" s="1351" t="n"/>
      <c r="K1345" s="1351" t="n"/>
      <c r="L1345" s="1351" t="n"/>
      <c r="M1345" s="1351" t="n"/>
      <c r="N1345" s="1351" t="n"/>
      <c r="O1345" s="1351" t="n"/>
      <c r="P1345" s="1349" t="n"/>
    </row>
    <row r="1346" customFormat="1" s="324">
      <c r="A1346" s="1349" t="n"/>
      <c r="B1346" s="1501" t="n"/>
      <c r="C1346" s="1439" t="n"/>
      <c r="D1346" s="1439" t="n"/>
      <c r="E1346" s="1439" t="n"/>
      <c r="F1346" s="1439" t="n"/>
      <c r="G1346" s="1440" t="n"/>
      <c r="H1346" s="1351" t="n"/>
      <c r="I1346" s="1351" t="n"/>
      <c r="J1346" s="1351" t="n"/>
      <c r="K1346" s="1351" t="n"/>
      <c r="L1346" s="1351" t="n"/>
      <c r="M1346" s="1351" t="n"/>
      <c r="N1346" s="1351" t="n"/>
      <c r="O1346" s="1351" t="n"/>
      <c r="P1346" s="1349" t="n"/>
    </row>
    <row r="1347" customFormat="1" s="324">
      <c r="A1347" s="1349" t="n"/>
      <c r="B1347" s="1501" t="n"/>
      <c r="C1347" s="1439" t="n"/>
      <c r="D1347" s="1439" t="n"/>
      <c r="E1347" s="1439" t="n"/>
      <c r="F1347" s="1439" t="n"/>
      <c r="G1347" s="1440" t="n"/>
      <c r="H1347" s="1351" t="n"/>
      <c r="I1347" s="1351" t="n"/>
      <c r="J1347" s="1351" t="n"/>
      <c r="K1347" s="1351" t="n"/>
      <c r="L1347" s="1351" t="n"/>
      <c r="M1347" s="1351" t="n"/>
      <c r="N1347" s="1351" t="n"/>
      <c r="O1347" s="1351" t="n"/>
      <c r="P1347" s="1349" t="n"/>
    </row>
    <row r="1348" customFormat="1" s="324">
      <c r="A1348" s="1349" t="n"/>
      <c r="B1348" s="1501" t="n"/>
      <c r="C1348" s="1439" t="n"/>
      <c r="D1348" s="1439" t="n"/>
      <c r="E1348" s="1439" t="n"/>
      <c r="F1348" s="1439" t="n"/>
      <c r="G1348" s="1440" t="n"/>
      <c r="H1348" s="1351" t="n"/>
      <c r="I1348" s="1351" t="n"/>
      <c r="J1348" s="1351" t="n"/>
      <c r="K1348" s="1351" t="n"/>
      <c r="L1348" s="1351" t="n"/>
      <c r="M1348" s="1351" t="n"/>
      <c r="N1348" s="1351" t="n"/>
      <c r="O1348" s="1351" t="n"/>
      <c r="P1348" s="1349" t="n"/>
    </row>
    <row r="1349" customFormat="1" s="324">
      <c r="A1349" s="1349" t="n"/>
      <c r="B1349" s="1501" t="n"/>
      <c r="C1349" s="1439" t="n"/>
      <c r="D1349" s="1439" t="n"/>
      <c r="E1349" s="1439" t="n"/>
      <c r="F1349" s="1439" t="n"/>
      <c r="G1349" s="1440" t="n"/>
      <c r="H1349" s="1351" t="n"/>
      <c r="I1349" s="1351" t="n"/>
      <c r="J1349" s="1351" t="n"/>
      <c r="K1349" s="1351" t="n"/>
      <c r="L1349" s="1351" t="n"/>
      <c r="M1349" s="1351" t="n"/>
      <c r="N1349" s="1351" t="n"/>
      <c r="O1349" s="1351" t="n"/>
      <c r="P1349" s="1349" t="n"/>
    </row>
    <row r="1350" customFormat="1" s="324">
      <c r="A1350" s="1349" t="n"/>
      <c r="B1350" s="1501" t="n"/>
      <c r="C1350" s="1439" t="n"/>
      <c r="D1350" s="1439" t="n"/>
      <c r="E1350" s="1439" t="n"/>
      <c r="F1350" s="1439" t="n"/>
      <c r="G1350" s="1440" t="n"/>
      <c r="H1350" s="1351" t="n"/>
      <c r="I1350" s="1351" t="n"/>
      <c r="J1350" s="1351" t="n"/>
      <c r="K1350" s="1351" t="n"/>
      <c r="L1350" s="1351" t="n"/>
      <c r="M1350" s="1351" t="n"/>
      <c r="N1350" s="1351" t="n"/>
      <c r="O1350" s="1351" t="n"/>
      <c r="P1350" s="1349" t="n"/>
    </row>
    <row r="1351" customFormat="1" s="324">
      <c r="A1351" s="1349" t="n"/>
      <c r="B1351" s="1501" t="n"/>
      <c r="C1351" s="1439" t="n"/>
      <c r="D1351" s="1439" t="n"/>
      <c r="E1351" s="1439" t="n"/>
      <c r="F1351" s="1439" t="n"/>
      <c r="G1351" s="1440" t="n"/>
      <c r="H1351" s="1351" t="n"/>
      <c r="I1351" s="1351" t="n"/>
      <c r="J1351" s="1351" t="n"/>
      <c r="K1351" s="1351" t="n"/>
      <c r="L1351" s="1351" t="n"/>
      <c r="M1351" s="1351" t="n"/>
      <c r="N1351" s="1351" t="n"/>
      <c r="O1351" s="1351" t="n"/>
      <c r="P1351" s="1349" t="n"/>
    </row>
    <row r="1352" customFormat="1" s="324">
      <c r="A1352" s="1349" t="n"/>
      <c r="B1352" s="1501" t="n"/>
      <c r="C1352" s="1439" t="n"/>
      <c r="D1352" s="1439" t="n"/>
      <c r="E1352" s="1439" t="n"/>
      <c r="F1352" s="1439" t="n"/>
      <c r="G1352" s="1440" t="n"/>
      <c r="H1352" s="1351" t="n"/>
      <c r="I1352" s="1351" t="n"/>
      <c r="J1352" s="1351" t="n"/>
      <c r="K1352" s="1351" t="n"/>
      <c r="L1352" s="1351" t="n"/>
      <c r="M1352" s="1351" t="n"/>
      <c r="N1352" s="1351" t="n"/>
      <c r="O1352" s="1351" t="n"/>
      <c r="P1352" s="1349" t="n"/>
    </row>
    <row r="1353" customFormat="1" s="324">
      <c r="A1353" s="1349" t="n"/>
      <c r="B1353" s="1501" t="n"/>
      <c r="C1353" s="1439" t="n"/>
      <c r="D1353" s="1439" t="n"/>
      <c r="E1353" s="1439" t="n"/>
      <c r="F1353" s="1439" t="n"/>
      <c r="G1353" s="1440" t="n"/>
      <c r="H1353" s="1351" t="n"/>
      <c r="I1353" s="1351" t="n"/>
      <c r="J1353" s="1351" t="n"/>
      <c r="K1353" s="1351" t="n"/>
      <c r="L1353" s="1351" t="n"/>
      <c r="M1353" s="1351" t="n"/>
      <c r="N1353" s="1351" t="n"/>
      <c r="O1353" s="1351" t="n"/>
      <c r="P1353" s="1349" t="n"/>
    </row>
    <row r="1354" customFormat="1" s="324">
      <c r="A1354" s="1349" t="n"/>
      <c r="B1354" s="1501" t="n"/>
      <c r="C1354" s="1439" t="n"/>
      <c r="D1354" s="1439" t="n"/>
      <c r="E1354" s="1439" t="n"/>
      <c r="F1354" s="1439" t="n"/>
      <c r="G1354" s="1440" t="n"/>
      <c r="H1354" s="1351" t="n"/>
      <c r="I1354" s="1351" t="n"/>
      <c r="J1354" s="1351" t="n"/>
      <c r="K1354" s="1351" t="n"/>
      <c r="L1354" s="1351" t="n"/>
      <c r="M1354" s="1351" t="n"/>
      <c r="N1354" s="1351" t="n"/>
      <c r="O1354" s="1351" t="n"/>
      <c r="P1354" s="1349" t="n"/>
    </row>
    <row r="1355" customFormat="1" s="324">
      <c r="A1355" s="1349" t="n"/>
      <c r="B1355" s="1501" t="n"/>
      <c r="C1355" s="1439" t="n"/>
      <c r="D1355" s="1439" t="n"/>
      <c r="E1355" s="1439" t="n"/>
      <c r="F1355" s="1439" t="n"/>
      <c r="G1355" s="1440" t="n"/>
      <c r="H1355" s="1351" t="n"/>
      <c r="I1355" s="1389" t="inlineStr">
        <is>
          <t xml:space="preserve"> </t>
        </is>
      </c>
      <c r="J1355" s="1351" t="n"/>
      <c r="K1355" s="1351" t="n"/>
      <c r="L1355" s="1351" t="n"/>
      <c r="M1355" s="1351" t="n"/>
      <c r="N1355" s="1351" t="n"/>
      <c r="O1355" s="1351" t="n"/>
      <c r="P1355" s="1349" t="n"/>
    </row>
    <row r="1356" customFormat="1" s="324">
      <c r="A1356" s="1349" t="n"/>
      <c r="B1356" s="1501" t="n"/>
      <c r="C1356" s="1439" t="n"/>
      <c r="D1356" s="1439" t="n"/>
      <c r="E1356" s="1439" t="n"/>
      <c r="F1356" s="1439" t="n"/>
      <c r="G1356" s="1440" t="n"/>
      <c r="H1356" s="1351" t="n"/>
      <c r="I1356" s="1351" t="n"/>
      <c r="J1356" s="1351" t="n"/>
      <c r="K1356" s="1351" t="n"/>
      <c r="L1356" s="1351" t="n"/>
      <c r="M1356" s="1351" t="n"/>
      <c r="N1356" s="1351" t="n"/>
      <c r="O1356" s="1351" t="n"/>
      <c r="P1356" s="1349" t="n"/>
    </row>
    <row r="1357" customFormat="1" s="324">
      <c r="A1357" s="1349" t="n"/>
      <c r="B1357" s="1501" t="n"/>
      <c r="C1357" s="1439" t="n"/>
      <c r="D1357" s="1439" t="n"/>
      <c r="E1357" s="1439" t="n"/>
      <c r="F1357" s="1439" t="n"/>
      <c r="G1357" s="1440" t="n"/>
      <c r="H1357" s="1351" t="n"/>
      <c r="I1357" s="1351" t="n"/>
      <c r="J1357" s="1351" t="n"/>
      <c r="K1357" s="1351" t="n"/>
      <c r="L1357" s="1351" t="n"/>
      <c r="M1357" s="1351" t="n"/>
      <c r="N1357" s="1351" t="n"/>
      <c r="O1357" s="1351" t="n"/>
      <c r="P1357" s="1349" t="n"/>
    </row>
    <row r="1358" customFormat="1" s="324">
      <c r="A1358" s="1349" t="n"/>
      <c r="B1358" s="1501" t="n"/>
      <c r="C1358" s="1439" t="n"/>
      <c r="D1358" s="1439" t="n"/>
      <c r="E1358" s="1439" t="n"/>
      <c r="F1358" s="1439" t="n"/>
      <c r="G1358" s="1440" t="n"/>
      <c r="H1358" s="1351" t="n"/>
      <c r="I1358" s="1351" t="n"/>
      <c r="J1358" s="1351" t="n"/>
      <c r="K1358" s="1351" t="n"/>
      <c r="L1358" s="1351" t="n"/>
      <c r="M1358" s="1351" t="n"/>
      <c r="N1358" s="1351" t="n"/>
      <c r="O1358" s="1351" t="n"/>
      <c r="P1358" s="1349" t="n"/>
    </row>
    <row r="1359" customFormat="1" s="324">
      <c r="A1359" s="1349" t="n"/>
      <c r="B1359" s="1501" t="n"/>
      <c r="C1359" s="1439" t="n"/>
      <c r="D1359" s="1439" t="n"/>
      <c r="E1359" s="1439" t="n"/>
      <c r="F1359" s="1439" t="n"/>
      <c r="G1359" s="1440" t="n"/>
      <c r="H1359" s="1351" t="n"/>
      <c r="I1359" s="1351" t="n"/>
      <c r="J1359" s="1351" t="n"/>
      <c r="K1359" s="1351" t="n"/>
      <c r="L1359" s="1351" t="n"/>
      <c r="M1359" s="1351" t="n"/>
      <c r="N1359" s="1351" t="n"/>
      <c r="O1359" s="1351" t="n"/>
      <c r="P1359" s="1349" t="n"/>
    </row>
    <row r="1360" customFormat="1" s="324">
      <c r="A1360" s="1349" t="n"/>
      <c r="B1360" s="1501" t="n"/>
      <c r="C1360" s="1439" t="n"/>
      <c r="D1360" s="1439" t="n"/>
      <c r="E1360" s="1439" t="n"/>
      <c r="F1360" s="1439" t="n"/>
      <c r="G1360" s="1440" t="n"/>
      <c r="H1360" s="1351" t="n"/>
      <c r="I1360" s="1351" t="n"/>
      <c r="J1360" s="1351" t="n"/>
      <c r="K1360" s="1351" t="n"/>
      <c r="L1360" s="1351" t="n"/>
      <c r="M1360" s="1351" t="n"/>
      <c r="N1360" s="1351" t="n"/>
      <c r="O1360" s="1351" t="n"/>
      <c r="P1360" s="1349" t="n"/>
    </row>
    <row r="1361" customFormat="1" s="324">
      <c r="A1361" s="1349" t="n"/>
      <c r="B1361" s="1501" t="n"/>
      <c r="C1361" s="1439" t="n"/>
      <c r="D1361" s="1439" t="n"/>
      <c r="E1361" s="1439" t="n"/>
      <c r="F1361" s="1439" t="n"/>
      <c r="G1361" s="1440" t="n"/>
      <c r="H1361" s="1351" t="n"/>
      <c r="I1361" s="1351" t="n"/>
      <c r="J1361" s="1351" t="n"/>
      <c r="K1361" s="1351" t="n"/>
      <c r="L1361" s="1351" t="n"/>
      <c r="M1361" s="1351" t="n"/>
      <c r="N1361" s="1351" t="n"/>
      <c r="O1361" s="1351" t="n"/>
      <c r="P1361" s="1349" t="n"/>
    </row>
    <row r="1362" customFormat="1" s="324">
      <c r="A1362" s="1349" t="n"/>
      <c r="B1362" s="1501" t="n"/>
      <c r="C1362" s="1439" t="n"/>
      <c r="D1362" s="1439" t="n"/>
      <c r="E1362" s="1439" t="n"/>
      <c r="F1362" s="1439" t="n"/>
      <c r="G1362" s="1440" t="n"/>
      <c r="H1362" s="1351" t="n"/>
      <c r="I1362" s="1351" t="n"/>
      <c r="J1362" s="1351" t="n"/>
      <c r="K1362" s="1351" t="n"/>
      <c r="L1362" s="1351" t="n"/>
      <c r="M1362" s="1351" t="n"/>
      <c r="N1362" s="1351" t="n"/>
      <c r="O1362" s="1351" t="n"/>
      <c r="P1362" s="1349" t="n"/>
    </row>
    <row r="1363" customFormat="1" s="324">
      <c r="A1363" s="1349" t="n"/>
      <c r="B1363" s="1501" t="n"/>
      <c r="C1363" s="1439" t="n"/>
      <c r="D1363" s="1439" t="n"/>
      <c r="E1363" s="1439" t="n"/>
      <c r="F1363" s="1439" t="n"/>
      <c r="G1363" s="1440" t="n"/>
      <c r="H1363" s="1351" t="n"/>
      <c r="I1363" s="1351" t="n"/>
      <c r="J1363" s="1351" t="n"/>
      <c r="K1363" s="1351" t="n"/>
      <c r="L1363" s="1351" t="n"/>
      <c r="M1363" s="1351" t="n"/>
      <c r="N1363" s="1351" t="n"/>
      <c r="O1363" s="1351" t="n"/>
      <c r="P1363" s="1349" t="n"/>
    </row>
    <row r="1364" customFormat="1" s="324">
      <c r="A1364" s="1349" t="n"/>
      <c r="B1364" s="1501" t="n"/>
      <c r="C1364" s="1439" t="n"/>
      <c r="D1364" s="1439" t="n"/>
      <c r="E1364" s="1439" t="n"/>
      <c r="F1364" s="1439" t="n"/>
      <c r="G1364" s="1440" t="n"/>
      <c r="H1364" s="1351" t="n"/>
      <c r="I1364" s="1351" t="n"/>
      <c r="J1364" s="1351" t="n"/>
      <c r="K1364" s="1351" t="n"/>
      <c r="L1364" s="1351" t="n"/>
      <c r="M1364" s="1351" t="n"/>
      <c r="N1364" s="1351" t="n"/>
      <c r="O1364" s="1351" t="n"/>
      <c r="P1364" s="1349" t="n"/>
    </row>
    <row r="1365" customFormat="1" s="324">
      <c r="A1365" s="1349" t="n"/>
      <c r="B1365" s="1501" t="n"/>
      <c r="C1365" s="1439" t="n"/>
      <c r="D1365" s="1439" t="n"/>
      <c r="E1365" s="1439" t="n"/>
      <c r="F1365" s="1439" t="n"/>
      <c r="G1365" s="1440" t="n"/>
      <c r="H1365" s="1351" t="n"/>
      <c r="I1365" s="1351" t="n"/>
      <c r="J1365" s="1351" t="n"/>
      <c r="K1365" s="1351" t="n"/>
      <c r="L1365" s="1351" t="n"/>
      <c r="M1365" s="1351" t="n"/>
      <c r="N1365" s="1351" t="n"/>
      <c r="O1365" s="1351" t="n"/>
      <c r="P1365" s="1349" t="n"/>
    </row>
    <row r="1366" customFormat="1" s="324">
      <c r="A1366" s="1349" t="n"/>
      <c r="B1366" s="1501" t="n"/>
      <c r="C1366" s="1439" t="n"/>
      <c r="D1366" s="1439" t="n"/>
      <c r="E1366" s="1439" t="n"/>
      <c r="F1366" s="1439" t="n"/>
      <c r="G1366" s="1440" t="n"/>
      <c r="H1366" s="1351" t="n"/>
      <c r="I1366" s="1351" t="n"/>
      <c r="J1366" s="1351" t="n"/>
      <c r="K1366" s="1351" t="n"/>
      <c r="L1366" s="1351" t="n"/>
      <c r="M1366" s="1351" t="n"/>
      <c r="N1366" s="1351" t="n"/>
      <c r="O1366" s="1351" t="n"/>
      <c r="P1366" s="1349" t="n"/>
    </row>
    <row r="1367" customFormat="1" s="324">
      <c r="A1367" s="1349" t="n"/>
      <c r="B1367" s="1501" t="n"/>
      <c r="C1367" s="1439" t="n"/>
      <c r="D1367" s="1439" t="n"/>
      <c r="E1367" s="1439" t="n"/>
      <c r="F1367" s="1439" t="n"/>
      <c r="G1367" s="1440" t="n"/>
      <c r="H1367" s="1351" t="n"/>
      <c r="I1367" s="1351" t="n"/>
      <c r="J1367" s="1351" t="n"/>
      <c r="K1367" s="1351" t="n"/>
      <c r="L1367" s="1351" t="n"/>
      <c r="M1367" s="1351" t="n"/>
      <c r="N1367" s="1351" t="n"/>
      <c r="O1367" s="1351" t="n"/>
      <c r="P1367" s="1349" t="n"/>
    </row>
    <row r="1368" customFormat="1" s="324">
      <c r="A1368" s="1349" t="n"/>
      <c r="B1368" s="1501" t="n"/>
      <c r="C1368" s="1439" t="n"/>
      <c r="D1368" s="1439" t="n"/>
      <c r="E1368" s="1439" t="n"/>
      <c r="F1368" s="1439" t="n"/>
      <c r="G1368" s="1440" t="n"/>
      <c r="H1368" s="1351" t="n"/>
      <c r="I1368" s="1351" t="n"/>
      <c r="J1368" s="1351" t="n"/>
      <c r="K1368" s="1351" t="n"/>
      <c r="L1368" s="1351" t="n"/>
      <c r="M1368" s="1351" t="n"/>
      <c r="N1368" s="1351" t="n"/>
      <c r="O1368" s="1351" t="n"/>
      <c r="P1368" s="1349" t="n"/>
    </row>
    <row r="1369" customFormat="1" s="324">
      <c r="A1369" s="1349" t="n"/>
      <c r="B1369" s="1501" t="n"/>
      <c r="C1369" s="1439" t="n"/>
      <c r="D1369" s="1439" t="n"/>
      <c r="E1369" s="1439" t="n"/>
      <c r="F1369" s="1439" t="n"/>
      <c r="G1369" s="1440" t="n"/>
      <c r="H1369" s="1351" t="n"/>
      <c r="I1369" s="1351" t="n"/>
      <c r="J1369" s="1351" t="n"/>
      <c r="K1369" s="1351" t="n"/>
      <c r="L1369" s="1351" t="n"/>
      <c r="M1369" s="1351" t="n"/>
      <c r="N1369" s="1351" t="n"/>
      <c r="O1369" s="1351" t="n"/>
      <c r="P1369" s="1349" t="n"/>
    </row>
    <row r="1370" customFormat="1" s="324">
      <c r="A1370" s="1349" t="n"/>
      <c r="B1370" s="1501" t="n"/>
      <c r="C1370" s="1439" t="n"/>
      <c r="D1370" s="1439" t="n"/>
      <c r="E1370" s="1439" t="n"/>
      <c r="F1370" s="1439" t="n"/>
      <c r="G1370" s="1440" t="n"/>
      <c r="H1370" s="1351" t="n"/>
      <c r="I1370" s="1351" t="n"/>
      <c r="J1370" s="1351" t="n"/>
      <c r="K1370" s="1351" t="n"/>
      <c r="L1370" s="1351" t="n"/>
      <c r="M1370" s="1351" t="n"/>
      <c r="N1370" s="1351" t="n"/>
      <c r="O1370" s="1351" t="n"/>
      <c r="P1370" s="1349" t="n"/>
    </row>
    <row r="1371" customFormat="1" s="324">
      <c r="A1371" s="1349" t="n"/>
      <c r="B1371" s="1501" t="n"/>
      <c r="C1371" s="1439" t="n"/>
      <c r="D1371" s="1439" t="n"/>
      <c r="E1371" s="1439" t="n"/>
      <c r="F1371" s="1439" t="n"/>
      <c r="G1371" s="1440" t="n"/>
      <c r="H1371" s="1391" t="n"/>
      <c r="I1371" s="1351" t="n"/>
      <c r="J1371" s="1351" t="n"/>
      <c r="K1371" s="1351" t="n"/>
      <c r="L1371" s="1351" t="n"/>
      <c r="M1371" s="1351" t="n"/>
      <c r="N1371" s="1351" t="n"/>
      <c r="O1371" s="1351" t="n"/>
      <c r="P1371" s="1349" t="n"/>
    </row>
    <row r="1372" customFormat="1" s="324">
      <c r="A1372" s="1349" t="n"/>
      <c r="B1372" s="1501" t="n"/>
      <c r="C1372" s="1439" t="n"/>
      <c r="D1372" s="1439" t="n"/>
      <c r="E1372" s="1439" t="n"/>
      <c r="F1372" s="1439" t="n"/>
      <c r="G1372" s="1440" t="n"/>
      <c r="H1372" s="1567" t="n"/>
      <c r="I1372" s="1351" t="n"/>
      <c r="J1372" s="1351" t="n"/>
      <c r="K1372" s="1351" t="n"/>
      <c r="L1372" s="1351" t="n"/>
      <c r="M1372" s="1351" t="n"/>
      <c r="N1372" s="1351" t="n"/>
      <c r="O1372" s="1351" t="n"/>
      <c r="P1372" s="1349" t="n"/>
    </row>
    <row r="1373" customFormat="1" s="324">
      <c r="A1373" s="1349" t="n"/>
      <c r="B1373" s="1501" t="n"/>
      <c r="C1373" s="1439" t="n"/>
      <c r="D1373" s="1439" t="n"/>
      <c r="E1373" s="1439" t="n"/>
      <c r="F1373" s="1439" t="n"/>
      <c r="G1373" s="1440" t="n"/>
      <c r="H1373" s="1575" t="n"/>
      <c r="I1373" s="1351" t="n"/>
      <c r="J1373" s="1351" t="n"/>
      <c r="K1373" s="1351" t="n"/>
      <c r="L1373" s="1351" t="n"/>
      <c r="M1373" s="1351" t="n"/>
      <c r="N1373" s="1351" t="n"/>
      <c r="O1373" s="1351" t="n"/>
      <c r="P1373" s="1349" t="n"/>
    </row>
    <row r="1374" ht="15.65" customFormat="1" customHeight="1" s="324">
      <c r="A1374" s="1349" t="n"/>
      <c r="B1374" s="1501" t="n"/>
      <c r="C1374" s="1439" t="n"/>
      <c r="D1374" s="1439" t="n"/>
      <c r="E1374" s="1439" t="n"/>
      <c r="F1374" s="1439" t="n"/>
      <c r="G1374" s="1440" t="n"/>
      <c r="H1374" s="1351" t="n"/>
      <c r="I1374" s="1351" t="n"/>
      <c r="J1374" s="1351" t="n"/>
      <c r="K1374" s="1351" t="n"/>
      <c r="L1374" s="1351" t="n"/>
      <c r="M1374" s="1351" t="n"/>
      <c r="N1374" s="1351" t="n"/>
      <c r="O1374" s="1351" t="n"/>
      <c r="P1374" s="1349" t="n"/>
    </row>
    <row r="1375" customFormat="1" s="324">
      <c r="A1375" s="1349" t="n"/>
      <c r="B1375" s="1501" t="n"/>
      <c r="C1375" s="1439" t="n"/>
      <c r="D1375" s="1439" t="n"/>
      <c r="E1375" s="1439" t="n"/>
      <c r="F1375" s="1439" t="n"/>
      <c r="G1375" s="1440" t="n"/>
      <c r="H1375" s="1351" t="n"/>
      <c r="I1375" s="1351" t="n"/>
      <c r="J1375" s="1351" t="n"/>
      <c r="K1375" s="1351" t="n"/>
      <c r="L1375" s="1351" t="n"/>
      <c r="M1375" s="1351" t="n"/>
      <c r="N1375" s="1351" t="n"/>
      <c r="O1375" s="1351" t="n"/>
      <c r="P1375" s="1349" t="n"/>
    </row>
    <row r="1376" customFormat="1" s="324">
      <c r="A1376" s="1349" t="n"/>
      <c r="B1376" s="1501" t="n"/>
      <c r="C1376" s="1439" t="n"/>
      <c r="D1376" s="1439" t="n"/>
      <c r="E1376" s="1439" t="n"/>
      <c r="F1376" s="1439" t="n"/>
      <c r="G1376" s="1440" t="n"/>
      <c r="H1376" s="1351" t="n"/>
      <c r="I1376" s="1351" t="n"/>
      <c r="J1376" s="1351" t="n"/>
      <c r="K1376" s="1351" t="n"/>
      <c r="L1376" s="1351" t="n"/>
      <c r="M1376" s="1351" t="n"/>
      <c r="N1376" s="1351" t="n"/>
      <c r="O1376" s="1351" t="n"/>
      <c r="P1376" s="1349" t="n"/>
    </row>
    <row r="1377" customFormat="1" s="324">
      <c r="A1377" s="1349" t="n"/>
      <c r="B1377" s="1501" t="n"/>
      <c r="C1377" s="1439" t="n"/>
      <c r="D1377" s="1439" t="n"/>
      <c r="E1377" s="1439" t="n"/>
      <c r="F1377" s="1439" t="n"/>
      <c r="G1377" s="1440" t="n"/>
      <c r="H1377" s="1351" t="n"/>
      <c r="I1377" s="1351" t="n"/>
      <c r="J1377" s="1351" t="n"/>
      <c r="K1377" s="1351" t="n"/>
      <c r="L1377" s="1351" t="n"/>
      <c r="M1377" s="1351" t="n"/>
      <c r="N1377" s="1351" t="n"/>
      <c r="O1377" s="1351" t="n"/>
      <c r="P1377" s="1349" t="n"/>
    </row>
    <row r="1378" customFormat="1" s="324">
      <c r="A1378" s="1349" t="n"/>
      <c r="B1378" s="1501" t="n"/>
      <c r="C1378" s="1439" t="n"/>
      <c r="D1378" s="1439" t="n"/>
      <c r="E1378" s="1439" t="n"/>
      <c r="F1378" s="1439" t="n"/>
      <c r="G1378" s="1440" t="n"/>
      <c r="H1378" s="1351" t="n"/>
      <c r="I1378" s="1351" t="n"/>
      <c r="J1378" s="1351" t="n"/>
      <c r="K1378" s="1351" t="n"/>
      <c r="L1378" s="1351" t="n"/>
      <c r="M1378" s="1351" t="n"/>
      <c r="N1378" s="1351" t="n"/>
      <c r="O1378" s="1351" t="n"/>
      <c r="P1378" s="1349" t="n"/>
    </row>
    <row r="1379" customFormat="1" s="324">
      <c r="A1379" s="1349" t="n"/>
      <c r="B1379" s="1501" t="n"/>
      <c r="C1379" s="1439" t="n"/>
      <c r="D1379" s="1439" t="n"/>
      <c r="E1379" s="1439" t="n"/>
      <c r="F1379" s="1439" t="n"/>
      <c r="G1379" s="1440" t="n"/>
      <c r="H1379" s="1351" t="n"/>
      <c r="I1379" s="1351" t="n"/>
      <c r="J1379" s="1351" t="n"/>
      <c r="K1379" s="1351" t="n"/>
      <c r="L1379" s="1351" t="n"/>
      <c r="M1379" s="1351" t="n"/>
      <c r="N1379" s="1351" t="n"/>
      <c r="O1379" s="1351" t="n"/>
      <c r="P1379" s="1349" t="n"/>
    </row>
    <row r="1380" customFormat="1" s="324">
      <c r="A1380" s="1349" t="n"/>
      <c r="B1380" s="1501" t="n"/>
      <c r="C1380" s="1439" t="n"/>
      <c r="D1380" s="1439" t="n"/>
      <c r="E1380" s="1439" t="n"/>
      <c r="F1380" s="1439" t="n"/>
      <c r="G1380" s="1440" t="n"/>
      <c r="H1380" s="1351" t="n"/>
      <c r="I1380" s="1351" t="n"/>
      <c r="J1380" s="1351" t="n"/>
      <c r="K1380" s="1351" t="n"/>
      <c r="L1380" s="1351" t="n"/>
      <c r="M1380" s="1351" t="n"/>
      <c r="N1380" s="1351" t="n"/>
      <c r="O1380" s="1351" t="n"/>
      <c r="P1380" s="1349" t="n"/>
    </row>
    <row r="1381" customFormat="1" s="324">
      <c r="A1381" s="1349" t="n"/>
      <c r="B1381" s="1501" t="n"/>
      <c r="C1381" s="1439" t="n"/>
      <c r="D1381" s="1439" t="n"/>
      <c r="E1381" s="1439" t="n"/>
      <c r="F1381" s="1439" t="n"/>
      <c r="G1381" s="1440" t="n"/>
      <c r="H1381" s="1351" t="n"/>
      <c r="I1381" s="1351" t="n"/>
      <c r="J1381" s="1351" t="n"/>
      <c r="K1381" s="1351" t="n"/>
      <c r="L1381" s="1351" t="n"/>
      <c r="M1381" s="1351" t="n"/>
      <c r="N1381" s="1351" t="n"/>
      <c r="O1381" s="1351" t="n"/>
      <c r="P1381" s="1349" t="n"/>
    </row>
    <row r="1382" customFormat="1" s="324">
      <c r="A1382" s="1349" t="n"/>
      <c r="B1382" s="1501" t="n"/>
      <c r="C1382" s="1439" t="n"/>
      <c r="D1382" s="1439" t="n"/>
      <c r="E1382" s="1439" t="n"/>
      <c r="F1382" s="1439" t="n"/>
      <c r="G1382" s="1440" t="n"/>
      <c r="H1382" s="1351" t="n"/>
      <c r="I1382" s="1351" t="n"/>
      <c r="J1382" s="1351" t="n"/>
      <c r="K1382" s="1351" t="n"/>
      <c r="L1382" s="1351" t="n"/>
      <c r="M1382" s="1351" t="n"/>
      <c r="N1382" s="1351" t="n"/>
      <c r="O1382" s="1351" t="n"/>
      <c r="P1382" s="1349" t="n"/>
    </row>
    <row r="1383" customFormat="1" s="324">
      <c r="A1383" s="1349" t="n"/>
      <c r="B1383" s="1501" t="n"/>
      <c r="C1383" s="1439" t="n"/>
      <c r="D1383" s="1439" t="n"/>
      <c r="E1383" s="1439" t="n"/>
      <c r="F1383" s="1439" t="n"/>
      <c r="G1383" s="1440" t="n"/>
      <c r="H1383" s="1351" t="n"/>
      <c r="I1383" s="1351" t="n"/>
      <c r="J1383" s="1351" t="n"/>
      <c r="K1383" s="1351" t="n"/>
      <c r="L1383" s="1351" t="n"/>
      <c r="M1383" s="1351" t="n"/>
      <c r="N1383" s="1351" t="n"/>
      <c r="O1383" s="1351" t="n"/>
      <c r="P1383" s="1349" t="n"/>
    </row>
    <row r="1384" customFormat="1" s="324">
      <c r="A1384" s="1349" t="n"/>
      <c r="B1384" s="1501" t="n"/>
      <c r="C1384" s="1439" t="n"/>
      <c r="D1384" s="1439" t="n"/>
      <c r="E1384" s="1439" t="n"/>
      <c r="F1384" s="1439" t="n"/>
      <c r="G1384" s="1440" t="n"/>
      <c r="H1384" s="1351" t="n"/>
      <c r="I1384" s="1351" t="n"/>
      <c r="J1384" s="1351" t="n"/>
      <c r="K1384" s="1351" t="n"/>
      <c r="L1384" s="1351" t="n"/>
      <c r="M1384" s="1351" t="n"/>
      <c r="N1384" s="1351" t="n"/>
      <c r="O1384" s="1351" t="n"/>
      <c r="P1384" s="1349" t="n"/>
    </row>
    <row r="1385" customFormat="1" s="324">
      <c r="A1385" s="1349" t="n"/>
      <c r="B1385" s="1501" t="n"/>
      <c r="C1385" s="1439" t="n"/>
      <c r="D1385" s="1439" t="n"/>
      <c r="E1385" s="1439" t="n"/>
      <c r="F1385" s="1439" t="n"/>
      <c r="G1385" s="1440" t="n"/>
      <c r="H1385" s="1351" t="n"/>
      <c r="I1385" s="1351" t="n"/>
      <c r="J1385" s="1351" t="n"/>
      <c r="K1385" s="1351" t="n"/>
      <c r="L1385" s="1351" t="n"/>
      <c r="M1385" s="1351" t="n"/>
      <c r="N1385" s="1351" t="n"/>
      <c r="O1385" s="1351" t="n"/>
      <c r="P1385" s="1349" t="n"/>
    </row>
    <row r="1386" customFormat="1" s="324">
      <c r="A1386" s="1349" t="n"/>
      <c r="B1386" s="1501" t="n"/>
      <c r="C1386" s="1439" t="n"/>
      <c r="D1386" s="1439" t="n"/>
      <c r="E1386" s="1439" t="n"/>
      <c r="F1386" s="1439" t="n"/>
      <c r="G1386" s="1440" t="n"/>
      <c r="H1386" s="1351" t="n"/>
      <c r="I1386" s="1351" t="n"/>
      <c r="J1386" s="1351" t="n"/>
      <c r="K1386" s="1351" t="n"/>
      <c r="L1386" s="1351" t="n"/>
      <c r="M1386" s="1351" t="n"/>
      <c r="N1386" s="1351" t="n"/>
      <c r="O1386" s="1351" t="n"/>
      <c r="P1386" s="1349" t="n"/>
    </row>
    <row r="1387" customFormat="1" s="324">
      <c r="A1387" s="1349" t="n"/>
      <c r="B1387" s="1501" t="n"/>
      <c r="C1387" s="1439" t="n"/>
      <c r="D1387" s="1439" t="n"/>
      <c r="E1387" s="1439" t="n"/>
      <c r="F1387" s="1439" t="n"/>
      <c r="G1387" s="1440" t="n"/>
      <c r="H1387" s="1351" t="n"/>
      <c r="I1387" s="1351" t="n"/>
      <c r="J1387" s="1351" t="n"/>
      <c r="K1387" s="1351" t="n"/>
      <c r="L1387" s="1351" t="n"/>
      <c r="M1387" s="1351" t="n"/>
      <c r="N1387" s="1351" t="n"/>
      <c r="O1387" s="1351" t="n"/>
      <c r="P1387" s="1349" t="n"/>
    </row>
    <row r="1388" customFormat="1" s="324">
      <c r="A1388" s="1349" t="n"/>
      <c r="B1388" s="1501" t="n"/>
      <c r="C1388" s="1439" t="n"/>
      <c r="D1388" s="1439" t="n"/>
      <c r="E1388" s="1439" t="n"/>
      <c r="F1388" s="1439" t="n"/>
      <c r="G1388" s="1440" t="n"/>
      <c r="H1388" s="1351" t="n"/>
      <c r="I1388" s="1351" t="n"/>
      <c r="J1388" s="1351" t="n"/>
      <c r="K1388" s="1351" t="n"/>
      <c r="L1388" s="1351" t="n"/>
      <c r="M1388" s="1351" t="n"/>
      <c r="N1388" s="1351" t="n"/>
      <c r="O1388" s="1351" t="n"/>
      <c r="P1388" s="1349" t="n"/>
    </row>
    <row r="1389" customFormat="1" s="324">
      <c r="A1389" s="1349" t="n"/>
      <c r="B1389" s="1501" t="n"/>
      <c r="C1389" s="1439" t="n"/>
      <c r="D1389" s="1439" t="n"/>
      <c r="E1389" s="1439" t="n"/>
      <c r="F1389" s="1439" t="n"/>
      <c r="G1389" s="1440" t="n"/>
      <c r="H1389" s="1351" t="n"/>
      <c r="I1389" s="1351" t="n"/>
      <c r="J1389" s="1351" t="n"/>
      <c r="K1389" s="1351" t="n"/>
      <c r="L1389" s="1351" t="n"/>
      <c r="M1389" s="1351" t="n"/>
      <c r="N1389" s="1351" t="n"/>
      <c r="O1389" s="1351" t="n"/>
      <c r="P1389" s="1349" t="n"/>
    </row>
    <row r="1390" customFormat="1" s="324">
      <c r="A1390" s="1349" t="n"/>
      <c r="B1390" s="1501" t="n"/>
      <c r="C1390" s="1439" t="n"/>
      <c r="D1390" s="1439" t="n"/>
      <c r="E1390" s="1439" t="n"/>
      <c r="F1390" s="1439" t="n"/>
      <c r="G1390" s="1440" t="n"/>
      <c r="H1390" s="1351" t="n"/>
      <c r="I1390" s="1351" t="n"/>
      <c r="J1390" s="1351" t="n"/>
      <c r="K1390" s="1351" t="n"/>
      <c r="L1390" s="1351" t="n"/>
      <c r="M1390" s="1351" t="n"/>
      <c r="N1390" s="1351" t="n"/>
      <c r="O1390" s="1351" t="n"/>
      <c r="P1390" s="1349" t="n"/>
    </row>
    <row r="1391" customFormat="1" s="324">
      <c r="A1391" s="1349" t="n"/>
      <c r="B1391" s="1501" t="n"/>
      <c r="C1391" s="1439" t="n"/>
      <c r="D1391" s="1439" t="n"/>
      <c r="E1391" s="1439" t="n"/>
      <c r="F1391" s="1439" t="n"/>
      <c r="G1391" s="1440" t="n"/>
      <c r="H1391" s="1351" t="n"/>
      <c r="I1391" s="1351" t="n"/>
      <c r="J1391" s="1351" t="n"/>
      <c r="K1391" s="1351" t="n"/>
      <c r="L1391" s="1351" t="n"/>
      <c r="M1391" s="1351" t="n"/>
      <c r="N1391" s="1351" t="n"/>
      <c r="O1391" s="1351" t="n"/>
      <c r="P1391" s="1349" t="n"/>
    </row>
    <row r="1392" customFormat="1" s="324">
      <c r="A1392" s="1349" t="n"/>
      <c r="B1392" s="1501" t="n"/>
      <c r="C1392" s="1439" t="n"/>
      <c r="D1392" s="1439" t="n"/>
      <c r="E1392" s="1439" t="n"/>
      <c r="F1392" s="1439" t="n"/>
      <c r="G1392" s="1440" t="n"/>
      <c r="H1392" s="1351" t="n"/>
      <c r="I1392" s="1351" t="n"/>
      <c r="J1392" s="1351" t="n"/>
      <c r="K1392" s="1351" t="n"/>
      <c r="L1392" s="1351" t="n"/>
      <c r="M1392" s="1351" t="n"/>
      <c r="N1392" s="1351" t="n"/>
      <c r="O1392" s="1351" t="n"/>
      <c r="P1392" s="1349" t="n"/>
    </row>
    <row r="1393" customFormat="1" s="324">
      <c r="A1393" s="1349" t="n"/>
      <c r="B1393" s="1501" t="n"/>
      <c r="C1393" s="1439" t="n"/>
      <c r="D1393" s="1439" t="n"/>
      <c r="E1393" s="1439" t="n"/>
      <c r="F1393" s="1439" t="n"/>
      <c r="G1393" s="1440" t="n"/>
      <c r="H1393" s="1351" t="n"/>
      <c r="I1393" s="1351" t="n"/>
      <c r="J1393" s="1351" t="n"/>
      <c r="K1393" s="1351" t="n"/>
      <c r="L1393" s="1351" t="n"/>
      <c r="M1393" s="1351" t="n"/>
      <c r="N1393" s="1351" t="n"/>
      <c r="O1393" s="1351" t="n"/>
      <c r="P1393" s="1349" t="n"/>
    </row>
    <row r="1394" customFormat="1" s="324">
      <c r="A1394" s="1349" t="n"/>
      <c r="B1394" s="1501" t="n"/>
      <c r="C1394" s="1439" t="n"/>
      <c r="D1394" s="1439" t="n"/>
      <c r="E1394" s="1439" t="n"/>
      <c r="F1394" s="1439" t="n"/>
      <c r="G1394" s="1440" t="n"/>
      <c r="H1394" s="1351" t="n"/>
      <c r="I1394" s="1351" t="n"/>
      <c r="J1394" s="1351" t="n"/>
      <c r="K1394" s="1351" t="n"/>
      <c r="L1394" s="1351" t="n"/>
      <c r="M1394" s="1351" t="n"/>
      <c r="N1394" s="1351" t="n"/>
      <c r="O1394" s="1351" t="n"/>
      <c r="P1394" s="1349" t="n"/>
    </row>
    <row r="1395" customFormat="1" s="324">
      <c r="A1395" s="1349" t="n"/>
      <c r="B1395" s="1501" t="n"/>
      <c r="C1395" s="1439" t="n"/>
      <c r="D1395" s="1439" t="n"/>
      <c r="E1395" s="1439" t="n"/>
      <c r="F1395" s="1439" t="n"/>
      <c r="G1395" s="1440" t="n"/>
      <c r="H1395" s="1351" t="n"/>
      <c r="I1395" s="1351" t="n"/>
      <c r="J1395" s="1351" t="n"/>
      <c r="K1395" s="1351" t="n"/>
      <c r="L1395" s="1351" t="n"/>
      <c r="M1395" s="1351" t="n"/>
      <c r="N1395" s="1351" t="n"/>
      <c r="O1395" s="1351" t="n"/>
      <c r="P1395" s="1349" t="n"/>
    </row>
    <row r="1396" customFormat="1" s="324">
      <c r="A1396" s="1349" t="n"/>
      <c r="B1396" s="1501" t="n"/>
      <c r="C1396" s="1439" t="n"/>
      <c r="D1396" s="1439" t="n"/>
      <c r="E1396" s="1439" t="n"/>
      <c r="F1396" s="1439" t="n"/>
      <c r="G1396" s="1440" t="n"/>
      <c r="H1396" s="1351" t="n"/>
      <c r="I1396" s="1351" t="n"/>
      <c r="J1396" s="1351" t="n"/>
      <c r="K1396" s="1351" t="n"/>
      <c r="L1396" s="1351" t="n"/>
      <c r="M1396" s="1351" t="n"/>
      <c r="N1396" s="1351" t="n"/>
      <c r="O1396" s="1351" t="n"/>
      <c r="P1396" s="1349" t="n"/>
    </row>
    <row r="1397" customFormat="1" s="324">
      <c r="A1397" s="1349" t="n"/>
      <c r="B1397" s="1501" t="n"/>
      <c r="C1397" s="1439" t="n"/>
      <c r="D1397" s="1439" t="n"/>
      <c r="E1397" s="1439" t="n"/>
      <c r="F1397" s="1439" t="n"/>
      <c r="G1397" s="1440" t="n"/>
      <c r="H1397" s="1351" t="n"/>
      <c r="I1397" s="1351" t="n"/>
      <c r="J1397" s="1351" t="n"/>
      <c r="K1397" s="1351" t="n"/>
      <c r="L1397" s="1351" t="n"/>
      <c r="M1397" s="1351" t="n"/>
      <c r="N1397" s="1351" t="n"/>
      <c r="O1397" s="1351" t="n"/>
      <c r="P1397" s="1349" t="n"/>
    </row>
    <row r="1398" customFormat="1" s="324">
      <c r="A1398" s="1349" t="n"/>
      <c r="B1398" s="1501" t="n"/>
      <c r="C1398" s="1439" t="n"/>
      <c r="D1398" s="1439" t="n"/>
      <c r="E1398" s="1439" t="n"/>
      <c r="F1398" s="1439" t="n"/>
      <c r="G1398" s="1440" t="n"/>
      <c r="H1398" s="1351" t="n"/>
      <c r="I1398" s="1351" t="n"/>
      <c r="J1398" s="1351" t="n"/>
      <c r="K1398" s="1351" t="n"/>
      <c r="L1398" s="1351" t="n"/>
      <c r="M1398" s="1351" t="n"/>
      <c r="N1398" s="1351" t="n"/>
      <c r="O1398" s="1351" t="n"/>
      <c r="P1398" s="1349" t="n"/>
    </row>
    <row r="1399" customFormat="1" s="324">
      <c r="A1399" s="1349" t="n"/>
      <c r="B1399" s="1501" t="n"/>
      <c r="C1399" s="1439" t="n"/>
      <c r="D1399" s="1439" t="n"/>
      <c r="E1399" s="1439" t="n"/>
      <c r="F1399" s="1439" t="n"/>
      <c r="G1399" s="1440" t="n"/>
      <c r="H1399" s="1351" t="n"/>
      <c r="I1399" s="1351" t="n"/>
      <c r="J1399" s="1351" t="n"/>
      <c r="K1399" s="1351" t="n"/>
      <c r="L1399" s="1351" t="n"/>
      <c r="M1399" s="1351" t="n"/>
      <c r="N1399" s="1351" t="n"/>
      <c r="O1399" s="1351" t="n"/>
      <c r="P1399" s="1349" t="n"/>
    </row>
    <row r="1400" customFormat="1" s="324">
      <c r="A1400" s="1349" t="n"/>
      <c r="B1400" s="1501" t="n"/>
      <c r="C1400" s="1439" t="n"/>
      <c r="D1400" s="1439" t="n"/>
      <c r="E1400" s="1439" t="n"/>
      <c r="F1400" s="1439" t="n"/>
      <c r="G1400" s="1440" t="n"/>
      <c r="H1400" s="1351" t="n"/>
      <c r="I1400" s="1351" t="n"/>
      <c r="J1400" s="1351" t="n"/>
      <c r="K1400" s="1351" t="n"/>
      <c r="L1400" s="1351" t="n"/>
      <c r="M1400" s="1351" t="n"/>
      <c r="N1400" s="1351" t="n"/>
      <c r="O1400" s="1351" t="n"/>
      <c r="P1400" s="1349" t="n"/>
    </row>
    <row r="1401" customFormat="1" s="324">
      <c r="A1401" s="1349" t="n"/>
      <c r="B1401" s="1501" t="n"/>
      <c r="C1401" s="1439" t="n"/>
      <c r="D1401" s="1439" t="n"/>
      <c r="E1401" s="1439" t="n"/>
      <c r="F1401" s="1439" t="n"/>
      <c r="G1401" s="1440" t="n"/>
      <c r="H1401" s="1351" t="n"/>
      <c r="I1401" s="1351" t="n"/>
      <c r="J1401" s="1351" t="n"/>
      <c r="K1401" s="1351" t="n"/>
      <c r="L1401" s="1351" t="n"/>
      <c r="M1401" s="1351" t="n"/>
      <c r="N1401" s="1351" t="n"/>
      <c r="O1401" s="1351" t="n"/>
      <c r="P1401" s="1349" t="n"/>
    </row>
    <row r="1402" customFormat="1" s="324">
      <c r="A1402" s="1349" t="n"/>
      <c r="B1402" s="1501" t="n"/>
      <c r="C1402" s="1439" t="n"/>
      <c r="D1402" s="1439" t="n"/>
      <c r="E1402" s="1439" t="n"/>
      <c r="F1402" s="1439" t="n"/>
      <c r="G1402" s="1440" t="n"/>
      <c r="H1402" s="1351" t="n"/>
      <c r="I1402" s="1351" t="n"/>
      <c r="J1402" s="1351" t="n"/>
      <c r="K1402" s="1351" t="n"/>
      <c r="L1402" s="1351" t="n"/>
      <c r="M1402" s="1351" t="n"/>
      <c r="N1402" s="1351" t="n"/>
      <c r="O1402" s="1351" t="n"/>
      <c r="P1402" s="1349" t="n"/>
    </row>
    <row r="1403" customFormat="1" s="324">
      <c r="A1403" s="1349" t="n"/>
      <c r="B1403" s="1501" t="n"/>
      <c r="C1403" s="1439" t="n"/>
      <c r="D1403" s="1439" t="n"/>
      <c r="E1403" s="1439" t="n"/>
      <c r="F1403" s="1439" t="n"/>
      <c r="G1403" s="1440" t="n"/>
      <c r="H1403" s="1351" t="n"/>
      <c r="I1403" s="1351" t="n"/>
      <c r="J1403" s="1351" t="n"/>
      <c r="K1403" s="1351" t="n"/>
      <c r="L1403" s="1351" t="n"/>
      <c r="M1403" s="1351" t="n"/>
      <c r="N1403" s="1351" t="n"/>
      <c r="O1403" s="1351" t="n"/>
      <c r="P1403" s="1349" t="n"/>
    </row>
    <row r="1404" customFormat="1" s="324">
      <c r="A1404" s="1349" t="n"/>
      <c r="B1404" s="1501" t="n"/>
      <c r="C1404" s="1439" t="n"/>
      <c r="D1404" s="1439" t="n"/>
      <c r="E1404" s="1439" t="n"/>
      <c r="F1404" s="1439" t="n"/>
      <c r="G1404" s="1440" t="n"/>
      <c r="H1404" s="1351" t="n"/>
      <c r="I1404" s="1351" t="n"/>
      <c r="J1404" s="1351" t="n"/>
      <c r="K1404" s="1351" t="n"/>
      <c r="L1404" s="1351" t="n"/>
      <c r="M1404" s="1351" t="n"/>
      <c r="N1404" s="1351" t="n"/>
      <c r="O1404" s="1351" t="n"/>
      <c r="P1404" s="1349" t="n"/>
    </row>
    <row r="1405" customFormat="1" s="324">
      <c r="A1405" s="1349" t="n"/>
      <c r="B1405" s="1501" t="n"/>
      <c r="C1405" s="1439" t="n"/>
      <c r="D1405" s="1439" t="n"/>
      <c r="E1405" s="1439" t="n"/>
      <c r="F1405" s="1439" t="n"/>
      <c r="G1405" s="1440" t="n"/>
      <c r="H1405" s="1351" t="n"/>
      <c r="I1405" s="1351" t="n"/>
      <c r="J1405" s="1351" t="n"/>
      <c r="K1405" s="1351" t="n"/>
      <c r="L1405" s="1351" t="n"/>
      <c r="M1405" s="1351" t="n"/>
      <c r="N1405" s="1351" t="n"/>
      <c r="O1405" s="1351" t="n"/>
      <c r="P1405" s="1349" t="n"/>
    </row>
    <row r="1406" customFormat="1" s="324">
      <c r="A1406" s="1349" t="n"/>
      <c r="B1406" s="1501" t="n"/>
      <c r="C1406" s="1439" t="n"/>
      <c r="D1406" s="1439" t="n"/>
      <c r="E1406" s="1439" t="n"/>
      <c r="F1406" s="1439" t="n"/>
      <c r="G1406" s="1440" t="n"/>
      <c r="H1406" s="1351" t="n"/>
      <c r="I1406" s="1351" t="n"/>
      <c r="J1406" s="1351" t="n"/>
      <c r="K1406" s="1351" t="n"/>
      <c r="L1406" s="1351" t="n"/>
      <c r="M1406" s="1351" t="n"/>
      <c r="N1406" s="1351" t="n"/>
      <c r="O1406" s="1351" t="n"/>
      <c r="P1406" s="1349" t="n"/>
    </row>
    <row r="1407" customFormat="1" s="324">
      <c r="A1407" s="1349" t="n"/>
      <c r="B1407" s="1501" t="n"/>
      <c r="C1407" s="1439" t="n"/>
      <c r="D1407" s="1439" t="n"/>
      <c r="E1407" s="1439" t="n"/>
      <c r="F1407" s="1439" t="n"/>
      <c r="G1407" s="1440" t="n"/>
      <c r="H1407" s="1351" t="n"/>
      <c r="I1407" s="1351" t="n"/>
      <c r="J1407" s="1351" t="n"/>
      <c r="K1407" s="1351" t="n"/>
      <c r="L1407" s="1351" t="n"/>
      <c r="M1407" s="1351" t="n"/>
      <c r="N1407" s="1351" t="n"/>
      <c r="O1407" s="1351" t="n"/>
      <c r="P1407" s="1349" t="n"/>
    </row>
    <row r="1408" customFormat="1" s="324">
      <c r="A1408" s="1389" t="inlineStr">
        <is>
          <t xml:space="preserve"> </t>
        </is>
      </c>
      <c r="B1408" s="1501" t="n"/>
      <c r="C1408" s="1439" t="n"/>
      <c r="D1408" s="1439" t="n"/>
      <c r="E1408" s="1439" t="n"/>
      <c r="F1408" s="1439" t="n"/>
      <c r="G1408" s="1440" t="n"/>
      <c r="H1408" s="1351" t="n"/>
      <c r="I1408" s="1351" t="n"/>
      <c r="J1408" s="1351" t="n"/>
      <c r="K1408" s="1351" t="n"/>
      <c r="L1408" s="1351" t="n"/>
      <c r="M1408" s="1351" t="n"/>
      <c r="N1408" s="1351" t="n"/>
      <c r="O1408" s="1351" t="n"/>
      <c r="P1408" s="1349" t="n"/>
    </row>
    <row r="1409" customFormat="1" s="324">
      <c r="A1409" s="1349" t="n"/>
      <c r="B1409" s="1501" t="n"/>
      <c r="C1409" s="1439" t="n"/>
      <c r="D1409" s="1439" t="n"/>
      <c r="E1409" s="1439" t="n"/>
      <c r="F1409" s="1439" t="n"/>
      <c r="G1409" s="1440" t="n"/>
      <c r="H1409" s="1351" t="n"/>
      <c r="I1409" s="1351" t="n"/>
      <c r="J1409" s="1351" t="n"/>
      <c r="K1409" s="1351" t="n"/>
      <c r="L1409" s="1351" t="n"/>
      <c r="M1409" s="1351" t="n"/>
      <c r="N1409" s="1351" t="n"/>
      <c r="O1409" s="1351" t="n"/>
      <c r="P1409" s="1349" t="n"/>
    </row>
    <row r="1410" customFormat="1" s="324">
      <c r="A1410" s="1349" t="n"/>
      <c r="B1410" s="1501" t="n"/>
      <c r="C1410" s="1439" t="n"/>
      <c r="D1410" s="1439" t="n"/>
      <c r="E1410" s="1439" t="n"/>
      <c r="F1410" s="1439" t="n"/>
      <c r="G1410" s="1440" t="n"/>
      <c r="H1410" s="1351" t="n"/>
      <c r="I1410" s="1351" t="n"/>
      <c r="J1410" s="1351" t="n"/>
      <c r="K1410" s="1351" t="n"/>
      <c r="L1410" s="1351" t="n"/>
      <c r="M1410" s="1351" t="n"/>
      <c r="N1410" s="1351" t="n"/>
      <c r="O1410" s="1351" t="n"/>
      <c r="P1410" s="1349" t="n"/>
    </row>
    <row r="1411" customFormat="1" s="324">
      <c r="A1411" s="1349" t="n"/>
      <c r="B1411" s="1501" t="n"/>
      <c r="C1411" s="1439" t="n"/>
      <c r="D1411" s="1439" t="n"/>
      <c r="E1411" s="1439" t="n"/>
      <c r="F1411" s="1439" t="n"/>
      <c r="G1411" s="1440" t="n"/>
      <c r="H1411" s="1351" t="n"/>
      <c r="I1411" s="1351" t="n"/>
      <c r="J1411" s="1351" t="n"/>
      <c r="K1411" s="1351" t="n"/>
      <c r="L1411" s="1351" t="n"/>
      <c r="M1411" s="1351" t="n"/>
      <c r="N1411" s="1351" t="n"/>
      <c r="O1411" s="1351" t="n"/>
      <c r="P1411" s="1349" t="n"/>
    </row>
    <row r="1412" customFormat="1" s="324">
      <c r="A1412" s="1349" t="n"/>
      <c r="B1412" s="1501" t="n"/>
      <c r="C1412" s="1439" t="n"/>
      <c r="D1412" s="1439" t="n"/>
      <c r="E1412" s="1439" t="n"/>
      <c r="F1412" s="1439" t="n"/>
      <c r="G1412" s="1440" t="n"/>
      <c r="H1412" s="1351" t="n"/>
      <c r="I1412" s="1351" t="n"/>
      <c r="J1412" s="1351" t="n"/>
      <c r="K1412" s="1351" t="n"/>
      <c r="L1412" s="1351" t="n"/>
      <c r="M1412" s="1351" t="n"/>
      <c r="N1412" s="1351" t="n"/>
      <c r="O1412" s="1351" t="n"/>
      <c r="P1412" s="1349" t="n"/>
    </row>
    <row r="1413" customFormat="1" s="324">
      <c r="A1413" s="1349" t="n"/>
      <c r="B1413" s="1501" t="n"/>
      <c r="C1413" s="1439" t="n"/>
      <c r="D1413" s="1439" t="n"/>
      <c r="E1413" s="1439" t="n"/>
      <c r="F1413" s="1439" t="n"/>
      <c r="G1413" s="1440" t="n"/>
      <c r="H1413" s="1351" t="n"/>
      <c r="I1413" s="1351" t="n"/>
      <c r="J1413" s="1351" t="n"/>
      <c r="K1413" s="1351" t="n"/>
      <c r="L1413" s="1351" t="n"/>
      <c r="M1413" s="1351" t="n"/>
      <c r="N1413" s="1351" t="n"/>
      <c r="O1413" s="1351" t="n"/>
      <c r="P1413" s="1349" t="n"/>
    </row>
    <row r="1414" customFormat="1" s="324">
      <c r="A1414" s="1349" t="n"/>
      <c r="B1414" s="1501" t="n"/>
      <c r="C1414" s="1439" t="n"/>
      <c r="D1414" s="1439" t="n"/>
      <c r="E1414" s="1439" t="n"/>
      <c r="F1414" s="1439" t="n"/>
      <c r="G1414" s="1440" t="n"/>
      <c r="H1414" s="1351" t="n"/>
      <c r="I1414" s="1351" t="n"/>
      <c r="J1414" s="1351" t="n"/>
      <c r="K1414" s="1351" t="n"/>
      <c r="L1414" s="1351" t="n"/>
      <c r="M1414" s="1351" t="n"/>
      <c r="N1414" s="1351" t="n"/>
      <c r="O1414" s="1351" t="n"/>
      <c r="P1414" s="1349" t="n"/>
    </row>
    <row r="1415" customFormat="1" s="324">
      <c r="A1415" s="1349" t="n"/>
      <c r="B1415" s="1501" t="n"/>
      <c r="C1415" s="1439" t="n"/>
      <c r="D1415" s="1439" t="n"/>
      <c r="E1415" s="1439" t="n"/>
      <c r="F1415" s="1439" t="n"/>
      <c r="G1415" s="1440" t="n"/>
      <c r="H1415" s="1351" t="n"/>
      <c r="I1415" s="1351" t="n"/>
      <c r="J1415" s="1351" t="n"/>
      <c r="K1415" s="1351" t="n"/>
      <c r="L1415" s="1351" t="n"/>
      <c r="M1415" s="1351" t="n"/>
      <c r="N1415" s="1351" t="n"/>
      <c r="O1415" s="1351" t="n"/>
      <c r="P1415" s="1349" t="n"/>
    </row>
    <row r="1416" customFormat="1" s="324">
      <c r="A1416" s="1349" t="n"/>
      <c r="B1416" s="1501" t="n"/>
      <c r="C1416" s="1439" t="n"/>
      <c r="D1416" s="1439" t="n"/>
      <c r="E1416" s="1439" t="n"/>
      <c r="F1416" s="1439" t="n"/>
      <c r="G1416" s="1440" t="n"/>
      <c r="H1416" s="1351" t="n"/>
      <c r="I1416" s="1351" t="n"/>
      <c r="J1416" s="1351" t="n"/>
      <c r="K1416" s="1351" t="n"/>
      <c r="L1416" s="1351" t="n"/>
      <c r="M1416" s="1351" t="n"/>
      <c r="N1416" s="1351" t="n"/>
      <c r="O1416" s="1351" t="n"/>
      <c r="P1416" s="1349" t="n"/>
    </row>
    <row r="1417" customFormat="1" s="324">
      <c r="A1417" s="1349" t="n"/>
      <c r="B1417" s="1501" t="n"/>
      <c r="C1417" s="1439" t="n"/>
      <c r="D1417" s="1439" t="n"/>
      <c r="E1417" s="1439" t="n"/>
      <c r="F1417" s="1439" t="n"/>
      <c r="G1417" s="1440" t="n"/>
      <c r="H1417" s="1351" t="n"/>
      <c r="I1417" s="1351" t="n"/>
      <c r="J1417" s="1351" t="n"/>
      <c r="K1417" s="1351" t="n"/>
      <c r="L1417" s="1351" t="n"/>
      <c r="M1417" s="1351" t="n"/>
      <c r="N1417" s="1351" t="n"/>
      <c r="O1417" s="1351" t="n"/>
      <c r="P1417" s="1349" t="n"/>
    </row>
    <row r="1418" customFormat="1" s="324">
      <c r="A1418" s="1349" t="n"/>
      <c r="B1418" s="1501" t="n"/>
      <c r="C1418" s="1439" t="n"/>
      <c r="D1418" s="1439" t="n"/>
      <c r="E1418" s="1439" t="n"/>
      <c r="F1418" s="1439" t="n"/>
      <c r="G1418" s="1440" t="n"/>
      <c r="H1418" s="1351" t="n"/>
      <c r="I1418" s="1351" t="n"/>
      <c r="J1418" s="1351" t="n"/>
      <c r="K1418" s="1351" t="n"/>
      <c r="L1418" s="1351" t="n"/>
      <c r="M1418" s="1351" t="n"/>
      <c r="N1418" s="1351" t="n"/>
      <c r="O1418" s="1351" t="n"/>
      <c r="P1418" s="1349" t="n"/>
    </row>
    <row r="1419" customFormat="1" s="324">
      <c r="A1419" s="1349" t="n"/>
      <c r="B1419" s="1501" t="n"/>
      <c r="C1419" s="1439" t="n"/>
      <c r="D1419" s="1439" t="n"/>
      <c r="E1419" s="1439" t="n"/>
      <c r="F1419" s="1439" t="n"/>
      <c r="G1419" s="1440" t="n"/>
      <c r="H1419" s="1351" t="n"/>
      <c r="I1419" s="1351" t="n"/>
      <c r="J1419" s="1351" t="n"/>
      <c r="K1419" s="1351" t="n"/>
      <c r="L1419" s="1351" t="n"/>
      <c r="M1419" s="1351" t="n"/>
      <c r="N1419" s="1351" t="n"/>
      <c r="O1419" s="1351" t="n"/>
      <c r="P1419" s="1349" t="n"/>
    </row>
    <row r="1420" customFormat="1" s="324">
      <c r="A1420" s="1349" t="n"/>
      <c r="B1420" s="1501" t="n"/>
      <c r="C1420" s="1439" t="n"/>
      <c r="D1420" s="1439" t="n"/>
      <c r="E1420" s="1439" t="n"/>
      <c r="F1420" s="1439" t="n"/>
      <c r="G1420" s="1440" t="n"/>
      <c r="H1420" s="1351" t="n"/>
      <c r="I1420" s="1351" t="n"/>
      <c r="J1420" s="1351" t="n"/>
      <c r="K1420" s="1351" t="n"/>
      <c r="L1420" s="1351" t="n"/>
      <c r="M1420" s="1351" t="n"/>
      <c r="N1420" s="1351" t="n"/>
      <c r="O1420" s="1351" t="n"/>
      <c r="P1420" s="1349" t="n"/>
    </row>
    <row r="1421" customFormat="1" s="324">
      <c r="A1421" s="1349" t="n"/>
      <c r="B1421" s="1501" t="n"/>
      <c r="C1421" s="1439" t="n"/>
      <c r="D1421" s="1439" t="n"/>
      <c r="E1421" s="1439" t="n"/>
      <c r="F1421" s="1439" t="n"/>
      <c r="G1421" s="1440" t="n"/>
      <c r="H1421" s="1351" t="n"/>
      <c r="I1421" s="1351" t="n"/>
      <c r="J1421" s="1351" t="n"/>
      <c r="K1421" s="1351" t="n"/>
      <c r="L1421" s="1351" t="n"/>
      <c r="M1421" s="1351" t="n"/>
      <c r="N1421" s="1351" t="n"/>
      <c r="O1421" s="1351" t="n"/>
      <c r="P1421" s="1349" t="n"/>
    </row>
    <row r="1422" customFormat="1" s="324">
      <c r="A1422" s="1349" t="n"/>
      <c r="B1422" s="1501" t="n"/>
      <c r="C1422" s="1439" t="n"/>
      <c r="D1422" s="1439" t="n"/>
      <c r="E1422" s="1439" t="n"/>
      <c r="F1422" s="1439" t="n"/>
      <c r="G1422" s="1440" t="n"/>
      <c r="H1422" s="1351" t="n"/>
      <c r="I1422" s="1351" t="n"/>
      <c r="J1422" s="1351" t="n"/>
      <c r="K1422" s="1351" t="n"/>
      <c r="L1422" s="1351" t="n"/>
      <c r="M1422" s="1351" t="n"/>
      <c r="N1422" s="1351" t="n"/>
      <c r="O1422" s="1351" t="n"/>
      <c r="P1422" s="1349" t="n"/>
    </row>
    <row r="1423" customFormat="1" s="324">
      <c r="A1423" s="1349" t="n"/>
      <c r="B1423" s="1501" t="n"/>
      <c r="C1423" s="1439" t="n"/>
      <c r="D1423" s="1439" t="n"/>
      <c r="E1423" s="1439" t="n"/>
      <c r="F1423" s="1439" t="n"/>
      <c r="G1423" s="1440" t="n"/>
      <c r="H1423" s="1351" t="n"/>
      <c r="I1423" s="1351" t="n"/>
      <c r="J1423" s="1351" t="n"/>
      <c r="K1423" s="1351" t="n"/>
      <c r="L1423" s="1351" t="n"/>
      <c r="M1423" s="1351" t="n"/>
      <c r="N1423" s="1351" t="n"/>
      <c r="O1423" s="1351" t="n"/>
      <c r="P1423" s="1349" t="n"/>
    </row>
    <row r="1424" customFormat="1" s="324">
      <c r="A1424" s="1349" t="n"/>
      <c r="B1424" s="1501" t="n"/>
      <c r="C1424" s="1439" t="n"/>
      <c r="D1424" s="1439" t="n"/>
      <c r="E1424" s="1439" t="n"/>
      <c r="F1424" s="1439" t="n"/>
      <c r="G1424" s="1440" t="n"/>
      <c r="H1424" s="1351" t="n"/>
      <c r="I1424" s="1351" t="n"/>
      <c r="J1424" s="1389" t="inlineStr">
        <is>
          <t xml:space="preserve"> </t>
        </is>
      </c>
      <c r="K1424" s="1351" t="n"/>
      <c r="L1424" s="1351" t="n"/>
      <c r="M1424" s="1351" t="n"/>
      <c r="N1424" s="1351" t="n"/>
      <c r="O1424" s="1351" t="n"/>
      <c r="P1424" s="1349" t="n"/>
    </row>
    <row r="1425" customFormat="1" s="324">
      <c r="A1425" s="1349" t="n"/>
      <c r="B1425" s="1501" t="n"/>
      <c r="C1425" s="1439" t="n"/>
      <c r="D1425" s="1439" t="n"/>
      <c r="E1425" s="1439" t="n"/>
      <c r="F1425" s="1439" t="n"/>
      <c r="G1425" s="1440" t="n"/>
      <c r="H1425" s="1351" t="n"/>
      <c r="I1425" s="1351" t="n"/>
      <c r="J1425" s="1351" t="n"/>
      <c r="K1425" s="1351" t="n"/>
      <c r="L1425" s="1351" t="n"/>
      <c r="M1425" s="1351" t="n"/>
      <c r="N1425" s="1351" t="n"/>
      <c r="O1425" s="1351" t="n"/>
      <c r="P1425" s="1349" t="n"/>
    </row>
    <row r="1426" customFormat="1" s="324">
      <c r="A1426" s="1349" t="n"/>
      <c r="B1426" s="1501" t="n"/>
      <c r="C1426" s="1439" t="n"/>
      <c r="D1426" s="1439" t="n"/>
      <c r="E1426" s="1439" t="n"/>
      <c r="F1426" s="1439" t="n"/>
      <c r="G1426" s="1440" t="n"/>
      <c r="H1426" s="1351" t="n"/>
      <c r="I1426" s="1389" t="inlineStr">
        <is>
          <t xml:space="preserve"> </t>
        </is>
      </c>
      <c r="J1426" s="1351" t="n"/>
      <c r="K1426" s="1351" t="n"/>
      <c r="L1426" s="1351" t="n"/>
      <c r="M1426" s="1351" t="n"/>
      <c r="N1426" s="1351" t="n"/>
      <c r="O1426" s="1351" t="n"/>
      <c r="P1426" s="1349" t="n"/>
    </row>
    <row r="1427" customFormat="1" s="324">
      <c r="A1427" s="1349" t="n"/>
      <c r="B1427" s="1501" t="n"/>
      <c r="C1427" s="1439" t="n"/>
      <c r="D1427" s="1439" t="n"/>
      <c r="E1427" s="1439" t="n"/>
      <c r="F1427" s="1439" t="n"/>
      <c r="G1427" s="1440" t="n"/>
      <c r="H1427" s="1351" t="n"/>
      <c r="I1427" s="1351" t="n"/>
      <c r="J1427" s="1351" t="n"/>
      <c r="K1427" s="1351" t="n"/>
      <c r="L1427" s="1351" t="n"/>
      <c r="M1427" s="1351" t="n"/>
      <c r="N1427" s="1351" t="n"/>
      <c r="O1427" s="1351" t="n"/>
      <c r="P1427" s="1349" t="n"/>
    </row>
    <row r="1428" customFormat="1" s="324">
      <c r="A1428" s="1349" t="n"/>
      <c r="B1428" s="1501" t="n"/>
      <c r="C1428" s="1439" t="n"/>
      <c r="D1428" s="1439" t="n"/>
      <c r="E1428" s="1439" t="n"/>
      <c r="F1428" s="1439" t="n"/>
      <c r="G1428" s="1440" t="n"/>
      <c r="H1428" s="1351" t="n"/>
      <c r="I1428" s="1351" t="n"/>
      <c r="J1428" s="1351" t="n"/>
      <c r="K1428" s="1351" t="n"/>
      <c r="L1428" s="1351" t="n"/>
      <c r="M1428" s="1351" t="n"/>
      <c r="N1428" s="1351" t="n"/>
      <c r="O1428" s="1351" t="n"/>
      <c r="P1428" s="1349" t="n"/>
    </row>
    <row r="1429" customFormat="1" s="324">
      <c r="A1429" s="1349" t="n"/>
      <c r="B1429" s="1501" t="n"/>
      <c r="C1429" s="1439" t="n"/>
      <c r="D1429" s="1439" t="n"/>
      <c r="E1429" s="1439" t="n"/>
      <c r="F1429" s="1439" t="n"/>
      <c r="G1429" s="1440" t="n"/>
      <c r="H1429" s="1351" t="n"/>
      <c r="I1429" s="1351" t="n"/>
      <c r="J1429" s="1351" t="n"/>
      <c r="K1429" s="1351" t="n"/>
      <c r="L1429" s="1351" t="n"/>
      <c r="M1429" s="1351" t="n"/>
      <c r="N1429" s="1351" t="n"/>
      <c r="O1429" s="1351" t="n"/>
      <c r="P1429" s="1349" t="n"/>
    </row>
    <row r="1430" customFormat="1" s="324">
      <c r="A1430" s="1349" t="n"/>
      <c r="B1430" s="1501" t="n"/>
      <c r="C1430" s="1439" t="n"/>
      <c r="D1430" s="1439" t="n"/>
      <c r="E1430" s="1439" t="n"/>
      <c r="F1430" s="1439" t="n"/>
      <c r="G1430" s="1440" t="n"/>
      <c r="H1430" s="1351" t="n"/>
      <c r="I1430" s="1351" t="n"/>
      <c r="J1430" s="1351" t="n"/>
      <c r="K1430" s="1351" t="n"/>
      <c r="L1430" s="1351" t="n"/>
      <c r="M1430" s="1351" t="n"/>
      <c r="N1430" s="1351" t="n"/>
      <c r="O1430" s="1351" t="n"/>
      <c r="P1430" s="1349" t="n"/>
    </row>
    <row r="1431" customFormat="1" s="324">
      <c r="A1431" s="1349" t="n"/>
      <c r="B1431" s="1501" t="n"/>
      <c r="C1431" s="1439" t="n"/>
      <c r="D1431" s="1439" t="n"/>
      <c r="E1431" s="1439" t="n"/>
      <c r="F1431" s="1439" t="n"/>
      <c r="G1431" s="1440" t="n"/>
      <c r="H1431" s="1351" t="n"/>
      <c r="I1431" s="1351" t="n"/>
      <c r="J1431" s="1351" t="n"/>
      <c r="K1431" s="1351" t="n"/>
      <c r="L1431" s="1351" t="n"/>
      <c r="M1431" s="1351" t="n"/>
      <c r="N1431" s="1351" t="n"/>
      <c r="O1431" s="1351" t="n"/>
      <c r="P1431" s="1349" t="n"/>
    </row>
    <row r="1432" customFormat="1" s="324">
      <c r="A1432" s="1349" t="n"/>
      <c r="B1432" s="1501" t="n"/>
      <c r="C1432" s="1439" t="n"/>
      <c r="D1432" s="1439" t="n"/>
      <c r="E1432" s="1439" t="n"/>
      <c r="F1432" s="1439" t="n"/>
      <c r="G1432" s="1440" t="n"/>
      <c r="H1432" s="1351" t="n"/>
      <c r="I1432" s="1389" t="inlineStr">
        <is>
          <t xml:space="preserve">  </t>
        </is>
      </c>
      <c r="J1432" s="1351" t="n"/>
      <c r="K1432" s="1351" t="n"/>
      <c r="L1432" s="1351" t="n"/>
      <c r="M1432" s="1351" t="n"/>
      <c r="N1432" s="1351" t="n"/>
      <c r="O1432" s="1351" t="n"/>
      <c r="P1432" s="1349" t="n"/>
    </row>
    <row r="1433" customFormat="1" s="324">
      <c r="A1433" s="1349" t="n"/>
      <c r="B1433" s="1501" t="n"/>
      <c r="C1433" s="1439" t="n"/>
      <c r="D1433" s="1439" t="n"/>
      <c r="E1433" s="1439" t="n"/>
      <c r="F1433" s="1439" t="n"/>
      <c r="G1433" s="1440" t="n"/>
      <c r="H1433" s="1351" t="n"/>
      <c r="I1433" s="1351" t="n"/>
      <c r="J1433" s="1351" t="n"/>
      <c r="K1433" s="1351" t="n"/>
      <c r="L1433" s="1351" t="n"/>
      <c r="M1433" s="1351" t="n"/>
      <c r="N1433" s="1351" t="n"/>
      <c r="O1433" s="1351" t="n"/>
      <c r="P1433" s="1349" t="n"/>
    </row>
    <row r="1434" customFormat="1" s="324">
      <c r="A1434" s="1349" t="n"/>
      <c r="B1434" s="1501" t="n"/>
      <c r="C1434" s="1439" t="n"/>
      <c r="D1434" s="1439" t="n"/>
      <c r="E1434" s="1439" t="n"/>
      <c r="F1434" s="1439" t="n"/>
      <c r="G1434" s="1440" t="n"/>
      <c r="H1434" s="1351" t="n"/>
      <c r="I1434" s="1351" t="n"/>
      <c r="J1434" s="1351" t="n"/>
      <c r="K1434" s="1351" t="n"/>
      <c r="L1434" s="1351" t="n"/>
      <c r="M1434" s="1351" t="n"/>
      <c r="N1434" s="1351" t="n"/>
      <c r="O1434" s="1351" t="n"/>
      <c r="P1434" s="1349" t="n"/>
    </row>
    <row r="1435" customFormat="1" s="324">
      <c r="A1435" s="1349" t="n"/>
      <c r="B1435" s="1501" t="n"/>
      <c r="C1435" s="1439" t="n"/>
      <c r="D1435" s="1439" t="n"/>
      <c r="E1435" s="1439" t="n"/>
      <c r="F1435" s="1439" t="n"/>
      <c r="G1435" s="1440" t="n"/>
      <c r="H1435" s="1351" t="n"/>
      <c r="I1435" s="1351" t="n"/>
      <c r="J1435" s="1351" t="n"/>
      <c r="K1435" s="1351" t="n"/>
      <c r="L1435" s="1351" t="n"/>
      <c r="M1435" s="1351" t="n"/>
      <c r="N1435" s="1351" t="n"/>
      <c r="O1435" s="1351" t="n"/>
      <c r="P1435" s="1349" t="n"/>
    </row>
    <row r="1436" customFormat="1" s="324">
      <c r="A1436" s="1349" t="n"/>
      <c r="B1436" s="1501" t="n"/>
      <c r="C1436" s="1439" t="n"/>
      <c r="D1436" s="1439" t="n"/>
      <c r="E1436" s="1439" t="n"/>
      <c r="F1436" s="1439" t="n"/>
      <c r="G1436" s="1440" t="n"/>
      <c r="H1436" s="1351" t="n"/>
      <c r="I1436" s="1351" t="n"/>
      <c r="J1436" s="1351" t="n"/>
      <c r="K1436" s="1351" t="n"/>
      <c r="L1436" s="1351" t="n"/>
      <c r="M1436" s="1351" t="n"/>
      <c r="N1436" s="1351" t="n"/>
      <c r="O1436" s="1351" t="n"/>
      <c r="P1436" s="1349" t="n"/>
    </row>
    <row r="1437" customFormat="1" s="324">
      <c r="A1437" s="1349" t="n"/>
      <c r="B1437" s="1501" t="n"/>
      <c r="C1437" s="1439" t="n"/>
      <c r="D1437" s="1439" t="n"/>
      <c r="E1437" s="1439" t="n"/>
      <c r="F1437" s="1439" t="n"/>
      <c r="G1437" s="1440" t="n"/>
      <c r="H1437" s="1351" t="n"/>
      <c r="I1437" s="1351" t="n"/>
      <c r="J1437" s="1351" t="n"/>
      <c r="K1437" s="1351" t="n"/>
      <c r="L1437" s="1351" t="n"/>
      <c r="M1437" s="1351" t="n"/>
      <c r="N1437" s="1351" t="n"/>
      <c r="O1437" s="1351" t="n"/>
      <c r="P1437" s="1349" t="n"/>
    </row>
    <row r="1438" customFormat="1" s="324">
      <c r="A1438" s="1349" t="n"/>
      <c r="B1438" s="1501" t="n"/>
      <c r="C1438" s="1439" t="n"/>
      <c r="D1438" s="1439" t="n"/>
      <c r="E1438" s="1439" t="n"/>
      <c r="F1438" s="1439" t="n"/>
      <c r="G1438" s="1440" t="n"/>
      <c r="H1438" s="1351" t="n"/>
      <c r="I1438" s="1351" t="n"/>
      <c r="J1438" s="1351" t="n"/>
      <c r="K1438" s="1351" t="n"/>
      <c r="L1438" s="1351" t="n"/>
      <c r="M1438" s="1351" t="n"/>
      <c r="N1438" s="1351" t="n"/>
      <c r="O1438" s="1351" t="n"/>
      <c r="P1438" s="1349" t="n"/>
    </row>
    <row r="1439" customFormat="1" s="324">
      <c r="A1439" s="1349" t="n"/>
      <c r="B1439" s="1501" t="n"/>
      <c r="C1439" s="1439" t="n"/>
      <c r="D1439" s="1439" t="n"/>
      <c r="E1439" s="1439" t="n"/>
      <c r="F1439" s="1439" t="n"/>
      <c r="G1439" s="1440" t="n"/>
      <c r="H1439" s="1351" t="n"/>
      <c r="I1439" s="1351" t="n"/>
      <c r="J1439" s="1351" t="n"/>
      <c r="K1439" s="1351" t="n"/>
      <c r="L1439" s="1351" t="n"/>
      <c r="M1439" s="1351" t="n"/>
      <c r="N1439" s="1351" t="n"/>
      <c r="O1439" s="1351" t="n"/>
      <c r="P1439" s="1349" t="n"/>
    </row>
    <row r="1440" customFormat="1" s="324">
      <c r="A1440" s="1349" t="n"/>
      <c r="B1440" s="1501" t="n"/>
      <c r="C1440" s="1439" t="n"/>
      <c r="D1440" s="1439" t="n"/>
      <c r="E1440" s="1439" t="n"/>
      <c r="F1440" s="1439" t="n"/>
      <c r="G1440" s="1440" t="n"/>
      <c r="H1440" s="1351" t="n"/>
      <c r="I1440" s="1351" t="n"/>
      <c r="J1440" s="1351" t="n"/>
      <c r="K1440" s="1351" t="n"/>
      <c r="L1440" s="1351" t="n"/>
      <c r="M1440" s="1351" t="n"/>
      <c r="N1440" s="1351" t="n"/>
      <c r="O1440" s="1351" t="n"/>
      <c r="P1440" s="1349" t="n"/>
    </row>
    <row r="1441" customFormat="1" s="324">
      <c r="A1441" s="1349" t="n"/>
      <c r="B1441" s="1501" t="n"/>
      <c r="C1441" s="1439" t="n"/>
      <c r="D1441" s="1439" t="n"/>
      <c r="E1441" s="1439" t="n"/>
      <c r="F1441" s="1439" t="n"/>
      <c r="G1441" s="1440" t="n"/>
      <c r="H1441" s="1351" t="n"/>
      <c r="I1441" s="1351" t="n"/>
      <c r="J1441" s="1351" t="n"/>
      <c r="K1441" s="1351" t="n"/>
      <c r="L1441" s="1351" t="n"/>
      <c r="M1441" s="1351" t="n"/>
      <c r="N1441" s="1351" t="n"/>
      <c r="O1441" s="1351" t="n"/>
      <c r="P1441" s="1349" t="n"/>
    </row>
    <row r="1442" customFormat="1" s="324">
      <c r="A1442" s="1349" t="n"/>
      <c r="B1442" s="1501" t="n"/>
      <c r="C1442" s="1439" t="n"/>
      <c r="D1442" s="1439" t="n"/>
      <c r="E1442" s="1439" t="n"/>
      <c r="F1442" s="1439" t="n"/>
      <c r="G1442" s="1440" t="n"/>
      <c r="H1442" s="1351" t="n"/>
      <c r="I1442" s="1351" t="n"/>
      <c r="J1442" s="1351" t="n"/>
      <c r="K1442" s="1351" t="n"/>
      <c r="L1442" s="1351" t="n"/>
      <c r="M1442" s="1351" t="n"/>
      <c r="N1442" s="1351" t="n"/>
      <c r="O1442" s="1351" t="n"/>
      <c r="P1442" s="1349" t="n"/>
    </row>
    <row r="1443" customFormat="1" s="324">
      <c r="A1443" s="1349" t="n"/>
      <c r="B1443" s="1501" t="n"/>
      <c r="C1443" s="1439" t="n"/>
      <c r="D1443" s="1439" t="n"/>
      <c r="E1443" s="1439" t="n"/>
      <c r="F1443" s="1439" t="n"/>
      <c r="G1443" s="1440" t="n"/>
      <c r="H1443" s="1351" t="n"/>
      <c r="I1443" s="1351" t="n"/>
      <c r="J1443" s="1351" t="n"/>
      <c r="K1443" s="1351" t="n"/>
      <c r="L1443" s="1351" t="n"/>
      <c r="M1443" s="1351" t="n"/>
      <c r="N1443" s="1351" t="n"/>
      <c r="O1443" s="1351" t="n"/>
      <c r="P1443" s="1349" t="n"/>
    </row>
    <row r="1444" customFormat="1" s="324">
      <c r="A1444" s="1349" t="n"/>
      <c r="B1444" s="1501" t="n"/>
      <c r="C1444" s="1439" t="n"/>
      <c r="D1444" s="1439" t="n"/>
      <c r="E1444" s="1439" t="n"/>
      <c r="F1444" s="1439" t="n"/>
      <c r="G1444" s="1440" t="n"/>
      <c r="H1444" s="1351" t="n"/>
      <c r="I1444" s="1351" t="n"/>
      <c r="J1444" s="1351" t="n"/>
      <c r="K1444" s="1351" t="n"/>
      <c r="L1444" s="1351" t="n"/>
      <c r="M1444" s="1351" t="n"/>
      <c r="N1444" s="1351" t="n"/>
      <c r="O1444" s="1351" t="n"/>
      <c r="P1444" s="1349" t="n"/>
    </row>
    <row r="1445" customFormat="1" s="324">
      <c r="A1445" s="1349" t="n"/>
      <c r="B1445" s="1501" t="n"/>
      <c r="C1445" s="1439" t="n"/>
      <c r="D1445" s="1439" t="n"/>
      <c r="E1445" s="1439" t="n"/>
      <c r="F1445" s="1439" t="n"/>
      <c r="G1445" s="1440" t="n"/>
      <c r="H1445" s="1351" t="n"/>
      <c r="I1445" s="1351" t="n"/>
      <c r="J1445" s="1351" t="n"/>
      <c r="K1445" s="1351" t="n"/>
      <c r="L1445" s="1351" t="n"/>
      <c r="M1445" s="1351" t="n"/>
      <c r="N1445" s="1351" t="n"/>
      <c r="O1445" s="1351" t="n"/>
      <c r="P1445" s="1349" t="n"/>
    </row>
    <row r="1446" customFormat="1" s="324">
      <c r="A1446" s="1349" t="n"/>
      <c r="B1446" s="1501" t="n"/>
      <c r="C1446" s="1439" t="n"/>
      <c r="D1446" s="1439" t="n"/>
      <c r="E1446" s="1439" t="n"/>
      <c r="F1446" s="1439" t="n"/>
      <c r="G1446" s="1440" t="n"/>
      <c r="H1446" s="1351" t="n"/>
      <c r="I1446" s="1351" t="n"/>
      <c r="J1446" s="1351" t="n"/>
      <c r="K1446" s="1351" t="n"/>
      <c r="L1446" s="1351" t="n"/>
      <c r="M1446" s="1351" t="n"/>
      <c r="N1446" s="1351" t="n"/>
      <c r="O1446" s="1351" t="n"/>
      <c r="P1446" s="1349" t="n"/>
    </row>
    <row r="1447" customFormat="1" s="324">
      <c r="A1447" s="1349" t="n"/>
      <c r="B1447" s="1501" t="n"/>
      <c r="C1447" s="1439" t="n"/>
      <c r="D1447" s="1439" t="n"/>
      <c r="E1447" s="1439" t="n"/>
      <c r="F1447" s="1439" t="n"/>
      <c r="G1447" s="1440" t="n"/>
      <c r="H1447" s="1351" t="n"/>
      <c r="I1447" s="1351" t="n"/>
      <c r="J1447" s="1351" t="n"/>
      <c r="K1447" s="1351" t="n"/>
      <c r="L1447" s="1351" t="n"/>
      <c r="M1447" s="1351" t="n"/>
      <c r="N1447" s="1351" t="n"/>
      <c r="O1447" s="1351" t="n"/>
      <c r="P1447" s="1349" t="n"/>
    </row>
    <row r="1448" customFormat="1" s="324">
      <c r="A1448" s="1349" t="n"/>
      <c r="B1448" s="1501" t="n"/>
      <c r="C1448" s="1439" t="n"/>
      <c r="D1448" s="1439" t="n"/>
      <c r="E1448" s="1439" t="n"/>
      <c r="F1448" s="1439" t="n"/>
      <c r="G1448" s="1440" t="n"/>
      <c r="H1448" s="1351" t="n"/>
      <c r="I1448" s="1351" t="n"/>
      <c r="J1448" s="1351" t="n"/>
      <c r="K1448" s="1351" t="n"/>
      <c r="L1448" s="1351" t="n"/>
      <c r="M1448" s="1351" t="n"/>
      <c r="N1448" s="1351" t="n"/>
      <c r="O1448" s="1351" t="n"/>
      <c r="P1448" s="134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34">
    <mergeCell ref="B2:G2"/>
    <mergeCell ref="B215:B216"/>
    <mergeCell ref="B47:B48"/>
    <mergeCell ref="C124:E124"/>
    <mergeCell ref="F68:G68"/>
    <mergeCell ref="B90:F90"/>
    <mergeCell ref="B3:F3"/>
    <mergeCell ref="C236:E236"/>
    <mergeCell ref="B122:F122"/>
    <mergeCell ref="F124:G124"/>
    <mergeCell ref="B149:F149"/>
    <mergeCell ref="F236:G236"/>
    <mergeCell ref="B213:E213"/>
    <mergeCell ref="B45:E45"/>
    <mergeCell ref="B151:B152"/>
    <mergeCell ref="F5:G5"/>
    <mergeCell ref="B211:G211"/>
    <mergeCell ref="B68:B69"/>
    <mergeCell ref="B66:E66"/>
    <mergeCell ref="F215:G215"/>
    <mergeCell ref="F47:G47"/>
    <mergeCell ref="B234:F234"/>
    <mergeCell ref="B124:B125"/>
    <mergeCell ref="C92:E92"/>
    <mergeCell ref="C68:E68"/>
    <mergeCell ref="B92:B93"/>
    <mergeCell ref="B5:B6"/>
    <mergeCell ref="C151:E151"/>
    <mergeCell ref="C5:E5"/>
    <mergeCell ref="F92:G92"/>
    <mergeCell ref="F151:G151"/>
    <mergeCell ref="B236:B237"/>
    <mergeCell ref="C215:E215"/>
    <mergeCell ref="C47:E47"/>
  </mergeCells>
  <printOptions horizontalCentered="1"/>
  <pageMargins left="0.1574803149606299" right="0.1181102362204725" top="0.2755905511811024" bottom="0.2755905511811024" header="0.1181102362204725" footer="0.1574803149606299"/>
  <pageSetup orientation="portrait" paperSize="9" scale="63" firstPageNumber="16"/>
  <headerFooter alignWithMargins="0">
    <oddHeader/>
    <oddFooter>&amp;C&amp;P/&amp;N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576" t="inlineStr">
        <is>
          <t>Engagement contractuel de trafic de conteneurs transbordés (Business Plan TC2)</t>
        </is>
      </c>
    </row>
    <row r="2"/>
    <row r="3">
      <c r="A3" s="1577" t="inlineStr">
        <is>
          <t>Année</t>
        </is>
      </c>
      <c r="B3" s="1577" t="inlineStr">
        <is>
          <t>Engagement (EVP transbordés)</t>
        </is>
      </c>
    </row>
    <row r="4">
      <c r="A4" t="n">
        <v>2025</v>
      </c>
      <c r="B4" s="1351" t="n">
        <v>486000</v>
      </c>
    </row>
    <row r="5">
      <c r="A5" t="n">
        <v>2026</v>
      </c>
      <c r="B5" s="1351" t="n">
        <v>524880</v>
      </c>
    </row>
    <row r="6">
      <c r="A6" t="n">
        <v>2027</v>
      </c>
      <c r="B6" s="1351" t="n">
        <v>566871</v>
      </c>
    </row>
    <row r="7">
      <c r="A7" t="n">
        <v>2028</v>
      </c>
      <c r="B7" s="1351" t="n">
        <v>612221</v>
      </c>
    </row>
    <row r="8">
      <c r="A8" t="n">
        <v>2029</v>
      </c>
      <c r="B8" s="1351" t="n">
        <v>661199</v>
      </c>
    </row>
    <row r="9">
      <c r="A9" t="n">
        <v>2030</v>
      </c>
      <c r="B9" s="1351" t="n">
        <v>714095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KAUPHY Elisabeth Nadege Epse EFFI [DEESP/PAA]</dc:creator>
  <dcterms:created xmlns:dcterms="http://purl.org/dc/terms/" xmlns:xsi="http://www.w3.org/2001/XMLSchema-instance" xsi:type="dcterms:W3CDTF">2020-03-11T14:27:48Z</dcterms:created>
  <dcterms:modified xmlns:dcterms="http://purl.org/dc/terms/" xmlns:xsi="http://www.w3.org/2001/XMLSchema-instance" xsi:type="dcterms:W3CDTF">2026-09-17T18:03:57Z</dcterms:modified>
  <cp:lastModifiedBy>KONE Issaka Wilfred [DEESP]</cp:lastModifiedBy>
  <cp:lastPrinted>2025-02-05T10:12:16Z</cp:lastPrinted>
</cp:coreProperties>
</file>