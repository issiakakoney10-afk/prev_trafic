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wikone\Downloads\"/>
    </mc:Choice>
  </mc:AlternateContent>
  <xr:revisionPtr revIDLastSave="0" documentId="13_ncr:1_{A74038D5-8BF5-44DF-9EBF-17DA9CC70327}" xr6:coauthVersionLast="36" xr6:coauthVersionMax="47" xr10:uidLastSave="{00000000-0000-0000-0000-000000000000}"/>
  <bookViews>
    <workbookView xWindow="0" yWindow="0" windowWidth="19200" windowHeight="5940" tabRatio="763" firstSheet="3" activeTab="3" xr2:uid="{00000000-000D-0000-FFFF-FFFF00000000}"/>
  </bookViews>
  <sheets>
    <sheet name="ANNUEL_DCAQ_AVEC_TC2_Option2" sheetId="56" state="hidden" r:id="rId1"/>
    <sheet name="NON-RESPECT_ENGA_TRANSBO_TC2" sheetId="26" r:id="rId2"/>
    <sheet name="REPARTITION" sheetId="31" r:id="rId3"/>
    <sheet name="ANNUEL" sheetId="72" r:id="rId4"/>
    <sheet name="CALC. PREV" sheetId="71" r:id="rId5"/>
    <sheet name="COEFFICIENTS_SAISONNIERS_2026" sheetId="74" state="hidden" r:id="rId6"/>
    <sheet name="Trafic mens2026" sheetId="81" r:id="rId7"/>
    <sheet name="Trafic mens2025" sheetId="69" r:id="rId8"/>
    <sheet name="Stats exo 2025brute" sheetId="70" state="hidden" r:id="rId9"/>
  </sheets>
  <externalReferences>
    <externalReference r:id="rId10"/>
    <externalReference r:id="rId11"/>
  </externalReferences>
  <definedNames>
    <definedName name="____1__123Graph_AGRAPHIQUE_1A" localSheetId="3" hidden="1">#REF!</definedName>
    <definedName name="____1__123Graph_AGRAPHIQUE_1A" localSheetId="4" hidden="1">#REF!</definedName>
    <definedName name="____1__123Graph_AGRAPHIQUE_1A" localSheetId="5" hidden="1">#REF!</definedName>
    <definedName name="____1__123Graph_AGRAPHIQUE_1A" hidden="1">#REF!</definedName>
    <definedName name="____2__123Graph_BGRAPHIQUE_1A" localSheetId="3" hidden="1">#REF!</definedName>
    <definedName name="____2__123Graph_BGRAPHIQUE_1A" localSheetId="4" hidden="1">#REF!</definedName>
    <definedName name="____2__123Graph_BGRAPHIQUE_1A" localSheetId="5" hidden="1">#REF!</definedName>
    <definedName name="____2__123Graph_BGRAPHIQUE_1A" hidden="1">#REF!</definedName>
    <definedName name="____3__123Graph_CGRAPHIQUE_1A" localSheetId="3" hidden="1">#REF!</definedName>
    <definedName name="____3__123Graph_CGRAPHIQUE_1A" localSheetId="4" hidden="1">#REF!</definedName>
    <definedName name="____3__123Graph_CGRAPHIQUE_1A" localSheetId="5" hidden="1">#REF!</definedName>
    <definedName name="____3__123Graph_CGRAPHIQUE_1A" hidden="1">#REF!</definedName>
    <definedName name="____4__123Graph_DGRAPHIQUE_1A" localSheetId="3" hidden="1">#REF!</definedName>
    <definedName name="____4__123Graph_DGRAPHIQUE_1A" localSheetId="4" hidden="1">#REF!</definedName>
    <definedName name="____4__123Graph_DGRAPHIQUE_1A" localSheetId="5" hidden="1">#REF!</definedName>
    <definedName name="____4__123Graph_DGRAPHIQUE_1A" hidden="1">#REF!</definedName>
    <definedName name="____5__123Graph_EGRAPHIQUE_1A" localSheetId="3" hidden="1">#REF!</definedName>
    <definedName name="____5__123Graph_EGRAPHIQUE_1A" localSheetId="4" hidden="1">#REF!</definedName>
    <definedName name="____5__123Graph_EGRAPHIQUE_1A" localSheetId="5" hidden="1">#REF!</definedName>
    <definedName name="____5__123Graph_EGRAPHIQUE_1A" hidden="1">#REF!</definedName>
    <definedName name="____6__123Graph_FGRAPHIQUE_1A" localSheetId="3" hidden="1">#REF!</definedName>
    <definedName name="____6__123Graph_FGRAPHIQUE_1A" localSheetId="4" hidden="1">#REF!</definedName>
    <definedName name="____6__123Graph_FGRAPHIQUE_1A" localSheetId="5" hidden="1">#REF!</definedName>
    <definedName name="____6__123Graph_FGRAPHIQUE_1A" hidden="1">#REF!</definedName>
    <definedName name="____7__123Graph_XGRAPHIQUE_1A" localSheetId="3" hidden="1">#REF!</definedName>
    <definedName name="____7__123Graph_XGRAPHIQUE_1A" localSheetId="4" hidden="1">#REF!</definedName>
    <definedName name="____7__123Graph_XGRAPHIQUE_1A" localSheetId="5" hidden="1">#REF!</definedName>
    <definedName name="____7__123Graph_XGRAPHIQUE_1A" hidden="1">#REF!</definedName>
    <definedName name="___1__123Graph_AGRAPHIQUE_1A" localSheetId="3" hidden="1">#REF!</definedName>
    <definedName name="___1__123Graph_AGRAPHIQUE_1A" localSheetId="4" hidden="1">#REF!</definedName>
    <definedName name="___1__123Graph_AGRAPHIQUE_1A" localSheetId="5" hidden="1">#REF!</definedName>
    <definedName name="___1__123Graph_AGRAPHIQUE_1A" hidden="1">#REF!</definedName>
    <definedName name="___10__123Graph_EGRAPHIQUE_1A" localSheetId="3" hidden="1">#REF!</definedName>
    <definedName name="___10__123Graph_EGRAPHIQUE_1A" localSheetId="4" hidden="1">#REF!</definedName>
    <definedName name="___10__123Graph_EGRAPHIQUE_1A" localSheetId="5" hidden="1">#REF!</definedName>
    <definedName name="___10__123Graph_EGRAPHIQUE_1A" hidden="1">#REF!</definedName>
    <definedName name="___12__123Graph_FGRAPHIQUE_1A" localSheetId="3" hidden="1">#REF!</definedName>
    <definedName name="___12__123Graph_FGRAPHIQUE_1A" localSheetId="4" hidden="1">#REF!</definedName>
    <definedName name="___12__123Graph_FGRAPHIQUE_1A" localSheetId="5" hidden="1">#REF!</definedName>
    <definedName name="___12__123Graph_FGRAPHIQUE_1A" hidden="1">#REF!</definedName>
    <definedName name="___14__123Graph_XGRAPHIQUE_1A" localSheetId="3" hidden="1">#REF!</definedName>
    <definedName name="___14__123Graph_XGRAPHIQUE_1A" localSheetId="4" hidden="1">#REF!</definedName>
    <definedName name="___14__123Graph_XGRAPHIQUE_1A" localSheetId="5" hidden="1">#REF!</definedName>
    <definedName name="___14__123Graph_XGRAPHIQUE_1A" hidden="1">#REF!</definedName>
    <definedName name="___2__123Graph_AGRAPHIQUE_1A" localSheetId="3" hidden="1">#REF!</definedName>
    <definedName name="___2__123Graph_AGRAPHIQUE_1A" localSheetId="4" hidden="1">#REF!</definedName>
    <definedName name="___2__123Graph_AGRAPHIQUE_1A" localSheetId="5" hidden="1">#REF!</definedName>
    <definedName name="___2__123Graph_AGRAPHIQUE_1A" hidden="1">#REF!</definedName>
    <definedName name="___2__123Graph_BGRAPHIQUE_1A" localSheetId="3" hidden="1">#REF!</definedName>
    <definedName name="___2__123Graph_BGRAPHIQUE_1A" localSheetId="4" hidden="1">#REF!</definedName>
    <definedName name="___2__123Graph_BGRAPHIQUE_1A" localSheetId="5" hidden="1">#REF!</definedName>
    <definedName name="___2__123Graph_BGRAPHIQUE_1A" hidden="1">#REF!</definedName>
    <definedName name="___3__123Graph_CGRAPHIQUE_1A" localSheetId="3" hidden="1">#REF!</definedName>
    <definedName name="___3__123Graph_CGRAPHIQUE_1A" localSheetId="4" hidden="1">#REF!</definedName>
    <definedName name="___3__123Graph_CGRAPHIQUE_1A" localSheetId="5" hidden="1">#REF!</definedName>
    <definedName name="___3__123Graph_CGRAPHIQUE_1A" hidden="1">#REF!</definedName>
    <definedName name="___4__123Graph_BGRAPHIQUE_1A" localSheetId="3" hidden="1">#REF!</definedName>
    <definedName name="___4__123Graph_BGRAPHIQUE_1A" localSheetId="4" hidden="1">#REF!</definedName>
    <definedName name="___4__123Graph_BGRAPHIQUE_1A" localSheetId="5" hidden="1">#REF!</definedName>
    <definedName name="___4__123Graph_BGRAPHIQUE_1A" hidden="1">#REF!</definedName>
    <definedName name="___4__123Graph_DGRAPHIQUE_1A" localSheetId="3" hidden="1">#REF!</definedName>
    <definedName name="___4__123Graph_DGRAPHIQUE_1A" localSheetId="4" hidden="1">#REF!</definedName>
    <definedName name="___4__123Graph_DGRAPHIQUE_1A" localSheetId="5" hidden="1">#REF!</definedName>
    <definedName name="___4__123Graph_DGRAPHIQUE_1A" hidden="1">#REF!</definedName>
    <definedName name="___5__123Graph_EGRAPHIQUE_1A" localSheetId="3" hidden="1">#REF!</definedName>
    <definedName name="___5__123Graph_EGRAPHIQUE_1A" localSheetId="4" hidden="1">#REF!</definedName>
    <definedName name="___5__123Graph_EGRAPHIQUE_1A" localSheetId="5" hidden="1">#REF!</definedName>
    <definedName name="___5__123Graph_EGRAPHIQUE_1A" hidden="1">#REF!</definedName>
    <definedName name="___6__123Graph_CGRAPHIQUE_1A" localSheetId="3" hidden="1">#REF!</definedName>
    <definedName name="___6__123Graph_CGRAPHIQUE_1A" localSheetId="4" hidden="1">#REF!</definedName>
    <definedName name="___6__123Graph_CGRAPHIQUE_1A" localSheetId="5" hidden="1">#REF!</definedName>
    <definedName name="___6__123Graph_CGRAPHIQUE_1A" hidden="1">#REF!</definedName>
    <definedName name="___6__123Graph_FGRAPHIQUE_1A" localSheetId="3" hidden="1">#REF!</definedName>
    <definedName name="___6__123Graph_FGRAPHIQUE_1A" localSheetId="4" hidden="1">#REF!</definedName>
    <definedName name="___6__123Graph_FGRAPHIQUE_1A" localSheetId="5" hidden="1">#REF!</definedName>
    <definedName name="___6__123Graph_FGRAPHIQUE_1A" hidden="1">#REF!</definedName>
    <definedName name="___7__123Graph_XGRAPHIQUE_1A" localSheetId="3" hidden="1">#REF!</definedName>
    <definedName name="___7__123Graph_XGRAPHIQUE_1A" localSheetId="4" hidden="1">#REF!</definedName>
    <definedName name="___7__123Graph_XGRAPHIQUE_1A" localSheetId="5" hidden="1">#REF!</definedName>
    <definedName name="___7__123Graph_XGRAPHIQUE_1A" hidden="1">#REF!</definedName>
    <definedName name="___8__123Graph_DGRAPHIQUE_1A" localSheetId="3" hidden="1">#REF!</definedName>
    <definedName name="___8__123Graph_DGRAPHIQUE_1A" localSheetId="4" hidden="1">#REF!</definedName>
    <definedName name="___8__123Graph_DGRAPHIQUE_1A" localSheetId="5" hidden="1">#REF!</definedName>
    <definedName name="___8__123Graph_DGRAPHIQUE_1A" hidden="1">#REF!</definedName>
    <definedName name="___xlfn.BAHTTEXT" hidden="1">#NAME?</definedName>
    <definedName name="__1__123Graph_AGRAPHIQUE_1A" localSheetId="3" hidden="1">#REF!</definedName>
    <definedName name="__1__123Graph_AGRAPHIQUE_1A" localSheetId="4" hidden="1">#REF!</definedName>
    <definedName name="__1__123Graph_AGRAPHIQUE_1A" localSheetId="5" hidden="1">#REF!</definedName>
    <definedName name="__1__123Graph_AGRAPHIQUE_1A" hidden="1">#REF!</definedName>
    <definedName name="__10__123Graph_EGRAPHIQUE_1A" localSheetId="3" hidden="1">#REF!</definedName>
    <definedName name="__10__123Graph_EGRAPHIQUE_1A" localSheetId="4" hidden="1">#REF!</definedName>
    <definedName name="__10__123Graph_EGRAPHIQUE_1A" localSheetId="5" hidden="1">#REF!</definedName>
    <definedName name="__10__123Graph_EGRAPHIQUE_1A" hidden="1">#REF!</definedName>
    <definedName name="__12______123Graph_DGRAPHIQUE_1A" localSheetId="3" hidden="1">#REF!</definedName>
    <definedName name="__12______123Graph_DGRAPHIQUE_1A" localSheetId="4" hidden="1">#REF!</definedName>
    <definedName name="__12______123Graph_DGRAPHIQUE_1A" localSheetId="5" hidden="1">#REF!</definedName>
    <definedName name="__12______123Graph_DGRAPHIQUE_1A" hidden="1">#REF!</definedName>
    <definedName name="__12__123Graph_DGRAPHIQUE_1A" localSheetId="3" hidden="1">#REF!</definedName>
    <definedName name="__12__123Graph_DGRAPHIQUE_1A" localSheetId="4" hidden="1">#REF!</definedName>
    <definedName name="__12__123Graph_DGRAPHIQUE_1A" localSheetId="5" hidden="1">#REF!</definedName>
    <definedName name="__12__123Graph_DGRAPHIQUE_1A" hidden="1">#REF!</definedName>
    <definedName name="__12__123Graph_FGRAPHIQUE_1A" localSheetId="3" hidden="1">#REF!</definedName>
    <definedName name="__12__123Graph_FGRAPHIQUE_1A" localSheetId="4" hidden="1">#REF!</definedName>
    <definedName name="__12__123Graph_FGRAPHIQUE_1A" localSheetId="5" hidden="1">#REF!</definedName>
    <definedName name="__12__123Graph_FGRAPHIQUE_1A" hidden="1">#REF!</definedName>
    <definedName name="__123Graph_A" localSheetId="3" hidden="1">#REF!</definedName>
    <definedName name="__123Graph_A" localSheetId="4" hidden="1">#REF!</definedName>
    <definedName name="__123Graph_A" localSheetId="5" hidden="1">#REF!</definedName>
    <definedName name="__123Graph_A" localSheetId="8" hidden="1">#REF!</definedName>
    <definedName name="__123Graph_A" localSheetId="7" hidden="1">#REF!</definedName>
    <definedName name="__123Graph_A" localSheetId="6" hidden="1">#REF!</definedName>
    <definedName name="__123Graph_A" hidden="1">#REF!</definedName>
    <definedName name="__123Graph_AA" localSheetId="3" hidden="1">#REF!</definedName>
    <definedName name="__123Graph_AA" localSheetId="5" hidden="1">#REF!</definedName>
    <definedName name="__123Graph_AA" hidden="1">#REF!</definedName>
    <definedName name="__123Graph_AChart1" localSheetId="3" hidden="1">#REF!</definedName>
    <definedName name="__123Graph_AChart1" localSheetId="4" hidden="1">#REF!</definedName>
    <definedName name="__123Graph_AChart1" localSheetId="5" hidden="1">#REF!</definedName>
    <definedName name="__123Graph_AChart1" hidden="1">#REF!</definedName>
    <definedName name="__123Graph_ACurrent" localSheetId="3" hidden="1">#REF!</definedName>
    <definedName name="__123Graph_ACurrent" localSheetId="4" hidden="1">#REF!</definedName>
    <definedName name="__123Graph_ACurrent" localSheetId="5" hidden="1">#REF!</definedName>
    <definedName name="__123Graph_ACurrent" hidden="1">#REF!</definedName>
    <definedName name="__123Graph_AREER" localSheetId="3" hidden="1">#REF!</definedName>
    <definedName name="__123Graph_AREER" localSheetId="4" hidden="1">#REF!</definedName>
    <definedName name="__123Graph_AREER" localSheetId="5" hidden="1">#REF!</definedName>
    <definedName name="__123Graph_AREER" hidden="1">#REF!</definedName>
    <definedName name="__123Graph_B" localSheetId="3" hidden="1">#REF!</definedName>
    <definedName name="__123Graph_B" localSheetId="4" hidden="1">#REF!</definedName>
    <definedName name="__123Graph_B" localSheetId="5" hidden="1">#REF!</definedName>
    <definedName name="__123Graph_B" localSheetId="8" hidden="1">#REF!</definedName>
    <definedName name="__123Graph_B" localSheetId="7" hidden="1">#REF!</definedName>
    <definedName name="__123Graph_B" localSheetId="6" hidden="1">#REF!</definedName>
    <definedName name="__123Graph_B" hidden="1">#REF!</definedName>
    <definedName name="__123Graph_BREER" localSheetId="3" hidden="1">#REF!</definedName>
    <definedName name="__123Graph_BREER" localSheetId="4" hidden="1">#REF!</definedName>
    <definedName name="__123Graph_BREER" localSheetId="5" hidden="1">#REF!</definedName>
    <definedName name="__123Graph_BREER" hidden="1">#REF!</definedName>
    <definedName name="__123Graph_C" localSheetId="3" hidden="1">#REF!</definedName>
    <definedName name="__123Graph_C" localSheetId="4" hidden="1">#REF!</definedName>
    <definedName name="__123Graph_C" localSheetId="5" hidden="1">#REF!</definedName>
    <definedName name="__123Graph_C" localSheetId="8" hidden="1">#REF!</definedName>
    <definedName name="__123Graph_C" localSheetId="7" hidden="1">#REF!</definedName>
    <definedName name="__123Graph_C" localSheetId="6" hidden="1">#REF!</definedName>
    <definedName name="__123Graph_C" hidden="1">#REF!</definedName>
    <definedName name="__123Graph_CREER" localSheetId="3" hidden="1">#REF!</definedName>
    <definedName name="__123Graph_CREER" localSheetId="4" hidden="1">#REF!</definedName>
    <definedName name="__123Graph_CREER" localSheetId="5" hidden="1">#REF!</definedName>
    <definedName name="__123Graph_CREER" hidden="1">#REF!</definedName>
    <definedName name="__123Graph_D" localSheetId="3" hidden="1">#REF!</definedName>
    <definedName name="__123Graph_D" localSheetId="4" hidden="1">#REF!</definedName>
    <definedName name="__123Graph_D" localSheetId="5" hidden="1">#REF!</definedName>
    <definedName name="__123Graph_D" localSheetId="8" hidden="1">#REF!</definedName>
    <definedName name="__123Graph_D" localSheetId="7" hidden="1">#REF!</definedName>
    <definedName name="__123Graph_D" localSheetId="6" hidden="1">#REF!</definedName>
    <definedName name="__123Graph_D" hidden="1">#REF!</definedName>
    <definedName name="__123Graph_E" localSheetId="3" hidden="1">#REF!</definedName>
    <definedName name="__123Graph_E" localSheetId="4" hidden="1">#REF!</definedName>
    <definedName name="__123Graph_E" localSheetId="5" hidden="1">#REF!</definedName>
    <definedName name="__123Graph_E" localSheetId="8" hidden="1">#REF!</definedName>
    <definedName name="__123Graph_E" localSheetId="7" hidden="1">#REF!</definedName>
    <definedName name="__123Graph_E" localSheetId="6" hidden="1">#REF!</definedName>
    <definedName name="__123Graph_E" hidden="1">#REF!</definedName>
    <definedName name="__123Graph_F" localSheetId="3" hidden="1">#REF!</definedName>
    <definedName name="__123Graph_F" localSheetId="4" hidden="1">#REF!</definedName>
    <definedName name="__123Graph_F" localSheetId="5" hidden="1">#REF!</definedName>
    <definedName name="__123Graph_F" localSheetId="8" hidden="1">#REF!</definedName>
    <definedName name="__123Graph_F" localSheetId="7" hidden="1">#REF!</definedName>
    <definedName name="__123Graph_F" localSheetId="6" hidden="1">#REF!</definedName>
    <definedName name="__123Graph_F" hidden="1">#REF!</definedName>
    <definedName name="__123Graph_X" localSheetId="3" hidden="1">#REF!</definedName>
    <definedName name="__123Graph_X" localSheetId="4" hidden="1">#REF!</definedName>
    <definedName name="__123Graph_X" localSheetId="5" hidden="1">#REF!</definedName>
    <definedName name="__123Graph_X" localSheetId="8" hidden="1">#REF!</definedName>
    <definedName name="__123Graph_X" localSheetId="7" hidden="1">#REF!</definedName>
    <definedName name="__123Graph_X" localSheetId="6" hidden="1">#REF!</definedName>
    <definedName name="__123Graph_X" hidden="1">#REF!</definedName>
    <definedName name="__123Graph_XGATHERING" localSheetId="3" hidden="1">#REF!</definedName>
    <definedName name="__123Graph_XGATHERING" localSheetId="4" hidden="1">#REF!</definedName>
    <definedName name="__123Graph_XGATHERING" localSheetId="5" hidden="1">#REF!</definedName>
    <definedName name="__123Graph_XGATHERING" hidden="1">#REF!</definedName>
    <definedName name="__13__123Graph_BGRAPHIQUE_1A" localSheetId="7" hidden="1">#REF!</definedName>
    <definedName name="__13__123Graph_BGRAPHIQUE_1A" localSheetId="6" hidden="1">#REF!</definedName>
    <definedName name="__14__123Graph_BGRAPHIQUE_1A" localSheetId="3" hidden="1">#REF!</definedName>
    <definedName name="__14__123Graph_BGRAPHIQUE_1A" localSheetId="4" hidden="1">#REF!</definedName>
    <definedName name="__14__123Graph_BGRAPHIQUE_1A" localSheetId="5" hidden="1">#REF!</definedName>
    <definedName name="__14__123Graph_BGRAPHIQUE_1A" localSheetId="8" hidden="1">#REF!</definedName>
    <definedName name="__14__123Graph_BGRAPHIQUE_1A" localSheetId="7" hidden="1">#REF!</definedName>
    <definedName name="__14__123Graph_BGRAPHIQUE_1A" localSheetId="6" hidden="1">#REF!</definedName>
    <definedName name="__14__123Graph_BGRAPHIQUE_1A" hidden="1">#REF!</definedName>
    <definedName name="__14__123Graph_XGRAPHIQUE_1A" localSheetId="3" hidden="1">#REF!</definedName>
    <definedName name="__14__123Graph_XGRAPHIQUE_1A" localSheetId="4" hidden="1">#REF!</definedName>
    <definedName name="__14__123Graph_XGRAPHIQUE_1A" localSheetId="5" hidden="1">#REF!</definedName>
    <definedName name="__14__123Graph_XGRAPHIQUE_1A" hidden="1">#REF!</definedName>
    <definedName name="__15______123Graph_EGRAPHIQUE_1A" localSheetId="3" hidden="1">#REF!</definedName>
    <definedName name="__15______123Graph_EGRAPHIQUE_1A" localSheetId="4" hidden="1">#REF!</definedName>
    <definedName name="__15______123Graph_EGRAPHIQUE_1A" localSheetId="5" hidden="1">#REF!</definedName>
    <definedName name="__15______123Graph_EGRAPHIQUE_1A" hidden="1">#REF!</definedName>
    <definedName name="__15__123Graph_EGRAPHIQUE_1A" localSheetId="3" hidden="1">#REF!</definedName>
    <definedName name="__15__123Graph_EGRAPHIQUE_1A" localSheetId="4" hidden="1">#REF!</definedName>
    <definedName name="__15__123Graph_EGRAPHIQUE_1A" localSheetId="5" hidden="1">#REF!</definedName>
    <definedName name="__15__123Graph_EGRAPHIQUE_1A" hidden="1">#REF!</definedName>
    <definedName name="__18______123Graph_FGRAPHIQUE_1A" localSheetId="3" hidden="1">#REF!</definedName>
    <definedName name="__18______123Graph_FGRAPHIQUE_1A" localSheetId="4" hidden="1">#REF!</definedName>
    <definedName name="__18______123Graph_FGRAPHIQUE_1A" localSheetId="5" hidden="1">#REF!</definedName>
    <definedName name="__18______123Graph_FGRAPHIQUE_1A" hidden="1">#REF!</definedName>
    <definedName name="__18__123Graph_FGRAPHIQUE_1A" localSheetId="3" hidden="1">#REF!</definedName>
    <definedName name="__18__123Graph_FGRAPHIQUE_1A" localSheetId="4" hidden="1">#REF!</definedName>
    <definedName name="__18__123Graph_FGRAPHIQUE_1A" localSheetId="5" hidden="1">#REF!</definedName>
    <definedName name="__18__123Graph_FGRAPHIQUE_1A" hidden="1">#REF!</definedName>
    <definedName name="__2__123Graph_AGRAPHIQUE_1A" localSheetId="3" hidden="1">#REF!</definedName>
    <definedName name="__2__123Graph_AGRAPHIQUE_1A" localSheetId="4" hidden="1">#REF!</definedName>
    <definedName name="__2__123Graph_AGRAPHIQUE_1A" localSheetId="5" hidden="1">#REF!</definedName>
    <definedName name="__2__123Graph_AGRAPHIQUE_1A" hidden="1">#REF!</definedName>
    <definedName name="__2__123Graph_BGRAPHIQUE_1A" localSheetId="3" hidden="1">#REF!</definedName>
    <definedName name="__2__123Graph_BGRAPHIQUE_1A" localSheetId="4" hidden="1">#REF!</definedName>
    <definedName name="__2__123Graph_BGRAPHIQUE_1A" localSheetId="5" hidden="1">#REF!</definedName>
    <definedName name="__2__123Graph_BGRAPHIQUE_1A" hidden="1">#REF!</definedName>
    <definedName name="__20__123Graph_CGRAPHIQUE_1A" localSheetId="7" hidden="1">#REF!</definedName>
    <definedName name="__20__123Graph_CGRAPHIQUE_1A" localSheetId="6" hidden="1">#REF!</definedName>
    <definedName name="__21______123Graph_XGRAPHIQUE_1A" localSheetId="3" hidden="1">#REF!</definedName>
    <definedName name="__21______123Graph_XGRAPHIQUE_1A" localSheetId="4" hidden="1">#REF!</definedName>
    <definedName name="__21______123Graph_XGRAPHIQUE_1A" localSheetId="5" hidden="1">#REF!</definedName>
    <definedName name="__21______123Graph_XGRAPHIQUE_1A" hidden="1">#REF!</definedName>
    <definedName name="__21__123Graph_CGRAPHIQUE_1A" localSheetId="3" hidden="1">#REF!</definedName>
    <definedName name="__21__123Graph_CGRAPHIQUE_1A" localSheetId="4" hidden="1">#REF!</definedName>
    <definedName name="__21__123Graph_CGRAPHIQUE_1A" localSheetId="5" hidden="1">#REF!</definedName>
    <definedName name="__21__123Graph_CGRAPHIQUE_1A" localSheetId="8" hidden="1">#REF!</definedName>
    <definedName name="__21__123Graph_CGRAPHIQUE_1A" localSheetId="7" hidden="1">#REF!</definedName>
    <definedName name="__21__123Graph_CGRAPHIQUE_1A" localSheetId="6" hidden="1">#REF!</definedName>
    <definedName name="__21__123Graph_CGRAPHIQUE_1A" hidden="1">#REF!</definedName>
    <definedName name="__21__123Graph_XGRAPHIQUE_1A" localSheetId="3" hidden="1">#REF!</definedName>
    <definedName name="__21__123Graph_XGRAPHIQUE_1A" localSheetId="4" hidden="1">#REF!</definedName>
    <definedName name="__21__123Graph_XGRAPHIQUE_1A" localSheetId="5" hidden="1">#REF!</definedName>
    <definedName name="__21__123Graph_XGRAPHIQUE_1A" hidden="1">#REF!</definedName>
    <definedName name="__24_____123Graph_AGRAPHIQUE_1A" localSheetId="3" hidden="1">#REF!</definedName>
    <definedName name="__24_____123Graph_AGRAPHIQUE_1A" localSheetId="4" hidden="1">#REF!</definedName>
    <definedName name="__24_____123Graph_AGRAPHIQUE_1A" localSheetId="5" hidden="1">#REF!</definedName>
    <definedName name="__24_____123Graph_AGRAPHIQUE_1A" hidden="1">#REF!</definedName>
    <definedName name="__27_____123Graph_BGRAPHIQUE_1A" localSheetId="3" hidden="1">#REF!</definedName>
    <definedName name="__27_____123Graph_BGRAPHIQUE_1A" localSheetId="4" hidden="1">#REF!</definedName>
    <definedName name="__27_____123Graph_BGRAPHIQUE_1A" localSheetId="5" hidden="1">#REF!</definedName>
    <definedName name="__27_____123Graph_BGRAPHIQUE_1A" hidden="1">#REF!</definedName>
    <definedName name="__27__123Graph_DGRAPHIQUE_1A" localSheetId="7" hidden="1">#REF!</definedName>
    <definedName name="__27__123Graph_DGRAPHIQUE_1A" localSheetId="6" hidden="1">#REF!</definedName>
    <definedName name="__28__123Graph_DGRAPHIQUE_1A" localSheetId="3" hidden="1">#REF!</definedName>
    <definedName name="__28__123Graph_DGRAPHIQUE_1A" localSheetId="4" hidden="1">#REF!</definedName>
    <definedName name="__28__123Graph_DGRAPHIQUE_1A" localSheetId="5" hidden="1">#REF!</definedName>
    <definedName name="__28__123Graph_DGRAPHIQUE_1A" localSheetId="8" hidden="1">#REF!</definedName>
    <definedName name="__28__123Graph_DGRAPHIQUE_1A" localSheetId="7" hidden="1">#REF!</definedName>
    <definedName name="__28__123Graph_DGRAPHIQUE_1A" localSheetId="6" hidden="1">#REF!</definedName>
    <definedName name="__28__123Graph_DGRAPHIQUE_1A" hidden="1">#REF!</definedName>
    <definedName name="__3______123Graph_AGRAPHIQUE_1A" localSheetId="3" hidden="1">#REF!</definedName>
    <definedName name="__3______123Graph_AGRAPHIQUE_1A" localSheetId="4" hidden="1">#REF!</definedName>
    <definedName name="__3______123Graph_AGRAPHIQUE_1A" localSheetId="5" hidden="1">#REF!</definedName>
    <definedName name="__3______123Graph_AGRAPHIQUE_1A" hidden="1">#REF!</definedName>
    <definedName name="__3__123Graph_ACPI_ER_LOG" localSheetId="3" hidden="1">#REF!</definedName>
    <definedName name="__3__123Graph_ACPI_ER_LOG" localSheetId="4" hidden="1">#REF!</definedName>
    <definedName name="__3__123Graph_ACPI_ER_LOG" localSheetId="5" hidden="1">#REF!</definedName>
    <definedName name="__3__123Graph_ACPI_ER_LOG" hidden="1">#REF!</definedName>
    <definedName name="__3__123Graph_AGRAPHIQUE_1A" localSheetId="3" hidden="1">#REF!</definedName>
    <definedName name="__3__123Graph_AGRAPHIQUE_1A" localSheetId="4" hidden="1">#REF!</definedName>
    <definedName name="__3__123Graph_AGRAPHIQUE_1A" localSheetId="5" hidden="1">#REF!</definedName>
    <definedName name="__3__123Graph_AGRAPHIQUE_1A" hidden="1">#REF!</definedName>
    <definedName name="__3__123Graph_CGRAPHIQUE_1A" localSheetId="3" hidden="1">#REF!</definedName>
    <definedName name="__3__123Graph_CGRAPHIQUE_1A" localSheetId="4" hidden="1">#REF!</definedName>
    <definedName name="__3__123Graph_CGRAPHIQUE_1A" localSheetId="5" hidden="1">#REF!</definedName>
    <definedName name="__3__123Graph_CGRAPHIQUE_1A" hidden="1">#REF!</definedName>
    <definedName name="__30_____123Graph_CGRAPHIQUE_1A" localSheetId="3" hidden="1">#REF!</definedName>
    <definedName name="__30_____123Graph_CGRAPHIQUE_1A" localSheetId="4" hidden="1">#REF!</definedName>
    <definedName name="__30_____123Graph_CGRAPHIQUE_1A" localSheetId="5" hidden="1">#REF!</definedName>
    <definedName name="__30_____123Graph_CGRAPHIQUE_1A" hidden="1">#REF!</definedName>
    <definedName name="__33_____123Graph_DGRAPHIQUE_1A" localSheetId="3" hidden="1">#REF!</definedName>
    <definedName name="__33_____123Graph_DGRAPHIQUE_1A" localSheetId="4" hidden="1">#REF!</definedName>
    <definedName name="__33_____123Graph_DGRAPHIQUE_1A" localSheetId="5" hidden="1">#REF!</definedName>
    <definedName name="__33_____123Graph_DGRAPHIQUE_1A" hidden="1">#REF!</definedName>
    <definedName name="__34__123Graph_EGRAPHIQUE_1A" localSheetId="7" hidden="1">#REF!</definedName>
    <definedName name="__34__123Graph_EGRAPHIQUE_1A" localSheetId="6" hidden="1">#REF!</definedName>
    <definedName name="__35__123Graph_EGRAPHIQUE_1A" localSheetId="3" hidden="1">#REF!</definedName>
    <definedName name="__35__123Graph_EGRAPHIQUE_1A" localSheetId="4" hidden="1">#REF!</definedName>
    <definedName name="__35__123Graph_EGRAPHIQUE_1A" localSheetId="5" hidden="1">#REF!</definedName>
    <definedName name="__35__123Graph_EGRAPHIQUE_1A" localSheetId="8" hidden="1">#REF!</definedName>
    <definedName name="__35__123Graph_EGRAPHIQUE_1A" localSheetId="7" hidden="1">#REF!</definedName>
    <definedName name="__35__123Graph_EGRAPHIQUE_1A" localSheetId="6" hidden="1">#REF!</definedName>
    <definedName name="__35__123Graph_EGRAPHIQUE_1A" hidden="1">#REF!</definedName>
    <definedName name="__36_____123Graph_EGRAPHIQUE_1A" localSheetId="3" hidden="1">#REF!</definedName>
    <definedName name="__36_____123Graph_EGRAPHIQUE_1A" localSheetId="4" hidden="1">#REF!</definedName>
    <definedName name="__36_____123Graph_EGRAPHIQUE_1A" localSheetId="5" hidden="1">#REF!</definedName>
    <definedName name="__36_____123Graph_EGRAPHIQUE_1A" hidden="1">#REF!</definedName>
    <definedName name="__39_____123Graph_FGRAPHIQUE_1A" localSheetId="3" hidden="1">#REF!</definedName>
    <definedName name="__39_____123Graph_FGRAPHIQUE_1A" localSheetId="4" hidden="1">#REF!</definedName>
    <definedName name="__39_____123Graph_FGRAPHIQUE_1A" localSheetId="5" hidden="1">#REF!</definedName>
    <definedName name="__39_____123Graph_FGRAPHIQUE_1A" hidden="1">#REF!</definedName>
    <definedName name="__4__123Graph_BCPI_ER_LOG" localSheetId="3" hidden="1">#REF!</definedName>
    <definedName name="__4__123Graph_BCPI_ER_LOG" localSheetId="4" hidden="1">#REF!</definedName>
    <definedName name="__4__123Graph_BCPI_ER_LOG" localSheetId="5" hidden="1">#REF!</definedName>
    <definedName name="__4__123Graph_BCPI_ER_LOG" hidden="1">#REF!</definedName>
    <definedName name="__4__123Graph_BGRAPHIQUE_1A" localSheetId="3" hidden="1">#REF!</definedName>
    <definedName name="__4__123Graph_BGRAPHIQUE_1A" localSheetId="4" hidden="1">#REF!</definedName>
    <definedName name="__4__123Graph_BGRAPHIQUE_1A" localSheetId="5" hidden="1">#REF!</definedName>
    <definedName name="__4__123Graph_BGRAPHIQUE_1A" hidden="1">#REF!</definedName>
    <definedName name="__4__123Graph_DGRAPHIQUE_1A" localSheetId="3" hidden="1">#REF!</definedName>
    <definedName name="__4__123Graph_DGRAPHIQUE_1A" localSheetId="4" hidden="1">#REF!</definedName>
    <definedName name="__4__123Graph_DGRAPHIQUE_1A" localSheetId="5" hidden="1">#REF!</definedName>
    <definedName name="__4__123Graph_DGRAPHIQUE_1A" hidden="1">#REF!</definedName>
    <definedName name="__41__123Graph_FGRAPHIQUE_1A" localSheetId="7" hidden="1">#REF!</definedName>
    <definedName name="__41__123Graph_FGRAPHIQUE_1A" localSheetId="6" hidden="1">#REF!</definedName>
    <definedName name="__42_____123Graph_XGRAPHIQUE_1A" localSheetId="3" hidden="1">#REF!</definedName>
    <definedName name="__42_____123Graph_XGRAPHIQUE_1A" localSheetId="4" hidden="1">#REF!</definedName>
    <definedName name="__42_____123Graph_XGRAPHIQUE_1A" localSheetId="5" hidden="1">#REF!</definedName>
    <definedName name="__42_____123Graph_XGRAPHIQUE_1A" hidden="1">#REF!</definedName>
    <definedName name="__42__123Graph_FGRAPHIQUE_1A" localSheetId="3" hidden="1">#REF!</definedName>
    <definedName name="__42__123Graph_FGRAPHIQUE_1A" localSheetId="4" hidden="1">#REF!</definedName>
    <definedName name="__42__123Graph_FGRAPHIQUE_1A" localSheetId="5" hidden="1">#REF!</definedName>
    <definedName name="__42__123Graph_FGRAPHIQUE_1A" localSheetId="8" hidden="1">#REF!</definedName>
    <definedName name="__42__123Graph_FGRAPHIQUE_1A" localSheetId="7" hidden="1">#REF!</definedName>
    <definedName name="__42__123Graph_FGRAPHIQUE_1A" localSheetId="6" hidden="1">#REF!</definedName>
    <definedName name="__42__123Graph_FGRAPHIQUE_1A" hidden="1">#REF!</definedName>
    <definedName name="__45____123Graph_AGRAPHIQUE_1A" localSheetId="3" hidden="1">#REF!</definedName>
    <definedName name="__45____123Graph_AGRAPHIQUE_1A" localSheetId="4" hidden="1">#REF!</definedName>
    <definedName name="__45____123Graph_AGRAPHIQUE_1A" localSheetId="5" hidden="1">#REF!</definedName>
    <definedName name="__45____123Graph_AGRAPHIQUE_1A" hidden="1">#REF!</definedName>
    <definedName name="__48____123Graph_BGRAPHIQUE_1A" localSheetId="3" hidden="1">#REF!</definedName>
    <definedName name="__48____123Graph_BGRAPHIQUE_1A" localSheetId="4" hidden="1">#REF!</definedName>
    <definedName name="__48____123Graph_BGRAPHIQUE_1A" localSheetId="5" hidden="1">#REF!</definedName>
    <definedName name="__48____123Graph_BGRAPHIQUE_1A" hidden="1">#REF!</definedName>
    <definedName name="__48__123Graph_XGRAPHIQUE_1A" localSheetId="7" hidden="1">#REF!</definedName>
    <definedName name="__48__123Graph_XGRAPHIQUE_1A" localSheetId="6" hidden="1">#REF!</definedName>
    <definedName name="__49__123Graph_XGRAPHIQUE_1A" localSheetId="3" hidden="1">#REF!</definedName>
    <definedName name="__49__123Graph_XGRAPHIQUE_1A" localSheetId="4" hidden="1">#REF!</definedName>
    <definedName name="__49__123Graph_XGRAPHIQUE_1A" localSheetId="5" hidden="1">#REF!</definedName>
    <definedName name="__49__123Graph_XGRAPHIQUE_1A" localSheetId="8" hidden="1">#REF!</definedName>
    <definedName name="__49__123Graph_XGRAPHIQUE_1A" localSheetId="7" hidden="1">#REF!</definedName>
    <definedName name="__49__123Graph_XGRAPHIQUE_1A" localSheetId="6" hidden="1">#REF!</definedName>
    <definedName name="__49__123Graph_XGRAPHIQUE_1A" hidden="1">#REF!</definedName>
    <definedName name="__5__123Graph_BIBA_IBRD" localSheetId="3" hidden="1">#REF!</definedName>
    <definedName name="__5__123Graph_BIBA_IBRD" localSheetId="4" hidden="1">#REF!</definedName>
    <definedName name="__5__123Graph_BIBA_IBRD" localSheetId="5" hidden="1">#REF!</definedName>
    <definedName name="__5__123Graph_BIBA_IBRD" hidden="1">#REF!</definedName>
    <definedName name="__5__123Graph_EGRAPHIQUE_1A" localSheetId="3" hidden="1">#REF!</definedName>
    <definedName name="__5__123Graph_EGRAPHIQUE_1A" localSheetId="4" hidden="1">#REF!</definedName>
    <definedName name="__5__123Graph_EGRAPHIQUE_1A" localSheetId="5" hidden="1">#REF!</definedName>
    <definedName name="__5__123Graph_EGRAPHIQUE_1A" hidden="1">#REF!</definedName>
    <definedName name="__51____123Graph_CGRAPHIQUE_1A" localSheetId="3" hidden="1">#REF!</definedName>
    <definedName name="__51____123Graph_CGRAPHIQUE_1A" localSheetId="4" hidden="1">#REF!</definedName>
    <definedName name="__51____123Graph_CGRAPHIQUE_1A" localSheetId="5" hidden="1">#REF!</definedName>
    <definedName name="__51____123Graph_CGRAPHIQUE_1A" hidden="1">#REF!</definedName>
    <definedName name="__54____123Graph_DGRAPHIQUE_1A" localSheetId="3" hidden="1">#REF!</definedName>
    <definedName name="__54____123Graph_DGRAPHIQUE_1A" localSheetId="4" hidden="1">#REF!</definedName>
    <definedName name="__54____123Graph_DGRAPHIQUE_1A" localSheetId="5" hidden="1">#REF!</definedName>
    <definedName name="__54____123Graph_DGRAPHIQUE_1A" hidden="1">#REF!</definedName>
    <definedName name="__57____123Graph_EGRAPHIQUE_1A" localSheetId="3" hidden="1">#REF!</definedName>
    <definedName name="__57____123Graph_EGRAPHIQUE_1A" localSheetId="4" hidden="1">#REF!</definedName>
    <definedName name="__57____123Graph_EGRAPHIQUE_1A" localSheetId="5" hidden="1">#REF!</definedName>
    <definedName name="__57____123Graph_EGRAPHIQUE_1A" hidden="1">#REF!</definedName>
    <definedName name="__6______123Graph_BGRAPHIQUE_1A" localSheetId="3" hidden="1">#REF!</definedName>
    <definedName name="__6______123Graph_BGRAPHIQUE_1A" localSheetId="4" hidden="1">#REF!</definedName>
    <definedName name="__6______123Graph_BGRAPHIQUE_1A" localSheetId="5" hidden="1">#REF!</definedName>
    <definedName name="__6______123Graph_BGRAPHIQUE_1A" hidden="1">#REF!</definedName>
    <definedName name="__6__123Graph_AGRAPHIQUE_1A" localSheetId="7" hidden="1">#REF!</definedName>
    <definedName name="__6__123Graph_AGRAPHIQUE_1A" localSheetId="6" hidden="1">#REF!</definedName>
    <definedName name="__6__123Graph_BGRAPHIQUE_1A" localSheetId="3" hidden="1">#REF!</definedName>
    <definedName name="__6__123Graph_BGRAPHIQUE_1A" localSheetId="4" hidden="1">#REF!</definedName>
    <definedName name="__6__123Graph_BGRAPHIQUE_1A" localSheetId="5" hidden="1">#REF!</definedName>
    <definedName name="__6__123Graph_BGRAPHIQUE_1A" hidden="1">#REF!</definedName>
    <definedName name="__6__123Graph_CGRAPHIQUE_1A" localSheetId="3" hidden="1">#REF!</definedName>
    <definedName name="__6__123Graph_CGRAPHIQUE_1A" localSheetId="4" hidden="1">#REF!</definedName>
    <definedName name="__6__123Graph_CGRAPHIQUE_1A" localSheetId="5" hidden="1">#REF!</definedName>
    <definedName name="__6__123Graph_CGRAPHIQUE_1A" hidden="1">#REF!</definedName>
    <definedName name="__6__123Graph_FGRAPHIQUE_1A" localSheetId="3" hidden="1">#REF!</definedName>
    <definedName name="__6__123Graph_FGRAPHIQUE_1A" localSheetId="4" hidden="1">#REF!</definedName>
    <definedName name="__6__123Graph_FGRAPHIQUE_1A" localSheetId="5" hidden="1">#REF!</definedName>
    <definedName name="__6__123Graph_FGRAPHIQUE_1A" hidden="1">#REF!</definedName>
    <definedName name="__60____123Graph_FGRAPHIQUE_1A" localSheetId="3" hidden="1">#REF!</definedName>
    <definedName name="__60____123Graph_FGRAPHIQUE_1A" localSheetId="4" hidden="1">#REF!</definedName>
    <definedName name="__60____123Graph_FGRAPHIQUE_1A" localSheetId="5" hidden="1">#REF!</definedName>
    <definedName name="__60____123Graph_FGRAPHIQUE_1A" hidden="1">#REF!</definedName>
    <definedName name="__63____123Graph_XGRAPHIQUE_1A" localSheetId="3" hidden="1">#REF!</definedName>
    <definedName name="__63____123Graph_XGRAPHIQUE_1A" localSheetId="4" hidden="1">#REF!</definedName>
    <definedName name="__63____123Graph_XGRAPHIQUE_1A" localSheetId="5" hidden="1">#REF!</definedName>
    <definedName name="__63____123Graph_XGRAPHIQUE_1A" hidden="1">#REF!</definedName>
    <definedName name="__66___123Graph_AGRAPHIQUE_1A" localSheetId="3" hidden="1">#REF!</definedName>
    <definedName name="__66___123Graph_AGRAPHIQUE_1A" localSheetId="4" hidden="1">#REF!</definedName>
    <definedName name="__66___123Graph_AGRAPHIQUE_1A" localSheetId="5" hidden="1">#REF!</definedName>
    <definedName name="__66___123Graph_AGRAPHIQUE_1A" hidden="1">#REF!</definedName>
    <definedName name="__69___123Graph_BGRAPHIQUE_1A" localSheetId="3" hidden="1">#REF!</definedName>
    <definedName name="__69___123Graph_BGRAPHIQUE_1A" localSheetId="4" hidden="1">#REF!</definedName>
    <definedName name="__69___123Graph_BGRAPHIQUE_1A" localSheetId="5" hidden="1">#REF!</definedName>
    <definedName name="__69___123Graph_BGRAPHIQUE_1A" hidden="1">#REF!</definedName>
    <definedName name="__7__123Graph_AGRAPHIQUE_1A" localSheetId="3" hidden="1">#REF!</definedName>
    <definedName name="__7__123Graph_AGRAPHIQUE_1A" localSheetId="4" hidden="1">#REF!</definedName>
    <definedName name="__7__123Graph_AGRAPHIQUE_1A" localSheetId="5" hidden="1">#REF!</definedName>
    <definedName name="__7__123Graph_AGRAPHIQUE_1A" localSheetId="8" hidden="1">#REF!</definedName>
    <definedName name="__7__123Graph_AGRAPHIQUE_1A" localSheetId="7" hidden="1">#REF!</definedName>
    <definedName name="__7__123Graph_AGRAPHIQUE_1A" localSheetId="6" hidden="1">#REF!</definedName>
    <definedName name="__7__123Graph_AGRAPHIQUE_1A" hidden="1">#REF!</definedName>
    <definedName name="__7__123Graph_XGRAPHIQUE_1A" localSheetId="3" hidden="1">#REF!</definedName>
    <definedName name="__7__123Graph_XGRAPHIQUE_1A" localSheetId="4" hidden="1">#REF!</definedName>
    <definedName name="__7__123Graph_XGRAPHIQUE_1A" localSheetId="5" hidden="1">#REF!</definedName>
    <definedName name="__7__123Graph_XGRAPHIQUE_1A" hidden="1">#REF!</definedName>
    <definedName name="__72___123Graph_CGRAPHIQUE_1A" localSheetId="3" hidden="1">#REF!</definedName>
    <definedName name="__72___123Graph_CGRAPHIQUE_1A" localSheetId="4" hidden="1">#REF!</definedName>
    <definedName name="__72___123Graph_CGRAPHIQUE_1A" localSheetId="5" hidden="1">#REF!</definedName>
    <definedName name="__72___123Graph_CGRAPHIQUE_1A" hidden="1">#REF!</definedName>
    <definedName name="__75___123Graph_DGRAPHIQUE_1A" localSheetId="3" hidden="1">#REF!</definedName>
    <definedName name="__75___123Graph_DGRAPHIQUE_1A" localSheetId="4" hidden="1">#REF!</definedName>
    <definedName name="__75___123Graph_DGRAPHIQUE_1A" localSheetId="5" hidden="1">#REF!</definedName>
    <definedName name="__75___123Graph_DGRAPHIQUE_1A" hidden="1">#REF!</definedName>
    <definedName name="__78___123Graph_EGRAPHIQUE_1A" localSheetId="3" hidden="1">#REF!</definedName>
    <definedName name="__78___123Graph_EGRAPHIQUE_1A" localSheetId="4" hidden="1">#REF!</definedName>
    <definedName name="__78___123Graph_EGRAPHIQUE_1A" localSheetId="5" hidden="1">#REF!</definedName>
    <definedName name="__78___123Graph_EGRAPHIQUE_1A" hidden="1">#REF!</definedName>
    <definedName name="__8__123Graph_DGRAPHIQUE_1A" localSheetId="3" hidden="1">#REF!</definedName>
    <definedName name="__8__123Graph_DGRAPHIQUE_1A" localSheetId="4" hidden="1">#REF!</definedName>
    <definedName name="__8__123Graph_DGRAPHIQUE_1A" localSheetId="5" hidden="1">#REF!</definedName>
    <definedName name="__8__123Graph_DGRAPHIQUE_1A" hidden="1">#REF!</definedName>
    <definedName name="__81___123Graph_FGRAPHIQUE_1A" localSheetId="3" hidden="1">#REF!</definedName>
    <definedName name="__81___123Graph_FGRAPHIQUE_1A" localSheetId="4" hidden="1">#REF!</definedName>
    <definedName name="__81___123Graph_FGRAPHIQUE_1A" localSheetId="5" hidden="1">#REF!</definedName>
    <definedName name="__81___123Graph_FGRAPHIQUE_1A" hidden="1">#REF!</definedName>
    <definedName name="__84___123Graph_XGRAPHIQUE_1A" localSheetId="3" hidden="1">#REF!</definedName>
    <definedName name="__84___123Graph_XGRAPHIQUE_1A" localSheetId="4" hidden="1">#REF!</definedName>
    <definedName name="__84___123Graph_XGRAPHIQUE_1A" localSheetId="5" hidden="1">#REF!</definedName>
    <definedName name="__84___123Graph_XGRAPHIQUE_1A" hidden="1">#REF!</definedName>
    <definedName name="__9______123Graph_CGRAPHIQUE_1A" localSheetId="3" hidden="1">#REF!</definedName>
    <definedName name="__9______123Graph_CGRAPHIQUE_1A" localSheetId="4" hidden="1">#REF!</definedName>
    <definedName name="__9______123Graph_CGRAPHIQUE_1A" localSheetId="5" hidden="1">#REF!</definedName>
    <definedName name="__9______123Graph_CGRAPHIQUE_1A" hidden="1">#REF!</definedName>
    <definedName name="__9__123Graph_CGRAPHIQUE_1A" localSheetId="3" hidden="1">#REF!</definedName>
    <definedName name="__9__123Graph_CGRAPHIQUE_1A" localSheetId="4" hidden="1">#REF!</definedName>
    <definedName name="__9__123Graph_CGRAPHIQUE_1A" localSheetId="5" hidden="1">#REF!</definedName>
    <definedName name="__9__123Graph_CGRAPHIQUE_1A" hidden="1">#REF!</definedName>
    <definedName name="__FDS_HYPERLINK_TOGGLE_STATE__" hidden="1">"ON"</definedName>
    <definedName name="__xlfn.BAHTTEXT" hidden="1">#NAME?</definedName>
    <definedName name="_1__________________________________________123Graph_AGRAPHIQUE_1A" localSheetId="3" hidden="1">#REF!</definedName>
    <definedName name="_1__________________________________________123Graph_AGRAPHIQUE_1A" localSheetId="4" hidden="1">#REF!</definedName>
    <definedName name="_1__________________________________________123Graph_AGRAPHIQUE_1A" localSheetId="5" hidden="1">#REF!</definedName>
    <definedName name="_1__________________________________________123Graph_AGRAPHIQUE_1A" hidden="1">#REF!</definedName>
    <definedName name="_1______________________123Graph_AGRAPHIQUE_1A" localSheetId="3" hidden="1">#REF!</definedName>
    <definedName name="_1______________________123Graph_AGRAPHIQUE_1A" localSheetId="4" hidden="1">#REF!</definedName>
    <definedName name="_1______________________123Graph_AGRAPHIQUE_1A" localSheetId="5" hidden="1">#REF!</definedName>
    <definedName name="_1______________________123Graph_AGRAPHIQUE_1A" hidden="1">#REF!</definedName>
    <definedName name="_1__123Graph_AGRAPHIQUE_1A" localSheetId="3" hidden="1">#REF!</definedName>
    <definedName name="_1__123Graph_AGRAPHIQUE_1A" localSheetId="4" hidden="1">#REF!</definedName>
    <definedName name="_1__123Graph_AGRAPHIQUE_1A" localSheetId="5" hidden="1">#REF!</definedName>
    <definedName name="_1__123Graph_AGRAPHIQUE_1A" localSheetId="8" hidden="1">#REF!</definedName>
    <definedName name="_1__123Graph_AGRAPHIQUE_1A" hidden="1">#REF!</definedName>
    <definedName name="_10_________________________________________123Graph_CGRAPHIQUE_1A" localSheetId="3" hidden="1">#REF!</definedName>
    <definedName name="_10_________________________________________123Graph_CGRAPHIQUE_1A" localSheetId="4" hidden="1">#REF!</definedName>
    <definedName name="_10_________________________________________123Graph_CGRAPHIQUE_1A" localSheetId="5" hidden="1">#REF!</definedName>
    <definedName name="_10_________________________________________123Graph_CGRAPHIQUE_1A" hidden="1">#REF!</definedName>
    <definedName name="_10_____________________123Graph_CGRAPHIQUE_1A" localSheetId="3" hidden="1">#REF!</definedName>
    <definedName name="_10_____________________123Graph_CGRAPHIQUE_1A" localSheetId="4" hidden="1">#REF!</definedName>
    <definedName name="_10_____________________123Graph_CGRAPHIQUE_1A" localSheetId="5" hidden="1">#REF!</definedName>
    <definedName name="_10_____________________123Graph_CGRAPHIQUE_1A" hidden="1">#REF!</definedName>
    <definedName name="_10______123Graph_EGRAPHIQUE_1A" localSheetId="3" hidden="1">#REF!</definedName>
    <definedName name="_10______123Graph_EGRAPHIQUE_1A" localSheetId="4" hidden="1">#REF!</definedName>
    <definedName name="_10______123Graph_EGRAPHIQUE_1A" localSheetId="5" hidden="1">#REF!</definedName>
    <definedName name="_10______123Graph_EGRAPHIQUE_1A" hidden="1">#REF!</definedName>
    <definedName name="_10__123Graph_AR_M_VOLUMES" localSheetId="3" hidden="1">#REF!</definedName>
    <definedName name="_10__123Graph_AR_M_VOLUMES" localSheetId="4" hidden="1">#REF!</definedName>
    <definedName name="_10__123Graph_AR_M_VOLUMES" localSheetId="5" hidden="1">#REF!</definedName>
    <definedName name="_10__123Graph_AR_M_VOLUMES" hidden="1">#REF!</definedName>
    <definedName name="_10__123Graph_BGRAPHIQUE_1A" localSheetId="3" hidden="1">#REF!</definedName>
    <definedName name="_10__123Graph_BGRAPHIQUE_1A" localSheetId="4" hidden="1">#REF!</definedName>
    <definedName name="_10__123Graph_BGRAPHIQUE_1A" localSheetId="5" hidden="1">#REF!</definedName>
    <definedName name="_10__123Graph_BGRAPHIQUE_1A" localSheetId="8" hidden="1">#REF!</definedName>
    <definedName name="_10__123Graph_BGRAPHIQUE_1A" localSheetId="7" hidden="1">#REF!</definedName>
    <definedName name="_10__123Graph_BGRAPHIQUE_1A" localSheetId="6" hidden="1">#REF!</definedName>
    <definedName name="_10__123Graph_BGRAPHIQUE_1A" hidden="1">#REF!</definedName>
    <definedName name="_10__123Graph_DGRAPHIQUE_1A" localSheetId="8" hidden="1">#REF!</definedName>
    <definedName name="_10__123Graph_EGRAPHIQUE_1A" localSheetId="3" hidden="1">#REF!</definedName>
    <definedName name="_10__123Graph_EGRAPHIQUE_1A" localSheetId="4" hidden="1">#REF!</definedName>
    <definedName name="_10__123Graph_EGRAPHIQUE_1A" localSheetId="5" hidden="1">#REF!</definedName>
    <definedName name="_10__123Graph_EGRAPHIQUE_1A" localSheetId="8" hidden="1">#REF!</definedName>
    <definedName name="_10__123Graph_EGRAPHIQUE_1A" localSheetId="7" hidden="1">#REF!</definedName>
    <definedName name="_10__123Graph_EGRAPHIQUE_1A" localSheetId="6" hidden="1">#REF!</definedName>
    <definedName name="_10__123Graph_EGRAPHIQUE_1A" hidden="1">#REF!</definedName>
    <definedName name="_100____________________________123Graph_BGRAPHIQUE_1A" localSheetId="3" hidden="1">#REF!</definedName>
    <definedName name="_100____________________________123Graph_BGRAPHIQUE_1A" localSheetId="4" hidden="1">#REF!</definedName>
    <definedName name="_100____________________________123Graph_BGRAPHIQUE_1A" localSheetId="5" hidden="1">#REF!</definedName>
    <definedName name="_100____________________________123Graph_BGRAPHIQUE_1A" hidden="1">#REF!</definedName>
    <definedName name="_100________123Graph_BGRAPHIQUE_1A" localSheetId="3" hidden="1">#REF!</definedName>
    <definedName name="_100________123Graph_BGRAPHIQUE_1A" localSheetId="4" hidden="1">#REF!</definedName>
    <definedName name="_100________123Graph_BGRAPHIQUE_1A" localSheetId="5" hidden="1">#REF!</definedName>
    <definedName name="_100________123Graph_BGRAPHIQUE_1A" hidden="1">#REF!</definedName>
    <definedName name="_101____________________________123Graph_CGRAPHIQUE_1A" localSheetId="3" hidden="1">#REF!</definedName>
    <definedName name="_101____________________________123Graph_CGRAPHIQUE_1A" localSheetId="4" hidden="1">#REF!</definedName>
    <definedName name="_101____________________________123Graph_CGRAPHIQUE_1A" localSheetId="5" hidden="1">#REF!</definedName>
    <definedName name="_101____________________________123Graph_CGRAPHIQUE_1A" hidden="1">#REF!</definedName>
    <definedName name="_101________123Graph_CGRAPHIQUE_1A" localSheetId="3" hidden="1">#REF!</definedName>
    <definedName name="_101________123Graph_CGRAPHIQUE_1A" localSheetId="4" hidden="1">#REF!</definedName>
    <definedName name="_101________123Graph_CGRAPHIQUE_1A" localSheetId="5" hidden="1">#REF!</definedName>
    <definedName name="_101________123Graph_CGRAPHIQUE_1A" hidden="1">#REF!</definedName>
    <definedName name="_102____________________________123Graph_DGRAPHIQUE_1A" localSheetId="3" hidden="1">#REF!</definedName>
    <definedName name="_102____________________________123Graph_DGRAPHIQUE_1A" localSheetId="4" hidden="1">#REF!</definedName>
    <definedName name="_102____________________________123Graph_DGRAPHIQUE_1A" localSheetId="5" hidden="1">#REF!</definedName>
    <definedName name="_102____________________________123Graph_DGRAPHIQUE_1A" hidden="1">#REF!</definedName>
    <definedName name="_102________123Graph_DGRAPHIQUE_1A" localSheetId="3" hidden="1">#REF!</definedName>
    <definedName name="_102________123Graph_DGRAPHIQUE_1A" localSheetId="4" hidden="1">#REF!</definedName>
    <definedName name="_102________123Graph_DGRAPHIQUE_1A" localSheetId="5" hidden="1">#REF!</definedName>
    <definedName name="_102________123Graph_DGRAPHIQUE_1A" hidden="1">#REF!</definedName>
    <definedName name="_103____________________________123Graph_EGRAPHIQUE_1A" localSheetId="3" hidden="1">#REF!</definedName>
    <definedName name="_103____________________________123Graph_EGRAPHIQUE_1A" localSheetId="4" hidden="1">#REF!</definedName>
    <definedName name="_103____________________________123Graph_EGRAPHIQUE_1A" localSheetId="5" hidden="1">#REF!</definedName>
    <definedName name="_103____________________________123Graph_EGRAPHIQUE_1A" hidden="1">#REF!</definedName>
    <definedName name="_103________123Graph_EGRAPHIQUE_1A" localSheetId="3" hidden="1">#REF!</definedName>
    <definedName name="_103________123Graph_EGRAPHIQUE_1A" localSheetId="4" hidden="1">#REF!</definedName>
    <definedName name="_103________123Graph_EGRAPHIQUE_1A" localSheetId="5" hidden="1">#REF!</definedName>
    <definedName name="_103________123Graph_EGRAPHIQUE_1A" hidden="1">#REF!</definedName>
    <definedName name="_104____________________________123Graph_FGRAPHIQUE_1A" localSheetId="3" hidden="1">#REF!</definedName>
    <definedName name="_104____________________________123Graph_FGRAPHIQUE_1A" localSheetId="4" hidden="1">#REF!</definedName>
    <definedName name="_104____________________________123Graph_FGRAPHIQUE_1A" localSheetId="5" hidden="1">#REF!</definedName>
    <definedName name="_104____________________________123Graph_FGRAPHIQUE_1A" hidden="1">#REF!</definedName>
    <definedName name="_104________123Graph_FGRAPHIQUE_1A" localSheetId="3" hidden="1">#REF!</definedName>
    <definedName name="_104________123Graph_FGRAPHIQUE_1A" localSheetId="4" hidden="1">#REF!</definedName>
    <definedName name="_104________123Graph_FGRAPHIQUE_1A" localSheetId="5" hidden="1">#REF!</definedName>
    <definedName name="_104________123Graph_FGRAPHIQUE_1A" hidden="1">#REF!</definedName>
    <definedName name="_105____________________________123Graph_XGRAPHIQUE_1A" localSheetId="3" hidden="1">#REF!</definedName>
    <definedName name="_105____________________________123Graph_XGRAPHIQUE_1A" localSheetId="4" hidden="1">#REF!</definedName>
    <definedName name="_105____________________________123Graph_XGRAPHIQUE_1A" localSheetId="5" hidden="1">#REF!</definedName>
    <definedName name="_105____________________________123Graph_XGRAPHIQUE_1A" hidden="1">#REF!</definedName>
    <definedName name="_105________123Graph_XGRAPHIQUE_1A" localSheetId="3" hidden="1">#REF!</definedName>
    <definedName name="_105________123Graph_XGRAPHIQUE_1A" localSheetId="4" hidden="1">#REF!</definedName>
    <definedName name="_105________123Graph_XGRAPHIQUE_1A" localSheetId="5" hidden="1">#REF!</definedName>
    <definedName name="_105________123Graph_XGRAPHIQUE_1A" hidden="1">#REF!</definedName>
    <definedName name="_106___________________________123Graph_AGRAPHIQUE_1A" localSheetId="3" hidden="1">#REF!</definedName>
    <definedName name="_106___________________________123Graph_AGRAPHIQUE_1A" localSheetId="4" hidden="1">#REF!</definedName>
    <definedName name="_106___________________________123Graph_AGRAPHIQUE_1A" localSheetId="5" hidden="1">#REF!</definedName>
    <definedName name="_106___________________________123Graph_AGRAPHIQUE_1A" hidden="1">#REF!</definedName>
    <definedName name="_106_______123Graph_AGRAPHIQUE_1A" localSheetId="3" hidden="1">#REF!</definedName>
    <definedName name="_106_______123Graph_AGRAPHIQUE_1A" localSheetId="4" hidden="1">#REF!</definedName>
    <definedName name="_106_______123Graph_AGRAPHIQUE_1A" localSheetId="5" hidden="1">#REF!</definedName>
    <definedName name="_106_______123Graph_AGRAPHIQUE_1A" hidden="1">#REF!</definedName>
    <definedName name="_107___________________________123Graph_BGRAPHIQUE_1A" localSheetId="3" hidden="1">#REF!</definedName>
    <definedName name="_107___________________________123Graph_BGRAPHIQUE_1A" localSheetId="4" hidden="1">#REF!</definedName>
    <definedName name="_107___________________________123Graph_BGRAPHIQUE_1A" localSheetId="5" hidden="1">#REF!</definedName>
    <definedName name="_107___________________________123Graph_BGRAPHIQUE_1A" hidden="1">#REF!</definedName>
    <definedName name="_107_______123Graph_BGRAPHIQUE_1A" localSheetId="3" hidden="1">#REF!</definedName>
    <definedName name="_107_______123Graph_BGRAPHIQUE_1A" localSheetId="4" hidden="1">#REF!</definedName>
    <definedName name="_107_______123Graph_BGRAPHIQUE_1A" localSheetId="5" hidden="1">#REF!</definedName>
    <definedName name="_107_______123Graph_BGRAPHIQUE_1A" hidden="1">#REF!</definedName>
    <definedName name="_108___________________________123Graph_CGRAPHIQUE_1A" localSheetId="3" hidden="1">#REF!</definedName>
    <definedName name="_108___________________________123Graph_CGRAPHIQUE_1A" localSheetId="4" hidden="1">#REF!</definedName>
    <definedName name="_108___________________________123Graph_CGRAPHIQUE_1A" localSheetId="5" hidden="1">#REF!</definedName>
    <definedName name="_108___________________________123Graph_CGRAPHIQUE_1A" hidden="1">#REF!</definedName>
    <definedName name="_108_______123Graph_CGRAPHIQUE_1A" localSheetId="3" hidden="1">#REF!</definedName>
    <definedName name="_108_______123Graph_CGRAPHIQUE_1A" localSheetId="4" hidden="1">#REF!</definedName>
    <definedName name="_108_______123Graph_CGRAPHIQUE_1A" localSheetId="5" hidden="1">#REF!</definedName>
    <definedName name="_108_______123Graph_CGRAPHIQUE_1A" hidden="1">#REF!</definedName>
    <definedName name="_109___________________________123Graph_DGRAPHIQUE_1A" localSheetId="3" hidden="1">#REF!</definedName>
    <definedName name="_109___________________________123Graph_DGRAPHIQUE_1A" localSheetId="4" hidden="1">#REF!</definedName>
    <definedName name="_109___________________________123Graph_DGRAPHIQUE_1A" localSheetId="5" hidden="1">#REF!</definedName>
    <definedName name="_109___________________________123Graph_DGRAPHIQUE_1A" hidden="1">#REF!</definedName>
    <definedName name="_109_______123Graph_DGRAPHIQUE_1A" localSheetId="3" hidden="1">#REF!</definedName>
    <definedName name="_109_______123Graph_DGRAPHIQUE_1A" localSheetId="4" hidden="1">#REF!</definedName>
    <definedName name="_109_______123Graph_DGRAPHIQUE_1A" localSheetId="5" hidden="1">#REF!</definedName>
    <definedName name="_109_______123Graph_DGRAPHIQUE_1A" hidden="1">#REF!</definedName>
    <definedName name="_11_________________________________________123Graph_DGRAPHIQUE_1A" localSheetId="3" hidden="1">#REF!</definedName>
    <definedName name="_11_________________________________________123Graph_DGRAPHIQUE_1A" localSheetId="4" hidden="1">#REF!</definedName>
    <definedName name="_11_________________________________________123Graph_DGRAPHIQUE_1A" localSheetId="5" hidden="1">#REF!</definedName>
    <definedName name="_11_________________________________________123Graph_DGRAPHIQUE_1A" hidden="1">#REF!</definedName>
    <definedName name="_11_____________________123Graph_DGRAPHIQUE_1A" localSheetId="3" hidden="1">#REF!</definedName>
    <definedName name="_11_____________________123Graph_DGRAPHIQUE_1A" localSheetId="4" hidden="1">#REF!</definedName>
    <definedName name="_11_____________________123Graph_DGRAPHIQUE_1A" localSheetId="5" hidden="1">#REF!</definedName>
    <definedName name="_11_____________________123Graph_DGRAPHIQUE_1A" hidden="1">#REF!</definedName>
    <definedName name="_11__123Graph_BGRAPHIQUE_1A" localSheetId="8" hidden="1">#REF!</definedName>
    <definedName name="_11__123Graph_BR_M_MARGINS" localSheetId="5" hidden="1">#REF!</definedName>
    <definedName name="_11__123Graph_BR_M_MARGINS" hidden="1">#REF!</definedName>
    <definedName name="_11__123Graph_DGRAPHIQUE_1A" localSheetId="7" hidden="1">#REF!</definedName>
    <definedName name="_11__123Graph_DGRAPHIQUE_1A" localSheetId="6" hidden="1">#REF!</definedName>
    <definedName name="_110___________________________123Graph_EGRAPHIQUE_1A" localSheetId="3" hidden="1">#REF!</definedName>
    <definedName name="_110___________________________123Graph_EGRAPHIQUE_1A" localSheetId="4" hidden="1">#REF!</definedName>
    <definedName name="_110___________________________123Graph_EGRAPHIQUE_1A" localSheetId="5" hidden="1">#REF!</definedName>
    <definedName name="_110___________________________123Graph_EGRAPHIQUE_1A" hidden="1">#REF!</definedName>
    <definedName name="_110_______123Graph_EGRAPHIQUE_1A" localSheetId="3" hidden="1">#REF!</definedName>
    <definedName name="_110_______123Graph_EGRAPHIQUE_1A" localSheetId="4" hidden="1">#REF!</definedName>
    <definedName name="_110_______123Graph_EGRAPHIQUE_1A" localSheetId="5" hidden="1">#REF!</definedName>
    <definedName name="_110_______123Graph_EGRAPHIQUE_1A" hidden="1">#REF!</definedName>
    <definedName name="_111___________________________123Graph_FGRAPHIQUE_1A" localSheetId="3" hidden="1">#REF!</definedName>
    <definedName name="_111___________________________123Graph_FGRAPHIQUE_1A" localSheetId="4" hidden="1">#REF!</definedName>
    <definedName name="_111___________________________123Graph_FGRAPHIQUE_1A" localSheetId="5" hidden="1">#REF!</definedName>
    <definedName name="_111___________________________123Graph_FGRAPHIQUE_1A" hidden="1">#REF!</definedName>
    <definedName name="_111_______123Graph_FGRAPHIQUE_1A" localSheetId="3" hidden="1">#REF!</definedName>
    <definedName name="_111_______123Graph_FGRAPHIQUE_1A" localSheetId="4" hidden="1">#REF!</definedName>
    <definedName name="_111_______123Graph_FGRAPHIQUE_1A" localSheetId="5" hidden="1">#REF!</definedName>
    <definedName name="_111_______123Graph_FGRAPHIQUE_1A" hidden="1">#REF!</definedName>
    <definedName name="_112___________________________123Graph_XGRAPHIQUE_1A" localSheetId="3" hidden="1">#REF!</definedName>
    <definedName name="_112___________________________123Graph_XGRAPHIQUE_1A" localSheetId="4" hidden="1">#REF!</definedName>
    <definedName name="_112___________________________123Graph_XGRAPHIQUE_1A" localSheetId="5" hidden="1">#REF!</definedName>
    <definedName name="_112___________________________123Graph_XGRAPHIQUE_1A" hidden="1">#REF!</definedName>
    <definedName name="_112_______123Graph_XGRAPHIQUE_1A" localSheetId="3" hidden="1">#REF!</definedName>
    <definedName name="_112_______123Graph_XGRAPHIQUE_1A" localSheetId="4" hidden="1">#REF!</definedName>
    <definedName name="_112_______123Graph_XGRAPHIQUE_1A" localSheetId="5" hidden="1">#REF!</definedName>
    <definedName name="_112_______123Graph_XGRAPHIQUE_1A" hidden="1">#REF!</definedName>
    <definedName name="_113__________________________123Graph_AGRAPHIQUE_1A" localSheetId="3" hidden="1">#REF!</definedName>
    <definedName name="_113__________________________123Graph_AGRAPHIQUE_1A" localSheetId="4" hidden="1">#REF!</definedName>
    <definedName name="_113__________________________123Graph_AGRAPHIQUE_1A" localSheetId="5" hidden="1">#REF!</definedName>
    <definedName name="_113__________________________123Graph_AGRAPHIQUE_1A" hidden="1">#REF!</definedName>
    <definedName name="_113______123Graph_AGRAPHIQUE_1A" localSheetId="3" hidden="1">#REF!</definedName>
    <definedName name="_113______123Graph_AGRAPHIQUE_1A" localSheetId="4" hidden="1">#REF!</definedName>
    <definedName name="_113______123Graph_AGRAPHIQUE_1A" localSheetId="5" hidden="1">#REF!</definedName>
    <definedName name="_113______123Graph_AGRAPHIQUE_1A" hidden="1">#REF!</definedName>
    <definedName name="_114__________________________123Graph_BGRAPHIQUE_1A" localSheetId="3" hidden="1">#REF!</definedName>
    <definedName name="_114__________________________123Graph_BGRAPHIQUE_1A" localSheetId="4" hidden="1">#REF!</definedName>
    <definedName name="_114__________________________123Graph_BGRAPHIQUE_1A" localSheetId="5" hidden="1">#REF!</definedName>
    <definedName name="_114__________________________123Graph_BGRAPHIQUE_1A" hidden="1">#REF!</definedName>
    <definedName name="_114______123Graph_BGRAPHIQUE_1A" localSheetId="3" hidden="1">#REF!</definedName>
    <definedName name="_114______123Graph_BGRAPHIQUE_1A" localSheetId="4" hidden="1">#REF!</definedName>
    <definedName name="_114______123Graph_BGRAPHIQUE_1A" localSheetId="5" hidden="1">#REF!</definedName>
    <definedName name="_114______123Graph_BGRAPHIQUE_1A" hidden="1">#REF!</definedName>
    <definedName name="_115__________________________123Graph_CGRAPHIQUE_1A" localSheetId="3" hidden="1">#REF!</definedName>
    <definedName name="_115__________________________123Graph_CGRAPHIQUE_1A" localSheetId="4" hidden="1">#REF!</definedName>
    <definedName name="_115__________________________123Graph_CGRAPHIQUE_1A" localSheetId="5" hidden="1">#REF!</definedName>
    <definedName name="_115__________________________123Graph_CGRAPHIQUE_1A" hidden="1">#REF!</definedName>
    <definedName name="_115______123Graph_CGRAPHIQUE_1A" localSheetId="3" hidden="1">#REF!</definedName>
    <definedName name="_115______123Graph_CGRAPHIQUE_1A" localSheetId="4" hidden="1">#REF!</definedName>
    <definedName name="_115______123Graph_CGRAPHIQUE_1A" localSheetId="5" hidden="1">#REF!</definedName>
    <definedName name="_115______123Graph_CGRAPHIQUE_1A" hidden="1">#REF!</definedName>
    <definedName name="_116__________________________123Graph_DGRAPHIQUE_1A" localSheetId="3" hidden="1">#REF!</definedName>
    <definedName name="_116__________________________123Graph_DGRAPHIQUE_1A" localSheetId="4" hidden="1">#REF!</definedName>
    <definedName name="_116__________________________123Graph_DGRAPHIQUE_1A" localSheetId="5" hidden="1">#REF!</definedName>
    <definedName name="_116__________________________123Graph_DGRAPHIQUE_1A" hidden="1">#REF!</definedName>
    <definedName name="_116______123Graph_DGRAPHIQUE_1A" localSheetId="3" hidden="1">#REF!</definedName>
    <definedName name="_116______123Graph_DGRAPHIQUE_1A" localSheetId="4" hidden="1">#REF!</definedName>
    <definedName name="_116______123Graph_DGRAPHIQUE_1A" localSheetId="5" hidden="1">#REF!</definedName>
    <definedName name="_116______123Graph_DGRAPHIQUE_1A" hidden="1">#REF!</definedName>
    <definedName name="_117__________________________123Graph_EGRAPHIQUE_1A" localSheetId="3" hidden="1">#REF!</definedName>
    <definedName name="_117__________________________123Graph_EGRAPHIQUE_1A" localSheetId="4" hidden="1">#REF!</definedName>
    <definedName name="_117__________________________123Graph_EGRAPHIQUE_1A" localSheetId="5" hidden="1">#REF!</definedName>
    <definedName name="_117__________________________123Graph_EGRAPHIQUE_1A" hidden="1">#REF!</definedName>
    <definedName name="_117______123Graph_EGRAPHIQUE_1A" localSheetId="3" hidden="1">#REF!</definedName>
    <definedName name="_117______123Graph_EGRAPHIQUE_1A" localSheetId="4" hidden="1">#REF!</definedName>
    <definedName name="_117______123Graph_EGRAPHIQUE_1A" localSheetId="5" hidden="1">#REF!</definedName>
    <definedName name="_117______123Graph_EGRAPHIQUE_1A" hidden="1">#REF!</definedName>
    <definedName name="_118__________________________123Graph_FGRAPHIQUE_1A" localSheetId="3" hidden="1">#REF!</definedName>
    <definedName name="_118__________________________123Graph_FGRAPHIQUE_1A" localSheetId="4" hidden="1">#REF!</definedName>
    <definedName name="_118__________________________123Graph_FGRAPHIQUE_1A" localSheetId="5" hidden="1">#REF!</definedName>
    <definedName name="_118__________________________123Graph_FGRAPHIQUE_1A" hidden="1">#REF!</definedName>
    <definedName name="_118______123Graph_FGRAPHIQUE_1A" localSheetId="3" hidden="1">#REF!</definedName>
    <definedName name="_118______123Graph_FGRAPHIQUE_1A" localSheetId="4" hidden="1">#REF!</definedName>
    <definedName name="_118______123Graph_FGRAPHIQUE_1A" localSheetId="5" hidden="1">#REF!</definedName>
    <definedName name="_118______123Graph_FGRAPHIQUE_1A" hidden="1">#REF!</definedName>
    <definedName name="_119__________________________123Graph_XGRAPHIQUE_1A" localSheetId="3" hidden="1">#REF!</definedName>
    <definedName name="_119__________________________123Graph_XGRAPHIQUE_1A" localSheetId="4" hidden="1">#REF!</definedName>
    <definedName name="_119__________________________123Graph_XGRAPHIQUE_1A" localSheetId="5" hidden="1">#REF!</definedName>
    <definedName name="_119__________________________123Graph_XGRAPHIQUE_1A" hidden="1">#REF!</definedName>
    <definedName name="_119______123Graph_XGRAPHIQUE_1A" localSheetId="3" hidden="1">#REF!</definedName>
    <definedName name="_119______123Graph_XGRAPHIQUE_1A" localSheetId="4" hidden="1">#REF!</definedName>
    <definedName name="_119______123Graph_XGRAPHIQUE_1A" localSheetId="5" hidden="1">#REF!</definedName>
    <definedName name="_119______123Graph_XGRAPHIQUE_1A" hidden="1">#REF!</definedName>
    <definedName name="_12_________________________________________123Graph_EGRAPHIQUE_1A" localSheetId="3" hidden="1">#REF!</definedName>
    <definedName name="_12_________________________________________123Graph_EGRAPHIQUE_1A" localSheetId="4" hidden="1">#REF!</definedName>
    <definedName name="_12_________________________________________123Graph_EGRAPHIQUE_1A" localSheetId="5" hidden="1">#REF!</definedName>
    <definedName name="_12_________________________________________123Graph_EGRAPHIQUE_1A" hidden="1">#REF!</definedName>
    <definedName name="_12_____________________123Graph_EGRAPHIQUE_1A" localSheetId="3" hidden="1">#REF!</definedName>
    <definedName name="_12_____________________123Graph_EGRAPHIQUE_1A" localSheetId="4" hidden="1">#REF!</definedName>
    <definedName name="_12_____________________123Graph_EGRAPHIQUE_1A" localSheetId="5" hidden="1">#REF!</definedName>
    <definedName name="_12_____________________123Graph_EGRAPHIQUE_1A" hidden="1">#REF!</definedName>
    <definedName name="_12______123Graph_DGRAPHIQUE_1A" localSheetId="3" hidden="1">#REF!</definedName>
    <definedName name="_12______123Graph_DGRAPHIQUE_1A" localSheetId="4" hidden="1">#REF!</definedName>
    <definedName name="_12______123Graph_DGRAPHIQUE_1A" localSheetId="5" hidden="1">#REF!</definedName>
    <definedName name="_12______123Graph_DGRAPHIQUE_1A" hidden="1">#REF!</definedName>
    <definedName name="_12______123Graph_FGRAPHIQUE_1A" localSheetId="3" hidden="1">#REF!</definedName>
    <definedName name="_12______123Graph_FGRAPHIQUE_1A" localSheetId="4" hidden="1">#REF!</definedName>
    <definedName name="_12______123Graph_FGRAPHIQUE_1A" localSheetId="5" hidden="1">#REF!</definedName>
    <definedName name="_12______123Graph_FGRAPHIQUE_1A" hidden="1">#REF!</definedName>
    <definedName name="_12__123Graph_BR_M_VOLUMES" localSheetId="5" hidden="1">#REF!</definedName>
    <definedName name="_12__123Graph_BR_M_VOLUMES" hidden="1">#REF!</definedName>
    <definedName name="_12__123Graph_CGRAPHIQUE_1A" localSheetId="3" hidden="1">#REF!</definedName>
    <definedName name="_12__123Graph_CGRAPHIQUE_1A" localSheetId="4" hidden="1">#REF!</definedName>
    <definedName name="_12__123Graph_CGRAPHIQUE_1A" localSheetId="5" hidden="1">#REF!</definedName>
    <definedName name="_12__123Graph_CGRAPHIQUE_1A" hidden="1">#REF!</definedName>
    <definedName name="_12__123Graph_DGRAPHIQUE_1A" localSheetId="3" hidden="1">#REF!</definedName>
    <definedName name="_12__123Graph_DGRAPHIQUE_1A" localSheetId="4" hidden="1">#REF!</definedName>
    <definedName name="_12__123Graph_DGRAPHIQUE_1A" localSheetId="5" hidden="1">#REF!</definedName>
    <definedName name="_12__123Graph_DGRAPHIQUE_1A" localSheetId="8" hidden="1">#REF!</definedName>
    <definedName name="_12__123Graph_DGRAPHIQUE_1A" localSheetId="7" hidden="1">#REF!</definedName>
    <definedName name="_12__123Graph_DGRAPHIQUE_1A" localSheetId="6" hidden="1">#REF!</definedName>
    <definedName name="_12__123Graph_DGRAPHIQUE_1A" hidden="1">#REF!</definedName>
    <definedName name="_12__123Graph_FGRAPHIQUE_1A" localSheetId="3" hidden="1">#REF!</definedName>
    <definedName name="_12__123Graph_FGRAPHIQUE_1A" localSheetId="4" hidden="1">#REF!</definedName>
    <definedName name="_12__123Graph_FGRAPHIQUE_1A" localSheetId="5" hidden="1">#REF!</definedName>
    <definedName name="_12__123Graph_FGRAPHIQUE_1A" localSheetId="8" hidden="1">#REF!</definedName>
    <definedName name="_12__123Graph_FGRAPHIQUE_1A" localSheetId="7" hidden="1">#REF!</definedName>
    <definedName name="_12__123Graph_FGRAPHIQUE_1A" localSheetId="6" hidden="1">#REF!</definedName>
    <definedName name="_12__123Graph_FGRAPHIQUE_1A" hidden="1">#REF!</definedName>
    <definedName name="_120_________________________123Graph_AGRAPHIQUE_1A" localSheetId="3" hidden="1">#REF!</definedName>
    <definedName name="_120_________________________123Graph_AGRAPHIQUE_1A" localSheetId="4" hidden="1">#REF!</definedName>
    <definedName name="_120_________________________123Graph_AGRAPHIQUE_1A" localSheetId="5" hidden="1">#REF!</definedName>
    <definedName name="_120_________________________123Graph_AGRAPHIQUE_1A" hidden="1">#REF!</definedName>
    <definedName name="_120_____123Graph_AGRAPHIQUE_1A" localSheetId="3" hidden="1">#REF!</definedName>
    <definedName name="_120_____123Graph_AGRAPHIQUE_1A" localSheetId="4" hidden="1">#REF!</definedName>
    <definedName name="_120_____123Graph_AGRAPHIQUE_1A" localSheetId="5" hidden="1">#REF!</definedName>
    <definedName name="_120_____123Graph_AGRAPHIQUE_1A" hidden="1">#REF!</definedName>
    <definedName name="_121_________________________123Graph_BGRAPHIQUE_1A" localSheetId="3" hidden="1">#REF!</definedName>
    <definedName name="_121_________________________123Graph_BGRAPHIQUE_1A" localSheetId="4" hidden="1">#REF!</definedName>
    <definedName name="_121_________________________123Graph_BGRAPHIQUE_1A" localSheetId="5" hidden="1">#REF!</definedName>
    <definedName name="_121_________________________123Graph_BGRAPHIQUE_1A" hidden="1">#REF!</definedName>
    <definedName name="_121_____123Graph_BGRAPHIQUE_1A" localSheetId="3" hidden="1">#REF!</definedName>
    <definedName name="_121_____123Graph_BGRAPHIQUE_1A" localSheetId="4" hidden="1">#REF!</definedName>
    <definedName name="_121_____123Graph_BGRAPHIQUE_1A" localSheetId="5" hidden="1">#REF!</definedName>
    <definedName name="_121_____123Graph_BGRAPHIQUE_1A" hidden="1">#REF!</definedName>
    <definedName name="_122_________________________123Graph_CGRAPHIQUE_1A" localSheetId="3" hidden="1">#REF!</definedName>
    <definedName name="_122_________________________123Graph_CGRAPHIQUE_1A" localSheetId="4" hidden="1">#REF!</definedName>
    <definedName name="_122_________________________123Graph_CGRAPHIQUE_1A" localSheetId="5" hidden="1">#REF!</definedName>
    <definedName name="_122_________________________123Graph_CGRAPHIQUE_1A" hidden="1">#REF!</definedName>
    <definedName name="_122_____123Graph_CGRAPHIQUE_1A" localSheetId="3" hidden="1">#REF!</definedName>
    <definedName name="_122_____123Graph_CGRAPHIQUE_1A" localSheetId="4" hidden="1">#REF!</definedName>
    <definedName name="_122_____123Graph_CGRAPHIQUE_1A" localSheetId="5" hidden="1">#REF!</definedName>
    <definedName name="_122_____123Graph_CGRAPHIQUE_1A" hidden="1">#REF!</definedName>
    <definedName name="_123_________________________123Graph_DGRAPHIQUE_1A" localSheetId="3" hidden="1">#REF!</definedName>
    <definedName name="_123_________________________123Graph_DGRAPHIQUE_1A" localSheetId="4" hidden="1">#REF!</definedName>
    <definedName name="_123_________________________123Graph_DGRAPHIQUE_1A" localSheetId="5" hidden="1">#REF!</definedName>
    <definedName name="_123_________________________123Graph_DGRAPHIQUE_1A" hidden="1">#REF!</definedName>
    <definedName name="_123_____123Graph_DGRAPHIQUE_1A" localSheetId="3" hidden="1">#REF!</definedName>
    <definedName name="_123_____123Graph_DGRAPHIQUE_1A" localSheetId="4" hidden="1">#REF!</definedName>
    <definedName name="_123_____123Graph_DGRAPHIQUE_1A" localSheetId="5" hidden="1">#REF!</definedName>
    <definedName name="_123_____123Graph_DGRAPHIQUE_1A" hidden="1">#REF!</definedName>
    <definedName name="_124_________________________123Graph_EGRAPHIQUE_1A" localSheetId="3" hidden="1">#REF!</definedName>
    <definedName name="_124_________________________123Graph_EGRAPHIQUE_1A" localSheetId="4" hidden="1">#REF!</definedName>
    <definedName name="_124_________________________123Graph_EGRAPHIQUE_1A" localSheetId="5" hidden="1">#REF!</definedName>
    <definedName name="_124_________________________123Graph_EGRAPHIQUE_1A" hidden="1">#REF!</definedName>
    <definedName name="_124_____123Graph_EGRAPHIQUE_1A" localSheetId="3" hidden="1">#REF!</definedName>
    <definedName name="_124_____123Graph_EGRAPHIQUE_1A" localSheetId="4" hidden="1">#REF!</definedName>
    <definedName name="_124_____123Graph_EGRAPHIQUE_1A" localSheetId="5" hidden="1">#REF!</definedName>
    <definedName name="_124_____123Graph_EGRAPHIQUE_1A" hidden="1">#REF!</definedName>
    <definedName name="_125_________________________123Graph_FGRAPHIQUE_1A" localSheetId="3" hidden="1">#REF!</definedName>
    <definedName name="_125_________________________123Graph_FGRAPHIQUE_1A" localSheetId="4" hidden="1">#REF!</definedName>
    <definedName name="_125_________________________123Graph_FGRAPHIQUE_1A" localSheetId="5" hidden="1">#REF!</definedName>
    <definedName name="_125_________________________123Graph_FGRAPHIQUE_1A" hidden="1">#REF!</definedName>
    <definedName name="_125_____123Graph_FGRAPHIQUE_1A" localSheetId="3" hidden="1">#REF!</definedName>
    <definedName name="_125_____123Graph_FGRAPHIQUE_1A" localSheetId="4" hidden="1">#REF!</definedName>
    <definedName name="_125_____123Graph_FGRAPHIQUE_1A" localSheetId="5" hidden="1">#REF!</definedName>
    <definedName name="_125_____123Graph_FGRAPHIQUE_1A" hidden="1">#REF!</definedName>
    <definedName name="_126_________________________123Graph_XGRAPHIQUE_1A" localSheetId="3" hidden="1">#REF!</definedName>
    <definedName name="_126_________________________123Graph_XGRAPHIQUE_1A" localSheetId="4" hidden="1">#REF!</definedName>
    <definedName name="_126_________________________123Graph_XGRAPHIQUE_1A" localSheetId="5" hidden="1">#REF!</definedName>
    <definedName name="_126_________________________123Graph_XGRAPHIQUE_1A" hidden="1">#REF!</definedName>
    <definedName name="_126_____123Graph_XGRAPHIQUE_1A" localSheetId="3" hidden="1">#REF!</definedName>
    <definedName name="_126_____123Graph_XGRAPHIQUE_1A" localSheetId="4" hidden="1">#REF!</definedName>
    <definedName name="_126_____123Graph_XGRAPHIQUE_1A" localSheetId="5" hidden="1">#REF!</definedName>
    <definedName name="_126_____123Graph_XGRAPHIQUE_1A" hidden="1">#REF!</definedName>
    <definedName name="_127________________________123Graph_AGRAPHIQUE_1A" localSheetId="3" hidden="1">#REF!</definedName>
    <definedName name="_127________________________123Graph_AGRAPHIQUE_1A" localSheetId="4" hidden="1">#REF!</definedName>
    <definedName name="_127________________________123Graph_AGRAPHIQUE_1A" localSheetId="5" hidden="1">#REF!</definedName>
    <definedName name="_127________________________123Graph_AGRAPHIQUE_1A" hidden="1">#REF!</definedName>
    <definedName name="_127____123Graph_AGRAPHIQUE_1A" localSheetId="3" hidden="1">#REF!</definedName>
    <definedName name="_127____123Graph_AGRAPHIQUE_1A" localSheetId="4" hidden="1">#REF!</definedName>
    <definedName name="_127____123Graph_AGRAPHIQUE_1A" localSheetId="5" hidden="1">#REF!</definedName>
    <definedName name="_127____123Graph_AGRAPHIQUE_1A" hidden="1">#REF!</definedName>
    <definedName name="_128________________________123Graph_BGRAPHIQUE_1A" localSheetId="3" hidden="1">#REF!</definedName>
    <definedName name="_128________________________123Graph_BGRAPHIQUE_1A" localSheetId="4" hidden="1">#REF!</definedName>
    <definedName name="_128________________________123Graph_BGRAPHIQUE_1A" localSheetId="5" hidden="1">#REF!</definedName>
    <definedName name="_128________________________123Graph_BGRAPHIQUE_1A" hidden="1">#REF!</definedName>
    <definedName name="_128____123Graph_BGRAPHIQUE_1A" localSheetId="3" hidden="1">#REF!</definedName>
    <definedName name="_128____123Graph_BGRAPHIQUE_1A" localSheetId="4" hidden="1">#REF!</definedName>
    <definedName name="_128____123Graph_BGRAPHIQUE_1A" localSheetId="5" hidden="1">#REF!</definedName>
    <definedName name="_128____123Graph_BGRAPHIQUE_1A" hidden="1">#REF!</definedName>
    <definedName name="_129________________________123Graph_CGRAPHIQUE_1A" localSheetId="3" hidden="1">#REF!</definedName>
    <definedName name="_129________________________123Graph_CGRAPHIQUE_1A" localSheetId="4" hidden="1">#REF!</definedName>
    <definedName name="_129________________________123Graph_CGRAPHIQUE_1A" localSheetId="5" hidden="1">#REF!</definedName>
    <definedName name="_129________________________123Graph_CGRAPHIQUE_1A" hidden="1">#REF!</definedName>
    <definedName name="_129____123Graph_CGRAPHIQUE_1A" localSheetId="3" hidden="1">#REF!</definedName>
    <definedName name="_129____123Graph_CGRAPHIQUE_1A" localSheetId="4" hidden="1">#REF!</definedName>
    <definedName name="_129____123Graph_CGRAPHIQUE_1A" localSheetId="5" hidden="1">#REF!</definedName>
    <definedName name="_129____123Graph_CGRAPHIQUE_1A" hidden="1">#REF!</definedName>
    <definedName name="_13_________________________________________123Graph_FGRAPHIQUE_1A" localSheetId="3" hidden="1">#REF!</definedName>
    <definedName name="_13_________________________________________123Graph_FGRAPHIQUE_1A" localSheetId="4" hidden="1">#REF!</definedName>
    <definedName name="_13_________________________________________123Graph_FGRAPHIQUE_1A" localSheetId="5" hidden="1">#REF!</definedName>
    <definedName name="_13_________________________________________123Graph_FGRAPHIQUE_1A" hidden="1">#REF!</definedName>
    <definedName name="_13_____________________123Graph_FGRAPHIQUE_1A" localSheetId="3" hidden="1">#REF!</definedName>
    <definedName name="_13_____________________123Graph_FGRAPHIQUE_1A" localSheetId="4" hidden="1">#REF!</definedName>
    <definedName name="_13_____________________123Graph_FGRAPHIQUE_1A" localSheetId="5" hidden="1">#REF!</definedName>
    <definedName name="_13_____________________123Graph_FGRAPHIQUE_1A" hidden="1">#REF!</definedName>
    <definedName name="_13__123Graph_BGRAPHIQUE_1A" localSheetId="7" hidden="1">#REF!</definedName>
    <definedName name="_13__123Graph_BGRAPHIQUE_1A" localSheetId="6" hidden="1">#REF!</definedName>
    <definedName name="_13__123Graph_EGRAPHIQUE_1A" localSheetId="8" hidden="1">#REF!</definedName>
    <definedName name="_13__123Graph_XR_M_MARGINS" localSheetId="5" hidden="1">#REF!</definedName>
    <definedName name="_13__123Graph_XR_M_MARGINS" hidden="1">#REF!</definedName>
    <definedName name="_130________________________123Graph_DGRAPHIQUE_1A" localSheetId="3" hidden="1">#REF!</definedName>
    <definedName name="_130________________________123Graph_DGRAPHIQUE_1A" localSheetId="4" hidden="1">#REF!</definedName>
    <definedName name="_130________________________123Graph_DGRAPHIQUE_1A" localSheetId="5" hidden="1">#REF!</definedName>
    <definedName name="_130________________________123Graph_DGRAPHIQUE_1A" hidden="1">#REF!</definedName>
    <definedName name="_130____123Graph_DGRAPHIQUE_1A" localSheetId="3" hidden="1">#REF!</definedName>
    <definedName name="_130____123Graph_DGRAPHIQUE_1A" localSheetId="4" hidden="1">#REF!</definedName>
    <definedName name="_130____123Graph_DGRAPHIQUE_1A" localSheetId="5" hidden="1">#REF!</definedName>
    <definedName name="_130____123Graph_DGRAPHIQUE_1A" hidden="1">#REF!</definedName>
    <definedName name="_131________________________123Graph_EGRAPHIQUE_1A" localSheetId="3" hidden="1">#REF!</definedName>
    <definedName name="_131________________________123Graph_EGRAPHIQUE_1A" localSheetId="4" hidden="1">#REF!</definedName>
    <definedName name="_131________________________123Graph_EGRAPHIQUE_1A" localSheetId="5" hidden="1">#REF!</definedName>
    <definedName name="_131________________________123Graph_EGRAPHIQUE_1A" hidden="1">#REF!</definedName>
    <definedName name="_131____123Graph_EGRAPHIQUE_1A" localSheetId="3" hidden="1">#REF!</definedName>
    <definedName name="_131____123Graph_EGRAPHIQUE_1A" localSheetId="4" hidden="1">#REF!</definedName>
    <definedName name="_131____123Graph_EGRAPHIQUE_1A" localSheetId="5" hidden="1">#REF!</definedName>
    <definedName name="_131____123Graph_EGRAPHIQUE_1A" hidden="1">#REF!</definedName>
    <definedName name="_132________________________123Graph_FGRAPHIQUE_1A" localSheetId="3" hidden="1">#REF!</definedName>
    <definedName name="_132________________________123Graph_FGRAPHIQUE_1A" localSheetId="4" hidden="1">#REF!</definedName>
    <definedName name="_132________________________123Graph_FGRAPHIQUE_1A" localSheetId="5" hidden="1">#REF!</definedName>
    <definedName name="_132________________________123Graph_FGRAPHIQUE_1A" hidden="1">#REF!</definedName>
    <definedName name="_132____123Graph_FGRAPHIQUE_1A" localSheetId="3" hidden="1">#REF!</definedName>
    <definedName name="_132____123Graph_FGRAPHIQUE_1A" localSheetId="4" hidden="1">#REF!</definedName>
    <definedName name="_132____123Graph_FGRAPHIQUE_1A" localSheetId="5" hidden="1">#REF!</definedName>
    <definedName name="_132____123Graph_FGRAPHIQUE_1A" hidden="1">#REF!</definedName>
    <definedName name="_133________________________123Graph_XGRAPHIQUE_1A" localSheetId="3" hidden="1">#REF!</definedName>
    <definedName name="_133________________________123Graph_XGRAPHIQUE_1A" localSheetId="4" hidden="1">#REF!</definedName>
    <definedName name="_133________________________123Graph_XGRAPHIQUE_1A" localSheetId="5" hidden="1">#REF!</definedName>
    <definedName name="_133________________________123Graph_XGRAPHIQUE_1A" hidden="1">#REF!</definedName>
    <definedName name="_133____123Graph_XGRAPHIQUE_1A" localSheetId="3" hidden="1">#REF!</definedName>
    <definedName name="_133____123Graph_XGRAPHIQUE_1A" localSheetId="4" hidden="1">#REF!</definedName>
    <definedName name="_133____123Graph_XGRAPHIQUE_1A" localSheetId="5" hidden="1">#REF!</definedName>
    <definedName name="_133____123Graph_XGRAPHIQUE_1A" hidden="1">#REF!</definedName>
    <definedName name="_134_______________________123Graph_AGRAPHIQUE_1A" localSheetId="3" hidden="1">#REF!</definedName>
    <definedName name="_134_______________________123Graph_AGRAPHIQUE_1A" localSheetId="4" hidden="1">#REF!</definedName>
    <definedName name="_134_______________________123Graph_AGRAPHIQUE_1A" localSheetId="5" hidden="1">#REF!</definedName>
    <definedName name="_134_______________________123Graph_AGRAPHIQUE_1A" hidden="1">#REF!</definedName>
    <definedName name="_134___123Graph_AGRAPHIQUE_1A" localSheetId="3" hidden="1">#REF!</definedName>
    <definedName name="_134___123Graph_AGRAPHIQUE_1A" localSheetId="4" hidden="1">#REF!</definedName>
    <definedName name="_134___123Graph_AGRAPHIQUE_1A" localSheetId="5" hidden="1">#REF!</definedName>
    <definedName name="_134___123Graph_AGRAPHIQUE_1A" hidden="1">#REF!</definedName>
    <definedName name="_135_______________________123Graph_BGRAPHIQUE_1A" localSheetId="3" hidden="1">#REF!</definedName>
    <definedName name="_135_______________________123Graph_BGRAPHIQUE_1A" localSheetId="4" hidden="1">#REF!</definedName>
    <definedName name="_135_______________________123Graph_BGRAPHIQUE_1A" localSheetId="5" hidden="1">#REF!</definedName>
    <definedName name="_135_______________________123Graph_BGRAPHIQUE_1A" hidden="1">#REF!</definedName>
    <definedName name="_135___123Graph_BGRAPHIQUE_1A" localSheetId="3" hidden="1">#REF!</definedName>
    <definedName name="_135___123Graph_BGRAPHIQUE_1A" localSheetId="4" hidden="1">#REF!</definedName>
    <definedName name="_135___123Graph_BGRAPHIQUE_1A" localSheetId="5" hidden="1">#REF!</definedName>
    <definedName name="_135___123Graph_BGRAPHIQUE_1A" hidden="1">#REF!</definedName>
    <definedName name="_136_______________________123Graph_CGRAPHIQUE_1A" localSheetId="3" hidden="1">#REF!</definedName>
    <definedName name="_136_______________________123Graph_CGRAPHIQUE_1A" localSheetId="4" hidden="1">#REF!</definedName>
    <definedName name="_136_______________________123Graph_CGRAPHIQUE_1A" localSheetId="5" hidden="1">#REF!</definedName>
    <definedName name="_136_______________________123Graph_CGRAPHIQUE_1A" hidden="1">#REF!</definedName>
    <definedName name="_136___123Graph_CGRAPHIQUE_1A" localSheetId="3" hidden="1">#REF!</definedName>
    <definedName name="_136___123Graph_CGRAPHIQUE_1A" localSheetId="4" hidden="1">#REF!</definedName>
    <definedName name="_136___123Graph_CGRAPHIQUE_1A" localSheetId="5" hidden="1">#REF!</definedName>
    <definedName name="_136___123Graph_CGRAPHIQUE_1A" hidden="1">#REF!</definedName>
    <definedName name="_137_______________________123Graph_DGRAPHIQUE_1A" localSheetId="3" hidden="1">#REF!</definedName>
    <definedName name="_137_______________________123Graph_DGRAPHIQUE_1A" localSheetId="4" hidden="1">#REF!</definedName>
    <definedName name="_137_______________________123Graph_DGRAPHIQUE_1A" localSheetId="5" hidden="1">#REF!</definedName>
    <definedName name="_137_______________________123Graph_DGRAPHIQUE_1A" hidden="1">#REF!</definedName>
    <definedName name="_137___123Graph_DGRAPHIQUE_1A" localSheetId="3" hidden="1">#REF!</definedName>
    <definedName name="_137___123Graph_DGRAPHIQUE_1A" localSheetId="4" hidden="1">#REF!</definedName>
    <definedName name="_137___123Graph_DGRAPHIQUE_1A" localSheetId="5" hidden="1">#REF!</definedName>
    <definedName name="_137___123Graph_DGRAPHIQUE_1A" hidden="1">#REF!</definedName>
    <definedName name="_138_______________________123Graph_EGRAPHIQUE_1A" localSheetId="3" hidden="1">#REF!</definedName>
    <definedName name="_138_______________________123Graph_EGRAPHIQUE_1A" localSheetId="4" hidden="1">#REF!</definedName>
    <definedName name="_138_______________________123Graph_EGRAPHIQUE_1A" localSheetId="5" hidden="1">#REF!</definedName>
    <definedName name="_138_______________________123Graph_EGRAPHIQUE_1A" hidden="1">#REF!</definedName>
    <definedName name="_138___123Graph_EGRAPHIQUE_1A" localSheetId="3" hidden="1">#REF!</definedName>
    <definedName name="_138___123Graph_EGRAPHIQUE_1A" localSheetId="4" hidden="1">#REF!</definedName>
    <definedName name="_138___123Graph_EGRAPHIQUE_1A" localSheetId="5" hidden="1">#REF!</definedName>
    <definedName name="_138___123Graph_EGRAPHIQUE_1A" hidden="1">#REF!</definedName>
    <definedName name="_139_______________________123Graph_FGRAPHIQUE_1A" localSheetId="3" hidden="1">#REF!</definedName>
    <definedName name="_139_______________________123Graph_FGRAPHIQUE_1A" localSheetId="4" hidden="1">#REF!</definedName>
    <definedName name="_139_______________________123Graph_FGRAPHIQUE_1A" localSheetId="5" hidden="1">#REF!</definedName>
    <definedName name="_139_______________________123Graph_FGRAPHIQUE_1A" hidden="1">#REF!</definedName>
    <definedName name="_139___123Graph_FGRAPHIQUE_1A" localSheetId="3" hidden="1">#REF!</definedName>
    <definedName name="_139___123Graph_FGRAPHIQUE_1A" localSheetId="4" hidden="1">#REF!</definedName>
    <definedName name="_139___123Graph_FGRAPHIQUE_1A" localSheetId="5" hidden="1">#REF!</definedName>
    <definedName name="_139___123Graph_FGRAPHIQUE_1A" hidden="1">#REF!</definedName>
    <definedName name="_14_________________________________________123Graph_XGRAPHIQUE_1A" localSheetId="3" hidden="1">#REF!</definedName>
    <definedName name="_14_________________________________________123Graph_XGRAPHIQUE_1A" localSheetId="4" hidden="1">#REF!</definedName>
    <definedName name="_14_________________________________________123Graph_XGRAPHIQUE_1A" localSheetId="5" hidden="1">#REF!</definedName>
    <definedName name="_14_________________________________________123Graph_XGRAPHIQUE_1A" hidden="1">#REF!</definedName>
    <definedName name="_14_____________________123Graph_XGRAPHIQUE_1A" localSheetId="3" hidden="1">#REF!</definedName>
    <definedName name="_14_____________________123Graph_XGRAPHIQUE_1A" localSheetId="4" hidden="1">#REF!</definedName>
    <definedName name="_14_____________________123Graph_XGRAPHIQUE_1A" localSheetId="5" hidden="1">#REF!</definedName>
    <definedName name="_14_____________________123Graph_XGRAPHIQUE_1A" hidden="1">#REF!</definedName>
    <definedName name="_14______123Graph_XGRAPHIQUE_1A" localSheetId="3" hidden="1">#REF!</definedName>
    <definedName name="_14______123Graph_XGRAPHIQUE_1A" localSheetId="4" hidden="1">#REF!</definedName>
    <definedName name="_14______123Graph_XGRAPHIQUE_1A" localSheetId="5" hidden="1">#REF!</definedName>
    <definedName name="_14______123Graph_XGRAPHIQUE_1A" hidden="1">#REF!</definedName>
    <definedName name="_14__123Graph_BGRAPHIQUE_1A" localSheetId="3" hidden="1">#REF!</definedName>
    <definedName name="_14__123Graph_BGRAPHIQUE_1A" localSheetId="4" hidden="1">#REF!</definedName>
    <definedName name="_14__123Graph_BGRAPHIQUE_1A" localSheetId="5" hidden="1">#REF!</definedName>
    <definedName name="_14__123Graph_BGRAPHIQUE_1A" localSheetId="8" hidden="1">#REF!</definedName>
    <definedName name="_14__123Graph_BGRAPHIQUE_1A" localSheetId="7" hidden="1">#REF!</definedName>
    <definedName name="_14__123Graph_BGRAPHIQUE_1A" localSheetId="6" hidden="1">#REF!</definedName>
    <definedName name="_14__123Graph_BGRAPHIQUE_1A" hidden="1">#REF!</definedName>
    <definedName name="_14__123Graph_EGRAPHIQUE_1A" localSheetId="7" hidden="1">#REF!</definedName>
    <definedName name="_14__123Graph_EGRAPHIQUE_1A" localSheetId="6" hidden="1">#REF!</definedName>
    <definedName name="_14__123Graph_XGRAPHIQUE_1A" localSheetId="3" hidden="1">#REF!</definedName>
    <definedName name="_14__123Graph_XGRAPHIQUE_1A" localSheetId="4" hidden="1">#REF!</definedName>
    <definedName name="_14__123Graph_XGRAPHIQUE_1A" localSheetId="5" hidden="1">#REF!</definedName>
    <definedName name="_14__123Graph_XGRAPHIQUE_1A" localSheetId="8" hidden="1">#REF!</definedName>
    <definedName name="_14__123Graph_XGRAPHIQUE_1A" localSheetId="7" hidden="1">#REF!</definedName>
    <definedName name="_14__123Graph_XGRAPHIQUE_1A" localSheetId="6" hidden="1">#REF!</definedName>
    <definedName name="_14__123Graph_XGRAPHIQUE_1A" hidden="1">#REF!</definedName>
    <definedName name="_14__123Graph_XR_M_VOLUMES" localSheetId="5" hidden="1">#REF!</definedName>
    <definedName name="_14__123Graph_XR_M_VOLUMES" hidden="1">#REF!</definedName>
    <definedName name="_140_______________________123Graph_XGRAPHIQUE_1A" localSheetId="3" hidden="1">#REF!</definedName>
    <definedName name="_140_______________________123Graph_XGRAPHIQUE_1A" localSheetId="4" hidden="1">#REF!</definedName>
    <definedName name="_140_______________________123Graph_XGRAPHIQUE_1A" localSheetId="5" hidden="1">#REF!</definedName>
    <definedName name="_140_______________________123Graph_XGRAPHIQUE_1A" hidden="1">#REF!</definedName>
    <definedName name="_140___123Graph_XGRAPHIQUE_1A" localSheetId="3" hidden="1">#REF!</definedName>
    <definedName name="_140___123Graph_XGRAPHIQUE_1A" localSheetId="4" hidden="1">#REF!</definedName>
    <definedName name="_140___123Graph_XGRAPHIQUE_1A" localSheetId="5" hidden="1">#REF!</definedName>
    <definedName name="_140___123Graph_XGRAPHIQUE_1A" hidden="1">#REF!</definedName>
    <definedName name="_141______________________123Graph_AGRAPHIQUE_1A" localSheetId="3" hidden="1">#REF!</definedName>
    <definedName name="_141______________________123Graph_AGRAPHIQUE_1A" localSheetId="4" hidden="1">#REF!</definedName>
    <definedName name="_141______________________123Graph_AGRAPHIQUE_1A" localSheetId="5" hidden="1">#REF!</definedName>
    <definedName name="_141______________________123Graph_AGRAPHIQUE_1A" hidden="1">#REF!</definedName>
    <definedName name="_142______________________123Graph_BGRAPHIQUE_1A" localSheetId="3" hidden="1">#REF!</definedName>
    <definedName name="_142______________________123Graph_BGRAPHIQUE_1A" localSheetId="4" hidden="1">#REF!</definedName>
    <definedName name="_142______________________123Graph_BGRAPHIQUE_1A" localSheetId="5" hidden="1">#REF!</definedName>
    <definedName name="_142______________________123Graph_BGRAPHIQUE_1A" hidden="1">#REF!</definedName>
    <definedName name="_143______________________123Graph_CGRAPHIQUE_1A" localSheetId="3" hidden="1">#REF!</definedName>
    <definedName name="_143______________________123Graph_CGRAPHIQUE_1A" localSheetId="4" hidden="1">#REF!</definedName>
    <definedName name="_143______________________123Graph_CGRAPHIQUE_1A" localSheetId="5" hidden="1">#REF!</definedName>
    <definedName name="_143______________________123Graph_CGRAPHIQUE_1A" hidden="1">#REF!</definedName>
    <definedName name="_144______________________123Graph_DGRAPHIQUE_1A" localSheetId="3" hidden="1">#REF!</definedName>
    <definedName name="_144______________________123Graph_DGRAPHIQUE_1A" localSheetId="4" hidden="1">#REF!</definedName>
    <definedName name="_144______________________123Graph_DGRAPHIQUE_1A" localSheetId="5" hidden="1">#REF!</definedName>
    <definedName name="_144______________________123Graph_DGRAPHIQUE_1A" hidden="1">#REF!</definedName>
    <definedName name="_145______________________123Graph_EGRAPHIQUE_1A" localSheetId="3" hidden="1">#REF!</definedName>
    <definedName name="_145______________________123Graph_EGRAPHIQUE_1A" localSheetId="4" hidden="1">#REF!</definedName>
    <definedName name="_145______________________123Graph_EGRAPHIQUE_1A" localSheetId="5" hidden="1">#REF!</definedName>
    <definedName name="_145______________________123Graph_EGRAPHIQUE_1A" hidden="1">#REF!</definedName>
    <definedName name="_146______________________123Graph_FGRAPHIQUE_1A" localSheetId="3" hidden="1">#REF!</definedName>
    <definedName name="_146______________________123Graph_FGRAPHIQUE_1A" localSheetId="4" hidden="1">#REF!</definedName>
    <definedName name="_146______________________123Graph_FGRAPHIQUE_1A" localSheetId="5" hidden="1">#REF!</definedName>
    <definedName name="_146______________________123Graph_FGRAPHIQUE_1A" hidden="1">#REF!</definedName>
    <definedName name="_147______________________123Graph_XGRAPHIQUE_1A" localSheetId="3" hidden="1">#REF!</definedName>
    <definedName name="_147______________________123Graph_XGRAPHIQUE_1A" localSheetId="4" hidden="1">#REF!</definedName>
    <definedName name="_147______________________123Graph_XGRAPHIQUE_1A" localSheetId="5" hidden="1">#REF!</definedName>
    <definedName name="_147______________________123Graph_XGRAPHIQUE_1A" hidden="1">#REF!</definedName>
    <definedName name="_148_____________________123Graph_AGRAPHIQUE_1A" localSheetId="3" hidden="1">#REF!</definedName>
    <definedName name="_148_____________________123Graph_AGRAPHIQUE_1A" localSheetId="4" hidden="1">#REF!</definedName>
    <definedName name="_148_____________________123Graph_AGRAPHIQUE_1A" localSheetId="5" hidden="1">#REF!</definedName>
    <definedName name="_148_____________________123Graph_AGRAPHIQUE_1A" hidden="1">#REF!</definedName>
    <definedName name="_149_____________________123Graph_BGRAPHIQUE_1A" localSheetId="3" hidden="1">#REF!</definedName>
    <definedName name="_149_____________________123Graph_BGRAPHIQUE_1A" localSheetId="4" hidden="1">#REF!</definedName>
    <definedName name="_149_____________________123Graph_BGRAPHIQUE_1A" localSheetId="5" hidden="1">#REF!</definedName>
    <definedName name="_149_____________________123Graph_BGRAPHIQUE_1A" hidden="1">#REF!</definedName>
    <definedName name="_15________________________________________123Graph_AGRAPHIQUE_1A" localSheetId="3" hidden="1">#REF!</definedName>
    <definedName name="_15________________________________________123Graph_AGRAPHIQUE_1A" localSheetId="4" hidden="1">#REF!</definedName>
    <definedName name="_15________________________________________123Graph_AGRAPHIQUE_1A" localSheetId="5" hidden="1">#REF!</definedName>
    <definedName name="_15________________________________________123Graph_AGRAPHIQUE_1A" hidden="1">#REF!</definedName>
    <definedName name="_15____________________123Graph_AGRAPHIQUE_1A" localSheetId="3" hidden="1">#REF!</definedName>
    <definedName name="_15____________________123Graph_AGRAPHIQUE_1A" localSheetId="4" hidden="1">#REF!</definedName>
    <definedName name="_15____________________123Graph_AGRAPHIQUE_1A" localSheetId="5" hidden="1">#REF!</definedName>
    <definedName name="_15____________________123Graph_AGRAPHIQUE_1A" hidden="1">#REF!</definedName>
    <definedName name="_15______123Graph_EGRAPHIQUE_1A" localSheetId="3" hidden="1">#REF!</definedName>
    <definedName name="_15______123Graph_EGRAPHIQUE_1A" localSheetId="4" hidden="1">#REF!</definedName>
    <definedName name="_15______123Graph_EGRAPHIQUE_1A" localSheetId="5" hidden="1">#REF!</definedName>
    <definedName name="_15______123Graph_EGRAPHIQUE_1A" hidden="1">#REF!</definedName>
    <definedName name="_15__123Graph_CGRAPHIQUE_1A" localSheetId="3" hidden="1">#REF!</definedName>
    <definedName name="_15__123Graph_CGRAPHIQUE_1A" localSheetId="4" hidden="1">#REF!</definedName>
    <definedName name="_15__123Graph_CGRAPHIQUE_1A" localSheetId="5" hidden="1">#REF!</definedName>
    <definedName name="_15__123Graph_CGRAPHIQUE_1A" localSheetId="8" hidden="1">#REF!</definedName>
    <definedName name="_15__123Graph_CGRAPHIQUE_1A" localSheetId="7" hidden="1">#REF!</definedName>
    <definedName name="_15__123Graph_CGRAPHIQUE_1A" localSheetId="6" hidden="1">#REF!</definedName>
    <definedName name="_15__123Graph_CGRAPHIQUE_1A" hidden="1">#REF!</definedName>
    <definedName name="_15__123Graph_EGRAPHIQUE_1A" localSheetId="3" hidden="1">#REF!</definedName>
    <definedName name="_15__123Graph_EGRAPHIQUE_1A" localSheetId="4" hidden="1">#REF!</definedName>
    <definedName name="_15__123Graph_EGRAPHIQUE_1A" localSheetId="5" hidden="1">#REF!</definedName>
    <definedName name="_15__123Graph_EGRAPHIQUE_1A" localSheetId="8" hidden="1">#REF!</definedName>
    <definedName name="_15__123Graph_EGRAPHIQUE_1A" localSheetId="7" hidden="1">#REF!</definedName>
    <definedName name="_15__123Graph_EGRAPHIQUE_1A" localSheetId="6" hidden="1">#REF!</definedName>
    <definedName name="_15__123Graph_EGRAPHIQUE_1A" hidden="1">#REF!</definedName>
    <definedName name="_150_____________________123Graph_CGRAPHIQUE_1A" localSheetId="3" hidden="1">#REF!</definedName>
    <definedName name="_150_____________________123Graph_CGRAPHIQUE_1A" localSheetId="4" hidden="1">#REF!</definedName>
    <definedName name="_150_____________________123Graph_CGRAPHIQUE_1A" localSheetId="5" hidden="1">#REF!</definedName>
    <definedName name="_150_____________________123Graph_CGRAPHIQUE_1A" hidden="1">#REF!</definedName>
    <definedName name="_151_____________________123Graph_DGRAPHIQUE_1A" localSheetId="3" hidden="1">#REF!</definedName>
    <definedName name="_151_____________________123Graph_DGRAPHIQUE_1A" localSheetId="4" hidden="1">#REF!</definedName>
    <definedName name="_151_____________________123Graph_DGRAPHIQUE_1A" localSheetId="5" hidden="1">#REF!</definedName>
    <definedName name="_151_____________________123Graph_DGRAPHIQUE_1A" hidden="1">#REF!</definedName>
    <definedName name="_152_____________________123Graph_EGRAPHIQUE_1A" localSheetId="3" hidden="1">#REF!</definedName>
    <definedName name="_152_____________________123Graph_EGRAPHIQUE_1A" localSheetId="4" hidden="1">#REF!</definedName>
    <definedName name="_152_____________________123Graph_EGRAPHIQUE_1A" localSheetId="5" hidden="1">#REF!</definedName>
    <definedName name="_152_____________________123Graph_EGRAPHIQUE_1A" hidden="1">#REF!</definedName>
    <definedName name="_153_____________________123Graph_FGRAPHIQUE_1A" localSheetId="3" hidden="1">#REF!</definedName>
    <definedName name="_153_____________________123Graph_FGRAPHIQUE_1A" localSheetId="4" hidden="1">#REF!</definedName>
    <definedName name="_153_____________________123Graph_FGRAPHIQUE_1A" localSheetId="5" hidden="1">#REF!</definedName>
    <definedName name="_153_____________________123Graph_FGRAPHIQUE_1A" hidden="1">#REF!</definedName>
    <definedName name="_154_____________________123Graph_XGRAPHIQUE_1A" localSheetId="3" hidden="1">#REF!</definedName>
    <definedName name="_154_____________________123Graph_XGRAPHIQUE_1A" localSheetId="4" hidden="1">#REF!</definedName>
    <definedName name="_154_____________________123Graph_XGRAPHIQUE_1A" localSheetId="5" hidden="1">#REF!</definedName>
    <definedName name="_154_____________________123Graph_XGRAPHIQUE_1A" hidden="1">#REF!</definedName>
    <definedName name="_155____________________123Graph_AGRAPHIQUE_1A" localSheetId="3" hidden="1">#REF!</definedName>
    <definedName name="_155____________________123Graph_AGRAPHIQUE_1A" localSheetId="4" hidden="1">#REF!</definedName>
    <definedName name="_155____________________123Graph_AGRAPHIQUE_1A" localSheetId="5" hidden="1">#REF!</definedName>
    <definedName name="_155____________________123Graph_AGRAPHIQUE_1A" hidden="1">#REF!</definedName>
    <definedName name="_156____________________123Graph_BGRAPHIQUE_1A" localSheetId="3" hidden="1">#REF!</definedName>
    <definedName name="_156____________________123Graph_BGRAPHIQUE_1A" localSheetId="4" hidden="1">#REF!</definedName>
    <definedName name="_156____________________123Graph_BGRAPHIQUE_1A" localSheetId="5" hidden="1">#REF!</definedName>
    <definedName name="_156____________________123Graph_BGRAPHIQUE_1A" hidden="1">#REF!</definedName>
    <definedName name="_157____________________123Graph_CGRAPHIQUE_1A" localSheetId="3" hidden="1">#REF!</definedName>
    <definedName name="_157____________________123Graph_CGRAPHIQUE_1A" localSheetId="4" hidden="1">#REF!</definedName>
    <definedName name="_157____________________123Graph_CGRAPHIQUE_1A" localSheetId="5" hidden="1">#REF!</definedName>
    <definedName name="_157____________________123Graph_CGRAPHIQUE_1A" hidden="1">#REF!</definedName>
    <definedName name="_158____________________123Graph_DGRAPHIQUE_1A" localSheetId="3" hidden="1">#REF!</definedName>
    <definedName name="_158____________________123Graph_DGRAPHIQUE_1A" localSheetId="4" hidden="1">#REF!</definedName>
    <definedName name="_158____________________123Graph_DGRAPHIQUE_1A" localSheetId="5" hidden="1">#REF!</definedName>
    <definedName name="_158____________________123Graph_DGRAPHIQUE_1A" hidden="1">#REF!</definedName>
    <definedName name="_159____________________123Graph_EGRAPHIQUE_1A" localSheetId="3" hidden="1">#REF!</definedName>
    <definedName name="_159____________________123Graph_EGRAPHIQUE_1A" localSheetId="4" hidden="1">#REF!</definedName>
    <definedName name="_159____________________123Graph_EGRAPHIQUE_1A" localSheetId="5" hidden="1">#REF!</definedName>
    <definedName name="_159____________________123Graph_EGRAPHIQUE_1A" hidden="1">#REF!</definedName>
    <definedName name="_16________________________________________123Graph_BGRAPHIQUE_1A" localSheetId="3" hidden="1">#REF!</definedName>
    <definedName name="_16________________________________________123Graph_BGRAPHIQUE_1A" localSheetId="4" hidden="1">#REF!</definedName>
    <definedName name="_16________________________________________123Graph_BGRAPHIQUE_1A" localSheetId="5" hidden="1">#REF!</definedName>
    <definedName name="_16________________________________________123Graph_BGRAPHIQUE_1A" hidden="1">#REF!</definedName>
    <definedName name="_16____________________123Graph_BGRAPHIQUE_1A" localSheetId="3" hidden="1">#REF!</definedName>
    <definedName name="_16____________________123Graph_BGRAPHIQUE_1A" localSheetId="4" hidden="1">#REF!</definedName>
    <definedName name="_16____________________123Graph_BGRAPHIQUE_1A" localSheetId="5" hidden="1">#REF!</definedName>
    <definedName name="_16____________________123Graph_BGRAPHIQUE_1A" hidden="1">#REF!</definedName>
    <definedName name="_16_____123Graph_AGRAPHIQUE_1A" localSheetId="3" hidden="1">#REF!</definedName>
    <definedName name="_16_____123Graph_AGRAPHIQUE_1A" localSheetId="4" hidden="1">#REF!</definedName>
    <definedName name="_16_____123Graph_AGRAPHIQUE_1A" localSheetId="5" hidden="1">#REF!</definedName>
    <definedName name="_16_____123Graph_AGRAPHIQUE_1A" hidden="1">#REF!</definedName>
    <definedName name="_16__123Graph_DGRAPHIQUE_1A" localSheetId="3" hidden="1">#REF!</definedName>
    <definedName name="_16__123Graph_DGRAPHIQUE_1A" localSheetId="4" hidden="1">#REF!</definedName>
    <definedName name="_16__123Graph_DGRAPHIQUE_1A" localSheetId="5" hidden="1">#REF!</definedName>
    <definedName name="_16__123Graph_DGRAPHIQUE_1A" hidden="1">#REF!</definedName>
    <definedName name="_16__123Graph_FGRAPHIQUE_1A" localSheetId="8" hidden="1">#REF!</definedName>
    <definedName name="_160____________________123Graph_FGRAPHIQUE_1A" localSheetId="3" hidden="1">#REF!</definedName>
    <definedName name="_160____________________123Graph_FGRAPHIQUE_1A" localSheetId="4" hidden="1">#REF!</definedName>
    <definedName name="_160____________________123Graph_FGRAPHIQUE_1A" localSheetId="5" hidden="1">#REF!</definedName>
    <definedName name="_160____________________123Graph_FGRAPHIQUE_1A" hidden="1">#REF!</definedName>
    <definedName name="_161____________________123Graph_XGRAPHIQUE_1A" localSheetId="3" hidden="1">#REF!</definedName>
    <definedName name="_161____________________123Graph_XGRAPHIQUE_1A" localSheetId="4" hidden="1">#REF!</definedName>
    <definedName name="_161____________________123Graph_XGRAPHIQUE_1A" localSheetId="5" hidden="1">#REF!</definedName>
    <definedName name="_161____________________123Graph_XGRAPHIQUE_1A" hidden="1">#REF!</definedName>
    <definedName name="_162___________________123Graph_AGRAPHIQUE_1A" localSheetId="3" hidden="1">#REF!</definedName>
    <definedName name="_162___________________123Graph_AGRAPHIQUE_1A" localSheetId="4" hidden="1">#REF!</definedName>
    <definedName name="_162___________________123Graph_AGRAPHIQUE_1A" localSheetId="5" hidden="1">#REF!</definedName>
    <definedName name="_162___________________123Graph_AGRAPHIQUE_1A" hidden="1">#REF!</definedName>
    <definedName name="_163___________________123Graph_BGRAPHIQUE_1A" localSheetId="3" hidden="1">#REF!</definedName>
    <definedName name="_163___________________123Graph_BGRAPHIQUE_1A" localSheetId="4" hidden="1">#REF!</definedName>
    <definedName name="_163___________________123Graph_BGRAPHIQUE_1A" localSheetId="5" hidden="1">#REF!</definedName>
    <definedName name="_163___________________123Graph_BGRAPHIQUE_1A" hidden="1">#REF!</definedName>
    <definedName name="_164___________________123Graph_CGRAPHIQUE_1A" localSheetId="3" hidden="1">#REF!</definedName>
    <definedName name="_164___________________123Graph_CGRAPHIQUE_1A" localSheetId="4" hidden="1">#REF!</definedName>
    <definedName name="_164___________________123Graph_CGRAPHIQUE_1A" localSheetId="5" hidden="1">#REF!</definedName>
    <definedName name="_164___________________123Graph_CGRAPHIQUE_1A" hidden="1">#REF!</definedName>
    <definedName name="_165___________________123Graph_DGRAPHIQUE_1A" localSheetId="3" hidden="1">#REF!</definedName>
    <definedName name="_165___________________123Graph_DGRAPHIQUE_1A" localSheetId="4" hidden="1">#REF!</definedName>
    <definedName name="_165___________________123Graph_DGRAPHIQUE_1A" localSheetId="5" hidden="1">#REF!</definedName>
    <definedName name="_165___________________123Graph_DGRAPHIQUE_1A" hidden="1">#REF!</definedName>
    <definedName name="_166___________________123Graph_EGRAPHIQUE_1A" localSheetId="3" hidden="1">#REF!</definedName>
    <definedName name="_166___________________123Graph_EGRAPHIQUE_1A" localSheetId="4" hidden="1">#REF!</definedName>
    <definedName name="_166___________________123Graph_EGRAPHIQUE_1A" localSheetId="5" hidden="1">#REF!</definedName>
    <definedName name="_166___________________123Graph_EGRAPHIQUE_1A" hidden="1">#REF!</definedName>
    <definedName name="_167___________________123Graph_FGRAPHIQUE_1A" localSheetId="3" hidden="1">#REF!</definedName>
    <definedName name="_167___________________123Graph_FGRAPHIQUE_1A" localSheetId="4" hidden="1">#REF!</definedName>
    <definedName name="_167___________________123Graph_FGRAPHIQUE_1A" localSheetId="5" hidden="1">#REF!</definedName>
    <definedName name="_167___________________123Graph_FGRAPHIQUE_1A" hidden="1">#REF!</definedName>
    <definedName name="_168___________________123Graph_XGRAPHIQUE_1A" localSheetId="3" hidden="1">#REF!</definedName>
    <definedName name="_168___________________123Graph_XGRAPHIQUE_1A" localSheetId="4" hidden="1">#REF!</definedName>
    <definedName name="_168___________________123Graph_XGRAPHIQUE_1A" localSheetId="5" hidden="1">#REF!</definedName>
    <definedName name="_168___________________123Graph_XGRAPHIQUE_1A" hidden="1">#REF!</definedName>
    <definedName name="_169__________________123Graph_AGRAPHIQUE_1A" localSheetId="3" hidden="1">#REF!</definedName>
    <definedName name="_169__________________123Graph_AGRAPHIQUE_1A" localSheetId="4" hidden="1">#REF!</definedName>
    <definedName name="_169__________________123Graph_AGRAPHIQUE_1A" localSheetId="5" hidden="1">#REF!</definedName>
    <definedName name="_169__________________123Graph_AGRAPHIQUE_1A" hidden="1">#REF!</definedName>
    <definedName name="_17________________________________________123Graph_CGRAPHIQUE_1A" localSheetId="3" hidden="1">#REF!</definedName>
    <definedName name="_17________________________________________123Graph_CGRAPHIQUE_1A" localSheetId="4" hidden="1">#REF!</definedName>
    <definedName name="_17________________________________________123Graph_CGRAPHIQUE_1A" localSheetId="5" hidden="1">#REF!</definedName>
    <definedName name="_17________________________________________123Graph_CGRAPHIQUE_1A" hidden="1">#REF!</definedName>
    <definedName name="_17____________________123Graph_CGRAPHIQUE_1A" localSheetId="3" hidden="1">#REF!</definedName>
    <definedName name="_17____________________123Graph_CGRAPHIQUE_1A" localSheetId="4" hidden="1">#REF!</definedName>
    <definedName name="_17____________________123Graph_CGRAPHIQUE_1A" localSheetId="5" hidden="1">#REF!</definedName>
    <definedName name="_17____________________123Graph_CGRAPHIQUE_1A" hidden="1">#REF!</definedName>
    <definedName name="_17__123Graph_FGRAPHIQUE_1A" localSheetId="7" hidden="1">#REF!</definedName>
    <definedName name="_17__123Graph_FGRAPHIQUE_1A" localSheetId="6" hidden="1">#REF!</definedName>
    <definedName name="_170__________________123Graph_BGRAPHIQUE_1A" localSheetId="3" hidden="1">#REF!</definedName>
    <definedName name="_170__________________123Graph_BGRAPHIQUE_1A" localSheetId="4" hidden="1">#REF!</definedName>
    <definedName name="_170__________________123Graph_BGRAPHIQUE_1A" localSheetId="5" hidden="1">#REF!</definedName>
    <definedName name="_170__________________123Graph_BGRAPHIQUE_1A" hidden="1">#REF!</definedName>
    <definedName name="_171__________________123Graph_CGRAPHIQUE_1A" localSheetId="3" hidden="1">#REF!</definedName>
    <definedName name="_171__________________123Graph_CGRAPHIQUE_1A" localSheetId="4" hidden="1">#REF!</definedName>
    <definedName name="_171__________________123Graph_CGRAPHIQUE_1A" localSheetId="5" hidden="1">#REF!</definedName>
    <definedName name="_171__________________123Graph_CGRAPHIQUE_1A" hidden="1">#REF!</definedName>
    <definedName name="_172__________________123Graph_DGRAPHIQUE_1A" localSheetId="3" hidden="1">#REF!</definedName>
    <definedName name="_172__________________123Graph_DGRAPHIQUE_1A" localSheetId="4" hidden="1">#REF!</definedName>
    <definedName name="_172__________________123Graph_DGRAPHIQUE_1A" localSheetId="5" hidden="1">#REF!</definedName>
    <definedName name="_172__________________123Graph_DGRAPHIQUE_1A" hidden="1">#REF!</definedName>
    <definedName name="_173__________________123Graph_EGRAPHIQUE_1A" localSheetId="3" hidden="1">#REF!</definedName>
    <definedName name="_173__________________123Graph_EGRAPHIQUE_1A" localSheetId="4" hidden="1">#REF!</definedName>
    <definedName name="_173__________________123Graph_EGRAPHIQUE_1A" localSheetId="5" hidden="1">#REF!</definedName>
    <definedName name="_173__________________123Graph_EGRAPHIQUE_1A" hidden="1">#REF!</definedName>
    <definedName name="_174__________________123Graph_FGRAPHIQUE_1A" localSheetId="3" hidden="1">#REF!</definedName>
    <definedName name="_174__________________123Graph_FGRAPHIQUE_1A" localSheetId="4" hidden="1">#REF!</definedName>
    <definedName name="_174__________________123Graph_FGRAPHIQUE_1A" localSheetId="5" hidden="1">#REF!</definedName>
    <definedName name="_174__________________123Graph_FGRAPHIQUE_1A" hidden="1">#REF!</definedName>
    <definedName name="_175__________________123Graph_XGRAPHIQUE_1A" localSheetId="3" hidden="1">#REF!</definedName>
    <definedName name="_175__________________123Graph_XGRAPHIQUE_1A" localSheetId="4" hidden="1">#REF!</definedName>
    <definedName name="_175__________________123Graph_XGRAPHIQUE_1A" localSheetId="5" hidden="1">#REF!</definedName>
    <definedName name="_175__________________123Graph_XGRAPHIQUE_1A" hidden="1">#REF!</definedName>
    <definedName name="_176_________________123Graph_AGRAPHIQUE_1A" localSheetId="3" hidden="1">#REF!</definedName>
    <definedName name="_176_________________123Graph_AGRAPHIQUE_1A" localSheetId="4" hidden="1">#REF!</definedName>
    <definedName name="_176_________________123Graph_AGRAPHIQUE_1A" localSheetId="5" hidden="1">#REF!</definedName>
    <definedName name="_176_________________123Graph_AGRAPHIQUE_1A" hidden="1">#REF!</definedName>
    <definedName name="_177_________________123Graph_BGRAPHIQUE_1A" localSheetId="3" hidden="1">#REF!</definedName>
    <definedName name="_177_________________123Graph_BGRAPHIQUE_1A" localSheetId="4" hidden="1">#REF!</definedName>
    <definedName name="_177_________________123Graph_BGRAPHIQUE_1A" localSheetId="5" hidden="1">#REF!</definedName>
    <definedName name="_177_________________123Graph_BGRAPHIQUE_1A" hidden="1">#REF!</definedName>
    <definedName name="_178_________________123Graph_CGRAPHIQUE_1A" localSheetId="3" hidden="1">#REF!</definedName>
    <definedName name="_178_________________123Graph_CGRAPHIQUE_1A" localSheetId="4" hidden="1">#REF!</definedName>
    <definedName name="_178_________________123Graph_CGRAPHIQUE_1A" localSheetId="5" hidden="1">#REF!</definedName>
    <definedName name="_178_________________123Graph_CGRAPHIQUE_1A" hidden="1">#REF!</definedName>
    <definedName name="_179_________________123Graph_DGRAPHIQUE_1A" localSheetId="3" hidden="1">#REF!</definedName>
    <definedName name="_179_________________123Graph_DGRAPHIQUE_1A" localSheetId="4" hidden="1">#REF!</definedName>
    <definedName name="_179_________________123Graph_DGRAPHIQUE_1A" localSheetId="5" hidden="1">#REF!</definedName>
    <definedName name="_179_________________123Graph_DGRAPHIQUE_1A" hidden="1">#REF!</definedName>
    <definedName name="_18________________________________________123Graph_DGRAPHIQUE_1A" localSheetId="3" hidden="1">#REF!</definedName>
    <definedName name="_18________________________________________123Graph_DGRAPHIQUE_1A" localSheetId="4" hidden="1">#REF!</definedName>
    <definedName name="_18________________________________________123Graph_DGRAPHIQUE_1A" localSheetId="5" hidden="1">#REF!</definedName>
    <definedName name="_18________________________________________123Graph_DGRAPHIQUE_1A" hidden="1">#REF!</definedName>
    <definedName name="_18____________________123Graph_DGRAPHIQUE_1A" localSheetId="3" hidden="1">#REF!</definedName>
    <definedName name="_18____________________123Graph_DGRAPHIQUE_1A" localSheetId="4" hidden="1">#REF!</definedName>
    <definedName name="_18____________________123Graph_DGRAPHIQUE_1A" localSheetId="5" hidden="1">#REF!</definedName>
    <definedName name="_18____________________123Graph_DGRAPHIQUE_1A" hidden="1">#REF!</definedName>
    <definedName name="_18______123Graph_FGRAPHIQUE_1A" localSheetId="3" hidden="1">#REF!</definedName>
    <definedName name="_18______123Graph_FGRAPHIQUE_1A" localSheetId="4" hidden="1">#REF!</definedName>
    <definedName name="_18______123Graph_FGRAPHIQUE_1A" localSheetId="5" hidden="1">#REF!</definedName>
    <definedName name="_18______123Graph_FGRAPHIQUE_1A" hidden="1">#REF!</definedName>
    <definedName name="_18_____123Graph_BGRAPHIQUE_1A" localSheetId="3" hidden="1">#REF!</definedName>
    <definedName name="_18_____123Graph_BGRAPHIQUE_1A" localSheetId="4" hidden="1">#REF!</definedName>
    <definedName name="_18_____123Graph_BGRAPHIQUE_1A" localSheetId="5" hidden="1">#REF!</definedName>
    <definedName name="_18_____123Graph_BGRAPHIQUE_1A" hidden="1">#REF!</definedName>
    <definedName name="_18__123Graph_BGRAPHIQUE_1A" localSheetId="3" hidden="1">#REF!</definedName>
    <definedName name="_18__123Graph_BGRAPHIQUE_1A" localSheetId="4" hidden="1">#REF!</definedName>
    <definedName name="_18__123Graph_BGRAPHIQUE_1A" localSheetId="5" hidden="1">#REF!</definedName>
    <definedName name="_18__123Graph_BGRAPHIQUE_1A" hidden="1">#REF!</definedName>
    <definedName name="_18__123Graph_CGRAPHIQUE_1A" localSheetId="8" hidden="1">#REF!</definedName>
    <definedName name="_18__123Graph_FGRAPHIQUE_1A" localSheetId="3" hidden="1">#REF!</definedName>
    <definedName name="_18__123Graph_FGRAPHIQUE_1A" localSheetId="4" hidden="1">#REF!</definedName>
    <definedName name="_18__123Graph_FGRAPHIQUE_1A" localSheetId="5" hidden="1">#REF!</definedName>
    <definedName name="_18__123Graph_FGRAPHIQUE_1A" localSheetId="8" hidden="1">#REF!</definedName>
    <definedName name="_18__123Graph_FGRAPHIQUE_1A" localSheetId="7" hidden="1">#REF!</definedName>
    <definedName name="_18__123Graph_FGRAPHIQUE_1A" localSheetId="6" hidden="1">#REF!</definedName>
    <definedName name="_18__123Graph_FGRAPHIQUE_1A" hidden="1">#REF!</definedName>
    <definedName name="_180_________________123Graph_EGRAPHIQUE_1A" localSheetId="3" hidden="1">#REF!</definedName>
    <definedName name="_180_________________123Graph_EGRAPHIQUE_1A" localSheetId="4" hidden="1">#REF!</definedName>
    <definedName name="_180_________________123Graph_EGRAPHIQUE_1A" localSheetId="5" hidden="1">#REF!</definedName>
    <definedName name="_180_________________123Graph_EGRAPHIQUE_1A" hidden="1">#REF!</definedName>
    <definedName name="_181_________________123Graph_FGRAPHIQUE_1A" localSheetId="3" hidden="1">#REF!</definedName>
    <definedName name="_181_________________123Graph_FGRAPHIQUE_1A" localSheetId="4" hidden="1">#REF!</definedName>
    <definedName name="_181_________________123Graph_FGRAPHIQUE_1A" localSheetId="5" hidden="1">#REF!</definedName>
    <definedName name="_181_________________123Graph_FGRAPHIQUE_1A" hidden="1">#REF!</definedName>
    <definedName name="_182_________________123Graph_XGRAPHIQUE_1A" localSheetId="3" hidden="1">#REF!</definedName>
    <definedName name="_182_________________123Graph_XGRAPHIQUE_1A" localSheetId="4" hidden="1">#REF!</definedName>
    <definedName name="_182_________________123Graph_XGRAPHIQUE_1A" localSheetId="5" hidden="1">#REF!</definedName>
    <definedName name="_182_________________123Graph_XGRAPHIQUE_1A" hidden="1">#REF!</definedName>
    <definedName name="_183________________123Graph_AGRAPHIQUE_1A" localSheetId="3" hidden="1">#REF!</definedName>
    <definedName name="_183________________123Graph_AGRAPHIQUE_1A" localSheetId="4" hidden="1">#REF!</definedName>
    <definedName name="_183________________123Graph_AGRAPHIQUE_1A" localSheetId="5" hidden="1">#REF!</definedName>
    <definedName name="_183________________123Graph_AGRAPHIQUE_1A" hidden="1">#REF!</definedName>
    <definedName name="_184________________123Graph_BGRAPHIQUE_1A" localSheetId="3" hidden="1">#REF!</definedName>
    <definedName name="_184________________123Graph_BGRAPHIQUE_1A" localSheetId="4" hidden="1">#REF!</definedName>
    <definedName name="_184________________123Graph_BGRAPHIQUE_1A" localSheetId="5" hidden="1">#REF!</definedName>
    <definedName name="_184________________123Graph_BGRAPHIQUE_1A" hidden="1">#REF!</definedName>
    <definedName name="_185________________123Graph_CGRAPHIQUE_1A" localSheetId="3" hidden="1">#REF!</definedName>
    <definedName name="_185________________123Graph_CGRAPHIQUE_1A" localSheetId="4" hidden="1">#REF!</definedName>
    <definedName name="_185________________123Graph_CGRAPHIQUE_1A" localSheetId="5" hidden="1">#REF!</definedName>
    <definedName name="_185________________123Graph_CGRAPHIQUE_1A" hidden="1">#REF!</definedName>
    <definedName name="_186________________123Graph_DGRAPHIQUE_1A" localSheetId="3" hidden="1">#REF!</definedName>
    <definedName name="_186________________123Graph_DGRAPHIQUE_1A" localSheetId="4" hidden="1">#REF!</definedName>
    <definedName name="_186________________123Graph_DGRAPHIQUE_1A" localSheetId="5" hidden="1">#REF!</definedName>
    <definedName name="_186________________123Graph_DGRAPHIQUE_1A" hidden="1">#REF!</definedName>
    <definedName name="_187________________123Graph_EGRAPHIQUE_1A" localSheetId="3" hidden="1">#REF!</definedName>
    <definedName name="_187________________123Graph_EGRAPHIQUE_1A" localSheetId="4" hidden="1">#REF!</definedName>
    <definedName name="_187________________123Graph_EGRAPHIQUE_1A" localSheetId="5" hidden="1">#REF!</definedName>
    <definedName name="_187________________123Graph_EGRAPHIQUE_1A" hidden="1">#REF!</definedName>
    <definedName name="_188________________123Graph_FGRAPHIQUE_1A" localSheetId="3" hidden="1">#REF!</definedName>
    <definedName name="_188________________123Graph_FGRAPHIQUE_1A" localSheetId="4" hidden="1">#REF!</definedName>
    <definedName name="_188________________123Graph_FGRAPHIQUE_1A" localSheetId="5" hidden="1">#REF!</definedName>
    <definedName name="_188________________123Graph_FGRAPHIQUE_1A" hidden="1">#REF!</definedName>
    <definedName name="_189________________123Graph_XGRAPHIQUE_1A" localSheetId="3" hidden="1">#REF!</definedName>
    <definedName name="_189________________123Graph_XGRAPHIQUE_1A" localSheetId="4" hidden="1">#REF!</definedName>
    <definedName name="_189________________123Graph_XGRAPHIQUE_1A" localSheetId="5" hidden="1">#REF!</definedName>
    <definedName name="_189________________123Graph_XGRAPHIQUE_1A" hidden="1">#REF!</definedName>
    <definedName name="_19________________________________________123Graph_EGRAPHIQUE_1A" localSheetId="3" hidden="1">#REF!</definedName>
    <definedName name="_19________________________________________123Graph_EGRAPHIQUE_1A" localSheetId="4" hidden="1">#REF!</definedName>
    <definedName name="_19________________________________________123Graph_EGRAPHIQUE_1A" localSheetId="5" hidden="1">#REF!</definedName>
    <definedName name="_19________________________________________123Graph_EGRAPHIQUE_1A" hidden="1">#REF!</definedName>
    <definedName name="_19____________________123Graph_EGRAPHIQUE_1A" localSheetId="3" hidden="1">#REF!</definedName>
    <definedName name="_19____________________123Graph_EGRAPHIQUE_1A" localSheetId="4" hidden="1">#REF!</definedName>
    <definedName name="_19____________________123Graph_EGRAPHIQUE_1A" localSheetId="5" hidden="1">#REF!</definedName>
    <definedName name="_19____________________123Graph_EGRAPHIQUE_1A" hidden="1">#REF!</definedName>
    <definedName name="_19__123Graph_XGRAPHIQUE_1A" localSheetId="8" hidden="1">#REF!</definedName>
    <definedName name="_190_______________123Graph_AGRAPHIQUE_1A" localSheetId="3" hidden="1">#REF!</definedName>
    <definedName name="_190_______________123Graph_AGRAPHIQUE_1A" localSheetId="4" hidden="1">#REF!</definedName>
    <definedName name="_190_______________123Graph_AGRAPHIQUE_1A" localSheetId="5" hidden="1">#REF!</definedName>
    <definedName name="_190_______________123Graph_AGRAPHIQUE_1A" hidden="1">#REF!</definedName>
    <definedName name="_191_______________123Graph_BGRAPHIQUE_1A" localSheetId="3" hidden="1">#REF!</definedName>
    <definedName name="_191_______________123Graph_BGRAPHIQUE_1A" localSheetId="4" hidden="1">#REF!</definedName>
    <definedName name="_191_______________123Graph_BGRAPHIQUE_1A" localSheetId="5" hidden="1">#REF!</definedName>
    <definedName name="_191_______________123Graph_BGRAPHIQUE_1A" hidden="1">#REF!</definedName>
    <definedName name="_192_______________123Graph_CGRAPHIQUE_1A" localSheetId="3" hidden="1">#REF!</definedName>
    <definedName name="_192_______________123Graph_CGRAPHIQUE_1A" localSheetId="4" hidden="1">#REF!</definedName>
    <definedName name="_192_______________123Graph_CGRAPHIQUE_1A" localSheetId="5" hidden="1">#REF!</definedName>
    <definedName name="_192_______________123Graph_CGRAPHIQUE_1A" hidden="1">#REF!</definedName>
    <definedName name="_193_______________123Graph_DGRAPHIQUE_1A" localSheetId="3" hidden="1">#REF!</definedName>
    <definedName name="_193_______________123Graph_DGRAPHIQUE_1A" localSheetId="4" hidden="1">#REF!</definedName>
    <definedName name="_193_______________123Graph_DGRAPHIQUE_1A" localSheetId="5" hidden="1">#REF!</definedName>
    <definedName name="_193_______________123Graph_DGRAPHIQUE_1A" hidden="1">#REF!</definedName>
    <definedName name="_194_______________123Graph_EGRAPHIQUE_1A" localSheetId="3" hidden="1">#REF!</definedName>
    <definedName name="_194_______________123Graph_EGRAPHIQUE_1A" localSheetId="4" hidden="1">#REF!</definedName>
    <definedName name="_194_______________123Graph_EGRAPHIQUE_1A" localSheetId="5" hidden="1">#REF!</definedName>
    <definedName name="_194_______________123Graph_EGRAPHIQUE_1A" hidden="1">#REF!</definedName>
    <definedName name="_195_______________123Graph_FGRAPHIQUE_1A" localSheetId="3" hidden="1">#REF!</definedName>
    <definedName name="_195_______________123Graph_FGRAPHIQUE_1A" localSheetId="4" hidden="1">#REF!</definedName>
    <definedName name="_195_______________123Graph_FGRAPHIQUE_1A" localSheetId="5" hidden="1">#REF!</definedName>
    <definedName name="_195_______________123Graph_FGRAPHIQUE_1A" hidden="1">#REF!</definedName>
    <definedName name="_196_______________123Graph_XGRAPHIQUE_1A" localSheetId="3" hidden="1">#REF!</definedName>
    <definedName name="_196_______________123Graph_XGRAPHIQUE_1A" localSheetId="4" hidden="1">#REF!</definedName>
    <definedName name="_196_______________123Graph_XGRAPHIQUE_1A" localSheetId="5" hidden="1">#REF!</definedName>
    <definedName name="_196_______________123Graph_XGRAPHIQUE_1A" hidden="1">#REF!</definedName>
    <definedName name="_197______________123Graph_AGRAPHIQUE_1A" localSheetId="3" hidden="1">#REF!</definedName>
    <definedName name="_197______________123Graph_AGRAPHIQUE_1A" localSheetId="4" hidden="1">#REF!</definedName>
    <definedName name="_197______________123Graph_AGRAPHIQUE_1A" localSheetId="5" hidden="1">#REF!</definedName>
    <definedName name="_197______________123Graph_AGRAPHIQUE_1A" hidden="1">#REF!</definedName>
    <definedName name="_198______________123Graph_BGRAPHIQUE_1A" localSheetId="3" hidden="1">#REF!</definedName>
    <definedName name="_198______________123Graph_BGRAPHIQUE_1A" localSheetId="4" hidden="1">#REF!</definedName>
    <definedName name="_198______________123Graph_BGRAPHIQUE_1A" localSheetId="5" hidden="1">#REF!</definedName>
    <definedName name="_198______________123Graph_BGRAPHIQUE_1A" hidden="1">#REF!</definedName>
    <definedName name="_199______________123Graph_CGRAPHIQUE_1A" localSheetId="3" hidden="1">#REF!</definedName>
    <definedName name="_199______________123Graph_CGRAPHIQUE_1A" localSheetId="4" hidden="1">#REF!</definedName>
    <definedName name="_199______________123Graph_CGRAPHIQUE_1A" localSheetId="5" hidden="1">#REF!</definedName>
    <definedName name="_199______________123Graph_CGRAPHIQUE_1A" hidden="1">#REF!</definedName>
    <definedName name="_2__________________________________________123Graph_BGRAPHIQUE_1A" localSheetId="3" hidden="1">#REF!</definedName>
    <definedName name="_2__________________________________________123Graph_BGRAPHIQUE_1A" localSheetId="4" hidden="1">#REF!</definedName>
    <definedName name="_2__________________________________________123Graph_BGRAPHIQUE_1A" localSheetId="5" hidden="1">#REF!</definedName>
    <definedName name="_2__________________________________________123Graph_BGRAPHIQUE_1A" hidden="1">#REF!</definedName>
    <definedName name="_2______________________123Graph_BGRAPHIQUE_1A" localSheetId="3" hidden="1">#REF!</definedName>
    <definedName name="_2______________________123Graph_BGRAPHIQUE_1A" localSheetId="4" hidden="1">#REF!</definedName>
    <definedName name="_2______________________123Graph_BGRAPHIQUE_1A" localSheetId="5" hidden="1">#REF!</definedName>
    <definedName name="_2______________________123Graph_BGRAPHIQUE_1A" hidden="1">#REF!</definedName>
    <definedName name="_2______123Graph_AGRAPHIQUE_1A" localSheetId="3" hidden="1">#REF!</definedName>
    <definedName name="_2______123Graph_AGRAPHIQUE_1A" localSheetId="4" hidden="1">#REF!</definedName>
    <definedName name="_2______123Graph_AGRAPHIQUE_1A" localSheetId="5" hidden="1">#REF!</definedName>
    <definedName name="_2______123Graph_AGRAPHIQUE_1A" hidden="1">#REF!</definedName>
    <definedName name="_2__123Graph_AGRAPHIQUE_1A" localSheetId="3" hidden="1">#REF!</definedName>
    <definedName name="_2__123Graph_AGRAPHIQUE_1A" localSheetId="4" hidden="1">#REF!</definedName>
    <definedName name="_2__123Graph_AGRAPHIQUE_1A" localSheetId="5" hidden="1">#REF!</definedName>
    <definedName name="_2__123Graph_AGRAPHIQUE_1A" localSheetId="8" hidden="1">#REF!</definedName>
    <definedName name="_2__123Graph_AGRAPHIQUE_1A" localSheetId="7" hidden="1">#REF!</definedName>
    <definedName name="_2__123Graph_AGRAPHIQUE_1A" localSheetId="6" hidden="1">#REF!</definedName>
    <definedName name="_2__123Graph_AGRAPHIQUE_1A" hidden="1">#REF!</definedName>
    <definedName name="_2__123Graph_BGRAPHIQUE_1A" localSheetId="3" hidden="1">#REF!</definedName>
    <definedName name="_2__123Graph_BGRAPHIQUE_1A" localSheetId="4" hidden="1">#REF!</definedName>
    <definedName name="_2__123Graph_BGRAPHIQUE_1A" localSheetId="5" hidden="1">#REF!</definedName>
    <definedName name="_2__123Graph_BGRAPHIQUE_1A" hidden="1">#REF!</definedName>
    <definedName name="_20________________________________________123Graph_FGRAPHIQUE_1A" localSheetId="3" hidden="1">#REF!</definedName>
    <definedName name="_20________________________________________123Graph_FGRAPHIQUE_1A" localSheetId="4" hidden="1">#REF!</definedName>
    <definedName name="_20________________________________________123Graph_FGRAPHIQUE_1A" localSheetId="5" hidden="1">#REF!</definedName>
    <definedName name="_20________________________________________123Graph_FGRAPHIQUE_1A" hidden="1">#REF!</definedName>
    <definedName name="_20____________________123Graph_FGRAPHIQUE_1A" localSheetId="3" hidden="1">#REF!</definedName>
    <definedName name="_20____________________123Graph_FGRAPHIQUE_1A" localSheetId="4" hidden="1">#REF!</definedName>
    <definedName name="_20____________________123Graph_FGRAPHIQUE_1A" localSheetId="5" hidden="1">#REF!</definedName>
    <definedName name="_20____________________123Graph_FGRAPHIQUE_1A" hidden="1">#REF!</definedName>
    <definedName name="_20_____123Graph_CGRAPHIQUE_1A" localSheetId="3" hidden="1">#REF!</definedName>
    <definedName name="_20_____123Graph_CGRAPHIQUE_1A" localSheetId="4" hidden="1">#REF!</definedName>
    <definedName name="_20_____123Graph_CGRAPHIQUE_1A" localSheetId="5" hidden="1">#REF!</definedName>
    <definedName name="_20_____123Graph_CGRAPHIQUE_1A" hidden="1">#REF!</definedName>
    <definedName name="_20__123Graph_CGRAPHIQUE_1A" localSheetId="7" hidden="1">#REF!</definedName>
    <definedName name="_20__123Graph_CGRAPHIQUE_1A" localSheetId="6" hidden="1">#REF!</definedName>
    <definedName name="_20__123Graph_DGRAPHIQUE_1A" localSheetId="3" hidden="1">#REF!</definedName>
    <definedName name="_20__123Graph_DGRAPHIQUE_1A" localSheetId="4" hidden="1">#REF!</definedName>
    <definedName name="_20__123Graph_DGRAPHIQUE_1A" localSheetId="5" hidden="1">#REF!</definedName>
    <definedName name="_20__123Graph_DGRAPHIQUE_1A" localSheetId="8" hidden="1">#REF!</definedName>
    <definedName name="_20__123Graph_DGRAPHIQUE_1A" localSheetId="7" hidden="1">#REF!</definedName>
    <definedName name="_20__123Graph_DGRAPHIQUE_1A" localSheetId="6" hidden="1">#REF!</definedName>
    <definedName name="_20__123Graph_DGRAPHIQUE_1A" hidden="1">#REF!</definedName>
    <definedName name="_20__123Graph_EGRAPHIQUE_1A" localSheetId="3" hidden="1">#REF!</definedName>
    <definedName name="_20__123Graph_EGRAPHIQUE_1A" localSheetId="4" hidden="1">#REF!</definedName>
    <definedName name="_20__123Graph_EGRAPHIQUE_1A" localSheetId="5" hidden="1">#REF!</definedName>
    <definedName name="_20__123Graph_EGRAPHIQUE_1A" hidden="1">#REF!</definedName>
    <definedName name="_20__123Graph_XGRAPHIQUE_1A" localSheetId="7" hidden="1">#REF!</definedName>
    <definedName name="_20__123Graph_XGRAPHIQUE_1A" localSheetId="6" hidden="1">#REF!</definedName>
    <definedName name="_200______________123Graph_DGRAPHIQUE_1A" localSheetId="3" hidden="1">#REF!</definedName>
    <definedName name="_200______________123Graph_DGRAPHIQUE_1A" localSheetId="4" hidden="1">#REF!</definedName>
    <definedName name="_200______________123Graph_DGRAPHIQUE_1A" localSheetId="5" hidden="1">#REF!</definedName>
    <definedName name="_200______________123Graph_DGRAPHIQUE_1A" hidden="1">#REF!</definedName>
    <definedName name="_201______________123Graph_EGRAPHIQUE_1A" localSheetId="3" hidden="1">#REF!</definedName>
    <definedName name="_201______________123Graph_EGRAPHIQUE_1A" localSheetId="4" hidden="1">#REF!</definedName>
    <definedName name="_201______________123Graph_EGRAPHIQUE_1A" localSheetId="5" hidden="1">#REF!</definedName>
    <definedName name="_201______________123Graph_EGRAPHIQUE_1A" hidden="1">#REF!</definedName>
    <definedName name="_202______________123Graph_FGRAPHIQUE_1A" localSheetId="3" hidden="1">#REF!</definedName>
    <definedName name="_202______________123Graph_FGRAPHIQUE_1A" localSheetId="4" hidden="1">#REF!</definedName>
    <definedName name="_202______________123Graph_FGRAPHIQUE_1A" localSheetId="5" hidden="1">#REF!</definedName>
    <definedName name="_202______________123Graph_FGRAPHIQUE_1A" hidden="1">#REF!</definedName>
    <definedName name="_203______________123Graph_XGRAPHIQUE_1A" localSheetId="3" hidden="1">#REF!</definedName>
    <definedName name="_203______________123Graph_XGRAPHIQUE_1A" localSheetId="4" hidden="1">#REF!</definedName>
    <definedName name="_203______________123Graph_XGRAPHIQUE_1A" localSheetId="5" hidden="1">#REF!</definedName>
    <definedName name="_203______________123Graph_XGRAPHIQUE_1A" hidden="1">#REF!</definedName>
    <definedName name="_204_____________123Graph_AGRAPHIQUE_1A" localSheetId="3" hidden="1">#REF!</definedName>
    <definedName name="_204_____________123Graph_AGRAPHIQUE_1A" localSheetId="4" hidden="1">#REF!</definedName>
    <definedName name="_204_____________123Graph_AGRAPHIQUE_1A" localSheetId="5" hidden="1">#REF!</definedName>
    <definedName name="_204_____________123Graph_AGRAPHIQUE_1A" hidden="1">#REF!</definedName>
    <definedName name="_205_____________123Graph_BGRAPHIQUE_1A" localSheetId="3" hidden="1">#REF!</definedName>
    <definedName name="_205_____________123Graph_BGRAPHIQUE_1A" localSheetId="4" hidden="1">#REF!</definedName>
    <definedName name="_205_____________123Graph_BGRAPHIQUE_1A" localSheetId="5" hidden="1">#REF!</definedName>
    <definedName name="_205_____________123Graph_BGRAPHIQUE_1A" hidden="1">#REF!</definedName>
    <definedName name="_206_____________123Graph_CGRAPHIQUE_1A" localSheetId="3" hidden="1">#REF!</definedName>
    <definedName name="_206_____________123Graph_CGRAPHIQUE_1A" localSheetId="4" hidden="1">#REF!</definedName>
    <definedName name="_206_____________123Graph_CGRAPHIQUE_1A" localSheetId="5" hidden="1">#REF!</definedName>
    <definedName name="_206_____________123Graph_CGRAPHIQUE_1A" hidden="1">#REF!</definedName>
    <definedName name="_207_____________123Graph_DGRAPHIQUE_1A" localSheetId="3" hidden="1">#REF!</definedName>
    <definedName name="_207_____________123Graph_DGRAPHIQUE_1A" localSheetId="4" hidden="1">#REF!</definedName>
    <definedName name="_207_____________123Graph_DGRAPHIQUE_1A" localSheetId="5" hidden="1">#REF!</definedName>
    <definedName name="_207_____________123Graph_DGRAPHIQUE_1A" hidden="1">#REF!</definedName>
    <definedName name="_208_____________123Graph_EGRAPHIQUE_1A" localSheetId="3" hidden="1">#REF!</definedName>
    <definedName name="_208_____________123Graph_EGRAPHIQUE_1A" localSheetId="4" hidden="1">#REF!</definedName>
    <definedName name="_208_____________123Graph_EGRAPHIQUE_1A" localSheetId="5" hidden="1">#REF!</definedName>
    <definedName name="_208_____________123Graph_EGRAPHIQUE_1A" hidden="1">#REF!</definedName>
    <definedName name="_209_____________123Graph_FGRAPHIQUE_1A" localSheetId="3" hidden="1">#REF!</definedName>
    <definedName name="_209_____________123Graph_FGRAPHIQUE_1A" localSheetId="4" hidden="1">#REF!</definedName>
    <definedName name="_209_____________123Graph_FGRAPHIQUE_1A" localSheetId="5" hidden="1">#REF!</definedName>
    <definedName name="_209_____________123Graph_FGRAPHIQUE_1A" hidden="1">#REF!</definedName>
    <definedName name="_21________________________________________123Graph_XGRAPHIQUE_1A" localSheetId="3" hidden="1">#REF!</definedName>
    <definedName name="_21________________________________________123Graph_XGRAPHIQUE_1A" localSheetId="4" hidden="1">#REF!</definedName>
    <definedName name="_21________________________________________123Graph_XGRAPHIQUE_1A" localSheetId="5" hidden="1">#REF!</definedName>
    <definedName name="_21________________________________________123Graph_XGRAPHIQUE_1A" hidden="1">#REF!</definedName>
    <definedName name="_21____________________123Graph_XGRAPHIQUE_1A" localSheetId="3" hidden="1">#REF!</definedName>
    <definedName name="_21____________________123Graph_XGRAPHIQUE_1A" localSheetId="4" hidden="1">#REF!</definedName>
    <definedName name="_21____________________123Graph_XGRAPHIQUE_1A" localSheetId="5" hidden="1">#REF!</definedName>
    <definedName name="_21____________________123Graph_XGRAPHIQUE_1A" hidden="1">#REF!</definedName>
    <definedName name="_21______123Graph_XGRAPHIQUE_1A" localSheetId="3" hidden="1">#REF!</definedName>
    <definedName name="_21______123Graph_XGRAPHIQUE_1A" localSheetId="4" hidden="1">#REF!</definedName>
    <definedName name="_21______123Graph_XGRAPHIQUE_1A" localSheetId="5" hidden="1">#REF!</definedName>
    <definedName name="_21______123Graph_XGRAPHIQUE_1A" hidden="1">#REF!</definedName>
    <definedName name="_21__123Graph_CGRAPHIQUE_1A" localSheetId="3" hidden="1">#REF!</definedName>
    <definedName name="_21__123Graph_CGRAPHIQUE_1A" localSheetId="4" hidden="1">#REF!</definedName>
    <definedName name="_21__123Graph_CGRAPHIQUE_1A" localSheetId="5" hidden="1">#REF!</definedName>
    <definedName name="_21__123Graph_CGRAPHIQUE_1A" localSheetId="8" hidden="1">#REF!</definedName>
    <definedName name="_21__123Graph_CGRAPHIQUE_1A" localSheetId="7" hidden="1">#REF!</definedName>
    <definedName name="_21__123Graph_CGRAPHIQUE_1A" localSheetId="6" hidden="1">#REF!</definedName>
    <definedName name="_21__123Graph_CGRAPHIQUE_1A" hidden="1">#REF!</definedName>
    <definedName name="_21__123Graph_XGRAPHIQUE_1A" localSheetId="3" hidden="1">#REF!</definedName>
    <definedName name="_21__123Graph_XGRAPHIQUE_1A" localSheetId="4" hidden="1">#REF!</definedName>
    <definedName name="_21__123Graph_XGRAPHIQUE_1A" localSheetId="5" hidden="1">#REF!</definedName>
    <definedName name="_21__123Graph_XGRAPHIQUE_1A" localSheetId="8" hidden="1">#REF!</definedName>
    <definedName name="_21__123Graph_XGRAPHIQUE_1A" localSheetId="7" hidden="1">#REF!</definedName>
    <definedName name="_21__123Graph_XGRAPHIQUE_1A" localSheetId="6" hidden="1">#REF!</definedName>
    <definedName name="_21__123Graph_XGRAPHIQUE_1A" hidden="1">#REF!</definedName>
    <definedName name="_210_____________123Graph_XGRAPHIQUE_1A" localSheetId="3" hidden="1">#REF!</definedName>
    <definedName name="_210_____________123Graph_XGRAPHIQUE_1A" localSheetId="4" hidden="1">#REF!</definedName>
    <definedName name="_210_____________123Graph_XGRAPHIQUE_1A" localSheetId="5" hidden="1">#REF!</definedName>
    <definedName name="_210_____________123Graph_XGRAPHIQUE_1A" hidden="1">#REF!</definedName>
    <definedName name="_211____________123Graph_AGRAPHIQUE_1A" localSheetId="3" hidden="1">#REF!</definedName>
    <definedName name="_211____________123Graph_AGRAPHIQUE_1A" localSheetId="4" hidden="1">#REF!</definedName>
    <definedName name="_211____________123Graph_AGRAPHIQUE_1A" localSheetId="5" hidden="1">#REF!</definedName>
    <definedName name="_211____________123Graph_AGRAPHIQUE_1A" hidden="1">#REF!</definedName>
    <definedName name="_212____________123Graph_BGRAPHIQUE_1A" localSheetId="3" hidden="1">#REF!</definedName>
    <definedName name="_212____________123Graph_BGRAPHIQUE_1A" localSheetId="4" hidden="1">#REF!</definedName>
    <definedName name="_212____________123Graph_BGRAPHIQUE_1A" localSheetId="5" hidden="1">#REF!</definedName>
    <definedName name="_212____________123Graph_BGRAPHIQUE_1A" hidden="1">#REF!</definedName>
    <definedName name="_213____________123Graph_CGRAPHIQUE_1A" localSheetId="3" hidden="1">#REF!</definedName>
    <definedName name="_213____________123Graph_CGRAPHIQUE_1A" localSheetId="4" hidden="1">#REF!</definedName>
    <definedName name="_213____________123Graph_CGRAPHIQUE_1A" localSheetId="5" hidden="1">#REF!</definedName>
    <definedName name="_213____________123Graph_CGRAPHIQUE_1A" hidden="1">#REF!</definedName>
    <definedName name="_214____________123Graph_DGRAPHIQUE_1A" localSheetId="3" hidden="1">#REF!</definedName>
    <definedName name="_214____________123Graph_DGRAPHIQUE_1A" localSheetId="4" hidden="1">#REF!</definedName>
    <definedName name="_214____________123Graph_DGRAPHIQUE_1A" localSheetId="5" hidden="1">#REF!</definedName>
    <definedName name="_214____________123Graph_DGRAPHIQUE_1A" hidden="1">#REF!</definedName>
    <definedName name="_215____________123Graph_EGRAPHIQUE_1A" localSheetId="3" hidden="1">#REF!</definedName>
    <definedName name="_215____________123Graph_EGRAPHIQUE_1A" localSheetId="4" hidden="1">#REF!</definedName>
    <definedName name="_215____________123Graph_EGRAPHIQUE_1A" localSheetId="5" hidden="1">#REF!</definedName>
    <definedName name="_215____________123Graph_EGRAPHIQUE_1A" hidden="1">#REF!</definedName>
    <definedName name="_216____________123Graph_FGRAPHIQUE_1A" localSheetId="3" hidden="1">#REF!</definedName>
    <definedName name="_216____________123Graph_FGRAPHIQUE_1A" localSheetId="4" hidden="1">#REF!</definedName>
    <definedName name="_216____________123Graph_FGRAPHIQUE_1A" localSheetId="5" hidden="1">#REF!</definedName>
    <definedName name="_216____________123Graph_FGRAPHIQUE_1A" hidden="1">#REF!</definedName>
    <definedName name="_217____________123Graph_XGRAPHIQUE_1A" localSheetId="3" hidden="1">#REF!</definedName>
    <definedName name="_217____________123Graph_XGRAPHIQUE_1A" localSheetId="4" hidden="1">#REF!</definedName>
    <definedName name="_217____________123Graph_XGRAPHIQUE_1A" localSheetId="5" hidden="1">#REF!</definedName>
    <definedName name="_217____________123Graph_XGRAPHIQUE_1A" hidden="1">#REF!</definedName>
    <definedName name="_218___________123Graph_AGRAPHIQUE_1A" localSheetId="3" hidden="1">#REF!</definedName>
    <definedName name="_218___________123Graph_AGRAPHIQUE_1A" localSheetId="4" hidden="1">#REF!</definedName>
    <definedName name="_218___________123Graph_AGRAPHIQUE_1A" localSheetId="5" hidden="1">#REF!</definedName>
    <definedName name="_218___________123Graph_AGRAPHIQUE_1A" hidden="1">#REF!</definedName>
    <definedName name="_219___________123Graph_BGRAPHIQUE_1A" localSheetId="3" hidden="1">#REF!</definedName>
    <definedName name="_219___________123Graph_BGRAPHIQUE_1A" localSheetId="4" hidden="1">#REF!</definedName>
    <definedName name="_219___________123Graph_BGRAPHIQUE_1A" localSheetId="5" hidden="1">#REF!</definedName>
    <definedName name="_219___________123Graph_BGRAPHIQUE_1A" hidden="1">#REF!</definedName>
    <definedName name="_22_______________________________________123Graph_AGRAPHIQUE_1A" localSheetId="3" hidden="1">#REF!</definedName>
    <definedName name="_22_______________________________________123Graph_AGRAPHIQUE_1A" localSheetId="4" hidden="1">#REF!</definedName>
    <definedName name="_22_______________________________________123Graph_AGRAPHIQUE_1A" localSheetId="5" hidden="1">#REF!</definedName>
    <definedName name="_22_______________________________________123Graph_AGRAPHIQUE_1A" hidden="1">#REF!</definedName>
    <definedName name="_22___________________123Graph_AGRAPHIQUE_1A" localSheetId="3" hidden="1">#REF!</definedName>
    <definedName name="_22___________________123Graph_AGRAPHIQUE_1A" localSheetId="4" hidden="1">#REF!</definedName>
    <definedName name="_22___________________123Graph_AGRAPHIQUE_1A" localSheetId="5" hidden="1">#REF!</definedName>
    <definedName name="_22___________________123Graph_AGRAPHIQUE_1A" hidden="1">#REF!</definedName>
    <definedName name="_22_____123Graph_DGRAPHIQUE_1A" localSheetId="3" hidden="1">#REF!</definedName>
    <definedName name="_22_____123Graph_DGRAPHIQUE_1A" localSheetId="4" hidden="1">#REF!</definedName>
    <definedName name="_22_____123Graph_DGRAPHIQUE_1A" localSheetId="5" hidden="1">#REF!</definedName>
    <definedName name="_22_____123Graph_DGRAPHIQUE_1A" hidden="1">#REF!</definedName>
    <definedName name="_220___________123Graph_CGRAPHIQUE_1A" localSheetId="3" hidden="1">#REF!</definedName>
    <definedName name="_220___________123Graph_CGRAPHIQUE_1A" localSheetId="4" hidden="1">#REF!</definedName>
    <definedName name="_220___________123Graph_CGRAPHIQUE_1A" localSheetId="5" hidden="1">#REF!</definedName>
    <definedName name="_220___________123Graph_CGRAPHIQUE_1A" hidden="1">#REF!</definedName>
    <definedName name="_221___________123Graph_DGRAPHIQUE_1A" localSheetId="3" hidden="1">#REF!</definedName>
    <definedName name="_221___________123Graph_DGRAPHIQUE_1A" localSheetId="4" hidden="1">#REF!</definedName>
    <definedName name="_221___________123Graph_DGRAPHIQUE_1A" localSheetId="5" hidden="1">#REF!</definedName>
    <definedName name="_221___________123Graph_DGRAPHIQUE_1A" hidden="1">#REF!</definedName>
    <definedName name="_222___________123Graph_EGRAPHIQUE_1A" localSheetId="3" hidden="1">#REF!</definedName>
    <definedName name="_222___________123Graph_EGRAPHIQUE_1A" localSheetId="4" hidden="1">#REF!</definedName>
    <definedName name="_222___________123Graph_EGRAPHIQUE_1A" localSheetId="5" hidden="1">#REF!</definedName>
    <definedName name="_222___________123Graph_EGRAPHIQUE_1A" hidden="1">#REF!</definedName>
    <definedName name="_223___________123Graph_FGRAPHIQUE_1A" localSheetId="3" hidden="1">#REF!</definedName>
    <definedName name="_223___________123Graph_FGRAPHIQUE_1A" localSheetId="4" hidden="1">#REF!</definedName>
    <definedName name="_223___________123Graph_FGRAPHIQUE_1A" localSheetId="5" hidden="1">#REF!</definedName>
    <definedName name="_223___________123Graph_FGRAPHIQUE_1A" hidden="1">#REF!</definedName>
    <definedName name="_224___________123Graph_XGRAPHIQUE_1A" localSheetId="3" hidden="1">#REF!</definedName>
    <definedName name="_224___________123Graph_XGRAPHIQUE_1A" localSheetId="4" hidden="1">#REF!</definedName>
    <definedName name="_224___________123Graph_XGRAPHIQUE_1A" localSheetId="5" hidden="1">#REF!</definedName>
    <definedName name="_224___________123Graph_XGRAPHIQUE_1A" hidden="1">#REF!</definedName>
    <definedName name="_225__________123Graph_AGRAPHIQUE_1A" localSheetId="3" hidden="1">#REF!</definedName>
    <definedName name="_225__________123Graph_AGRAPHIQUE_1A" localSheetId="4" hidden="1">#REF!</definedName>
    <definedName name="_225__________123Graph_AGRAPHIQUE_1A" localSheetId="5" hidden="1">#REF!</definedName>
    <definedName name="_225__________123Graph_AGRAPHIQUE_1A" hidden="1">#REF!</definedName>
    <definedName name="_226__________123Graph_BGRAPHIQUE_1A" localSheetId="3" hidden="1">#REF!</definedName>
    <definedName name="_226__________123Graph_BGRAPHIQUE_1A" localSheetId="4" hidden="1">#REF!</definedName>
    <definedName name="_226__________123Graph_BGRAPHIQUE_1A" localSheetId="5" hidden="1">#REF!</definedName>
    <definedName name="_226__________123Graph_BGRAPHIQUE_1A" hidden="1">#REF!</definedName>
    <definedName name="_227__________123Graph_CGRAPHIQUE_1A" localSheetId="3" hidden="1">#REF!</definedName>
    <definedName name="_227__________123Graph_CGRAPHIQUE_1A" localSheetId="4" hidden="1">#REF!</definedName>
    <definedName name="_227__________123Graph_CGRAPHIQUE_1A" localSheetId="5" hidden="1">#REF!</definedName>
    <definedName name="_227__________123Graph_CGRAPHIQUE_1A" hidden="1">#REF!</definedName>
    <definedName name="_228__________123Graph_DGRAPHIQUE_1A" localSheetId="3" hidden="1">#REF!</definedName>
    <definedName name="_228__________123Graph_DGRAPHIQUE_1A" localSheetId="4" hidden="1">#REF!</definedName>
    <definedName name="_228__________123Graph_DGRAPHIQUE_1A" localSheetId="5" hidden="1">#REF!</definedName>
    <definedName name="_228__________123Graph_DGRAPHIQUE_1A" hidden="1">#REF!</definedName>
    <definedName name="_229__________123Graph_EGRAPHIQUE_1A" localSheetId="3" hidden="1">#REF!</definedName>
    <definedName name="_229__________123Graph_EGRAPHIQUE_1A" localSheetId="4" hidden="1">#REF!</definedName>
    <definedName name="_229__________123Graph_EGRAPHIQUE_1A" localSheetId="5" hidden="1">#REF!</definedName>
    <definedName name="_229__________123Graph_EGRAPHIQUE_1A" hidden="1">#REF!</definedName>
    <definedName name="_23_______________________________________123Graph_BGRAPHIQUE_1A" localSheetId="3" hidden="1">#REF!</definedName>
    <definedName name="_23_______________________________________123Graph_BGRAPHIQUE_1A" localSheetId="4" hidden="1">#REF!</definedName>
    <definedName name="_23_______________________________________123Graph_BGRAPHIQUE_1A" localSheetId="5" hidden="1">#REF!</definedName>
    <definedName name="_23_______________________________________123Graph_BGRAPHIQUE_1A" hidden="1">#REF!</definedName>
    <definedName name="_23___________________123Graph_BGRAPHIQUE_1A" localSheetId="3" hidden="1">#REF!</definedName>
    <definedName name="_23___________________123Graph_BGRAPHIQUE_1A" localSheetId="4" hidden="1">#REF!</definedName>
    <definedName name="_23___________________123Graph_BGRAPHIQUE_1A" localSheetId="5" hidden="1">#REF!</definedName>
    <definedName name="_23___________________123Graph_BGRAPHIQUE_1A" hidden="1">#REF!</definedName>
    <definedName name="_230__________123Graph_FGRAPHIQUE_1A" localSheetId="3" hidden="1">#REF!</definedName>
    <definedName name="_230__________123Graph_FGRAPHIQUE_1A" localSheetId="4" hidden="1">#REF!</definedName>
    <definedName name="_230__________123Graph_FGRAPHIQUE_1A" localSheetId="5" hidden="1">#REF!</definedName>
    <definedName name="_230__________123Graph_FGRAPHIQUE_1A" hidden="1">#REF!</definedName>
    <definedName name="_231__________123Graph_XGRAPHIQUE_1A" localSheetId="3" hidden="1">#REF!</definedName>
    <definedName name="_231__________123Graph_XGRAPHIQUE_1A" localSheetId="4" hidden="1">#REF!</definedName>
    <definedName name="_231__________123Graph_XGRAPHIQUE_1A" localSheetId="5" hidden="1">#REF!</definedName>
    <definedName name="_231__________123Graph_XGRAPHIQUE_1A" hidden="1">#REF!</definedName>
    <definedName name="_232_________123Graph_AGRAPHIQUE_1A" localSheetId="3" hidden="1">#REF!</definedName>
    <definedName name="_232_________123Graph_AGRAPHIQUE_1A" localSheetId="4" hidden="1">#REF!</definedName>
    <definedName name="_232_________123Graph_AGRAPHIQUE_1A" localSheetId="5" hidden="1">#REF!</definedName>
    <definedName name="_232_________123Graph_AGRAPHIQUE_1A" hidden="1">#REF!</definedName>
    <definedName name="_233_________123Graph_BGRAPHIQUE_1A" localSheetId="3" hidden="1">#REF!</definedName>
    <definedName name="_233_________123Graph_BGRAPHIQUE_1A" localSheetId="4" hidden="1">#REF!</definedName>
    <definedName name="_233_________123Graph_BGRAPHIQUE_1A" localSheetId="5" hidden="1">#REF!</definedName>
    <definedName name="_233_________123Graph_BGRAPHIQUE_1A" hidden="1">#REF!</definedName>
    <definedName name="_234_________123Graph_CGRAPHIQUE_1A" localSheetId="3" hidden="1">#REF!</definedName>
    <definedName name="_234_________123Graph_CGRAPHIQUE_1A" localSheetId="4" hidden="1">#REF!</definedName>
    <definedName name="_234_________123Graph_CGRAPHIQUE_1A" localSheetId="5" hidden="1">#REF!</definedName>
    <definedName name="_234_________123Graph_CGRAPHIQUE_1A" hidden="1">#REF!</definedName>
    <definedName name="_235_________123Graph_DGRAPHIQUE_1A" localSheetId="3" hidden="1">#REF!</definedName>
    <definedName name="_235_________123Graph_DGRAPHIQUE_1A" localSheetId="4" hidden="1">#REF!</definedName>
    <definedName name="_235_________123Graph_DGRAPHIQUE_1A" localSheetId="5" hidden="1">#REF!</definedName>
    <definedName name="_235_________123Graph_DGRAPHIQUE_1A" hidden="1">#REF!</definedName>
    <definedName name="_236_________123Graph_EGRAPHIQUE_1A" localSheetId="3" hidden="1">#REF!</definedName>
    <definedName name="_236_________123Graph_EGRAPHIQUE_1A" localSheetId="4" hidden="1">#REF!</definedName>
    <definedName name="_236_________123Graph_EGRAPHIQUE_1A" localSheetId="5" hidden="1">#REF!</definedName>
    <definedName name="_236_________123Graph_EGRAPHIQUE_1A" hidden="1">#REF!</definedName>
    <definedName name="_237_________123Graph_FGRAPHIQUE_1A" localSheetId="3" hidden="1">#REF!</definedName>
    <definedName name="_237_________123Graph_FGRAPHIQUE_1A" localSheetId="4" hidden="1">#REF!</definedName>
    <definedName name="_237_________123Graph_FGRAPHIQUE_1A" localSheetId="5" hidden="1">#REF!</definedName>
    <definedName name="_237_________123Graph_FGRAPHIQUE_1A" hidden="1">#REF!</definedName>
    <definedName name="_238_________123Graph_XGRAPHIQUE_1A" localSheetId="3" hidden="1">#REF!</definedName>
    <definedName name="_238_________123Graph_XGRAPHIQUE_1A" localSheetId="4" hidden="1">#REF!</definedName>
    <definedName name="_238_________123Graph_XGRAPHIQUE_1A" localSheetId="5" hidden="1">#REF!</definedName>
    <definedName name="_238_________123Graph_XGRAPHIQUE_1A" hidden="1">#REF!</definedName>
    <definedName name="_239________123Graph_AGRAPHIQUE_1A" localSheetId="3" hidden="1">#REF!</definedName>
    <definedName name="_239________123Graph_AGRAPHIQUE_1A" localSheetId="4" hidden="1">#REF!</definedName>
    <definedName name="_239________123Graph_AGRAPHIQUE_1A" localSheetId="5" hidden="1">#REF!</definedName>
    <definedName name="_239________123Graph_AGRAPHIQUE_1A" hidden="1">#REF!</definedName>
    <definedName name="_24_______________________________________123Graph_CGRAPHIQUE_1A" localSheetId="3" hidden="1">#REF!</definedName>
    <definedName name="_24_______________________________________123Graph_CGRAPHIQUE_1A" localSheetId="4" hidden="1">#REF!</definedName>
    <definedName name="_24_______________________________________123Graph_CGRAPHIQUE_1A" localSheetId="5" hidden="1">#REF!</definedName>
    <definedName name="_24_______________________________________123Graph_CGRAPHIQUE_1A" hidden="1">#REF!</definedName>
    <definedName name="_24___________________123Graph_CGRAPHIQUE_1A" localSheetId="3" hidden="1">#REF!</definedName>
    <definedName name="_24___________________123Graph_CGRAPHIQUE_1A" localSheetId="4" hidden="1">#REF!</definedName>
    <definedName name="_24___________________123Graph_CGRAPHIQUE_1A" localSheetId="5" hidden="1">#REF!</definedName>
    <definedName name="_24___________________123Graph_CGRAPHIQUE_1A" hidden="1">#REF!</definedName>
    <definedName name="_24_____123Graph_AGRAPHIQUE_1A" localSheetId="3" hidden="1">#REF!</definedName>
    <definedName name="_24_____123Graph_AGRAPHIQUE_1A" localSheetId="4" hidden="1">#REF!</definedName>
    <definedName name="_24_____123Graph_AGRAPHIQUE_1A" localSheetId="5" hidden="1">#REF!</definedName>
    <definedName name="_24_____123Graph_AGRAPHIQUE_1A" hidden="1">#REF!</definedName>
    <definedName name="_24_____123Graph_EGRAPHIQUE_1A" localSheetId="3" hidden="1">#REF!</definedName>
    <definedName name="_24_____123Graph_EGRAPHIQUE_1A" localSheetId="4" hidden="1">#REF!</definedName>
    <definedName name="_24_____123Graph_EGRAPHIQUE_1A" localSheetId="5" hidden="1">#REF!</definedName>
    <definedName name="_24_____123Graph_EGRAPHIQUE_1A" hidden="1">#REF!</definedName>
    <definedName name="_24__123Graph_FGRAPHIQUE_1A" localSheetId="3" hidden="1">#REF!</definedName>
    <definedName name="_24__123Graph_FGRAPHIQUE_1A" localSheetId="4" hidden="1">#REF!</definedName>
    <definedName name="_24__123Graph_FGRAPHIQUE_1A" localSheetId="5" hidden="1">#REF!</definedName>
    <definedName name="_24__123Graph_FGRAPHIQUE_1A" hidden="1">#REF!</definedName>
    <definedName name="_240________123Graph_BGRAPHIQUE_1A" localSheetId="3" hidden="1">#REF!</definedName>
    <definedName name="_240________123Graph_BGRAPHIQUE_1A" localSheetId="4" hidden="1">#REF!</definedName>
    <definedName name="_240________123Graph_BGRAPHIQUE_1A" localSheetId="5" hidden="1">#REF!</definedName>
    <definedName name="_240________123Graph_BGRAPHIQUE_1A" hidden="1">#REF!</definedName>
    <definedName name="_241________123Graph_CGRAPHIQUE_1A" localSheetId="3" hidden="1">#REF!</definedName>
    <definedName name="_241________123Graph_CGRAPHIQUE_1A" localSheetId="4" hidden="1">#REF!</definedName>
    <definedName name="_241________123Graph_CGRAPHIQUE_1A" localSheetId="5" hidden="1">#REF!</definedName>
    <definedName name="_241________123Graph_CGRAPHIQUE_1A" hidden="1">#REF!</definedName>
    <definedName name="_242________123Graph_DGRAPHIQUE_1A" localSheetId="3" hidden="1">#REF!</definedName>
    <definedName name="_242________123Graph_DGRAPHIQUE_1A" localSheetId="4" hidden="1">#REF!</definedName>
    <definedName name="_242________123Graph_DGRAPHIQUE_1A" localSheetId="5" hidden="1">#REF!</definedName>
    <definedName name="_242________123Graph_DGRAPHIQUE_1A" hidden="1">#REF!</definedName>
    <definedName name="_243________123Graph_EGRAPHIQUE_1A" localSheetId="3" hidden="1">#REF!</definedName>
    <definedName name="_243________123Graph_EGRAPHIQUE_1A" localSheetId="4" hidden="1">#REF!</definedName>
    <definedName name="_243________123Graph_EGRAPHIQUE_1A" localSheetId="5" hidden="1">#REF!</definedName>
    <definedName name="_243________123Graph_EGRAPHIQUE_1A" hidden="1">#REF!</definedName>
    <definedName name="_244________123Graph_FGRAPHIQUE_1A" localSheetId="3" hidden="1">#REF!</definedName>
    <definedName name="_244________123Graph_FGRAPHIQUE_1A" localSheetId="4" hidden="1">#REF!</definedName>
    <definedName name="_244________123Graph_FGRAPHIQUE_1A" localSheetId="5" hidden="1">#REF!</definedName>
    <definedName name="_244________123Graph_FGRAPHIQUE_1A" hidden="1">#REF!</definedName>
    <definedName name="_245________123Graph_XGRAPHIQUE_1A" localSheetId="3" hidden="1">#REF!</definedName>
    <definedName name="_245________123Graph_XGRAPHIQUE_1A" localSheetId="4" hidden="1">#REF!</definedName>
    <definedName name="_245________123Graph_XGRAPHIQUE_1A" localSheetId="5" hidden="1">#REF!</definedName>
    <definedName name="_245________123Graph_XGRAPHIQUE_1A" hidden="1">#REF!</definedName>
    <definedName name="_246_______123Graph_AGRAPHIQUE_1A" localSheetId="3" hidden="1">#REF!</definedName>
    <definedName name="_246_______123Graph_AGRAPHIQUE_1A" localSheetId="4" hidden="1">#REF!</definedName>
    <definedName name="_246_______123Graph_AGRAPHIQUE_1A" localSheetId="5" hidden="1">#REF!</definedName>
    <definedName name="_246_______123Graph_AGRAPHIQUE_1A" hidden="1">#REF!</definedName>
    <definedName name="_247_______123Graph_BGRAPHIQUE_1A" localSheetId="3" hidden="1">#REF!</definedName>
    <definedName name="_247_______123Graph_BGRAPHIQUE_1A" localSheetId="4" hidden="1">#REF!</definedName>
    <definedName name="_247_______123Graph_BGRAPHIQUE_1A" localSheetId="5" hidden="1">#REF!</definedName>
    <definedName name="_247_______123Graph_BGRAPHIQUE_1A" hidden="1">#REF!</definedName>
    <definedName name="_248_______123Graph_CGRAPHIQUE_1A" localSheetId="3" hidden="1">#REF!</definedName>
    <definedName name="_248_______123Graph_CGRAPHIQUE_1A" localSheetId="4" hidden="1">#REF!</definedName>
    <definedName name="_248_______123Graph_CGRAPHIQUE_1A" localSheetId="5" hidden="1">#REF!</definedName>
    <definedName name="_248_______123Graph_CGRAPHIQUE_1A" hidden="1">#REF!</definedName>
    <definedName name="_249_______123Graph_DGRAPHIQUE_1A" localSheetId="3" hidden="1">#REF!</definedName>
    <definedName name="_249_______123Graph_DGRAPHIQUE_1A" localSheetId="4" hidden="1">#REF!</definedName>
    <definedName name="_249_______123Graph_DGRAPHIQUE_1A" localSheetId="5" hidden="1">#REF!</definedName>
    <definedName name="_249_______123Graph_DGRAPHIQUE_1A" hidden="1">#REF!</definedName>
    <definedName name="_25_______________________________________123Graph_DGRAPHIQUE_1A" localSheetId="3" hidden="1">#REF!</definedName>
    <definedName name="_25_______________________________________123Graph_DGRAPHIQUE_1A" localSheetId="4" hidden="1">#REF!</definedName>
    <definedName name="_25_______________________________________123Graph_DGRAPHIQUE_1A" localSheetId="5" hidden="1">#REF!</definedName>
    <definedName name="_25_______________________________________123Graph_DGRAPHIQUE_1A" hidden="1">#REF!</definedName>
    <definedName name="_25___________________123Graph_DGRAPHIQUE_1A" localSheetId="3" hidden="1">#REF!</definedName>
    <definedName name="_25___________________123Graph_DGRAPHIQUE_1A" localSheetId="4" hidden="1">#REF!</definedName>
    <definedName name="_25___________________123Graph_DGRAPHIQUE_1A" localSheetId="5" hidden="1">#REF!</definedName>
    <definedName name="_25___________________123Graph_DGRAPHIQUE_1A" hidden="1">#REF!</definedName>
    <definedName name="_25__123Graph_DGRAPHIQUE_1A" localSheetId="8" hidden="1">#REF!</definedName>
    <definedName name="_25__123Graph_EGRAPHIQUE_1A" localSheetId="3" hidden="1">#REF!</definedName>
    <definedName name="_25__123Graph_EGRAPHIQUE_1A" localSheetId="4" hidden="1">#REF!</definedName>
    <definedName name="_25__123Graph_EGRAPHIQUE_1A" localSheetId="5" hidden="1">#REF!</definedName>
    <definedName name="_25__123Graph_EGRAPHIQUE_1A" localSheetId="8" hidden="1">#REF!</definedName>
    <definedName name="_25__123Graph_EGRAPHIQUE_1A" localSheetId="7" hidden="1">#REF!</definedName>
    <definedName name="_25__123Graph_EGRAPHIQUE_1A" localSheetId="6" hidden="1">#REF!</definedName>
    <definedName name="_25__123Graph_EGRAPHIQUE_1A" hidden="1">#REF!</definedName>
    <definedName name="_250_______123Graph_EGRAPHIQUE_1A" localSheetId="3" hidden="1">#REF!</definedName>
    <definedName name="_250_______123Graph_EGRAPHIQUE_1A" localSheetId="4" hidden="1">#REF!</definedName>
    <definedName name="_250_______123Graph_EGRAPHIQUE_1A" localSheetId="5" hidden="1">#REF!</definedName>
    <definedName name="_250_______123Graph_EGRAPHIQUE_1A" hidden="1">#REF!</definedName>
    <definedName name="_251_______123Graph_FGRAPHIQUE_1A" localSheetId="3" hidden="1">#REF!</definedName>
    <definedName name="_251_______123Graph_FGRAPHIQUE_1A" localSheetId="4" hidden="1">#REF!</definedName>
    <definedName name="_251_______123Graph_FGRAPHIQUE_1A" localSheetId="5" hidden="1">#REF!</definedName>
    <definedName name="_251_______123Graph_FGRAPHIQUE_1A" hidden="1">#REF!</definedName>
    <definedName name="_252_______123Graph_XGRAPHIQUE_1A" localSheetId="3" hidden="1">#REF!</definedName>
    <definedName name="_252_______123Graph_XGRAPHIQUE_1A" localSheetId="4" hidden="1">#REF!</definedName>
    <definedName name="_252_______123Graph_XGRAPHIQUE_1A" localSheetId="5" hidden="1">#REF!</definedName>
    <definedName name="_252_______123Graph_XGRAPHIQUE_1A" hidden="1">#REF!</definedName>
    <definedName name="_253______123Graph_AGRAPHIQUE_1A" localSheetId="3" hidden="1">#REF!</definedName>
    <definedName name="_253______123Graph_AGRAPHIQUE_1A" localSheetId="4" hidden="1">#REF!</definedName>
    <definedName name="_253______123Graph_AGRAPHIQUE_1A" localSheetId="5" hidden="1">#REF!</definedName>
    <definedName name="_253______123Graph_AGRAPHIQUE_1A" hidden="1">#REF!</definedName>
    <definedName name="_254______123Graph_BGRAPHIQUE_1A" localSheetId="3" hidden="1">#REF!</definedName>
    <definedName name="_254______123Graph_BGRAPHIQUE_1A" localSheetId="4" hidden="1">#REF!</definedName>
    <definedName name="_254______123Graph_BGRAPHIQUE_1A" localSheetId="5" hidden="1">#REF!</definedName>
    <definedName name="_254______123Graph_BGRAPHIQUE_1A" hidden="1">#REF!</definedName>
    <definedName name="_255______123Graph_CGRAPHIQUE_1A" localSheetId="3" hidden="1">#REF!</definedName>
    <definedName name="_255______123Graph_CGRAPHIQUE_1A" localSheetId="4" hidden="1">#REF!</definedName>
    <definedName name="_255______123Graph_CGRAPHIQUE_1A" localSheetId="5" hidden="1">#REF!</definedName>
    <definedName name="_255______123Graph_CGRAPHIQUE_1A" hidden="1">#REF!</definedName>
    <definedName name="_256______123Graph_DGRAPHIQUE_1A" localSheetId="3" hidden="1">#REF!</definedName>
    <definedName name="_256______123Graph_DGRAPHIQUE_1A" localSheetId="4" hidden="1">#REF!</definedName>
    <definedName name="_256______123Graph_DGRAPHIQUE_1A" localSheetId="5" hidden="1">#REF!</definedName>
    <definedName name="_256______123Graph_DGRAPHIQUE_1A" hidden="1">#REF!</definedName>
    <definedName name="_257______123Graph_EGRAPHIQUE_1A" localSheetId="3" hidden="1">#REF!</definedName>
    <definedName name="_257______123Graph_EGRAPHIQUE_1A" localSheetId="4" hidden="1">#REF!</definedName>
    <definedName name="_257______123Graph_EGRAPHIQUE_1A" localSheetId="5" hidden="1">#REF!</definedName>
    <definedName name="_257______123Graph_EGRAPHIQUE_1A" hidden="1">#REF!</definedName>
    <definedName name="_258______123Graph_FGRAPHIQUE_1A" localSheetId="3" hidden="1">#REF!</definedName>
    <definedName name="_258______123Graph_FGRAPHIQUE_1A" localSheetId="4" hidden="1">#REF!</definedName>
    <definedName name="_258______123Graph_FGRAPHIQUE_1A" localSheetId="5" hidden="1">#REF!</definedName>
    <definedName name="_258______123Graph_FGRAPHIQUE_1A" hidden="1">#REF!</definedName>
    <definedName name="_259______123Graph_XGRAPHIQUE_1A" localSheetId="3" hidden="1">#REF!</definedName>
    <definedName name="_259______123Graph_XGRAPHIQUE_1A" localSheetId="4" hidden="1">#REF!</definedName>
    <definedName name="_259______123Graph_XGRAPHIQUE_1A" localSheetId="5" hidden="1">#REF!</definedName>
    <definedName name="_259______123Graph_XGRAPHIQUE_1A" hidden="1">#REF!</definedName>
    <definedName name="_26_______________________________________123Graph_EGRAPHIQUE_1A" localSheetId="3" hidden="1">#REF!</definedName>
    <definedName name="_26_______________________________________123Graph_EGRAPHIQUE_1A" localSheetId="4" hidden="1">#REF!</definedName>
    <definedName name="_26_______________________________________123Graph_EGRAPHIQUE_1A" localSheetId="5" hidden="1">#REF!</definedName>
    <definedName name="_26_______________________________________123Graph_EGRAPHIQUE_1A" hidden="1">#REF!</definedName>
    <definedName name="_26___________________123Graph_EGRAPHIQUE_1A" localSheetId="3" hidden="1">#REF!</definedName>
    <definedName name="_26___________________123Graph_EGRAPHIQUE_1A" localSheetId="4" hidden="1">#REF!</definedName>
    <definedName name="_26___________________123Graph_EGRAPHIQUE_1A" localSheetId="5" hidden="1">#REF!</definedName>
    <definedName name="_26___________________123Graph_EGRAPHIQUE_1A" hidden="1">#REF!</definedName>
    <definedName name="_26_____123Graph_FGRAPHIQUE_1A" localSheetId="3" hidden="1">#REF!</definedName>
    <definedName name="_26_____123Graph_FGRAPHIQUE_1A" localSheetId="4" hidden="1">#REF!</definedName>
    <definedName name="_26_____123Graph_FGRAPHIQUE_1A" localSheetId="5" hidden="1">#REF!</definedName>
    <definedName name="_26_____123Graph_FGRAPHIQUE_1A" hidden="1">#REF!</definedName>
    <definedName name="_260_____123Graph_AGRAPHIQUE_1A" localSheetId="3" hidden="1">#REF!</definedName>
    <definedName name="_260_____123Graph_AGRAPHIQUE_1A" localSheetId="4" hidden="1">#REF!</definedName>
    <definedName name="_260_____123Graph_AGRAPHIQUE_1A" localSheetId="5" hidden="1">#REF!</definedName>
    <definedName name="_260_____123Graph_AGRAPHIQUE_1A" hidden="1">#REF!</definedName>
    <definedName name="_261_____123Graph_BGRAPHIQUE_1A" localSheetId="3" hidden="1">#REF!</definedName>
    <definedName name="_261_____123Graph_BGRAPHIQUE_1A" localSheetId="4" hidden="1">#REF!</definedName>
    <definedName name="_261_____123Graph_BGRAPHIQUE_1A" localSheetId="5" hidden="1">#REF!</definedName>
    <definedName name="_261_____123Graph_BGRAPHIQUE_1A" hidden="1">#REF!</definedName>
    <definedName name="_262_____123Graph_CGRAPHIQUE_1A" localSheetId="3" hidden="1">#REF!</definedName>
    <definedName name="_262_____123Graph_CGRAPHIQUE_1A" localSheetId="4" hidden="1">#REF!</definedName>
    <definedName name="_262_____123Graph_CGRAPHIQUE_1A" localSheetId="5" hidden="1">#REF!</definedName>
    <definedName name="_262_____123Graph_CGRAPHIQUE_1A" hidden="1">#REF!</definedName>
    <definedName name="_263_____123Graph_DGRAPHIQUE_1A" localSheetId="3" hidden="1">#REF!</definedName>
    <definedName name="_263_____123Graph_DGRAPHIQUE_1A" localSheetId="4" hidden="1">#REF!</definedName>
    <definedName name="_263_____123Graph_DGRAPHIQUE_1A" localSheetId="5" hidden="1">#REF!</definedName>
    <definedName name="_263_____123Graph_DGRAPHIQUE_1A" hidden="1">#REF!</definedName>
    <definedName name="_264_____123Graph_EGRAPHIQUE_1A" localSheetId="3" hidden="1">#REF!</definedName>
    <definedName name="_264_____123Graph_EGRAPHIQUE_1A" localSheetId="4" hidden="1">#REF!</definedName>
    <definedName name="_264_____123Graph_EGRAPHIQUE_1A" localSheetId="5" hidden="1">#REF!</definedName>
    <definedName name="_264_____123Graph_EGRAPHIQUE_1A" hidden="1">#REF!</definedName>
    <definedName name="_265_____123Graph_FGRAPHIQUE_1A" localSheetId="3" hidden="1">#REF!</definedName>
    <definedName name="_265_____123Graph_FGRAPHIQUE_1A" localSheetId="4" hidden="1">#REF!</definedName>
    <definedName name="_265_____123Graph_FGRAPHIQUE_1A" localSheetId="5" hidden="1">#REF!</definedName>
    <definedName name="_265_____123Graph_FGRAPHIQUE_1A" hidden="1">#REF!</definedName>
    <definedName name="_266_____123Graph_XGRAPHIQUE_1A" localSheetId="3" hidden="1">#REF!</definedName>
    <definedName name="_266_____123Graph_XGRAPHIQUE_1A" localSheetId="4" hidden="1">#REF!</definedName>
    <definedName name="_266_____123Graph_XGRAPHIQUE_1A" localSheetId="5" hidden="1">#REF!</definedName>
    <definedName name="_266_____123Graph_XGRAPHIQUE_1A" hidden="1">#REF!</definedName>
    <definedName name="_267____123Graph_AGRAPHIQUE_1A" localSheetId="3" hidden="1">#REF!</definedName>
    <definedName name="_267____123Graph_AGRAPHIQUE_1A" localSheetId="4" hidden="1">#REF!</definedName>
    <definedName name="_267____123Graph_AGRAPHIQUE_1A" localSheetId="5" hidden="1">#REF!</definedName>
    <definedName name="_267____123Graph_AGRAPHIQUE_1A" hidden="1">#REF!</definedName>
    <definedName name="_268____123Graph_BGRAPHIQUE_1A" localSheetId="3" hidden="1">#REF!</definedName>
    <definedName name="_268____123Graph_BGRAPHIQUE_1A" localSheetId="4" hidden="1">#REF!</definedName>
    <definedName name="_268____123Graph_BGRAPHIQUE_1A" localSheetId="5" hidden="1">#REF!</definedName>
    <definedName name="_268____123Graph_BGRAPHIQUE_1A" hidden="1">#REF!</definedName>
    <definedName name="_269____123Graph_CGRAPHIQUE_1A" localSheetId="3" hidden="1">#REF!</definedName>
    <definedName name="_269____123Graph_CGRAPHIQUE_1A" localSheetId="4" hidden="1">#REF!</definedName>
    <definedName name="_269____123Graph_CGRAPHIQUE_1A" localSheetId="5" hidden="1">#REF!</definedName>
    <definedName name="_269____123Graph_CGRAPHIQUE_1A" hidden="1">#REF!</definedName>
    <definedName name="_27_______________________________________123Graph_FGRAPHIQUE_1A" localSheetId="3" hidden="1">#REF!</definedName>
    <definedName name="_27_______________________________________123Graph_FGRAPHIQUE_1A" localSheetId="4" hidden="1">#REF!</definedName>
    <definedName name="_27_______________________________________123Graph_FGRAPHIQUE_1A" localSheetId="5" hidden="1">#REF!</definedName>
    <definedName name="_27_______________________________________123Graph_FGRAPHIQUE_1A" hidden="1">#REF!</definedName>
    <definedName name="_27___________________123Graph_FGRAPHIQUE_1A" localSheetId="3" hidden="1">#REF!</definedName>
    <definedName name="_27___________________123Graph_FGRAPHIQUE_1A" localSheetId="4" hidden="1">#REF!</definedName>
    <definedName name="_27___________________123Graph_FGRAPHIQUE_1A" localSheetId="5" hidden="1">#REF!</definedName>
    <definedName name="_27___________________123Graph_FGRAPHIQUE_1A" hidden="1">#REF!</definedName>
    <definedName name="_27_____123Graph_BGRAPHIQUE_1A" localSheetId="3" hidden="1">#REF!</definedName>
    <definedName name="_27_____123Graph_BGRAPHIQUE_1A" localSheetId="4" hidden="1">#REF!</definedName>
    <definedName name="_27_____123Graph_BGRAPHIQUE_1A" localSheetId="5" hidden="1">#REF!</definedName>
    <definedName name="_27_____123Graph_BGRAPHIQUE_1A" hidden="1">#REF!</definedName>
    <definedName name="_27__123Graph_CGRAPHIQUE_1A" localSheetId="3" hidden="1">#REF!</definedName>
    <definedName name="_27__123Graph_CGRAPHIQUE_1A" localSheetId="4" hidden="1">#REF!</definedName>
    <definedName name="_27__123Graph_CGRAPHIQUE_1A" localSheetId="5" hidden="1">#REF!</definedName>
    <definedName name="_27__123Graph_CGRAPHIQUE_1A" hidden="1">#REF!</definedName>
    <definedName name="_27__123Graph_DGRAPHIQUE_1A" localSheetId="7" hidden="1">#REF!</definedName>
    <definedName name="_27__123Graph_DGRAPHIQUE_1A" localSheetId="6" hidden="1">#REF!</definedName>
    <definedName name="_270____123Graph_DGRAPHIQUE_1A" localSheetId="3" hidden="1">#REF!</definedName>
    <definedName name="_270____123Graph_DGRAPHIQUE_1A" localSheetId="4" hidden="1">#REF!</definedName>
    <definedName name="_270____123Graph_DGRAPHIQUE_1A" localSheetId="5" hidden="1">#REF!</definedName>
    <definedName name="_270____123Graph_DGRAPHIQUE_1A" hidden="1">#REF!</definedName>
    <definedName name="_271____123Graph_EGRAPHIQUE_1A" localSheetId="3" hidden="1">#REF!</definedName>
    <definedName name="_271____123Graph_EGRAPHIQUE_1A" localSheetId="4" hidden="1">#REF!</definedName>
    <definedName name="_271____123Graph_EGRAPHIQUE_1A" localSheetId="5" hidden="1">#REF!</definedName>
    <definedName name="_271____123Graph_EGRAPHIQUE_1A" hidden="1">#REF!</definedName>
    <definedName name="_272____123Graph_FGRAPHIQUE_1A" localSheetId="3" hidden="1">#REF!</definedName>
    <definedName name="_272____123Graph_FGRAPHIQUE_1A" localSheetId="4" hidden="1">#REF!</definedName>
    <definedName name="_272____123Graph_FGRAPHIQUE_1A" localSheetId="5" hidden="1">#REF!</definedName>
    <definedName name="_272____123Graph_FGRAPHIQUE_1A" hidden="1">#REF!</definedName>
    <definedName name="_273____123Graph_XGRAPHIQUE_1A" localSheetId="3" hidden="1">#REF!</definedName>
    <definedName name="_273____123Graph_XGRAPHIQUE_1A" localSheetId="4" hidden="1">#REF!</definedName>
    <definedName name="_273____123Graph_XGRAPHIQUE_1A" localSheetId="5" hidden="1">#REF!</definedName>
    <definedName name="_273____123Graph_XGRAPHIQUE_1A" hidden="1">#REF!</definedName>
    <definedName name="_274___123Graph_AGRAPHIQUE_1A" localSheetId="3" hidden="1">#REF!</definedName>
    <definedName name="_274___123Graph_AGRAPHIQUE_1A" localSheetId="4" hidden="1">#REF!</definedName>
    <definedName name="_274___123Graph_AGRAPHIQUE_1A" localSheetId="5" hidden="1">#REF!</definedName>
    <definedName name="_274___123Graph_AGRAPHIQUE_1A" hidden="1">#REF!</definedName>
    <definedName name="_275___123Graph_BGRAPHIQUE_1A" localSheetId="3" hidden="1">#REF!</definedName>
    <definedName name="_275___123Graph_BGRAPHIQUE_1A" localSheetId="4" hidden="1">#REF!</definedName>
    <definedName name="_275___123Graph_BGRAPHIQUE_1A" localSheetId="5" hidden="1">#REF!</definedName>
    <definedName name="_275___123Graph_BGRAPHIQUE_1A" hidden="1">#REF!</definedName>
    <definedName name="_276___123Graph_CGRAPHIQUE_1A" localSheetId="3" hidden="1">#REF!</definedName>
    <definedName name="_276___123Graph_CGRAPHIQUE_1A" localSheetId="4" hidden="1">#REF!</definedName>
    <definedName name="_276___123Graph_CGRAPHIQUE_1A" localSheetId="5" hidden="1">#REF!</definedName>
    <definedName name="_276___123Graph_CGRAPHIQUE_1A" hidden="1">#REF!</definedName>
    <definedName name="_277___123Graph_DGRAPHIQUE_1A" localSheetId="3" hidden="1">#REF!</definedName>
    <definedName name="_277___123Graph_DGRAPHIQUE_1A" localSheetId="4" hidden="1">#REF!</definedName>
    <definedName name="_277___123Graph_DGRAPHIQUE_1A" localSheetId="5" hidden="1">#REF!</definedName>
    <definedName name="_277___123Graph_DGRAPHIQUE_1A" hidden="1">#REF!</definedName>
    <definedName name="_278___123Graph_EGRAPHIQUE_1A" localSheetId="3" hidden="1">#REF!</definedName>
    <definedName name="_278___123Graph_EGRAPHIQUE_1A" localSheetId="4" hidden="1">#REF!</definedName>
    <definedName name="_278___123Graph_EGRAPHIQUE_1A" localSheetId="5" hidden="1">#REF!</definedName>
    <definedName name="_278___123Graph_EGRAPHIQUE_1A" hidden="1">#REF!</definedName>
    <definedName name="_279___123Graph_FGRAPHIQUE_1A" localSheetId="3" hidden="1">#REF!</definedName>
    <definedName name="_279___123Graph_FGRAPHIQUE_1A" localSheetId="4" hidden="1">#REF!</definedName>
    <definedName name="_279___123Graph_FGRAPHIQUE_1A" localSheetId="5" hidden="1">#REF!</definedName>
    <definedName name="_279___123Graph_FGRAPHIQUE_1A" hidden="1">#REF!</definedName>
    <definedName name="_28_______________________________________123Graph_XGRAPHIQUE_1A" localSheetId="3" hidden="1">#REF!</definedName>
    <definedName name="_28_______________________________________123Graph_XGRAPHIQUE_1A" localSheetId="4" hidden="1">#REF!</definedName>
    <definedName name="_28_______________________________________123Graph_XGRAPHIQUE_1A" localSheetId="5" hidden="1">#REF!</definedName>
    <definedName name="_28_______________________________________123Graph_XGRAPHIQUE_1A" hidden="1">#REF!</definedName>
    <definedName name="_28___________________123Graph_XGRAPHIQUE_1A" localSheetId="3" hidden="1">#REF!</definedName>
    <definedName name="_28___________________123Graph_XGRAPHIQUE_1A" localSheetId="4" hidden="1">#REF!</definedName>
    <definedName name="_28___________________123Graph_XGRAPHIQUE_1A" localSheetId="5" hidden="1">#REF!</definedName>
    <definedName name="_28___________________123Graph_XGRAPHIQUE_1A" hidden="1">#REF!</definedName>
    <definedName name="_28_____123Graph_XGRAPHIQUE_1A" localSheetId="3" hidden="1">#REF!</definedName>
    <definedName name="_28_____123Graph_XGRAPHIQUE_1A" localSheetId="4" hidden="1">#REF!</definedName>
    <definedName name="_28_____123Graph_XGRAPHIQUE_1A" localSheetId="5" hidden="1">#REF!</definedName>
    <definedName name="_28_____123Graph_XGRAPHIQUE_1A" hidden="1">#REF!</definedName>
    <definedName name="_28__123Graph_DGRAPHIQUE_1A" localSheetId="3" hidden="1">#REF!</definedName>
    <definedName name="_28__123Graph_DGRAPHIQUE_1A" localSheetId="4" hidden="1">#REF!</definedName>
    <definedName name="_28__123Graph_DGRAPHIQUE_1A" localSheetId="5" hidden="1">#REF!</definedName>
    <definedName name="_28__123Graph_DGRAPHIQUE_1A" localSheetId="8" hidden="1">#REF!</definedName>
    <definedName name="_28__123Graph_DGRAPHIQUE_1A" localSheetId="7" hidden="1">#REF!</definedName>
    <definedName name="_28__123Graph_DGRAPHIQUE_1A" localSheetId="6" hidden="1">#REF!</definedName>
    <definedName name="_28__123Graph_DGRAPHIQUE_1A" hidden="1">#REF!</definedName>
    <definedName name="_28__123Graph_XGRAPHIQUE_1A" localSheetId="3" hidden="1">#REF!</definedName>
    <definedName name="_28__123Graph_XGRAPHIQUE_1A" localSheetId="4" hidden="1">#REF!</definedName>
    <definedName name="_28__123Graph_XGRAPHIQUE_1A" localSheetId="5" hidden="1">#REF!</definedName>
    <definedName name="_28__123Graph_XGRAPHIQUE_1A" hidden="1">#REF!</definedName>
    <definedName name="_280___123Graph_XGRAPHIQUE_1A" localSheetId="3" hidden="1">#REF!</definedName>
    <definedName name="_280___123Graph_XGRAPHIQUE_1A" localSheetId="4" hidden="1">#REF!</definedName>
    <definedName name="_280___123Graph_XGRAPHIQUE_1A" localSheetId="5" hidden="1">#REF!</definedName>
    <definedName name="_280___123Graph_XGRAPHIQUE_1A" hidden="1">#REF!</definedName>
    <definedName name="_281__123Graph_AGRAPHIQUE_1A" localSheetId="3" hidden="1">#REF!</definedName>
    <definedName name="_281__123Graph_AGRAPHIQUE_1A" localSheetId="4" hidden="1">#REF!</definedName>
    <definedName name="_281__123Graph_AGRAPHIQUE_1A" localSheetId="5" hidden="1">#REF!</definedName>
    <definedName name="_281__123Graph_AGRAPHIQUE_1A" hidden="1">#REF!</definedName>
    <definedName name="_282__123Graph_AGRAPHIQUE_1A" localSheetId="3" hidden="1">#REF!</definedName>
    <definedName name="_282__123Graph_AGRAPHIQUE_1A" localSheetId="4" hidden="1">#REF!</definedName>
    <definedName name="_282__123Graph_AGRAPHIQUE_1A" localSheetId="5" hidden="1">#REF!</definedName>
    <definedName name="_282__123Graph_AGRAPHIQUE_1A" hidden="1">#REF!</definedName>
    <definedName name="_282__123Graph_BGRAPHIQUE_1A" localSheetId="3" hidden="1">#REF!</definedName>
    <definedName name="_282__123Graph_BGRAPHIQUE_1A" localSheetId="4" hidden="1">#REF!</definedName>
    <definedName name="_282__123Graph_BGRAPHIQUE_1A" localSheetId="5" hidden="1">#REF!</definedName>
    <definedName name="_282__123Graph_BGRAPHIQUE_1A" hidden="1">#REF!</definedName>
    <definedName name="_283__123Graph_CGRAPHIQUE_1A" localSheetId="3" hidden="1">#REF!</definedName>
    <definedName name="_283__123Graph_CGRAPHIQUE_1A" localSheetId="4" hidden="1">#REF!</definedName>
    <definedName name="_283__123Graph_CGRAPHIQUE_1A" localSheetId="5" hidden="1">#REF!</definedName>
    <definedName name="_283__123Graph_CGRAPHIQUE_1A" hidden="1">#REF!</definedName>
    <definedName name="_284__123Graph_BGRAPHIQUE_1A" localSheetId="3" hidden="1">#REF!</definedName>
    <definedName name="_284__123Graph_BGRAPHIQUE_1A" localSheetId="4" hidden="1">#REF!</definedName>
    <definedName name="_284__123Graph_BGRAPHIQUE_1A" localSheetId="5" hidden="1">#REF!</definedName>
    <definedName name="_284__123Graph_BGRAPHIQUE_1A" hidden="1">#REF!</definedName>
    <definedName name="_284__123Graph_DGRAPHIQUE_1A" localSheetId="3" hidden="1">#REF!</definedName>
    <definedName name="_284__123Graph_DGRAPHIQUE_1A" localSheetId="4" hidden="1">#REF!</definedName>
    <definedName name="_284__123Graph_DGRAPHIQUE_1A" localSheetId="5" hidden="1">#REF!</definedName>
    <definedName name="_284__123Graph_DGRAPHIQUE_1A" hidden="1">#REF!</definedName>
    <definedName name="_285__123Graph_EGRAPHIQUE_1A" localSheetId="3" hidden="1">#REF!</definedName>
    <definedName name="_285__123Graph_EGRAPHIQUE_1A" localSheetId="4" hidden="1">#REF!</definedName>
    <definedName name="_285__123Graph_EGRAPHIQUE_1A" localSheetId="5" hidden="1">#REF!</definedName>
    <definedName name="_285__123Graph_EGRAPHIQUE_1A" hidden="1">#REF!</definedName>
    <definedName name="_286__123Graph_CGRAPHIQUE_1A" localSheetId="3" hidden="1">#REF!</definedName>
    <definedName name="_286__123Graph_CGRAPHIQUE_1A" localSheetId="4" hidden="1">#REF!</definedName>
    <definedName name="_286__123Graph_CGRAPHIQUE_1A" localSheetId="5" hidden="1">#REF!</definedName>
    <definedName name="_286__123Graph_CGRAPHIQUE_1A" hidden="1">#REF!</definedName>
    <definedName name="_286__123Graph_FGRAPHIQUE_1A" localSheetId="3" hidden="1">#REF!</definedName>
    <definedName name="_286__123Graph_FGRAPHIQUE_1A" localSheetId="4" hidden="1">#REF!</definedName>
    <definedName name="_286__123Graph_FGRAPHIQUE_1A" localSheetId="5" hidden="1">#REF!</definedName>
    <definedName name="_286__123Graph_FGRAPHIQUE_1A" hidden="1">#REF!</definedName>
    <definedName name="_287__123Graph_XGRAPHIQUE_1A" localSheetId="3" hidden="1">#REF!</definedName>
    <definedName name="_287__123Graph_XGRAPHIQUE_1A" localSheetId="4" hidden="1">#REF!</definedName>
    <definedName name="_287__123Graph_XGRAPHIQUE_1A" localSheetId="5" hidden="1">#REF!</definedName>
    <definedName name="_287__123Graph_XGRAPHIQUE_1A" hidden="1">#REF!</definedName>
    <definedName name="_288__123Graph_DGRAPHIQUE_1A" localSheetId="3" hidden="1">#REF!</definedName>
    <definedName name="_288__123Graph_DGRAPHIQUE_1A" localSheetId="4" hidden="1">#REF!</definedName>
    <definedName name="_288__123Graph_DGRAPHIQUE_1A" localSheetId="5" hidden="1">#REF!</definedName>
    <definedName name="_288__123Graph_DGRAPHIQUE_1A" hidden="1">#REF!</definedName>
    <definedName name="_29______________________________________123Graph_AGRAPHIQUE_1A" localSheetId="3" hidden="1">#REF!</definedName>
    <definedName name="_29______________________________________123Graph_AGRAPHIQUE_1A" localSheetId="4" hidden="1">#REF!</definedName>
    <definedName name="_29______________________________________123Graph_AGRAPHIQUE_1A" localSheetId="5" hidden="1">#REF!</definedName>
    <definedName name="_29______________________________________123Graph_AGRAPHIQUE_1A" hidden="1">#REF!</definedName>
    <definedName name="_29__________________123Graph_AGRAPHIQUE_1A" localSheetId="3" hidden="1">#REF!</definedName>
    <definedName name="_29__________________123Graph_AGRAPHIQUE_1A" localSheetId="4" hidden="1">#REF!</definedName>
    <definedName name="_29__________________123Graph_AGRAPHIQUE_1A" localSheetId="5" hidden="1">#REF!</definedName>
    <definedName name="_29__________________123Graph_AGRAPHIQUE_1A" hidden="1">#REF!</definedName>
    <definedName name="_290__123Graph_EGRAPHIQUE_1A" localSheetId="3" hidden="1">#REF!</definedName>
    <definedName name="_290__123Graph_EGRAPHIQUE_1A" localSheetId="4" hidden="1">#REF!</definedName>
    <definedName name="_290__123Graph_EGRAPHIQUE_1A" localSheetId="5" hidden="1">#REF!</definedName>
    <definedName name="_290__123Graph_EGRAPHIQUE_1A" hidden="1">#REF!</definedName>
    <definedName name="_292__123Graph_FGRAPHIQUE_1A" localSheetId="3" hidden="1">#REF!</definedName>
    <definedName name="_292__123Graph_FGRAPHIQUE_1A" localSheetId="4" hidden="1">#REF!</definedName>
    <definedName name="_292__123Graph_FGRAPHIQUE_1A" localSheetId="5" hidden="1">#REF!</definedName>
    <definedName name="_292__123Graph_FGRAPHIQUE_1A" hidden="1">#REF!</definedName>
    <definedName name="_294__123Graph_XGRAPHIQUE_1A" localSheetId="3" hidden="1">#REF!</definedName>
    <definedName name="_294__123Graph_XGRAPHIQUE_1A" localSheetId="4" hidden="1">#REF!</definedName>
    <definedName name="_294__123Graph_XGRAPHIQUE_1A" localSheetId="5" hidden="1">#REF!</definedName>
    <definedName name="_294__123Graph_XGRAPHIQUE_1A" hidden="1">#REF!</definedName>
    <definedName name="_3__________________________________________123Graph_CGRAPHIQUE_1A" localSheetId="3" hidden="1">#REF!</definedName>
    <definedName name="_3__________________________________________123Graph_CGRAPHIQUE_1A" localSheetId="4" hidden="1">#REF!</definedName>
    <definedName name="_3__________________________________________123Graph_CGRAPHIQUE_1A" localSheetId="5" hidden="1">#REF!</definedName>
    <definedName name="_3__________________________________________123Graph_CGRAPHIQUE_1A" hidden="1">#REF!</definedName>
    <definedName name="_3______________________123Graph_CGRAPHIQUE_1A" localSheetId="3" hidden="1">#REF!</definedName>
    <definedName name="_3______________________123Graph_CGRAPHIQUE_1A" localSheetId="4" hidden="1">#REF!</definedName>
    <definedName name="_3______________________123Graph_CGRAPHIQUE_1A" localSheetId="5" hidden="1">#REF!</definedName>
    <definedName name="_3______________________123Graph_CGRAPHIQUE_1A" hidden="1">#REF!</definedName>
    <definedName name="_3______123Graph_AGRAPHIQUE_1A" localSheetId="3" hidden="1">#REF!</definedName>
    <definedName name="_3______123Graph_AGRAPHIQUE_1A" localSheetId="4" hidden="1">#REF!</definedName>
    <definedName name="_3______123Graph_AGRAPHIQUE_1A" localSheetId="5" hidden="1">#REF!</definedName>
    <definedName name="_3______123Graph_AGRAPHIQUE_1A" hidden="1">#REF!</definedName>
    <definedName name="_3__123Graph_ACPI_ER_LOG" localSheetId="3" hidden="1">#REF!</definedName>
    <definedName name="_3__123Graph_ACPI_ER_LOG" localSheetId="4" hidden="1">#REF!</definedName>
    <definedName name="_3__123Graph_ACPI_ER_LOG" localSheetId="5" hidden="1">#REF!</definedName>
    <definedName name="_3__123Graph_ACPI_ER_LOG" hidden="1">#REF!</definedName>
    <definedName name="_3__123Graph_AGRAPHIQUE_1A" localSheetId="3" hidden="1">#REF!</definedName>
    <definedName name="_3__123Graph_AGRAPHIQUE_1A" localSheetId="4" hidden="1">#REF!</definedName>
    <definedName name="_3__123Graph_AGRAPHIQUE_1A" localSheetId="5" hidden="1">#REF!</definedName>
    <definedName name="_3__123Graph_AGRAPHIQUE_1A" localSheetId="8" hidden="1">#REF!</definedName>
    <definedName name="_3__123Graph_AGRAPHIQUE_1A" localSheetId="7" hidden="1">#REF!</definedName>
    <definedName name="_3__123Graph_AGRAPHIQUE_1A" localSheetId="6" hidden="1">#REF!</definedName>
    <definedName name="_3__123Graph_AGRAPHIQUE_1A" hidden="1">#REF!</definedName>
    <definedName name="_3__123Graph_CGRAPHIQUE_1A" localSheetId="3" hidden="1">#REF!</definedName>
    <definedName name="_3__123Graph_CGRAPHIQUE_1A" localSheetId="4" hidden="1">#REF!</definedName>
    <definedName name="_3__123Graph_CGRAPHIQUE_1A" localSheetId="5" hidden="1">#REF!</definedName>
    <definedName name="_3__123Graph_CGRAPHIQUE_1A" hidden="1">#REF!</definedName>
    <definedName name="_30______________________________________123Graph_BGRAPHIQUE_1A" localSheetId="3" hidden="1">#REF!</definedName>
    <definedName name="_30______________________________________123Graph_BGRAPHIQUE_1A" localSheetId="4" hidden="1">#REF!</definedName>
    <definedName name="_30______________________________________123Graph_BGRAPHIQUE_1A" localSheetId="5" hidden="1">#REF!</definedName>
    <definedName name="_30______________________________________123Graph_BGRAPHIQUE_1A" hidden="1">#REF!</definedName>
    <definedName name="_30__________________123Graph_BGRAPHIQUE_1A" localSheetId="3" hidden="1">#REF!</definedName>
    <definedName name="_30__________________123Graph_BGRAPHIQUE_1A" localSheetId="4" hidden="1">#REF!</definedName>
    <definedName name="_30__________________123Graph_BGRAPHIQUE_1A" localSheetId="5" hidden="1">#REF!</definedName>
    <definedName name="_30__________________123Graph_BGRAPHIQUE_1A" hidden="1">#REF!</definedName>
    <definedName name="_30_____123Graph_CGRAPHIQUE_1A" localSheetId="3" hidden="1">#REF!</definedName>
    <definedName name="_30_____123Graph_CGRAPHIQUE_1A" localSheetId="4" hidden="1">#REF!</definedName>
    <definedName name="_30_____123Graph_CGRAPHIQUE_1A" localSheetId="5" hidden="1">#REF!</definedName>
    <definedName name="_30_____123Graph_CGRAPHIQUE_1A" hidden="1">#REF!</definedName>
    <definedName name="_30____123Graph_AGRAPHIQUE_1A" localSheetId="3" hidden="1">#REF!</definedName>
    <definedName name="_30____123Graph_AGRAPHIQUE_1A" localSheetId="4" hidden="1">#REF!</definedName>
    <definedName name="_30____123Graph_AGRAPHIQUE_1A" localSheetId="5" hidden="1">#REF!</definedName>
    <definedName name="_30____123Graph_AGRAPHIQUE_1A" hidden="1">#REF!</definedName>
    <definedName name="_30__123Graph_FGRAPHIQUE_1A" localSheetId="3" hidden="1">#REF!</definedName>
    <definedName name="_30__123Graph_FGRAPHIQUE_1A" localSheetId="4" hidden="1">#REF!</definedName>
    <definedName name="_30__123Graph_FGRAPHIQUE_1A" localSheetId="5" hidden="1">#REF!</definedName>
    <definedName name="_30__123Graph_FGRAPHIQUE_1A" localSheetId="8" hidden="1">#REF!</definedName>
    <definedName name="_30__123Graph_FGRAPHIQUE_1A" localSheetId="7" hidden="1">#REF!</definedName>
    <definedName name="_30__123Graph_FGRAPHIQUE_1A" localSheetId="6" hidden="1">#REF!</definedName>
    <definedName name="_30__123Graph_FGRAPHIQUE_1A" hidden="1">#REF!</definedName>
    <definedName name="_31______________________________________123Graph_CGRAPHIQUE_1A" localSheetId="3" hidden="1">#REF!</definedName>
    <definedName name="_31______________________________________123Graph_CGRAPHIQUE_1A" localSheetId="4" hidden="1">#REF!</definedName>
    <definedName name="_31______________________________________123Graph_CGRAPHIQUE_1A" localSheetId="5" hidden="1">#REF!</definedName>
    <definedName name="_31______________________________________123Graph_CGRAPHIQUE_1A" hidden="1">#REF!</definedName>
    <definedName name="_31__________________123Graph_CGRAPHIQUE_1A" localSheetId="3" hidden="1">#REF!</definedName>
    <definedName name="_31__________________123Graph_CGRAPHIQUE_1A" localSheetId="4" hidden="1">#REF!</definedName>
    <definedName name="_31__________________123Graph_CGRAPHIQUE_1A" localSheetId="5" hidden="1">#REF!</definedName>
    <definedName name="_31__________________123Graph_CGRAPHIQUE_1A" hidden="1">#REF!</definedName>
    <definedName name="_32______________________________________123Graph_DGRAPHIQUE_1A" localSheetId="3" hidden="1">#REF!</definedName>
    <definedName name="_32______________________________________123Graph_DGRAPHIQUE_1A" localSheetId="4" hidden="1">#REF!</definedName>
    <definedName name="_32______________________________________123Graph_DGRAPHIQUE_1A" localSheetId="5" hidden="1">#REF!</definedName>
    <definedName name="_32______________________________________123Graph_DGRAPHIQUE_1A" hidden="1">#REF!</definedName>
    <definedName name="_32__________________123Graph_DGRAPHIQUE_1A" localSheetId="3" hidden="1">#REF!</definedName>
    <definedName name="_32__________________123Graph_DGRAPHIQUE_1A" localSheetId="4" hidden="1">#REF!</definedName>
    <definedName name="_32__________________123Graph_DGRAPHIQUE_1A" localSheetId="5" hidden="1">#REF!</definedName>
    <definedName name="_32__________________123Graph_DGRAPHIQUE_1A" hidden="1">#REF!</definedName>
    <definedName name="_32____123Graph_BGRAPHIQUE_1A" localSheetId="3" hidden="1">#REF!</definedName>
    <definedName name="_32____123Graph_BGRAPHIQUE_1A" localSheetId="4" hidden="1">#REF!</definedName>
    <definedName name="_32____123Graph_BGRAPHIQUE_1A" localSheetId="5" hidden="1">#REF!</definedName>
    <definedName name="_32____123Graph_BGRAPHIQUE_1A" hidden="1">#REF!</definedName>
    <definedName name="_32__123Graph_EGRAPHIQUE_1A" localSheetId="8" hidden="1">#REF!</definedName>
    <definedName name="_33______________________________________123Graph_EGRAPHIQUE_1A" localSheetId="3" hidden="1">#REF!</definedName>
    <definedName name="_33______________________________________123Graph_EGRAPHIQUE_1A" localSheetId="4" hidden="1">#REF!</definedName>
    <definedName name="_33______________________________________123Graph_EGRAPHIQUE_1A" localSheetId="5" hidden="1">#REF!</definedName>
    <definedName name="_33______________________________________123Graph_EGRAPHIQUE_1A" hidden="1">#REF!</definedName>
    <definedName name="_33__________________123Graph_EGRAPHIQUE_1A" localSheetId="3" hidden="1">#REF!</definedName>
    <definedName name="_33__________________123Graph_EGRAPHIQUE_1A" localSheetId="4" hidden="1">#REF!</definedName>
    <definedName name="_33__________________123Graph_EGRAPHIQUE_1A" localSheetId="5" hidden="1">#REF!</definedName>
    <definedName name="_33__________________123Graph_EGRAPHIQUE_1A" hidden="1">#REF!</definedName>
    <definedName name="_33_____123Graph_DGRAPHIQUE_1A" localSheetId="3" hidden="1">#REF!</definedName>
    <definedName name="_33_____123Graph_DGRAPHIQUE_1A" localSheetId="4" hidden="1">#REF!</definedName>
    <definedName name="_33_____123Graph_DGRAPHIQUE_1A" localSheetId="5" hidden="1">#REF!</definedName>
    <definedName name="_33_____123Graph_DGRAPHIQUE_1A" hidden="1">#REF!</definedName>
    <definedName name="_34______________________________________123Graph_FGRAPHIQUE_1A" localSheetId="3" hidden="1">#REF!</definedName>
    <definedName name="_34______________________________________123Graph_FGRAPHIQUE_1A" localSheetId="4" hidden="1">#REF!</definedName>
    <definedName name="_34______________________________________123Graph_FGRAPHIQUE_1A" localSheetId="5" hidden="1">#REF!</definedName>
    <definedName name="_34______________________________________123Graph_FGRAPHIQUE_1A" hidden="1">#REF!</definedName>
    <definedName name="_34__________________123Graph_FGRAPHIQUE_1A" localSheetId="3" hidden="1">#REF!</definedName>
    <definedName name="_34__________________123Graph_FGRAPHIQUE_1A" localSheetId="4" hidden="1">#REF!</definedName>
    <definedName name="_34__________________123Graph_FGRAPHIQUE_1A" localSheetId="5" hidden="1">#REF!</definedName>
    <definedName name="_34__________________123Graph_FGRAPHIQUE_1A" hidden="1">#REF!</definedName>
    <definedName name="_34____123Graph_CGRAPHIQUE_1A" localSheetId="3" hidden="1">#REF!</definedName>
    <definedName name="_34____123Graph_CGRAPHIQUE_1A" localSheetId="4" hidden="1">#REF!</definedName>
    <definedName name="_34____123Graph_CGRAPHIQUE_1A" localSheetId="5" hidden="1">#REF!</definedName>
    <definedName name="_34____123Graph_CGRAPHIQUE_1A" hidden="1">#REF!</definedName>
    <definedName name="_34__123Graph_EGRAPHIQUE_1A" localSheetId="7" hidden="1">#REF!</definedName>
    <definedName name="_34__123Graph_EGRAPHIQUE_1A" localSheetId="6" hidden="1">#REF!</definedName>
    <definedName name="_35______________________________________123Graph_XGRAPHIQUE_1A" localSheetId="3" hidden="1">#REF!</definedName>
    <definedName name="_35______________________________________123Graph_XGRAPHIQUE_1A" localSheetId="4" hidden="1">#REF!</definedName>
    <definedName name="_35______________________________________123Graph_XGRAPHIQUE_1A" localSheetId="5" hidden="1">#REF!</definedName>
    <definedName name="_35______________________________________123Graph_XGRAPHIQUE_1A" hidden="1">#REF!</definedName>
    <definedName name="_35__________________123Graph_XGRAPHIQUE_1A" localSheetId="3" hidden="1">#REF!</definedName>
    <definedName name="_35__________________123Graph_XGRAPHIQUE_1A" localSheetId="4" hidden="1">#REF!</definedName>
    <definedName name="_35__________________123Graph_XGRAPHIQUE_1A" localSheetId="5" hidden="1">#REF!</definedName>
    <definedName name="_35__________________123Graph_XGRAPHIQUE_1A" hidden="1">#REF!</definedName>
    <definedName name="_35__123Graph_EGRAPHIQUE_1A" localSheetId="3" hidden="1">#REF!</definedName>
    <definedName name="_35__123Graph_EGRAPHIQUE_1A" localSheetId="4" hidden="1">#REF!</definedName>
    <definedName name="_35__123Graph_EGRAPHIQUE_1A" localSheetId="5" hidden="1">#REF!</definedName>
    <definedName name="_35__123Graph_EGRAPHIQUE_1A" localSheetId="8" hidden="1">#REF!</definedName>
    <definedName name="_35__123Graph_EGRAPHIQUE_1A" localSheetId="7" hidden="1">#REF!</definedName>
    <definedName name="_35__123Graph_EGRAPHIQUE_1A" localSheetId="6" hidden="1">#REF!</definedName>
    <definedName name="_35__123Graph_EGRAPHIQUE_1A" hidden="1">#REF!</definedName>
    <definedName name="_35__123Graph_XGRAPHIQUE_1A" localSheetId="3" hidden="1">#REF!</definedName>
    <definedName name="_35__123Graph_XGRAPHIQUE_1A" localSheetId="4" hidden="1">#REF!</definedName>
    <definedName name="_35__123Graph_XGRAPHIQUE_1A" localSheetId="5" hidden="1">#REF!</definedName>
    <definedName name="_35__123Graph_XGRAPHIQUE_1A" localSheetId="8" hidden="1">#REF!</definedName>
    <definedName name="_35__123Graph_XGRAPHIQUE_1A" localSheetId="7" hidden="1">#REF!</definedName>
    <definedName name="_35__123Graph_XGRAPHIQUE_1A" localSheetId="6" hidden="1">#REF!</definedName>
    <definedName name="_35__123Graph_XGRAPHIQUE_1A" hidden="1">#REF!</definedName>
    <definedName name="_36_____________________________________123Graph_AGRAPHIQUE_1A" localSheetId="3" hidden="1">#REF!</definedName>
    <definedName name="_36_____________________________________123Graph_AGRAPHIQUE_1A" localSheetId="4" hidden="1">#REF!</definedName>
    <definedName name="_36_____________________________________123Graph_AGRAPHIQUE_1A" localSheetId="5" hidden="1">#REF!</definedName>
    <definedName name="_36_____________________________________123Graph_AGRAPHIQUE_1A" hidden="1">#REF!</definedName>
    <definedName name="_36_________________123Graph_AGRAPHIQUE_1A" localSheetId="3" hidden="1">#REF!</definedName>
    <definedName name="_36_________________123Graph_AGRAPHIQUE_1A" localSheetId="4" hidden="1">#REF!</definedName>
    <definedName name="_36_________________123Graph_AGRAPHIQUE_1A" localSheetId="5" hidden="1">#REF!</definedName>
    <definedName name="_36_________________123Graph_AGRAPHIQUE_1A" hidden="1">#REF!</definedName>
    <definedName name="_36_____123Graph_EGRAPHIQUE_1A" localSheetId="3" hidden="1">#REF!</definedName>
    <definedName name="_36_____123Graph_EGRAPHIQUE_1A" localSheetId="4" hidden="1">#REF!</definedName>
    <definedName name="_36_____123Graph_EGRAPHIQUE_1A" localSheetId="5" hidden="1">#REF!</definedName>
    <definedName name="_36_____123Graph_EGRAPHIQUE_1A" hidden="1">#REF!</definedName>
    <definedName name="_36____123Graph_DGRAPHIQUE_1A" localSheetId="3" hidden="1">#REF!</definedName>
    <definedName name="_36____123Graph_DGRAPHIQUE_1A" localSheetId="4" hidden="1">#REF!</definedName>
    <definedName name="_36____123Graph_DGRAPHIQUE_1A" localSheetId="5" hidden="1">#REF!</definedName>
    <definedName name="_36____123Graph_DGRAPHIQUE_1A" hidden="1">#REF!</definedName>
    <definedName name="_36__123Graph_DGRAPHIQUE_1A" localSheetId="3" hidden="1">#REF!</definedName>
    <definedName name="_36__123Graph_DGRAPHIQUE_1A" localSheetId="4" hidden="1">#REF!</definedName>
    <definedName name="_36__123Graph_DGRAPHIQUE_1A" localSheetId="5" hidden="1">#REF!</definedName>
    <definedName name="_36__123Graph_DGRAPHIQUE_1A" hidden="1">#REF!</definedName>
    <definedName name="_37_____________________________________123Graph_BGRAPHIQUE_1A" localSheetId="3" hidden="1">#REF!</definedName>
    <definedName name="_37_____________________________________123Graph_BGRAPHIQUE_1A" localSheetId="4" hidden="1">#REF!</definedName>
    <definedName name="_37_____________________________________123Graph_BGRAPHIQUE_1A" localSheetId="5" hidden="1">#REF!</definedName>
    <definedName name="_37_____________________________________123Graph_BGRAPHIQUE_1A" hidden="1">#REF!</definedName>
    <definedName name="_37_________________123Graph_BGRAPHIQUE_1A" localSheetId="3" hidden="1">#REF!</definedName>
    <definedName name="_37_________________123Graph_BGRAPHIQUE_1A" localSheetId="4" hidden="1">#REF!</definedName>
    <definedName name="_37_________________123Graph_BGRAPHIQUE_1A" localSheetId="5" hidden="1">#REF!</definedName>
    <definedName name="_37_________________123Graph_BGRAPHIQUE_1A" hidden="1">#REF!</definedName>
    <definedName name="_38_____________________________________123Graph_CGRAPHIQUE_1A" localSheetId="3" hidden="1">#REF!</definedName>
    <definedName name="_38_____________________________________123Graph_CGRAPHIQUE_1A" localSheetId="4" hidden="1">#REF!</definedName>
    <definedName name="_38_____________________________________123Graph_CGRAPHIQUE_1A" localSheetId="5" hidden="1">#REF!</definedName>
    <definedName name="_38_____________________________________123Graph_CGRAPHIQUE_1A" hidden="1">#REF!</definedName>
    <definedName name="_38_________________123Graph_CGRAPHIQUE_1A" localSheetId="3" hidden="1">#REF!</definedName>
    <definedName name="_38_________________123Graph_CGRAPHIQUE_1A" localSheetId="4" hidden="1">#REF!</definedName>
    <definedName name="_38_________________123Graph_CGRAPHIQUE_1A" localSheetId="5" hidden="1">#REF!</definedName>
    <definedName name="_38_________________123Graph_CGRAPHIQUE_1A" hidden="1">#REF!</definedName>
    <definedName name="_38____123Graph_EGRAPHIQUE_1A" localSheetId="3" hidden="1">#REF!</definedName>
    <definedName name="_38____123Graph_EGRAPHIQUE_1A" localSheetId="4" hidden="1">#REF!</definedName>
    <definedName name="_38____123Graph_EGRAPHIQUE_1A" localSheetId="5" hidden="1">#REF!</definedName>
    <definedName name="_38____123Graph_EGRAPHIQUE_1A" hidden="1">#REF!</definedName>
    <definedName name="_39_____________________________________123Graph_DGRAPHIQUE_1A" localSheetId="3" hidden="1">#REF!</definedName>
    <definedName name="_39_____________________________________123Graph_DGRAPHIQUE_1A" localSheetId="4" hidden="1">#REF!</definedName>
    <definedName name="_39_____________________________________123Graph_DGRAPHIQUE_1A" localSheetId="5" hidden="1">#REF!</definedName>
    <definedName name="_39_____________________________________123Graph_DGRAPHIQUE_1A" hidden="1">#REF!</definedName>
    <definedName name="_39_________________123Graph_DGRAPHIQUE_1A" localSheetId="3" hidden="1">#REF!</definedName>
    <definedName name="_39_________________123Graph_DGRAPHIQUE_1A" localSheetId="4" hidden="1">#REF!</definedName>
    <definedName name="_39_________________123Graph_DGRAPHIQUE_1A" localSheetId="5" hidden="1">#REF!</definedName>
    <definedName name="_39_________________123Graph_DGRAPHIQUE_1A" hidden="1">#REF!</definedName>
    <definedName name="_39_____123Graph_FGRAPHIQUE_1A" localSheetId="3" hidden="1">#REF!</definedName>
    <definedName name="_39_____123Graph_FGRAPHIQUE_1A" localSheetId="4" hidden="1">#REF!</definedName>
    <definedName name="_39_____123Graph_FGRAPHIQUE_1A" localSheetId="5" hidden="1">#REF!</definedName>
    <definedName name="_39_____123Graph_FGRAPHIQUE_1A" hidden="1">#REF!</definedName>
    <definedName name="_39__123Graph_FGRAPHIQUE_1A" localSheetId="8" hidden="1">#REF!</definedName>
    <definedName name="_4__________________________________________123Graph_DGRAPHIQUE_1A" localSheetId="3" hidden="1">#REF!</definedName>
    <definedName name="_4__________________________________________123Graph_DGRAPHIQUE_1A" localSheetId="4" hidden="1">#REF!</definedName>
    <definedName name="_4__________________________________________123Graph_DGRAPHIQUE_1A" localSheetId="5" hidden="1">#REF!</definedName>
    <definedName name="_4__________________________________________123Graph_DGRAPHIQUE_1A" hidden="1">#REF!</definedName>
    <definedName name="_4______________________123Graph_DGRAPHIQUE_1A" localSheetId="3" hidden="1">#REF!</definedName>
    <definedName name="_4______________________123Graph_DGRAPHIQUE_1A" localSheetId="4" hidden="1">#REF!</definedName>
    <definedName name="_4______________________123Graph_DGRAPHIQUE_1A" localSheetId="5" hidden="1">#REF!</definedName>
    <definedName name="_4______________________123Graph_DGRAPHIQUE_1A" hidden="1">#REF!</definedName>
    <definedName name="_4______123Graph_BGRAPHIQUE_1A" localSheetId="3" hidden="1">#REF!</definedName>
    <definedName name="_4______123Graph_BGRAPHIQUE_1A" localSheetId="4" hidden="1">#REF!</definedName>
    <definedName name="_4______123Graph_BGRAPHIQUE_1A" localSheetId="5" hidden="1">#REF!</definedName>
    <definedName name="_4______123Graph_BGRAPHIQUE_1A" hidden="1">#REF!</definedName>
    <definedName name="_4__123Graph_AGRAPHIQUE_1A" localSheetId="3" hidden="1">#REF!</definedName>
    <definedName name="_4__123Graph_AGRAPHIQUE_1A" localSheetId="4" hidden="1">#REF!</definedName>
    <definedName name="_4__123Graph_AGRAPHIQUE_1A" localSheetId="5" hidden="1">#REF!</definedName>
    <definedName name="_4__123Graph_AGRAPHIQUE_1A" localSheetId="8" hidden="1">#REF!</definedName>
    <definedName name="_4__123Graph_AGRAPHIQUE_1A" hidden="1">#REF!</definedName>
    <definedName name="_4__123Graph_BCPI_ER_LOG" localSheetId="3" hidden="1">#REF!</definedName>
    <definedName name="_4__123Graph_BCPI_ER_LOG" localSheetId="4" hidden="1">#REF!</definedName>
    <definedName name="_4__123Graph_BCPI_ER_LOG" localSheetId="5" hidden="1">#REF!</definedName>
    <definedName name="_4__123Graph_BCPI_ER_LOG" hidden="1">#REF!</definedName>
    <definedName name="_4__123Graph_BGRAPHIQUE_1A" localSheetId="3" hidden="1">#REF!</definedName>
    <definedName name="_4__123Graph_BGRAPHIQUE_1A" localSheetId="4" hidden="1">#REF!</definedName>
    <definedName name="_4__123Graph_BGRAPHIQUE_1A" localSheetId="5" hidden="1">#REF!</definedName>
    <definedName name="_4__123Graph_BGRAPHIQUE_1A" localSheetId="8" hidden="1">#REF!</definedName>
    <definedName name="_4__123Graph_BGRAPHIQUE_1A" localSheetId="7" hidden="1">#REF!</definedName>
    <definedName name="_4__123Graph_BGRAPHIQUE_1A" localSheetId="6" hidden="1">#REF!</definedName>
    <definedName name="_4__123Graph_BGRAPHIQUE_1A" hidden="1">#REF!</definedName>
    <definedName name="_4__123Graph_DGRAPHIQUE_1A" localSheetId="3" hidden="1">#REF!</definedName>
    <definedName name="_4__123Graph_DGRAPHIQUE_1A" localSheetId="4" hidden="1">#REF!</definedName>
    <definedName name="_4__123Graph_DGRAPHIQUE_1A" localSheetId="5" hidden="1">#REF!</definedName>
    <definedName name="_4__123Graph_DGRAPHIQUE_1A" hidden="1">#REF!</definedName>
    <definedName name="_40_____________________________________123Graph_EGRAPHIQUE_1A" localSheetId="3" hidden="1">#REF!</definedName>
    <definedName name="_40_____________________________________123Graph_EGRAPHIQUE_1A" localSheetId="4" hidden="1">#REF!</definedName>
    <definedName name="_40_____________________________________123Graph_EGRAPHIQUE_1A" localSheetId="5" hidden="1">#REF!</definedName>
    <definedName name="_40_____________________________________123Graph_EGRAPHIQUE_1A" hidden="1">#REF!</definedName>
    <definedName name="_40_________________123Graph_EGRAPHIQUE_1A" localSheetId="3" hidden="1">#REF!</definedName>
    <definedName name="_40_________________123Graph_EGRAPHIQUE_1A" localSheetId="4" hidden="1">#REF!</definedName>
    <definedName name="_40_________________123Graph_EGRAPHIQUE_1A" localSheetId="5" hidden="1">#REF!</definedName>
    <definedName name="_40_________________123Graph_EGRAPHIQUE_1A" hidden="1">#REF!</definedName>
    <definedName name="_40____123Graph_FGRAPHIQUE_1A" localSheetId="3" hidden="1">#REF!</definedName>
    <definedName name="_40____123Graph_FGRAPHIQUE_1A" localSheetId="4" hidden="1">#REF!</definedName>
    <definedName name="_40____123Graph_FGRAPHIQUE_1A" localSheetId="5" hidden="1">#REF!</definedName>
    <definedName name="_40____123Graph_FGRAPHIQUE_1A" hidden="1">#REF!</definedName>
    <definedName name="_41_____________________________________123Graph_FGRAPHIQUE_1A" localSheetId="3" hidden="1">#REF!</definedName>
    <definedName name="_41_____________________________________123Graph_FGRAPHIQUE_1A" localSheetId="4" hidden="1">#REF!</definedName>
    <definedName name="_41_____________________________________123Graph_FGRAPHIQUE_1A" localSheetId="5" hidden="1">#REF!</definedName>
    <definedName name="_41_____________________________________123Graph_FGRAPHIQUE_1A" hidden="1">#REF!</definedName>
    <definedName name="_41_________________123Graph_FGRAPHIQUE_1A" localSheetId="3" hidden="1">#REF!</definedName>
    <definedName name="_41_________________123Graph_FGRAPHIQUE_1A" localSheetId="4" hidden="1">#REF!</definedName>
    <definedName name="_41_________________123Graph_FGRAPHIQUE_1A" localSheetId="5" hidden="1">#REF!</definedName>
    <definedName name="_41_________________123Graph_FGRAPHIQUE_1A" hidden="1">#REF!</definedName>
    <definedName name="_41__123Graph_FGRAPHIQUE_1A" localSheetId="7" hidden="1">#REF!</definedName>
    <definedName name="_41__123Graph_FGRAPHIQUE_1A" localSheetId="6" hidden="1">#REF!</definedName>
    <definedName name="_42_____________________________________123Graph_XGRAPHIQUE_1A" localSheetId="3" hidden="1">#REF!</definedName>
    <definedName name="_42_____________________________________123Graph_XGRAPHIQUE_1A" localSheetId="4" hidden="1">#REF!</definedName>
    <definedName name="_42_____________________________________123Graph_XGRAPHIQUE_1A" localSheetId="5" hidden="1">#REF!</definedName>
    <definedName name="_42_____________________________________123Graph_XGRAPHIQUE_1A" hidden="1">#REF!</definedName>
    <definedName name="_42_________________123Graph_XGRAPHIQUE_1A" localSheetId="3" hidden="1">#REF!</definedName>
    <definedName name="_42_________________123Graph_XGRAPHIQUE_1A" localSheetId="4" hidden="1">#REF!</definedName>
    <definedName name="_42_________________123Graph_XGRAPHIQUE_1A" localSheetId="5" hidden="1">#REF!</definedName>
    <definedName name="_42_________________123Graph_XGRAPHIQUE_1A" hidden="1">#REF!</definedName>
    <definedName name="_42_____123Graph_XGRAPHIQUE_1A" localSheetId="3" hidden="1">#REF!</definedName>
    <definedName name="_42_____123Graph_XGRAPHIQUE_1A" localSheetId="4" hidden="1">#REF!</definedName>
    <definedName name="_42_____123Graph_XGRAPHIQUE_1A" localSheetId="5" hidden="1">#REF!</definedName>
    <definedName name="_42_____123Graph_XGRAPHIQUE_1A" hidden="1">#REF!</definedName>
    <definedName name="_42____123Graph_XGRAPHIQUE_1A" localSheetId="3" hidden="1">#REF!</definedName>
    <definedName name="_42____123Graph_XGRAPHIQUE_1A" localSheetId="4" hidden="1">#REF!</definedName>
    <definedName name="_42____123Graph_XGRAPHIQUE_1A" localSheetId="5" hidden="1">#REF!</definedName>
    <definedName name="_42____123Graph_XGRAPHIQUE_1A" hidden="1">#REF!</definedName>
    <definedName name="_42__123Graph_FGRAPHIQUE_1A" localSheetId="3" hidden="1">#REF!</definedName>
    <definedName name="_42__123Graph_FGRAPHIQUE_1A" localSheetId="4" hidden="1">#REF!</definedName>
    <definedName name="_42__123Graph_FGRAPHIQUE_1A" localSheetId="5" hidden="1">#REF!</definedName>
    <definedName name="_42__123Graph_FGRAPHIQUE_1A" localSheetId="8" hidden="1">#REF!</definedName>
    <definedName name="_42__123Graph_FGRAPHIQUE_1A" localSheetId="7" hidden="1">#REF!</definedName>
    <definedName name="_42__123Graph_FGRAPHIQUE_1A" localSheetId="6" hidden="1">#REF!</definedName>
    <definedName name="_42__123Graph_FGRAPHIQUE_1A" hidden="1">#REF!</definedName>
    <definedName name="_43____________________________________123Graph_AGRAPHIQUE_1A" localSheetId="3" hidden="1">#REF!</definedName>
    <definedName name="_43____________________________________123Graph_AGRAPHIQUE_1A" localSheetId="4" hidden="1">#REF!</definedName>
    <definedName name="_43____________________________________123Graph_AGRAPHIQUE_1A" localSheetId="5" hidden="1">#REF!</definedName>
    <definedName name="_43____________________________________123Graph_AGRAPHIQUE_1A" hidden="1">#REF!</definedName>
    <definedName name="_43________________123Graph_AGRAPHIQUE_1A" localSheetId="3" hidden="1">#REF!</definedName>
    <definedName name="_43________________123Graph_AGRAPHIQUE_1A" localSheetId="4" hidden="1">#REF!</definedName>
    <definedName name="_43________________123Graph_AGRAPHIQUE_1A" localSheetId="5" hidden="1">#REF!</definedName>
    <definedName name="_43________________123Graph_AGRAPHIQUE_1A" hidden="1">#REF!</definedName>
    <definedName name="_44____________________________________123Graph_BGRAPHIQUE_1A" localSheetId="3" hidden="1">#REF!</definedName>
    <definedName name="_44____________________________________123Graph_BGRAPHIQUE_1A" localSheetId="4" hidden="1">#REF!</definedName>
    <definedName name="_44____________________________________123Graph_BGRAPHIQUE_1A" localSheetId="5" hidden="1">#REF!</definedName>
    <definedName name="_44____________________________________123Graph_BGRAPHIQUE_1A" hidden="1">#REF!</definedName>
    <definedName name="_44________________123Graph_BGRAPHIQUE_1A" localSheetId="3" hidden="1">#REF!</definedName>
    <definedName name="_44________________123Graph_BGRAPHIQUE_1A" localSheetId="4" hidden="1">#REF!</definedName>
    <definedName name="_44________________123Graph_BGRAPHIQUE_1A" localSheetId="5" hidden="1">#REF!</definedName>
    <definedName name="_44________________123Graph_BGRAPHIQUE_1A" hidden="1">#REF!</definedName>
    <definedName name="_44___123Graph_AGRAPHIQUE_1A" localSheetId="3" hidden="1">#REF!</definedName>
    <definedName name="_44___123Graph_AGRAPHIQUE_1A" localSheetId="4" hidden="1">#REF!</definedName>
    <definedName name="_44___123Graph_AGRAPHIQUE_1A" localSheetId="5" hidden="1">#REF!</definedName>
    <definedName name="_44___123Graph_AGRAPHIQUE_1A" hidden="1">#REF!</definedName>
    <definedName name="_45____________________________________123Graph_CGRAPHIQUE_1A" localSheetId="3" hidden="1">#REF!</definedName>
    <definedName name="_45____________________________________123Graph_CGRAPHIQUE_1A" localSheetId="4" hidden="1">#REF!</definedName>
    <definedName name="_45____________________________________123Graph_CGRAPHIQUE_1A" localSheetId="5" hidden="1">#REF!</definedName>
    <definedName name="_45____________________________________123Graph_CGRAPHIQUE_1A" hidden="1">#REF!</definedName>
    <definedName name="_45________________123Graph_CGRAPHIQUE_1A" localSheetId="3" hidden="1">#REF!</definedName>
    <definedName name="_45________________123Graph_CGRAPHIQUE_1A" localSheetId="4" hidden="1">#REF!</definedName>
    <definedName name="_45________________123Graph_CGRAPHIQUE_1A" localSheetId="5" hidden="1">#REF!</definedName>
    <definedName name="_45________________123Graph_CGRAPHIQUE_1A" hidden="1">#REF!</definedName>
    <definedName name="_45____123Graph_AGRAPHIQUE_1A" localSheetId="3" hidden="1">#REF!</definedName>
    <definedName name="_45____123Graph_AGRAPHIQUE_1A" localSheetId="4" hidden="1">#REF!</definedName>
    <definedName name="_45____123Graph_AGRAPHIQUE_1A" localSheetId="5" hidden="1">#REF!</definedName>
    <definedName name="_45____123Graph_AGRAPHIQUE_1A" hidden="1">#REF!</definedName>
    <definedName name="_45__123Graph_EGRAPHIQUE_1A" localSheetId="3" hidden="1">#REF!</definedName>
    <definedName name="_45__123Graph_EGRAPHIQUE_1A" localSheetId="4" hidden="1">#REF!</definedName>
    <definedName name="_45__123Graph_EGRAPHIQUE_1A" localSheetId="5" hidden="1">#REF!</definedName>
    <definedName name="_45__123Graph_EGRAPHIQUE_1A" hidden="1">#REF!</definedName>
    <definedName name="_46____________________________________123Graph_DGRAPHIQUE_1A" localSheetId="3" hidden="1">#REF!</definedName>
    <definedName name="_46____________________________________123Graph_DGRAPHIQUE_1A" localSheetId="4" hidden="1">#REF!</definedName>
    <definedName name="_46____________________________________123Graph_DGRAPHIQUE_1A" localSheetId="5" hidden="1">#REF!</definedName>
    <definedName name="_46____________________________________123Graph_DGRAPHIQUE_1A" hidden="1">#REF!</definedName>
    <definedName name="_46________________123Graph_DGRAPHIQUE_1A" localSheetId="3" hidden="1">#REF!</definedName>
    <definedName name="_46________________123Graph_DGRAPHIQUE_1A" localSheetId="4" hidden="1">#REF!</definedName>
    <definedName name="_46________________123Graph_DGRAPHIQUE_1A" localSheetId="5" hidden="1">#REF!</definedName>
    <definedName name="_46________________123Graph_DGRAPHIQUE_1A" hidden="1">#REF!</definedName>
    <definedName name="_46___123Graph_BGRAPHIQUE_1A" localSheetId="3" hidden="1">#REF!</definedName>
    <definedName name="_46___123Graph_BGRAPHIQUE_1A" localSheetId="4" hidden="1">#REF!</definedName>
    <definedName name="_46___123Graph_BGRAPHIQUE_1A" localSheetId="5" hidden="1">#REF!</definedName>
    <definedName name="_46___123Graph_BGRAPHIQUE_1A" hidden="1">#REF!</definedName>
    <definedName name="_46__123Graph_XGRAPHIQUE_1A" localSheetId="8" hidden="1">#REF!</definedName>
    <definedName name="_47____________________________________123Graph_EGRAPHIQUE_1A" localSheetId="3" hidden="1">#REF!</definedName>
    <definedName name="_47____________________________________123Graph_EGRAPHIQUE_1A" localSheetId="4" hidden="1">#REF!</definedName>
    <definedName name="_47____________________________________123Graph_EGRAPHIQUE_1A" localSheetId="5" hidden="1">#REF!</definedName>
    <definedName name="_47____________________________________123Graph_EGRAPHIQUE_1A" hidden="1">#REF!</definedName>
    <definedName name="_47________________123Graph_EGRAPHIQUE_1A" localSheetId="3" hidden="1">#REF!</definedName>
    <definedName name="_47________________123Graph_EGRAPHIQUE_1A" localSheetId="4" hidden="1">#REF!</definedName>
    <definedName name="_47________________123Graph_EGRAPHIQUE_1A" localSheetId="5" hidden="1">#REF!</definedName>
    <definedName name="_47________________123Graph_EGRAPHIQUE_1A" hidden="1">#REF!</definedName>
    <definedName name="_48____________________________________123Graph_FGRAPHIQUE_1A" localSheetId="3" hidden="1">#REF!</definedName>
    <definedName name="_48____________________________________123Graph_FGRAPHIQUE_1A" localSheetId="4" hidden="1">#REF!</definedName>
    <definedName name="_48____________________________________123Graph_FGRAPHIQUE_1A" localSheetId="5" hidden="1">#REF!</definedName>
    <definedName name="_48____________________________________123Graph_FGRAPHIQUE_1A" hidden="1">#REF!</definedName>
    <definedName name="_48________________123Graph_FGRAPHIQUE_1A" localSheetId="3" hidden="1">#REF!</definedName>
    <definedName name="_48________________123Graph_FGRAPHIQUE_1A" localSheetId="4" hidden="1">#REF!</definedName>
    <definedName name="_48________________123Graph_FGRAPHIQUE_1A" localSheetId="5" hidden="1">#REF!</definedName>
    <definedName name="_48________________123Graph_FGRAPHIQUE_1A" hidden="1">#REF!</definedName>
    <definedName name="_48____123Graph_BGRAPHIQUE_1A" localSheetId="3" hidden="1">#REF!</definedName>
    <definedName name="_48____123Graph_BGRAPHIQUE_1A" localSheetId="4" hidden="1">#REF!</definedName>
    <definedName name="_48____123Graph_BGRAPHIQUE_1A" localSheetId="5" hidden="1">#REF!</definedName>
    <definedName name="_48____123Graph_BGRAPHIQUE_1A" hidden="1">#REF!</definedName>
    <definedName name="_48___123Graph_CGRAPHIQUE_1A" localSheetId="3" hidden="1">#REF!</definedName>
    <definedName name="_48___123Graph_CGRAPHIQUE_1A" localSheetId="4" hidden="1">#REF!</definedName>
    <definedName name="_48___123Graph_CGRAPHIQUE_1A" localSheetId="5" hidden="1">#REF!</definedName>
    <definedName name="_48___123Graph_CGRAPHIQUE_1A" hidden="1">#REF!</definedName>
    <definedName name="_48__123Graph_XGRAPHIQUE_1A" localSheetId="7" hidden="1">#REF!</definedName>
    <definedName name="_48__123Graph_XGRAPHIQUE_1A" localSheetId="6" hidden="1">#REF!</definedName>
    <definedName name="_49____________________________________123Graph_XGRAPHIQUE_1A" localSheetId="3" hidden="1">#REF!</definedName>
    <definedName name="_49____________________________________123Graph_XGRAPHIQUE_1A" localSheetId="4" hidden="1">#REF!</definedName>
    <definedName name="_49____________________________________123Graph_XGRAPHIQUE_1A" localSheetId="5" hidden="1">#REF!</definedName>
    <definedName name="_49____________________________________123Graph_XGRAPHIQUE_1A" hidden="1">#REF!</definedName>
    <definedName name="_49________________123Graph_XGRAPHIQUE_1A" localSheetId="3" hidden="1">#REF!</definedName>
    <definedName name="_49________________123Graph_XGRAPHIQUE_1A" localSheetId="4" hidden="1">#REF!</definedName>
    <definedName name="_49________________123Graph_XGRAPHIQUE_1A" localSheetId="5" hidden="1">#REF!</definedName>
    <definedName name="_49________________123Graph_XGRAPHIQUE_1A" hidden="1">#REF!</definedName>
    <definedName name="_49__123Graph_XGRAPHIQUE_1A" localSheetId="3" hidden="1">#REF!</definedName>
    <definedName name="_49__123Graph_XGRAPHIQUE_1A" localSheetId="4" hidden="1">#REF!</definedName>
    <definedName name="_49__123Graph_XGRAPHIQUE_1A" localSheetId="5" hidden="1">#REF!</definedName>
    <definedName name="_49__123Graph_XGRAPHIQUE_1A" localSheetId="8" hidden="1">#REF!</definedName>
    <definedName name="_49__123Graph_XGRAPHIQUE_1A" localSheetId="7" hidden="1">#REF!</definedName>
    <definedName name="_49__123Graph_XGRAPHIQUE_1A" localSheetId="6" hidden="1">#REF!</definedName>
    <definedName name="_49__123Graph_XGRAPHIQUE_1A" hidden="1">#REF!</definedName>
    <definedName name="_5__________________________________________123Graph_EGRAPHIQUE_1A" localSheetId="3" hidden="1">#REF!</definedName>
    <definedName name="_5__________________________________________123Graph_EGRAPHIQUE_1A" localSheetId="4" hidden="1">#REF!</definedName>
    <definedName name="_5__________________________________________123Graph_EGRAPHIQUE_1A" localSheetId="5" hidden="1">#REF!</definedName>
    <definedName name="_5__________________________________________123Graph_EGRAPHIQUE_1A" hidden="1">#REF!</definedName>
    <definedName name="_5______________________123Graph_EGRAPHIQUE_1A" localSheetId="3" hidden="1">#REF!</definedName>
    <definedName name="_5______________________123Graph_EGRAPHIQUE_1A" localSheetId="4" hidden="1">#REF!</definedName>
    <definedName name="_5______________________123Graph_EGRAPHIQUE_1A" localSheetId="5" hidden="1">#REF!</definedName>
    <definedName name="_5______________________123Graph_EGRAPHIQUE_1A" hidden="1">#REF!</definedName>
    <definedName name="_5__123Graph_AGRAPHIQUE_1A" localSheetId="3" hidden="1">#REF!</definedName>
    <definedName name="_5__123Graph_AGRAPHIQUE_1A" localSheetId="4" hidden="1">#REF!</definedName>
    <definedName name="_5__123Graph_AGRAPHIQUE_1A" localSheetId="5" hidden="1">#REF!</definedName>
    <definedName name="_5__123Graph_AGRAPHIQUE_1A" localSheetId="8" hidden="1">#REF!</definedName>
    <definedName name="_5__123Graph_AGRAPHIQUE_1A" localSheetId="7" hidden="1">#REF!</definedName>
    <definedName name="_5__123Graph_AGRAPHIQUE_1A" localSheetId="6" hidden="1">#REF!</definedName>
    <definedName name="_5__123Graph_AGRAPHIQUE_1A" hidden="1">#REF!</definedName>
    <definedName name="_5__123Graph_BGRAPHIQUE_1A" localSheetId="7" hidden="1">#REF!</definedName>
    <definedName name="_5__123Graph_BGRAPHIQUE_1A" localSheetId="6" hidden="1">#REF!</definedName>
    <definedName name="_5__123Graph_BIBA_IBRD" localSheetId="3" hidden="1">#REF!</definedName>
    <definedName name="_5__123Graph_BIBA_IBRD" localSheetId="4" hidden="1">#REF!</definedName>
    <definedName name="_5__123Graph_BIBA_IBRD" localSheetId="5" hidden="1">#REF!</definedName>
    <definedName name="_5__123Graph_BIBA_IBRD" hidden="1">#REF!</definedName>
    <definedName name="_5__123Graph_EGRAPHIQUE_1A" localSheetId="3" hidden="1">#REF!</definedName>
    <definedName name="_5__123Graph_EGRAPHIQUE_1A" localSheetId="4" hidden="1">#REF!</definedName>
    <definedName name="_5__123Graph_EGRAPHIQUE_1A" localSheetId="5" hidden="1">#REF!</definedName>
    <definedName name="_5__123Graph_EGRAPHIQUE_1A" hidden="1">#REF!</definedName>
    <definedName name="_50___________________________________123Graph_AGRAPHIQUE_1A" localSheetId="3" hidden="1">#REF!</definedName>
    <definedName name="_50___________________________________123Graph_AGRAPHIQUE_1A" localSheetId="4" hidden="1">#REF!</definedName>
    <definedName name="_50___________________________________123Graph_AGRAPHIQUE_1A" localSheetId="5" hidden="1">#REF!</definedName>
    <definedName name="_50___________________________________123Graph_AGRAPHIQUE_1A" hidden="1">#REF!</definedName>
    <definedName name="_50_______________123Graph_AGRAPHIQUE_1A" localSheetId="3" hidden="1">#REF!</definedName>
    <definedName name="_50_______________123Graph_AGRAPHIQUE_1A" localSheetId="4" hidden="1">#REF!</definedName>
    <definedName name="_50_______________123Graph_AGRAPHIQUE_1A" localSheetId="5" hidden="1">#REF!</definedName>
    <definedName name="_50_______________123Graph_AGRAPHIQUE_1A" hidden="1">#REF!</definedName>
    <definedName name="_50___123Graph_DGRAPHIQUE_1A" localSheetId="3" hidden="1">#REF!</definedName>
    <definedName name="_50___123Graph_DGRAPHIQUE_1A" localSheetId="4" hidden="1">#REF!</definedName>
    <definedName name="_50___123Graph_DGRAPHIQUE_1A" localSheetId="5" hidden="1">#REF!</definedName>
    <definedName name="_50___123Graph_DGRAPHIQUE_1A" hidden="1">#REF!</definedName>
    <definedName name="_51___________________________________123Graph_BGRAPHIQUE_1A" localSheetId="3" hidden="1">#REF!</definedName>
    <definedName name="_51___________________________________123Graph_BGRAPHIQUE_1A" localSheetId="4" hidden="1">#REF!</definedName>
    <definedName name="_51___________________________________123Graph_BGRAPHIQUE_1A" localSheetId="5" hidden="1">#REF!</definedName>
    <definedName name="_51___________________________________123Graph_BGRAPHIQUE_1A" hidden="1">#REF!</definedName>
    <definedName name="_51_______________123Graph_BGRAPHIQUE_1A" localSheetId="3" hidden="1">#REF!</definedName>
    <definedName name="_51_______________123Graph_BGRAPHIQUE_1A" localSheetId="4" hidden="1">#REF!</definedName>
    <definedName name="_51_______________123Graph_BGRAPHIQUE_1A" localSheetId="5" hidden="1">#REF!</definedName>
    <definedName name="_51_______________123Graph_BGRAPHIQUE_1A" hidden="1">#REF!</definedName>
    <definedName name="_51____123Graph_CGRAPHIQUE_1A" localSheetId="3" hidden="1">#REF!</definedName>
    <definedName name="_51____123Graph_CGRAPHIQUE_1A" localSheetId="4" hidden="1">#REF!</definedName>
    <definedName name="_51____123Graph_CGRAPHIQUE_1A" localSheetId="5" hidden="1">#REF!</definedName>
    <definedName name="_51____123Graph_CGRAPHIQUE_1A" hidden="1">#REF!</definedName>
    <definedName name="_52___________________________________123Graph_CGRAPHIQUE_1A" localSheetId="3" hidden="1">#REF!</definedName>
    <definedName name="_52___________________________________123Graph_CGRAPHIQUE_1A" localSheetId="4" hidden="1">#REF!</definedName>
    <definedName name="_52___________________________________123Graph_CGRAPHIQUE_1A" localSheetId="5" hidden="1">#REF!</definedName>
    <definedName name="_52___________________________________123Graph_CGRAPHIQUE_1A" hidden="1">#REF!</definedName>
    <definedName name="_52_______________123Graph_CGRAPHIQUE_1A" localSheetId="3" hidden="1">#REF!</definedName>
    <definedName name="_52_______________123Graph_CGRAPHIQUE_1A" localSheetId="4" hidden="1">#REF!</definedName>
    <definedName name="_52_______________123Graph_CGRAPHIQUE_1A" localSheetId="5" hidden="1">#REF!</definedName>
    <definedName name="_52_______________123Graph_CGRAPHIQUE_1A" hidden="1">#REF!</definedName>
    <definedName name="_52___123Graph_EGRAPHIQUE_1A" localSheetId="3" hidden="1">#REF!</definedName>
    <definedName name="_52___123Graph_EGRAPHIQUE_1A" localSheetId="4" hidden="1">#REF!</definedName>
    <definedName name="_52___123Graph_EGRAPHIQUE_1A" localSheetId="5" hidden="1">#REF!</definedName>
    <definedName name="_52___123Graph_EGRAPHIQUE_1A" hidden="1">#REF!</definedName>
    <definedName name="_53___________________________________123Graph_DGRAPHIQUE_1A" localSheetId="3" hidden="1">#REF!</definedName>
    <definedName name="_53___________________________________123Graph_DGRAPHIQUE_1A" localSheetId="4" hidden="1">#REF!</definedName>
    <definedName name="_53___________________________________123Graph_DGRAPHIQUE_1A" localSheetId="5" hidden="1">#REF!</definedName>
    <definedName name="_53___________________________________123Graph_DGRAPHIQUE_1A" hidden="1">#REF!</definedName>
    <definedName name="_53_______________123Graph_DGRAPHIQUE_1A" localSheetId="3" hidden="1">#REF!</definedName>
    <definedName name="_53_______________123Graph_DGRAPHIQUE_1A" localSheetId="4" hidden="1">#REF!</definedName>
    <definedName name="_53_______________123Graph_DGRAPHIQUE_1A" localSheetId="5" hidden="1">#REF!</definedName>
    <definedName name="_53_______________123Graph_DGRAPHIQUE_1A" hidden="1">#REF!</definedName>
    <definedName name="_54___________________________________123Graph_EGRAPHIQUE_1A" localSheetId="3" hidden="1">#REF!</definedName>
    <definedName name="_54___________________________________123Graph_EGRAPHIQUE_1A" localSheetId="4" hidden="1">#REF!</definedName>
    <definedName name="_54___________________________________123Graph_EGRAPHIQUE_1A" localSheetId="5" hidden="1">#REF!</definedName>
    <definedName name="_54___________________________________123Graph_EGRAPHIQUE_1A" hidden="1">#REF!</definedName>
    <definedName name="_54_______________123Graph_EGRAPHIQUE_1A" localSheetId="3" hidden="1">#REF!</definedName>
    <definedName name="_54_______________123Graph_EGRAPHIQUE_1A" localSheetId="4" hidden="1">#REF!</definedName>
    <definedName name="_54_______________123Graph_EGRAPHIQUE_1A" localSheetId="5" hidden="1">#REF!</definedName>
    <definedName name="_54_______________123Graph_EGRAPHIQUE_1A" hidden="1">#REF!</definedName>
    <definedName name="_54____123Graph_DGRAPHIQUE_1A" localSheetId="3" hidden="1">#REF!</definedName>
    <definedName name="_54____123Graph_DGRAPHIQUE_1A" localSheetId="4" hidden="1">#REF!</definedName>
    <definedName name="_54____123Graph_DGRAPHIQUE_1A" localSheetId="5" hidden="1">#REF!</definedName>
    <definedName name="_54____123Graph_DGRAPHIQUE_1A" hidden="1">#REF!</definedName>
    <definedName name="_54___123Graph_FGRAPHIQUE_1A" localSheetId="3" hidden="1">#REF!</definedName>
    <definedName name="_54___123Graph_FGRAPHIQUE_1A" localSheetId="4" hidden="1">#REF!</definedName>
    <definedName name="_54___123Graph_FGRAPHIQUE_1A" localSheetId="5" hidden="1">#REF!</definedName>
    <definedName name="_54___123Graph_FGRAPHIQUE_1A" hidden="1">#REF!</definedName>
    <definedName name="_54__123Graph_FGRAPHIQUE_1A" localSheetId="3" hidden="1">#REF!</definedName>
    <definedName name="_54__123Graph_FGRAPHIQUE_1A" localSheetId="4" hidden="1">#REF!</definedName>
    <definedName name="_54__123Graph_FGRAPHIQUE_1A" localSheetId="5" hidden="1">#REF!</definedName>
    <definedName name="_54__123Graph_FGRAPHIQUE_1A" hidden="1">#REF!</definedName>
    <definedName name="_55___________________________________123Graph_FGRAPHIQUE_1A" localSheetId="3" hidden="1">#REF!</definedName>
    <definedName name="_55___________________________________123Graph_FGRAPHIQUE_1A" localSheetId="4" hidden="1">#REF!</definedName>
    <definedName name="_55___________________________________123Graph_FGRAPHIQUE_1A" localSheetId="5" hidden="1">#REF!</definedName>
    <definedName name="_55___________________________________123Graph_FGRAPHIQUE_1A" hidden="1">#REF!</definedName>
    <definedName name="_55_______________123Graph_FGRAPHIQUE_1A" localSheetId="3" hidden="1">#REF!</definedName>
    <definedName name="_55_______________123Graph_FGRAPHIQUE_1A" localSheetId="4" hidden="1">#REF!</definedName>
    <definedName name="_55_______________123Graph_FGRAPHIQUE_1A" localSheetId="5" hidden="1">#REF!</definedName>
    <definedName name="_55_______________123Graph_FGRAPHIQUE_1A" hidden="1">#REF!</definedName>
    <definedName name="_56___________________________________123Graph_XGRAPHIQUE_1A" localSheetId="3" hidden="1">#REF!</definedName>
    <definedName name="_56___________________________________123Graph_XGRAPHIQUE_1A" localSheetId="4" hidden="1">#REF!</definedName>
    <definedName name="_56___________________________________123Graph_XGRAPHIQUE_1A" localSheetId="5" hidden="1">#REF!</definedName>
    <definedName name="_56___________________________________123Graph_XGRAPHIQUE_1A" hidden="1">#REF!</definedName>
    <definedName name="_56_______________123Graph_XGRAPHIQUE_1A" localSheetId="3" hidden="1">#REF!</definedName>
    <definedName name="_56_______________123Graph_XGRAPHIQUE_1A" localSheetId="4" hidden="1">#REF!</definedName>
    <definedName name="_56_______________123Graph_XGRAPHIQUE_1A" localSheetId="5" hidden="1">#REF!</definedName>
    <definedName name="_56_______________123Graph_XGRAPHIQUE_1A" hidden="1">#REF!</definedName>
    <definedName name="_56___123Graph_XGRAPHIQUE_1A" localSheetId="3" hidden="1">#REF!</definedName>
    <definedName name="_56___123Graph_XGRAPHIQUE_1A" localSheetId="4" hidden="1">#REF!</definedName>
    <definedName name="_56___123Graph_XGRAPHIQUE_1A" localSheetId="5" hidden="1">#REF!</definedName>
    <definedName name="_56___123Graph_XGRAPHIQUE_1A" hidden="1">#REF!</definedName>
    <definedName name="_57__________________________________123Graph_AGRAPHIQUE_1A" localSheetId="3" hidden="1">#REF!</definedName>
    <definedName name="_57__________________________________123Graph_AGRAPHIQUE_1A" localSheetId="4" hidden="1">#REF!</definedName>
    <definedName name="_57__________________________________123Graph_AGRAPHIQUE_1A" localSheetId="5" hidden="1">#REF!</definedName>
    <definedName name="_57__________________________________123Graph_AGRAPHIQUE_1A" hidden="1">#REF!</definedName>
    <definedName name="_57______________123Graph_AGRAPHIQUE_1A" localSheetId="3" hidden="1">#REF!</definedName>
    <definedName name="_57______________123Graph_AGRAPHIQUE_1A" localSheetId="4" hidden="1">#REF!</definedName>
    <definedName name="_57______________123Graph_AGRAPHIQUE_1A" localSheetId="5" hidden="1">#REF!</definedName>
    <definedName name="_57______________123Graph_AGRAPHIQUE_1A" hidden="1">#REF!</definedName>
    <definedName name="_57____123Graph_EGRAPHIQUE_1A" localSheetId="3" hidden="1">#REF!</definedName>
    <definedName name="_57____123Graph_EGRAPHIQUE_1A" localSheetId="4" hidden="1">#REF!</definedName>
    <definedName name="_57____123Graph_EGRAPHIQUE_1A" localSheetId="5" hidden="1">#REF!</definedName>
    <definedName name="_57____123Graph_EGRAPHIQUE_1A" hidden="1">#REF!</definedName>
    <definedName name="_58__________________________________123Graph_BGRAPHIQUE_1A" localSheetId="3" hidden="1">#REF!</definedName>
    <definedName name="_58__________________________________123Graph_BGRAPHIQUE_1A" localSheetId="4" hidden="1">#REF!</definedName>
    <definedName name="_58__________________________________123Graph_BGRAPHIQUE_1A" localSheetId="5" hidden="1">#REF!</definedName>
    <definedName name="_58__________________________________123Graph_BGRAPHIQUE_1A" hidden="1">#REF!</definedName>
    <definedName name="_58______________123Graph_BGRAPHIQUE_1A" localSheetId="3" hidden="1">#REF!</definedName>
    <definedName name="_58______________123Graph_BGRAPHIQUE_1A" localSheetId="4" hidden="1">#REF!</definedName>
    <definedName name="_58______________123Graph_BGRAPHIQUE_1A" localSheetId="5" hidden="1">#REF!</definedName>
    <definedName name="_58______________123Graph_BGRAPHIQUE_1A" hidden="1">#REF!</definedName>
    <definedName name="_59__________________________________123Graph_CGRAPHIQUE_1A" localSheetId="3" hidden="1">#REF!</definedName>
    <definedName name="_59__________________________________123Graph_CGRAPHIQUE_1A" localSheetId="4" hidden="1">#REF!</definedName>
    <definedName name="_59__________________________________123Graph_CGRAPHIQUE_1A" localSheetId="5" hidden="1">#REF!</definedName>
    <definedName name="_59__________________________________123Graph_CGRAPHIQUE_1A" hidden="1">#REF!</definedName>
    <definedName name="_59______________123Graph_CGRAPHIQUE_1A" localSheetId="3" hidden="1">#REF!</definedName>
    <definedName name="_59______________123Graph_CGRAPHIQUE_1A" localSheetId="4" hidden="1">#REF!</definedName>
    <definedName name="_59______________123Graph_CGRAPHIQUE_1A" localSheetId="5" hidden="1">#REF!</definedName>
    <definedName name="_59______________123Graph_CGRAPHIQUE_1A" hidden="1">#REF!</definedName>
    <definedName name="_6__________________________________________123Graph_FGRAPHIQUE_1A" localSheetId="3" hidden="1">#REF!</definedName>
    <definedName name="_6__________________________________________123Graph_FGRAPHIQUE_1A" localSheetId="4" hidden="1">#REF!</definedName>
    <definedName name="_6__________________________________________123Graph_FGRAPHIQUE_1A" localSheetId="5" hidden="1">#REF!</definedName>
    <definedName name="_6__________________________________________123Graph_FGRAPHIQUE_1A" hidden="1">#REF!</definedName>
    <definedName name="_6______________________123Graph_FGRAPHIQUE_1A" localSheetId="3" hidden="1">#REF!</definedName>
    <definedName name="_6______________________123Graph_FGRAPHIQUE_1A" localSheetId="4" hidden="1">#REF!</definedName>
    <definedName name="_6______________________123Graph_FGRAPHIQUE_1A" localSheetId="5" hidden="1">#REF!</definedName>
    <definedName name="_6______________________123Graph_FGRAPHIQUE_1A" hidden="1">#REF!</definedName>
    <definedName name="_6______123Graph_BGRAPHIQUE_1A" localSheetId="3" hidden="1">#REF!</definedName>
    <definedName name="_6______123Graph_BGRAPHIQUE_1A" localSheetId="4" hidden="1">#REF!</definedName>
    <definedName name="_6______123Graph_BGRAPHIQUE_1A" localSheetId="5" hidden="1">#REF!</definedName>
    <definedName name="_6______123Graph_BGRAPHIQUE_1A" hidden="1">#REF!</definedName>
    <definedName name="_6______123Graph_CGRAPHIQUE_1A" localSheetId="3" hidden="1">#REF!</definedName>
    <definedName name="_6______123Graph_CGRAPHIQUE_1A" localSheetId="4" hidden="1">#REF!</definedName>
    <definedName name="_6______123Graph_CGRAPHIQUE_1A" localSheetId="5" hidden="1">#REF!</definedName>
    <definedName name="_6______123Graph_CGRAPHIQUE_1A" hidden="1">#REF!</definedName>
    <definedName name="_6__123Graph_AGRAPHIQUE_1A" localSheetId="7" hidden="1">#REF!</definedName>
    <definedName name="_6__123Graph_AGRAPHIQUE_1A" localSheetId="6" hidden="1">#REF!</definedName>
    <definedName name="_6__123Graph_AR_M_MARG" localSheetId="3" hidden="1">#REF!</definedName>
    <definedName name="_6__123Graph_AR_M_MARG" localSheetId="4" hidden="1">#REF!</definedName>
    <definedName name="_6__123Graph_AR_M_MARG" localSheetId="5" hidden="1">#REF!</definedName>
    <definedName name="_6__123Graph_AR_M_MARG" hidden="1">#REF!</definedName>
    <definedName name="_6__123Graph_BGRAPHIQUE_1A" localSheetId="3" hidden="1">#REF!</definedName>
    <definedName name="_6__123Graph_BGRAPHIQUE_1A" localSheetId="4" hidden="1">#REF!</definedName>
    <definedName name="_6__123Graph_BGRAPHIQUE_1A" localSheetId="5" hidden="1">#REF!</definedName>
    <definedName name="_6__123Graph_BGRAPHIQUE_1A" localSheetId="8" hidden="1">#REF!</definedName>
    <definedName name="_6__123Graph_BGRAPHIQUE_1A" localSheetId="7" hidden="1">#REF!</definedName>
    <definedName name="_6__123Graph_BGRAPHIQUE_1A" localSheetId="6" hidden="1">#REF!</definedName>
    <definedName name="_6__123Graph_BGRAPHIQUE_1A" hidden="1">#REF!</definedName>
    <definedName name="_6__123Graph_CGRAPHIQUE_1A" localSheetId="3" hidden="1">#REF!</definedName>
    <definedName name="_6__123Graph_CGRAPHIQUE_1A" localSheetId="4" hidden="1">#REF!</definedName>
    <definedName name="_6__123Graph_CGRAPHIQUE_1A" localSheetId="5" hidden="1">#REF!</definedName>
    <definedName name="_6__123Graph_CGRAPHIQUE_1A" localSheetId="8" hidden="1">#REF!</definedName>
    <definedName name="_6__123Graph_CGRAPHIQUE_1A" localSheetId="7" hidden="1">#REF!</definedName>
    <definedName name="_6__123Graph_CGRAPHIQUE_1A" localSheetId="6" hidden="1">#REF!</definedName>
    <definedName name="_6__123Graph_CGRAPHIQUE_1A" hidden="1">#REF!</definedName>
    <definedName name="_6__123Graph_FGRAPHIQUE_1A" localSheetId="3" hidden="1">#REF!</definedName>
    <definedName name="_6__123Graph_FGRAPHIQUE_1A" localSheetId="4" hidden="1">#REF!</definedName>
    <definedName name="_6__123Graph_FGRAPHIQUE_1A" localSheetId="5" hidden="1">#REF!</definedName>
    <definedName name="_6__123Graph_FGRAPHIQUE_1A" hidden="1">#REF!</definedName>
    <definedName name="_60__________________________________123Graph_DGRAPHIQUE_1A" localSheetId="3" hidden="1">#REF!</definedName>
    <definedName name="_60__________________________________123Graph_DGRAPHIQUE_1A" localSheetId="4" hidden="1">#REF!</definedName>
    <definedName name="_60__________________________________123Graph_DGRAPHIQUE_1A" localSheetId="5" hidden="1">#REF!</definedName>
    <definedName name="_60__________________________________123Graph_DGRAPHIQUE_1A" hidden="1">#REF!</definedName>
    <definedName name="_60______________123Graph_DGRAPHIQUE_1A" localSheetId="3" hidden="1">#REF!</definedName>
    <definedName name="_60______________123Graph_DGRAPHIQUE_1A" localSheetId="4" hidden="1">#REF!</definedName>
    <definedName name="_60______________123Graph_DGRAPHIQUE_1A" localSheetId="5" hidden="1">#REF!</definedName>
    <definedName name="_60______________123Graph_DGRAPHIQUE_1A" hidden="1">#REF!</definedName>
    <definedName name="_60____123Graph_FGRAPHIQUE_1A" localSheetId="3" hidden="1">#REF!</definedName>
    <definedName name="_60____123Graph_FGRAPHIQUE_1A" localSheetId="4" hidden="1">#REF!</definedName>
    <definedName name="_60____123Graph_FGRAPHIQUE_1A" localSheetId="5" hidden="1">#REF!</definedName>
    <definedName name="_60____123Graph_FGRAPHIQUE_1A" hidden="1">#REF!</definedName>
    <definedName name="_61__________________________________123Graph_EGRAPHIQUE_1A" localSheetId="3" hidden="1">#REF!</definedName>
    <definedName name="_61__________________________________123Graph_EGRAPHIQUE_1A" localSheetId="4" hidden="1">#REF!</definedName>
    <definedName name="_61__________________________________123Graph_EGRAPHIQUE_1A" localSheetId="5" hidden="1">#REF!</definedName>
    <definedName name="_61__________________________________123Graph_EGRAPHIQUE_1A" hidden="1">#REF!</definedName>
    <definedName name="_61______________123Graph_EGRAPHIQUE_1A" localSheetId="3" hidden="1">#REF!</definedName>
    <definedName name="_61______________123Graph_EGRAPHIQUE_1A" localSheetId="4" hidden="1">#REF!</definedName>
    <definedName name="_61______________123Graph_EGRAPHIQUE_1A" localSheetId="5" hidden="1">#REF!</definedName>
    <definedName name="_61______________123Graph_EGRAPHIQUE_1A" hidden="1">#REF!</definedName>
    <definedName name="_62__________________________________123Graph_FGRAPHIQUE_1A" localSheetId="3" hidden="1">#REF!</definedName>
    <definedName name="_62__________________________________123Graph_FGRAPHIQUE_1A" localSheetId="4" hidden="1">#REF!</definedName>
    <definedName name="_62__________________________________123Graph_FGRAPHIQUE_1A" localSheetId="5" hidden="1">#REF!</definedName>
    <definedName name="_62__________________________________123Graph_FGRAPHIQUE_1A" hidden="1">#REF!</definedName>
    <definedName name="_62______________123Graph_FGRAPHIQUE_1A" localSheetId="3" hidden="1">#REF!</definedName>
    <definedName name="_62______________123Graph_FGRAPHIQUE_1A" localSheetId="4" hidden="1">#REF!</definedName>
    <definedName name="_62______________123Graph_FGRAPHIQUE_1A" localSheetId="5" hidden="1">#REF!</definedName>
    <definedName name="_62______________123Graph_FGRAPHIQUE_1A" hidden="1">#REF!</definedName>
    <definedName name="_63__________________________________123Graph_XGRAPHIQUE_1A" localSheetId="3" hidden="1">#REF!</definedName>
    <definedName name="_63__________________________________123Graph_XGRAPHIQUE_1A" localSheetId="4" hidden="1">#REF!</definedName>
    <definedName name="_63__________________________________123Graph_XGRAPHIQUE_1A" localSheetId="5" hidden="1">#REF!</definedName>
    <definedName name="_63__________________________________123Graph_XGRAPHIQUE_1A" hidden="1">#REF!</definedName>
    <definedName name="_63______________123Graph_XGRAPHIQUE_1A" localSheetId="3" hidden="1">#REF!</definedName>
    <definedName name="_63______________123Graph_XGRAPHIQUE_1A" localSheetId="4" hidden="1">#REF!</definedName>
    <definedName name="_63______________123Graph_XGRAPHIQUE_1A" localSheetId="5" hidden="1">#REF!</definedName>
    <definedName name="_63______________123Graph_XGRAPHIQUE_1A" hidden="1">#REF!</definedName>
    <definedName name="_63____123Graph_XGRAPHIQUE_1A" localSheetId="3" hidden="1">#REF!</definedName>
    <definedName name="_63____123Graph_XGRAPHIQUE_1A" localSheetId="4" hidden="1">#REF!</definedName>
    <definedName name="_63____123Graph_XGRAPHIQUE_1A" localSheetId="5" hidden="1">#REF!</definedName>
    <definedName name="_63____123Graph_XGRAPHIQUE_1A" hidden="1">#REF!</definedName>
    <definedName name="_63__123Graph_XGRAPHIQUE_1A" localSheetId="3" hidden="1">#REF!</definedName>
    <definedName name="_63__123Graph_XGRAPHIQUE_1A" localSheetId="4" hidden="1">#REF!</definedName>
    <definedName name="_63__123Graph_XGRAPHIQUE_1A" localSheetId="5" hidden="1">#REF!</definedName>
    <definedName name="_63__123Graph_XGRAPHIQUE_1A" hidden="1">#REF!</definedName>
    <definedName name="_64_________________________________123Graph_AGRAPHIQUE_1A" localSheetId="3" hidden="1">#REF!</definedName>
    <definedName name="_64_________________________________123Graph_AGRAPHIQUE_1A" localSheetId="4" hidden="1">#REF!</definedName>
    <definedName name="_64_________________________________123Graph_AGRAPHIQUE_1A" localSheetId="5" hidden="1">#REF!</definedName>
    <definedName name="_64_________________________________123Graph_AGRAPHIQUE_1A" hidden="1">#REF!</definedName>
    <definedName name="_64_____________123Graph_AGRAPHIQUE_1A" localSheetId="3" hidden="1">#REF!</definedName>
    <definedName name="_64_____________123Graph_AGRAPHIQUE_1A" localSheetId="4" hidden="1">#REF!</definedName>
    <definedName name="_64_____________123Graph_AGRAPHIQUE_1A" localSheetId="5" hidden="1">#REF!</definedName>
    <definedName name="_64_____________123Graph_AGRAPHIQUE_1A" hidden="1">#REF!</definedName>
    <definedName name="_65_________________________________123Graph_BGRAPHIQUE_1A" localSheetId="3" hidden="1">#REF!</definedName>
    <definedName name="_65_________________________________123Graph_BGRAPHIQUE_1A" localSheetId="4" hidden="1">#REF!</definedName>
    <definedName name="_65_________________________________123Graph_BGRAPHIQUE_1A" localSheetId="5" hidden="1">#REF!</definedName>
    <definedName name="_65_________________________________123Graph_BGRAPHIQUE_1A" hidden="1">#REF!</definedName>
    <definedName name="_65_____________123Graph_BGRAPHIQUE_1A" localSheetId="3" hidden="1">#REF!</definedName>
    <definedName name="_65_____________123Graph_BGRAPHIQUE_1A" localSheetId="4" hidden="1">#REF!</definedName>
    <definedName name="_65_____________123Graph_BGRAPHIQUE_1A" localSheetId="5" hidden="1">#REF!</definedName>
    <definedName name="_65_____________123Graph_BGRAPHIQUE_1A" hidden="1">#REF!</definedName>
    <definedName name="_66_________________________________123Graph_CGRAPHIQUE_1A" localSheetId="3" hidden="1">#REF!</definedName>
    <definedName name="_66_________________________________123Graph_CGRAPHIQUE_1A" localSheetId="4" hidden="1">#REF!</definedName>
    <definedName name="_66_________________________________123Graph_CGRAPHIQUE_1A" localSheetId="5" hidden="1">#REF!</definedName>
    <definedName name="_66_________________________________123Graph_CGRAPHIQUE_1A" hidden="1">#REF!</definedName>
    <definedName name="_66_____________123Graph_CGRAPHIQUE_1A" localSheetId="3" hidden="1">#REF!</definedName>
    <definedName name="_66_____________123Graph_CGRAPHIQUE_1A" localSheetId="4" hidden="1">#REF!</definedName>
    <definedName name="_66_____________123Graph_CGRAPHIQUE_1A" localSheetId="5" hidden="1">#REF!</definedName>
    <definedName name="_66_____________123Graph_CGRAPHIQUE_1A" hidden="1">#REF!</definedName>
    <definedName name="_66___123Graph_AGRAPHIQUE_1A" localSheetId="3" hidden="1">#REF!</definedName>
    <definedName name="_66___123Graph_AGRAPHIQUE_1A" localSheetId="4" hidden="1">#REF!</definedName>
    <definedName name="_66___123Graph_AGRAPHIQUE_1A" localSheetId="5" hidden="1">#REF!</definedName>
    <definedName name="_66___123Graph_AGRAPHIQUE_1A" hidden="1">#REF!</definedName>
    <definedName name="_67_________________________________123Graph_DGRAPHIQUE_1A" localSheetId="3" hidden="1">#REF!</definedName>
    <definedName name="_67_________________________________123Graph_DGRAPHIQUE_1A" localSheetId="4" hidden="1">#REF!</definedName>
    <definedName name="_67_________________________________123Graph_DGRAPHIQUE_1A" localSheetId="5" hidden="1">#REF!</definedName>
    <definedName name="_67_________________________________123Graph_DGRAPHIQUE_1A" hidden="1">#REF!</definedName>
    <definedName name="_67_____________123Graph_DGRAPHIQUE_1A" localSheetId="3" hidden="1">#REF!</definedName>
    <definedName name="_67_____________123Graph_DGRAPHIQUE_1A" localSheetId="4" hidden="1">#REF!</definedName>
    <definedName name="_67_____________123Graph_DGRAPHIQUE_1A" localSheetId="5" hidden="1">#REF!</definedName>
    <definedName name="_67_____________123Graph_DGRAPHIQUE_1A" hidden="1">#REF!</definedName>
    <definedName name="_68_________________________________123Graph_EGRAPHIQUE_1A" localSheetId="3" hidden="1">#REF!</definedName>
    <definedName name="_68_________________________________123Graph_EGRAPHIQUE_1A" localSheetId="4" hidden="1">#REF!</definedName>
    <definedName name="_68_________________________________123Graph_EGRAPHIQUE_1A" localSheetId="5" hidden="1">#REF!</definedName>
    <definedName name="_68_________________________________123Graph_EGRAPHIQUE_1A" hidden="1">#REF!</definedName>
    <definedName name="_68_____________123Graph_EGRAPHIQUE_1A" localSheetId="3" hidden="1">#REF!</definedName>
    <definedName name="_68_____________123Graph_EGRAPHIQUE_1A" localSheetId="4" hidden="1">#REF!</definedName>
    <definedName name="_68_____________123Graph_EGRAPHIQUE_1A" localSheetId="5" hidden="1">#REF!</definedName>
    <definedName name="_68_____________123Graph_EGRAPHIQUE_1A" hidden="1">#REF!</definedName>
    <definedName name="_69_________________________________123Graph_FGRAPHIQUE_1A" localSheetId="3" hidden="1">#REF!</definedName>
    <definedName name="_69_________________________________123Graph_FGRAPHIQUE_1A" localSheetId="4" hidden="1">#REF!</definedName>
    <definedName name="_69_________________________________123Graph_FGRAPHIQUE_1A" localSheetId="5" hidden="1">#REF!</definedName>
    <definedName name="_69_________________________________123Graph_FGRAPHIQUE_1A" hidden="1">#REF!</definedName>
    <definedName name="_69_____________123Graph_FGRAPHIQUE_1A" localSheetId="3" hidden="1">#REF!</definedName>
    <definedName name="_69_____________123Graph_FGRAPHIQUE_1A" localSheetId="4" hidden="1">#REF!</definedName>
    <definedName name="_69_____________123Graph_FGRAPHIQUE_1A" localSheetId="5" hidden="1">#REF!</definedName>
    <definedName name="_69_____________123Graph_FGRAPHIQUE_1A" hidden="1">#REF!</definedName>
    <definedName name="_69___123Graph_BGRAPHIQUE_1A" localSheetId="3" hidden="1">#REF!</definedName>
    <definedName name="_69___123Graph_BGRAPHIQUE_1A" localSheetId="4" hidden="1">#REF!</definedName>
    <definedName name="_69___123Graph_BGRAPHIQUE_1A" localSheetId="5" hidden="1">#REF!</definedName>
    <definedName name="_69___123Graph_BGRAPHIQUE_1A" hidden="1">#REF!</definedName>
    <definedName name="_7__________________________________________123Graph_XGRAPHIQUE_1A" localSheetId="3" hidden="1">#REF!</definedName>
    <definedName name="_7__________________________________________123Graph_XGRAPHIQUE_1A" localSheetId="4" hidden="1">#REF!</definedName>
    <definedName name="_7__________________________________________123Graph_XGRAPHIQUE_1A" localSheetId="5" hidden="1">#REF!</definedName>
    <definedName name="_7__________________________________________123Graph_XGRAPHIQUE_1A" hidden="1">#REF!</definedName>
    <definedName name="_7______________________123Graph_XGRAPHIQUE_1A" localSheetId="3" hidden="1">#REF!</definedName>
    <definedName name="_7______________________123Graph_XGRAPHIQUE_1A" localSheetId="4" hidden="1">#REF!</definedName>
    <definedName name="_7______________________123Graph_XGRAPHIQUE_1A" localSheetId="5" hidden="1">#REF!</definedName>
    <definedName name="_7______________________123Graph_XGRAPHIQUE_1A" hidden="1">#REF!</definedName>
    <definedName name="_7__123Graph_AGRAPHIQUE_1A" localSheetId="3" hidden="1">#REF!</definedName>
    <definedName name="_7__123Graph_AGRAPHIQUE_1A" localSheetId="4" hidden="1">#REF!</definedName>
    <definedName name="_7__123Graph_AGRAPHIQUE_1A" localSheetId="5" hidden="1">#REF!</definedName>
    <definedName name="_7__123Graph_AGRAPHIQUE_1A" localSheetId="8" hidden="1">#REF!</definedName>
    <definedName name="_7__123Graph_AGRAPHIQUE_1A" localSheetId="7" hidden="1">#REF!</definedName>
    <definedName name="_7__123Graph_AGRAPHIQUE_1A" localSheetId="6" hidden="1">#REF!</definedName>
    <definedName name="_7__123Graph_AGRAPHIQUE_1A" hidden="1">#REF!</definedName>
    <definedName name="_7__123Graph_CGRAPHIQUE_1A" localSheetId="8" hidden="1">#REF!</definedName>
    <definedName name="_7__123Graph_XGRAPHIQUE_1A" localSheetId="3" hidden="1">#REF!</definedName>
    <definedName name="_7__123Graph_XGRAPHIQUE_1A" localSheetId="4" hidden="1">#REF!</definedName>
    <definedName name="_7__123Graph_XGRAPHIQUE_1A" localSheetId="5" hidden="1">#REF!</definedName>
    <definedName name="_7__123Graph_XGRAPHIQUE_1A" hidden="1">#REF!</definedName>
    <definedName name="_70_________________________________123Graph_XGRAPHIQUE_1A" localSheetId="3" hidden="1">#REF!</definedName>
    <definedName name="_70_________________________________123Graph_XGRAPHIQUE_1A" localSheetId="4" hidden="1">#REF!</definedName>
    <definedName name="_70_________________________________123Graph_XGRAPHIQUE_1A" localSheetId="5" hidden="1">#REF!</definedName>
    <definedName name="_70_________________________________123Graph_XGRAPHIQUE_1A" hidden="1">#REF!</definedName>
    <definedName name="_70_____________123Graph_XGRAPHIQUE_1A" localSheetId="3" hidden="1">#REF!</definedName>
    <definedName name="_70_____________123Graph_XGRAPHIQUE_1A" localSheetId="4" hidden="1">#REF!</definedName>
    <definedName name="_70_____________123Graph_XGRAPHIQUE_1A" localSheetId="5" hidden="1">#REF!</definedName>
    <definedName name="_70_____________123Graph_XGRAPHIQUE_1A" hidden="1">#REF!</definedName>
    <definedName name="_71________________________________123Graph_AGRAPHIQUE_1A" localSheetId="3" hidden="1">#REF!</definedName>
    <definedName name="_71________________________________123Graph_AGRAPHIQUE_1A" localSheetId="4" hidden="1">#REF!</definedName>
    <definedName name="_71________________________________123Graph_AGRAPHIQUE_1A" localSheetId="5" hidden="1">#REF!</definedName>
    <definedName name="_71________________________________123Graph_AGRAPHIQUE_1A" hidden="1">#REF!</definedName>
    <definedName name="_71____________123Graph_AGRAPHIQUE_1A" localSheetId="3" hidden="1">#REF!</definedName>
    <definedName name="_71____________123Graph_AGRAPHIQUE_1A" localSheetId="4" hidden="1">#REF!</definedName>
    <definedName name="_71____________123Graph_AGRAPHIQUE_1A" localSheetId="5" hidden="1">#REF!</definedName>
    <definedName name="_71____________123Graph_AGRAPHIQUE_1A" hidden="1">#REF!</definedName>
    <definedName name="_72________________________________123Graph_BGRAPHIQUE_1A" localSheetId="3" hidden="1">#REF!</definedName>
    <definedName name="_72________________________________123Graph_BGRAPHIQUE_1A" localSheetId="4" hidden="1">#REF!</definedName>
    <definedName name="_72________________________________123Graph_BGRAPHIQUE_1A" localSheetId="5" hidden="1">#REF!</definedName>
    <definedName name="_72________________________________123Graph_BGRAPHIQUE_1A" hidden="1">#REF!</definedName>
    <definedName name="_72____________123Graph_BGRAPHIQUE_1A" localSheetId="3" hidden="1">#REF!</definedName>
    <definedName name="_72____________123Graph_BGRAPHIQUE_1A" localSheetId="4" hidden="1">#REF!</definedName>
    <definedName name="_72____________123Graph_BGRAPHIQUE_1A" localSheetId="5" hidden="1">#REF!</definedName>
    <definedName name="_72____________123Graph_BGRAPHIQUE_1A" hidden="1">#REF!</definedName>
    <definedName name="_72___123Graph_CGRAPHIQUE_1A" localSheetId="3" hidden="1">#REF!</definedName>
    <definedName name="_72___123Graph_CGRAPHIQUE_1A" localSheetId="4" hidden="1">#REF!</definedName>
    <definedName name="_72___123Graph_CGRAPHIQUE_1A" localSheetId="5" hidden="1">#REF!</definedName>
    <definedName name="_72___123Graph_CGRAPHIQUE_1A" hidden="1">#REF!</definedName>
    <definedName name="_73________________________________123Graph_CGRAPHIQUE_1A" localSheetId="3" hidden="1">#REF!</definedName>
    <definedName name="_73________________________________123Graph_CGRAPHIQUE_1A" localSheetId="4" hidden="1">#REF!</definedName>
    <definedName name="_73________________________________123Graph_CGRAPHIQUE_1A" localSheetId="5" hidden="1">#REF!</definedName>
    <definedName name="_73________________________________123Graph_CGRAPHIQUE_1A" hidden="1">#REF!</definedName>
    <definedName name="_73____________123Graph_CGRAPHIQUE_1A" localSheetId="3" hidden="1">#REF!</definedName>
    <definedName name="_73____________123Graph_CGRAPHIQUE_1A" localSheetId="4" hidden="1">#REF!</definedName>
    <definedName name="_73____________123Graph_CGRAPHIQUE_1A" localSheetId="5" hidden="1">#REF!</definedName>
    <definedName name="_73____________123Graph_CGRAPHIQUE_1A" hidden="1">#REF!</definedName>
    <definedName name="_74________________________________123Graph_DGRAPHIQUE_1A" localSheetId="3" hidden="1">#REF!</definedName>
    <definedName name="_74________________________________123Graph_DGRAPHIQUE_1A" localSheetId="4" hidden="1">#REF!</definedName>
    <definedName name="_74________________________________123Graph_DGRAPHIQUE_1A" localSheetId="5" hidden="1">#REF!</definedName>
    <definedName name="_74________________________________123Graph_DGRAPHIQUE_1A" hidden="1">#REF!</definedName>
    <definedName name="_74____________123Graph_DGRAPHIQUE_1A" localSheetId="3" hidden="1">#REF!</definedName>
    <definedName name="_74____________123Graph_DGRAPHIQUE_1A" localSheetId="4" hidden="1">#REF!</definedName>
    <definedName name="_74____________123Graph_DGRAPHIQUE_1A" localSheetId="5" hidden="1">#REF!</definedName>
    <definedName name="_74____________123Graph_DGRAPHIQUE_1A" hidden="1">#REF!</definedName>
    <definedName name="_75________________________________123Graph_EGRAPHIQUE_1A" localSheetId="3" hidden="1">#REF!</definedName>
    <definedName name="_75________________________________123Graph_EGRAPHIQUE_1A" localSheetId="4" hidden="1">#REF!</definedName>
    <definedName name="_75________________________________123Graph_EGRAPHIQUE_1A" localSheetId="5" hidden="1">#REF!</definedName>
    <definedName name="_75________________________________123Graph_EGRAPHIQUE_1A" hidden="1">#REF!</definedName>
    <definedName name="_75____________123Graph_EGRAPHIQUE_1A" localSheetId="3" hidden="1">#REF!</definedName>
    <definedName name="_75____________123Graph_EGRAPHIQUE_1A" localSheetId="4" hidden="1">#REF!</definedName>
    <definedName name="_75____________123Graph_EGRAPHIQUE_1A" localSheetId="5" hidden="1">#REF!</definedName>
    <definedName name="_75____________123Graph_EGRAPHIQUE_1A" hidden="1">#REF!</definedName>
    <definedName name="_75___123Graph_DGRAPHIQUE_1A" localSheetId="3" hidden="1">#REF!</definedName>
    <definedName name="_75___123Graph_DGRAPHIQUE_1A" localSheetId="4" hidden="1">#REF!</definedName>
    <definedName name="_75___123Graph_DGRAPHIQUE_1A" localSheetId="5" hidden="1">#REF!</definedName>
    <definedName name="_75___123Graph_DGRAPHIQUE_1A" hidden="1">#REF!</definedName>
    <definedName name="_76________________________________123Graph_FGRAPHIQUE_1A" localSheetId="3" hidden="1">#REF!</definedName>
    <definedName name="_76________________________________123Graph_FGRAPHIQUE_1A" localSheetId="4" hidden="1">#REF!</definedName>
    <definedName name="_76________________________________123Graph_FGRAPHIQUE_1A" localSheetId="5" hidden="1">#REF!</definedName>
    <definedName name="_76________________________________123Graph_FGRAPHIQUE_1A" hidden="1">#REF!</definedName>
    <definedName name="_76____________123Graph_FGRAPHIQUE_1A" localSheetId="3" hidden="1">#REF!</definedName>
    <definedName name="_76____________123Graph_FGRAPHIQUE_1A" localSheetId="4" hidden="1">#REF!</definedName>
    <definedName name="_76____________123Graph_FGRAPHIQUE_1A" localSheetId="5" hidden="1">#REF!</definedName>
    <definedName name="_76____________123Graph_FGRAPHIQUE_1A" hidden="1">#REF!</definedName>
    <definedName name="_77________________________________123Graph_XGRAPHIQUE_1A" localSheetId="3" hidden="1">#REF!</definedName>
    <definedName name="_77________________________________123Graph_XGRAPHIQUE_1A" localSheetId="4" hidden="1">#REF!</definedName>
    <definedName name="_77________________________________123Graph_XGRAPHIQUE_1A" localSheetId="5" hidden="1">#REF!</definedName>
    <definedName name="_77________________________________123Graph_XGRAPHIQUE_1A" hidden="1">#REF!</definedName>
    <definedName name="_77____________123Graph_XGRAPHIQUE_1A" localSheetId="3" hidden="1">#REF!</definedName>
    <definedName name="_77____________123Graph_XGRAPHIQUE_1A" localSheetId="4" hidden="1">#REF!</definedName>
    <definedName name="_77____________123Graph_XGRAPHIQUE_1A" localSheetId="5" hidden="1">#REF!</definedName>
    <definedName name="_77____________123Graph_XGRAPHIQUE_1A" hidden="1">#REF!</definedName>
    <definedName name="_78_______________________________123Graph_AGRAPHIQUE_1A" localSheetId="3" hidden="1">#REF!</definedName>
    <definedName name="_78_______________________________123Graph_AGRAPHIQUE_1A" localSheetId="4" hidden="1">#REF!</definedName>
    <definedName name="_78_______________________________123Graph_AGRAPHIQUE_1A" localSheetId="5" hidden="1">#REF!</definedName>
    <definedName name="_78_______________________________123Graph_AGRAPHIQUE_1A" hidden="1">#REF!</definedName>
    <definedName name="_78___________123Graph_AGRAPHIQUE_1A" localSheetId="3" hidden="1">#REF!</definedName>
    <definedName name="_78___________123Graph_AGRAPHIQUE_1A" localSheetId="4" hidden="1">#REF!</definedName>
    <definedName name="_78___________123Graph_AGRAPHIQUE_1A" localSheetId="5" hidden="1">#REF!</definedName>
    <definedName name="_78___________123Graph_AGRAPHIQUE_1A" hidden="1">#REF!</definedName>
    <definedName name="_78___123Graph_EGRAPHIQUE_1A" localSheetId="3" hidden="1">#REF!</definedName>
    <definedName name="_78___123Graph_EGRAPHIQUE_1A" localSheetId="4" hidden="1">#REF!</definedName>
    <definedName name="_78___123Graph_EGRAPHIQUE_1A" localSheetId="5" hidden="1">#REF!</definedName>
    <definedName name="_78___123Graph_EGRAPHIQUE_1A" hidden="1">#REF!</definedName>
    <definedName name="_79_______________________________123Graph_BGRAPHIQUE_1A" localSheetId="3" hidden="1">#REF!</definedName>
    <definedName name="_79_______________________________123Graph_BGRAPHIQUE_1A" localSheetId="4" hidden="1">#REF!</definedName>
    <definedName name="_79_______________________________123Graph_BGRAPHIQUE_1A" localSheetId="5" hidden="1">#REF!</definedName>
    <definedName name="_79_______________________________123Graph_BGRAPHIQUE_1A" hidden="1">#REF!</definedName>
    <definedName name="_79___________123Graph_BGRAPHIQUE_1A" localSheetId="3" hidden="1">#REF!</definedName>
    <definedName name="_79___________123Graph_BGRAPHIQUE_1A" localSheetId="4" hidden="1">#REF!</definedName>
    <definedName name="_79___________123Graph_BGRAPHIQUE_1A" localSheetId="5" hidden="1">#REF!</definedName>
    <definedName name="_79___________123Graph_BGRAPHIQUE_1A" hidden="1">#REF!</definedName>
    <definedName name="_8_________________________________________123Graph_AGRAPHIQUE_1A" localSheetId="3" hidden="1">#REF!</definedName>
    <definedName name="_8_________________________________________123Graph_AGRAPHIQUE_1A" localSheetId="4" hidden="1">#REF!</definedName>
    <definedName name="_8_________________________________________123Graph_AGRAPHIQUE_1A" localSheetId="5" hidden="1">#REF!</definedName>
    <definedName name="_8_________________________________________123Graph_AGRAPHIQUE_1A" hidden="1">#REF!</definedName>
    <definedName name="_8_____________________123Graph_AGRAPHIQUE_1A" localSheetId="3" hidden="1">#REF!</definedName>
    <definedName name="_8_____________________123Graph_AGRAPHIQUE_1A" localSheetId="4" hidden="1">#REF!</definedName>
    <definedName name="_8_____________________123Graph_AGRAPHIQUE_1A" localSheetId="5" hidden="1">#REF!</definedName>
    <definedName name="_8_____________________123Graph_AGRAPHIQUE_1A" hidden="1">#REF!</definedName>
    <definedName name="_8______123Graph_DGRAPHIQUE_1A" localSheetId="3" hidden="1">#REF!</definedName>
    <definedName name="_8______123Graph_DGRAPHIQUE_1A" localSheetId="4" hidden="1">#REF!</definedName>
    <definedName name="_8______123Graph_DGRAPHIQUE_1A" localSheetId="5" hidden="1">#REF!</definedName>
    <definedName name="_8______123Graph_DGRAPHIQUE_1A" hidden="1">#REF!</definedName>
    <definedName name="_8__123Graph_AR_M_MARGINS" localSheetId="3" hidden="1">#REF!</definedName>
    <definedName name="_8__123Graph_AR_M_MARGINS" localSheetId="4" hidden="1">#REF!</definedName>
    <definedName name="_8__123Graph_AR_M_MARGINS" localSheetId="5" hidden="1">#REF!</definedName>
    <definedName name="_8__123Graph_AR_M_MARGINS" hidden="1">#REF!</definedName>
    <definedName name="_8__123Graph_BGRAPHIQUE_1A" localSheetId="3" hidden="1">#REF!</definedName>
    <definedName name="_8__123Graph_BGRAPHIQUE_1A" localSheetId="4" hidden="1">#REF!</definedName>
    <definedName name="_8__123Graph_BGRAPHIQUE_1A" localSheetId="5" hidden="1">#REF!</definedName>
    <definedName name="_8__123Graph_BGRAPHIQUE_1A" hidden="1">#REF!</definedName>
    <definedName name="_8__123Graph_CGRAPHIQUE_1A" localSheetId="7" hidden="1">#REF!</definedName>
    <definedName name="_8__123Graph_CGRAPHIQUE_1A" localSheetId="6" hidden="1">#REF!</definedName>
    <definedName name="_8__123Graph_DGRAPHIQUE_1A" localSheetId="3" hidden="1">#REF!</definedName>
    <definedName name="_8__123Graph_DGRAPHIQUE_1A" localSheetId="4" hidden="1">#REF!</definedName>
    <definedName name="_8__123Graph_DGRAPHIQUE_1A" localSheetId="5" hidden="1">#REF!</definedName>
    <definedName name="_8__123Graph_DGRAPHIQUE_1A" localSheetId="8" hidden="1">#REF!</definedName>
    <definedName name="_8__123Graph_DGRAPHIQUE_1A" localSheetId="7" hidden="1">#REF!</definedName>
    <definedName name="_8__123Graph_DGRAPHIQUE_1A" localSheetId="6" hidden="1">#REF!</definedName>
    <definedName name="_8__123Graph_DGRAPHIQUE_1A" hidden="1">#REF!</definedName>
    <definedName name="_80_______________________________123Graph_CGRAPHIQUE_1A" localSheetId="3" hidden="1">#REF!</definedName>
    <definedName name="_80_______________________________123Graph_CGRAPHIQUE_1A" localSheetId="4" hidden="1">#REF!</definedName>
    <definedName name="_80_______________________________123Graph_CGRAPHIQUE_1A" localSheetId="5" hidden="1">#REF!</definedName>
    <definedName name="_80_______________________________123Graph_CGRAPHIQUE_1A" hidden="1">#REF!</definedName>
    <definedName name="_80___________123Graph_CGRAPHIQUE_1A" localSheetId="3" hidden="1">#REF!</definedName>
    <definedName name="_80___________123Graph_CGRAPHIQUE_1A" localSheetId="4" hidden="1">#REF!</definedName>
    <definedName name="_80___________123Graph_CGRAPHIQUE_1A" localSheetId="5" hidden="1">#REF!</definedName>
    <definedName name="_80___________123Graph_CGRAPHIQUE_1A" hidden="1">#REF!</definedName>
    <definedName name="_81_______________________________123Graph_DGRAPHIQUE_1A" localSheetId="3" hidden="1">#REF!</definedName>
    <definedName name="_81_______________________________123Graph_DGRAPHIQUE_1A" localSheetId="4" hidden="1">#REF!</definedName>
    <definedName name="_81_______________________________123Graph_DGRAPHIQUE_1A" localSheetId="5" hidden="1">#REF!</definedName>
    <definedName name="_81_______________________________123Graph_DGRAPHIQUE_1A" hidden="1">#REF!</definedName>
    <definedName name="_81___________123Graph_DGRAPHIQUE_1A" localSheetId="3" hidden="1">#REF!</definedName>
    <definedName name="_81___________123Graph_DGRAPHIQUE_1A" localSheetId="4" hidden="1">#REF!</definedName>
    <definedName name="_81___________123Graph_DGRAPHIQUE_1A" localSheetId="5" hidden="1">#REF!</definedName>
    <definedName name="_81___________123Graph_DGRAPHIQUE_1A" hidden="1">#REF!</definedName>
    <definedName name="_81___123Graph_FGRAPHIQUE_1A" localSheetId="3" hidden="1">#REF!</definedName>
    <definedName name="_81___123Graph_FGRAPHIQUE_1A" localSheetId="4" hidden="1">#REF!</definedName>
    <definedName name="_81___123Graph_FGRAPHIQUE_1A" localSheetId="5" hidden="1">#REF!</definedName>
    <definedName name="_81___123Graph_FGRAPHIQUE_1A" hidden="1">#REF!</definedName>
    <definedName name="_82_______________________________123Graph_EGRAPHIQUE_1A" localSheetId="3" hidden="1">#REF!</definedName>
    <definedName name="_82_______________________________123Graph_EGRAPHIQUE_1A" localSheetId="4" hidden="1">#REF!</definedName>
    <definedName name="_82_______________________________123Graph_EGRAPHIQUE_1A" localSheetId="5" hidden="1">#REF!</definedName>
    <definedName name="_82_______________________________123Graph_EGRAPHIQUE_1A" hidden="1">#REF!</definedName>
    <definedName name="_82___________123Graph_EGRAPHIQUE_1A" localSheetId="3" hidden="1">#REF!</definedName>
    <definedName name="_82___________123Graph_EGRAPHIQUE_1A" localSheetId="4" hidden="1">#REF!</definedName>
    <definedName name="_82___________123Graph_EGRAPHIQUE_1A" localSheetId="5" hidden="1">#REF!</definedName>
    <definedName name="_82___________123Graph_EGRAPHIQUE_1A" hidden="1">#REF!</definedName>
    <definedName name="_83_______________________________123Graph_FGRAPHIQUE_1A" localSheetId="3" hidden="1">#REF!</definedName>
    <definedName name="_83_______________________________123Graph_FGRAPHIQUE_1A" localSheetId="4" hidden="1">#REF!</definedName>
    <definedName name="_83_______________________________123Graph_FGRAPHIQUE_1A" localSheetId="5" hidden="1">#REF!</definedName>
    <definedName name="_83_______________________________123Graph_FGRAPHIQUE_1A" hidden="1">#REF!</definedName>
    <definedName name="_83___________123Graph_FGRAPHIQUE_1A" localSheetId="3" hidden="1">#REF!</definedName>
    <definedName name="_83___________123Graph_FGRAPHIQUE_1A" localSheetId="4" hidden="1">#REF!</definedName>
    <definedName name="_83___________123Graph_FGRAPHIQUE_1A" localSheetId="5" hidden="1">#REF!</definedName>
    <definedName name="_83___________123Graph_FGRAPHIQUE_1A" hidden="1">#REF!</definedName>
    <definedName name="_84_______________________________123Graph_XGRAPHIQUE_1A" localSheetId="3" hidden="1">#REF!</definedName>
    <definedName name="_84_______________________________123Graph_XGRAPHIQUE_1A" localSheetId="4" hidden="1">#REF!</definedName>
    <definedName name="_84_______________________________123Graph_XGRAPHIQUE_1A" localSheetId="5" hidden="1">#REF!</definedName>
    <definedName name="_84_______________________________123Graph_XGRAPHIQUE_1A" hidden="1">#REF!</definedName>
    <definedName name="_84___________123Graph_XGRAPHIQUE_1A" localSheetId="3" hidden="1">#REF!</definedName>
    <definedName name="_84___________123Graph_XGRAPHIQUE_1A" localSheetId="4" hidden="1">#REF!</definedName>
    <definedName name="_84___________123Graph_XGRAPHIQUE_1A" localSheetId="5" hidden="1">#REF!</definedName>
    <definedName name="_84___________123Graph_XGRAPHIQUE_1A" hidden="1">#REF!</definedName>
    <definedName name="_84___123Graph_XGRAPHIQUE_1A" localSheetId="3" hidden="1">#REF!</definedName>
    <definedName name="_84___123Graph_XGRAPHIQUE_1A" localSheetId="4" hidden="1">#REF!</definedName>
    <definedName name="_84___123Graph_XGRAPHIQUE_1A" localSheetId="5" hidden="1">#REF!</definedName>
    <definedName name="_84___123Graph_XGRAPHIQUE_1A" hidden="1">#REF!</definedName>
    <definedName name="_85______________________________123Graph_AGRAPHIQUE_1A" localSheetId="3" hidden="1">#REF!</definedName>
    <definedName name="_85______________________________123Graph_AGRAPHIQUE_1A" localSheetId="4" hidden="1">#REF!</definedName>
    <definedName name="_85______________________________123Graph_AGRAPHIQUE_1A" localSheetId="5" hidden="1">#REF!</definedName>
    <definedName name="_85______________________________123Graph_AGRAPHIQUE_1A" hidden="1">#REF!</definedName>
    <definedName name="_85__________123Graph_AGRAPHIQUE_1A" localSheetId="3" hidden="1">#REF!</definedName>
    <definedName name="_85__________123Graph_AGRAPHIQUE_1A" localSheetId="4" hidden="1">#REF!</definedName>
    <definedName name="_85__________123Graph_AGRAPHIQUE_1A" localSheetId="5" hidden="1">#REF!</definedName>
    <definedName name="_85__________123Graph_AGRAPHIQUE_1A" hidden="1">#REF!</definedName>
    <definedName name="_86______________________________123Graph_BGRAPHIQUE_1A" localSheetId="3" hidden="1">#REF!</definedName>
    <definedName name="_86______________________________123Graph_BGRAPHIQUE_1A" localSheetId="4" hidden="1">#REF!</definedName>
    <definedName name="_86______________________________123Graph_BGRAPHIQUE_1A" localSheetId="5" hidden="1">#REF!</definedName>
    <definedName name="_86______________________________123Graph_BGRAPHIQUE_1A" hidden="1">#REF!</definedName>
    <definedName name="_86__________123Graph_BGRAPHIQUE_1A" localSheetId="3" hidden="1">#REF!</definedName>
    <definedName name="_86__________123Graph_BGRAPHIQUE_1A" localSheetId="4" hidden="1">#REF!</definedName>
    <definedName name="_86__________123Graph_BGRAPHIQUE_1A" localSheetId="5" hidden="1">#REF!</definedName>
    <definedName name="_86__________123Graph_BGRAPHIQUE_1A" hidden="1">#REF!</definedName>
    <definedName name="_87______________________________123Graph_CGRAPHIQUE_1A" localSheetId="3" hidden="1">#REF!</definedName>
    <definedName name="_87______________________________123Graph_CGRAPHIQUE_1A" localSheetId="4" hidden="1">#REF!</definedName>
    <definedName name="_87______________________________123Graph_CGRAPHIQUE_1A" localSheetId="5" hidden="1">#REF!</definedName>
    <definedName name="_87______________________________123Graph_CGRAPHIQUE_1A" hidden="1">#REF!</definedName>
    <definedName name="_87__________123Graph_CGRAPHIQUE_1A" localSheetId="3" hidden="1">#REF!</definedName>
    <definedName name="_87__________123Graph_CGRAPHIQUE_1A" localSheetId="4" hidden="1">#REF!</definedName>
    <definedName name="_87__________123Graph_CGRAPHIQUE_1A" localSheetId="5" hidden="1">#REF!</definedName>
    <definedName name="_87__________123Graph_CGRAPHIQUE_1A" hidden="1">#REF!</definedName>
    <definedName name="_88______________________________123Graph_DGRAPHIQUE_1A" localSheetId="3" hidden="1">#REF!</definedName>
    <definedName name="_88______________________________123Graph_DGRAPHIQUE_1A" localSheetId="4" hidden="1">#REF!</definedName>
    <definedName name="_88______________________________123Graph_DGRAPHIQUE_1A" localSheetId="5" hidden="1">#REF!</definedName>
    <definedName name="_88______________________________123Graph_DGRAPHIQUE_1A" hidden="1">#REF!</definedName>
    <definedName name="_88__________123Graph_DGRAPHIQUE_1A" localSheetId="3" hidden="1">#REF!</definedName>
    <definedName name="_88__________123Graph_DGRAPHIQUE_1A" localSheetId="4" hidden="1">#REF!</definedName>
    <definedName name="_88__________123Graph_DGRAPHIQUE_1A" localSheetId="5" hidden="1">#REF!</definedName>
    <definedName name="_88__________123Graph_DGRAPHIQUE_1A" hidden="1">#REF!</definedName>
    <definedName name="_89______________________________123Graph_EGRAPHIQUE_1A" localSheetId="3" hidden="1">#REF!</definedName>
    <definedName name="_89______________________________123Graph_EGRAPHIQUE_1A" localSheetId="4" hidden="1">#REF!</definedName>
    <definedName name="_89______________________________123Graph_EGRAPHIQUE_1A" localSheetId="5" hidden="1">#REF!</definedName>
    <definedName name="_89______________________________123Graph_EGRAPHIQUE_1A" hidden="1">#REF!</definedName>
    <definedName name="_89__________123Graph_EGRAPHIQUE_1A" localSheetId="3" hidden="1">#REF!</definedName>
    <definedName name="_89__________123Graph_EGRAPHIQUE_1A" localSheetId="4" hidden="1">#REF!</definedName>
    <definedName name="_89__________123Graph_EGRAPHIQUE_1A" localSheetId="5" hidden="1">#REF!</definedName>
    <definedName name="_89__________123Graph_EGRAPHIQUE_1A" hidden="1">#REF!</definedName>
    <definedName name="_9_________________________________________123Graph_BGRAPHIQUE_1A" localSheetId="3" hidden="1">#REF!</definedName>
    <definedName name="_9_________________________________________123Graph_BGRAPHIQUE_1A" localSheetId="4" hidden="1">#REF!</definedName>
    <definedName name="_9_________________________________________123Graph_BGRAPHIQUE_1A" localSheetId="5" hidden="1">#REF!</definedName>
    <definedName name="_9_________________________________________123Graph_BGRAPHIQUE_1A" hidden="1">#REF!</definedName>
    <definedName name="_9_____________________123Graph_BGRAPHIQUE_1A" localSheetId="3" hidden="1">#REF!</definedName>
    <definedName name="_9_____________________123Graph_BGRAPHIQUE_1A" localSheetId="4" hidden="1">#REF!</definedName>
    <definedName name="_9_____________________123Graph_BGRAPHIQUE_1A" localSheetId="5" hidden="1">#REF!</definedName>
    <definedName name="_9_____________________123Graph_BGRAPHIQUE_1A" hidden="1">#REF!</definedName>
    <definedName name="_9______123Graph_CGRAPHIQUE_1A" localSheetId="3" hidden="1">#REF!</definedName>
    <definedName name="_9______123Graph_CGRAPHIQUE_1A" localSheetId="4" hidden="1">#REF!</definedName>
    <definedName name="_9______123Graph_CGRAPHIQUE_1A" localSheetId="5" hidden="1">#REF!</definedName>
    <definedName name="_9______123Graph_CGRAPHIQUE_1A" hidden="1">#REF!</definedName>
    <definedName name="_9__123Graph_AGRAPHIQUE_1A" localSheetId="3" hidden="1">#REF!</definedName>
    <definedName name="_9__123Graph_AGRAPHIQUE_1A" localSheetId="4" hidden="1">#REF!</definedName>
    <definedName name="_9__123Graph_AGRAPHIQUE_1A" localSheetId="5" hidden="1">#REF!</definedName>
    <definedName name="_9__123Graph_AGRAPHIQUE_1A" hidden="1">#REF!</definedName>
    <definedName name="_9__123Graph_CGRAPHIQUE_1A" localSheetId="3" hidden="1">#REF!</definedName>
    <definedName name="_9__123Graph_CGRAPHIQUE_1A" localSheetId="4" hidden="1">#REF!</definedName>
    <definedName name="_9__123Graph_CGRAPHIQUE_1A" localSheetId="5" hidden="1">#REF!</definedName>
    <definedName name="_9__123Graph_CGRAPHIQUE_1A" localSheetId="8" hidden="1">#REF!</definedName>
    <definedName name="_9__123Graph_CGRAPHIQUE_1A" localSheetId="7" hidden="1">#REF!</definedName>
    <definedName name="_9__123Graph_CGRAPHIQUE_1A" localSheetId="6" hidden="1">#REF!</definedName>
    <definedName name="_9__123Graph_CGRAPHIQUE_1A" hidden="1">#REF!</definedName>
    <definedName name="_90______________________________123Graph_FGRAPHIQUE_1A" localSheetId="3" hidden="1">#REF!</definedName>
    <definedName name="_90______________________________123Graph_FGRAPHIQUE_1A" localSheetId="4" hidden="1">#REF!</definedName>
    <definedName name="_90______________________________123Graph_FGRAPHIQUE_1A" localSheetId="5" hidden="1">#REF!</definedName>
    <definedName name="_90______________________________123Graph_FGRAPHIQUE_1A" hidden="1">#REF!</definedName>
    <definedName name="_90__________123Graph_FGRAPHIQUE_1A" localSheetId="3" hidden="1">#REF!</definedName>
    <definedName name="_90__________123Graph_FGRAPHIQUE_1A" localSheetId="4" hidden="1">#REF!</definedName>
    <definedName name="_90__________123Graph_FGRAPHIQUE_1A" localSheetId="5" hidden="1">#REF!</definedName>
    <definedName name="_90__________123Graph_FGRAPHIQUE_1A" hidden="1">#REF!</definedName>
    <definedName name="_91______________________________123Graph_XGRAPHIQUE_1A" localSheetId="3" hidden="1">#REF!</definedName>
    <definedName name="_91______________________________123Graph_XGRAPHIQUE_1A" localSheetId="4" hidden="1">#REF!</definedName>
    <definedName name="_91______________________________123Graph_XGRAPHIQUE_1A" localSheetId="5" hidden="1">#REF!</definedName>
    <definedName name="_91______________________________123Graph_XGRAPHIQUE_1A" hidden="1">#REF!</definedName>
    <definedName name="_91__________123Graph_XGRAPHIQUE_1A" localSheetId="3" hidden="1">#REF!</definedName>
    <definedName name="_91__________123Graph_XGRAPHIQUE_1A" localSheetId="4" hidden="1">#REF!</definedName>
    <definedName name="_91__________123Graph_XGRAPHIQUE_1A" localSheetId="5" hidden="1">#REF!</definedName>
    <definedName name="_91__________123Graph_XGRAPHIQUE_1A" hidden="1">#REF!</definedName>
    <definedName name="_92_____________________________123Graph_AGRAPHIQUE_1A" localSheetId="3" hidden="1">#REF!</definedName>
    <definedName name="_92_____________________________123Graph_AGRAPHIQUE_1A" localSheetId="4" hidden="1">#REF!</definedName>
    <definedName name="_92_____________________________123Graph_AGRAPHIQUE_1A" localSheetId="5" hidden="1">#REF!</definedName>
    <definedName name="_92_____________________________123Graph_AGRAPHIQUE_1A" hidden="1">#REF!</definedName>
    <definedName name="_92_________123Graph_AGRAPHIQUE_1A" localSheetId="3" hidden="1">#REF!</definedName>
    <definedName name="_92_________123Graph_AGRAPHIQUE_1A" localSheetId="4" hidden="1">#REF!</definedName>
    <definedName name="_92_________123Graph_AGRAPHIQUE_1A" localSheetId="5" hidden="1">#REF!</definedName>
    <definedName name="_92_________123Graph_AGRAPHIQUE_1A" hidden="1">#REF!</definedName>
    <definedName name="_93_____________________________123Graph_BGRAPHIQUE_1A" localSheetId="3" hidden="1">#REF!</definedName>
    <definedName name="_93_____________________________123Graph_BGRAPHIQUE_1A" localSheetId="4" hidden="1">#REF!</definedName>
    <definedName name="_93_____________________________123Graph_BGRAPHIQUE_1A" localSheetId="5" hidden="1">#REF!</definedName>
    <definedName name="_93_____________________________123Graph_BGRAPHIQUE_1A" hidden="1">#REF!</definedName>
    <definedName name="_93_________123Graph_BGRAPHIQUE_1A" localSheetId="3" hidden="1">#REF!</definedName>
    <definedName name="_93_________123Graph_BGRAPHIQUE_1A" localSheetId="4" hidden="1">#REF!</definedName>
    <definedName name="_93_________123Graph_BGRAPHIQUE_1A" localSheetId="5" hidden="1">#REF!</definedName>
    <definedName name="_93_________123Graph_BGRAPHIQUE_1A" hidden="1">#REF!</definedName>
    <definedName name="_94_____________________________123Graph_CGRAPHIQUE_1A" localSheetId="3" hidden="1">#REF!</definedName>
    <definedName name="_94_____________________________123Graph_CGRAPHIQUE_1A" localSheetId="4" hidden="1">#REF!</definedName>
    <definedName name="_94_____________________________123Graph_CGRAPHIQUE_1A" localSheetId="5" hidden="1">#REF!</definedName>
    <definedName name="_94_____________________________123Graph_CGRAPHIQUE_1A" hidden="1">#REF!</definedName>
    <definedName name="_94_________123Graph_CGRAPHIQUE_1A" localSheetId="3" hidden="1">#REF!</definedName>
    <definedName name="_94_________123Graph_CGRAPHIQUE_1A" localSheetId="4" hidden="1">#REF!</definedName>
    <definedName name="_94_________123Graph_CGRAPHIQUE_1A" localSheetId="5" hidden="1">#REF!</definedName>
    <definedName name="_94_________123Graph_CGRAPHIQUE_1A" hidden="1">#REF!</definedName>
    <definedName name="_95_____________________________123Graph_DGRAPHIQUE_1A" localSheetId="3" hidden="1">#REF!</definedName>
    <definedName name="_95_____________________________123Graph_DGRAPHIQUE_1A" localSheetId="4" hidden="1">#REF!</definedName>
    <definedName name="_95_____________________________123Graph_DGRAPHIQUE_1A" localSheetId="5" hidden="1">#REF!</definedName>
    <definedName name="_95_____________________________123Graph_DGRAPHIQUE_1A" hidden="1">#REF!</definedName>
    <definedName name="_95_________123Graph_DGRAPHIQUE_1A" localSheetId="3" hidden="1">#REF!</definedName>
    <definedName name="_95_________123Graph_DGRAPHIQUE_1A" localSheetId="4" hidden="1">#REF!</definedName>
    <definedName name="_95_________123Graph_DGRAPHIQUE_1A" localSheetId="5" hidden="1">#REF!</definedName>
    <definedName name="_95_________123Graph_DGRAPHIQUE_1A" hidden="1">#REF!</definedName>
    <definedName name="_96_____________________________123Graph_EGRAPHIQUE_1A" localSheetId="3" hidden="1">#REF!</definedName>
    <definedName name="_96_____________________________123Graph_EGRAPHIQUE_1A" localSheetId="4" hidden="1">#REF!</definedName>
    <definedName name="_96_____________________________123Graph_EGRAPHIQUE_1A" localSheetId="5" hidden="1">#REF!</definedName>
    <definedName name="_96_____________________________123Graph_EGRAPHIQUE_1A" hidden="1">#REF!</definedName>
    <definedName name="_96_________123Graph_EGRAPHIQUE_1A" localSheetId="3" hidden="1">#REF!</definedName>
    <definedName name="_96_________123Graph_EGRAPHIQUE_1A" localSheetId="4" hidden="1">#REF!</definedName>
    <definedName name="_96_________123Graph_EGRAPHIQUE_1A" localSheetId="5" hidden="1">#REF!</definedName>
    <definedName name="_96_________123Graph_EGRAPHIQUE_1A" hidden="1">#REF!</definedName>
    <definedName name="_97_____________________________123Graph_FGRAPHIQUE_1A" localSheetId="3" hidden="1">#REF!</definedName>
    <definedName name="_97_____________________________123Graph_FGRAPHIQUE_1A" localSheetId="4" hidden="1">#REF!</definedName>
    <definedName name="_97_____________________________123Graph_FGRAPHIQUE_1A" localSheetId="5" hidden="1">#REF!</definedName>
    <definedName name="_97_____________________________123Graph_FGRAPHIQUE_1A" hidden="1">#REF!</definedName>
    <definedName name="_97_________123Graph_FGRAPHIQUE_1A" localSheetId="3" hidden="1">#REF!</definedName>
    <definedName name="_97_________123Graph_FGRAPHIQUE_1A" localSheetId="4" hidden="1">#REF!</definedName>
    <definedName name="_97_________123Graph_FGRAPHIQUE_1A" localSheetId="5" hidden="1">#REF!</definedName>
    <definedName name="_97_________123Graph_FGRAPHIQUE_1A" hidden="1">#REF!</definedName>
    <definedName name="_98_____________________________123Graph_XGRAPHIQUE_1A" localSheetId="3" hidden="1">#REF!</definedName>
    <definedName name="_98_____________________________123Graph_XGRAPHIQUE_1A" localSheetId="4" hidden="1">#REF!</definedName>
    <definedName name="_98_____________________________123Graph_XGRAPHIQUE_1A" localSheetId="5" hidden="1">#REF!</definedName>
    <definedName name="_98_____________________________123Graph_XGRAPHIQUE_1A" hidden="1">#REF!</definedName>
    <definedName name="_98_________123Graph_XGRAPHIQUE_1A" localSheetId="3" hidden="1">#REF!</definedName>
    <definedName name="_98_________123Graph_XGRAPHIQUE_1A" localSheetId="4" hidden="1">#REF!</definedName>
    <definedName name="_98_________123Graph_XGRAPHIQUE_1A" localSheetId="5" hidden="1">#REF!</definedName>
    <definedName name="_98_________123Graph_XGRAPHIQUE_1A" hidden="1">#REF!</definedName>
    <definedName name="_99____________________________123Graph_AGRAPHIQUE_1A" localSheetId="3" hidden="1">#REF!</definedName>
    <definedName name="_99____________________________123Graph_AGRAPHIQUE_1A" localSheetId="4" hidden="1">#REF!</definedName>
    <definedName name="_99____________________________123Graph_AGRAPHIQUE_1A" localSheetId="5" hidden="1">#REF!</definedName>
    <definedName name="_99____________________________123Graph_AGRAPHIQUE_1A" hidden="1">#REF!</definedName>
    <definedName name="_99________123Graph_AGRAPHIQUE_1A" localSheetId="3" hidden="1">#REF!</definedName>
    <definedName name="_99________123Graph_AGRAPHIQUE_1A" localSheetId="4" hidden="1">#REF!</definedName>
    <definedName name="_99________123Graph_AGRAPHIQUE_1A" localSheetId="5" hidden="1">#REF!</definedName>
    <definedName name="_99________123Graph_AGRAPHIQUE_1A" hidden="1">#REF!</definedName>
    <definedName name="_bdm.2332270CC75947EC87FF17480D98FE75.edm" localSheetId="3" hidden="1">#REF!</definedName>
    <definedName name="_bdm.2332270CC75947EC87FF17480D98FE75.edm" localSheetId="4" hidden="1">#REF!</definedName>
    <definedName name="_bdm.2332270CC75947EC87FF17480D98FE75.edm" hidden="1">#REF!</definedName>
    <definedName name="_bdm.9A347C09648941E49FE43C7D19C688E9.edm" localSheetId="3" hidden="1">#REF!</definedName>
    <definedName name="_bdm.9A347C09648941E49FE43C7D19C688E9.edm" localSheetId="4" hidden="1">#REF!</definedName>
    <definedName name="_bdm.9A347C09648941E49FE43C7D19C688E9.edm" hidden="1">#REF!</definedName>
    <definedName name="_xlnm._FilterDatabase" localSheetId="3" hidden="1">#REF!</definedName>
    <definedName name="_xlnm._FilterDatabase" localSheetId="4" hidden="1">#REF!</definedName>
    <definedName name="_xlnm._FilterDatabase" hidden="1">#REF!</definedName>
    <definedName name="_GSRATES_1" hidden="1">"CT300001Latest          "</definedName>
    <definedName name="_GSRATES_2" hidden="1">"CF3000012001123120010101"</definedName>
    <definedName name="_GSRATES_3" hidden="1">"CF3000012002063020020101"</definedName>
    <definedName name="_GSRATES_4" hidden="1">"CF3000012001063020010101"</definedName>
    <definedName name="_GSRATES_COUNT" hidden="1">1</definedName>
    <definedName name="_GSRATESR_1" hidden="1">#N/A</definedName>
    <definedName name="_Key1" localSheetId="3" hidden="1">#REF!</definedName>
    <definedName name="_Key1" localSheetId="4" hidden="1">#REF!</definedName>
    <definedName name="_Key1" localSheetId="5" hidden="1">#REF!</definedName>
    <definedName name="_Key1" localSheetId="8" hidden="1">#REF!</definedName>
    <definedName name="_Key1" localSheetId="7" hidden="1">#REF!</definedName>
    <definedName name="_Key1" localSheetId="6" hidden="1">#REF!</definedName>
    <definedName name="_Key1" hidden="1">#REF!</definedName>
    <definedName name="_key2" localSheetId="3" hidden="1">#REF!</definedName>
    <definedName name="_key2" localSheetId="4" hidden="1">#REF!</definedName>
    <definedName name="_key2" hidden="1">#REF!</definedName>
    <definedName name="_old13" localSheetId="3" hidden="1">#REF!</definedName>
    <definedName name="_old13" localSheetId="4" hidden="1">#REF!</definedName>
    <definedName name="_old13" localSheetId="5" hidden="1">#REF!</definedName>
    <definedName name="_old13" hidden="1">#REF!</definedName>
    <definedName name="_old14" localSheetId="3" hidden="1">#REF!</definedName>
    <definedName name="_old14" localSheetId="4" hidden="1">#REF!</definedName>
    <definedName name="_old14" localSheetId="5" hidden="1">#REF!</definedName>
    <definedName name="_old14" hidden="1">#REF!</definedName>
    <definedName name="_old15" localSheetId="3" hidden="1">#REF!</definedName>
    <definedName name="_old15" localSheetId="4" hidden="1">#REF!</definedName>
    <definedName name="_old15" localSheetId="5" hidden="1">#REF!</definedName>
    <definedName name="_old15" hidden="1">#REF!</definedName>
    <definedName name="_old16" localSheetId="3" hidden="1">#REF!</definedName>
    <definedName name="_old16" localSheetId="4" hidden="1">#REF!</definedName>
    <definedName name="_old16" localSheetId="5" hidden="1">#REF!</definedName>
    <definedName name="_old16" hidden="1">#REF!</definedName>
    <definedName name="_old32" localSheetId="3" hidden="1">{"quarter",#N/A,FALSE,"MOB"}</definedName>
    <definedName name="_old32" localSheetId="4" hidden="1">{"quarter",#N/A,FALSE,"MOB"}</definedName>
    <definedName name="_old32" localSheetId="5" hidden="1">{"quarter",#N/A,FALSE,"MOB"}</definedName>
    <definedName name="_old32" hidden="1">{"quarter",#N/A,FALSE,"MOB"}</definedName>
    <definedName name="_old33" localSheetId="3" hidden="1">{#N/A,#N/A,FALSE,"YPF"}</definedName>
    <definedName name="_old33" localSheetId="4" hidden="1">{#N/A,#N/A,FALSE,"YPF"}</definedName>
    <definedName name="_old33" localSheetId="5" hidden="1">{#N/A,#N/A,FALSE,"YPF"}</definedName>
    <definedName name="_old33" hidden="1">{#N/A,#N/A,FALSE,"YPF"}</definedName>
    <definedName name="_old4" localSheetId="3" hidden="1">#REF!</definedName>
    <definedName name="_old4" localSheetId="4" hidden="1">#REF!</definedName>
    <definedName name="_old4" localSheetId="5" hidden="1">#REF!</definedName>
    <definedName name="_old4" hidden="1">#REF!</definedName>
    <definedName name="_old42" localSheetId="3" hidden="1">{"a",#N/A,FALSE,"Fact Sheet";"a",#N/A,FALSE,"DCFEVA";"a",#N/A,FALSE,"Statements";"a",#N/A,FALSE,"Quarterly";"a",#N/A,FALSE,"Q Grid";"a",#N/A,FALSE,"Stockval";"a",#N/A,FALSE,"DDM"}</definedName>
    <definedName name="_old42" localSheetId="4" hidden="1">{"a",#N/A,FALSE,"Fact Sheet";"a",#N/A,FALSE,"DCFEVA";"a",#N/A,FALSE,"Statements";"a",#N/A,FALSE,"Quarterly";"a",#N/A,FALSE,"Q Grid";"a",#N/A,FALSE,"Stockval";"a",#N/A,FALSE,"DDM"}</definedName>
    <definedName name="_old42" localSheetId="5" hidden="1">{"a",#N/A,FALSE,"Fact Sheet";"a",#N/A,FALSE,"DCFEVA";"a",#N/A,FALSE,"Statements";"a",#N/A,FALSE,"Quarterly";"a",#N/A,FALSE,"Q Grid";"a",#N/A,FALSE,"Stockval";"a",#N/A,FALSE,"DDM"}</definedName>
    <definedName name="_old42" hidden="1">{"a",#N/A,FALSE,"Fact Sheet";"a",#N/A,FALSE,"DCFEVA";"a",#N/A,FALSE,"Statements";"a",#N/A,FALSE,"Quarterly";"a",#N/A,FALSE,"Q Grid";"a",#N/A,FALSE,"Stockval";"a",#N/A,FALSE,"DDM"}</definedName>
    <definedName name="_old5" localSheetId="3" hidden="1">#REF!</definedName>
    <definedName name="_old5" localSheetId="4" hidden="1">#REF!</definedName>
    <definedName name="_old5" localSheetId="5" hidden="1">#REF!</definedName>
    <definedName name="_old5" hidden="1">#REF!</definedName>
    <definedName name="_old6" localSheetId="3" hidden="1">#REF!</definedName>
    <definedName name="_old6" localSheetId="4" hidden="1">#REF!</definedName>
    <definedName name="_old6" localSheetId="5" hidden="1">#REF!</definedName>
    <definedName name="_old6" hidden="1">#REF!</definedName>
    <definedName name="_old7" localSheetId="3" hidden="1">#REF!</definedName>
    <definedName name="_old7" localSheetId="4" hidden="1">#REF!</definedName>
    <definedName name="_old7" hidden="1">#REF!</definedName>
    <definedName name="_Order1" hidden="1">0</definedName>
    <definedName name="_Order2" hidden="1">255</definedName>
    <definedName name="_Parse_Out" localSheetId="3" hidden="1">#REF!</definedName>
    <definedName name="_Parse_Out" localSheetId="4" hidden="1">#REF!</definedName>
    <definedName name="_Parse_Out" hidden="1">#REF!</definedName>
    <definedName name="_Regression_Int" hidden="1">1</definedName>
    <definedName name="_Regression_Out" localSheetId="3" hidden="1">#REF!</definedName>
    <definedName name="_Regression_Out" localSheetId="4" hidden="1">#REF!</definedName>
    <definedName name="_Regression_Out" hidden="1">#REF!</definedName>
    <definedName name="_Regression_X" localSheetId="3" hidden="1">#REF!</definedName>
    <definedName name="_Regression_X" localSheetId="4" hidden="1">#REF!</definedName>
    <definedName name="_Regression_X" hidden="1">#REF!</definedName>
    <definedName name="_Regression_Y" localSheetId="3" hidden="1">#REF!</definedName>
    <definedName name="_Regression_Y" localSheetId="4" hidden="1">#REF!</definedName>
    <definedName name="_Regression_Y" hidden="1">#REF!</definedName>
    <definedName name="_Sort" localSheetId="3" hidden="1">#REF!</definedName>
    <definedName name="_Sort" localSheetId="4" hidden="1">#REF!</definedName>
    <definedName name="_Sort" hidden="1">#REF!</definedName>
    <definedName name="_Table1_In1" localSheetId="3" hidden="1">#REF!</definedName>
    <definedName name="_Table1_In1" localSheetId="4" hidden="1">#REF!</definedName>
    <definedName name="_Table1_In1" hidden="1">#REF!</definedName>
    <definedName name="_Table2_In1" localSheetId="3" hidden="1">#REF!</definedName>
    <definedName name="_Table2_In1" localSheetId="4" hidden="1">#REF!</definedName>
    <definedName name="_Table2_In1" localSheetId="5" hidden="1">#REF!</definedName>
    <definedName name="_Table2_In1" hidden="1">#REF!</definedName>
    <definedName name="_Table2_In2" localSheetId="3" hidden="1">#REF!</definedName>
    <definedName name="_Table2_In2" localSheetId="4" hidden="1">#REF!</definedName>
    <definedName name="_Table2_In2" hidden="1">#REF!</definedName>
    <definedName name="_Table2_Out" localSheetId="3" hidden="1">#REF!</definedName>
    <definedName name="_Table2_Out" localSheetId="4" hidden="1">#REF!</definedName>
    <definedName name="_Table2_Out" hidden="1">#REF!</definedName>
    <definedName name="a" localSheetId="3" hidden="1">#REF!</definedName>
    <definedName name="a" localSheetId="4" hidden="1">#REF!</definedName>
    <definedName name="a" localSheetId="5" hidden="1">#REF!</definedName>
    <definedName name="a" localSheetId="8" hidden="1">#REF!</definedName>
    <definedName name="a" localSheetId="7" hidden="1">#REF!</definedName>
    <definedName name="a" localSheetId="6" hidden="1">#REF!</definedName>
    <definedName name="a" hidden="1">#REF!</definedName>
    <definedName name="aa" localSheetId="5" hidden="1">#REF!</definedName>
    <definedName name="aa" hidden="1">#REF!</definedName>
    <definedName name="AAA_DOCTOPS" hidden="1">"AAA_SET"</definedName>
    <definedName name="AAA_duser" hidden="1">"OFF"</definedName>
    <definedName name="aab" localSheetId="5" hidden="1">#REF!</definedName>
    <definedName name="aab" hidden="1">#REF!</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c" localSheetId="5" hidden="1">#REF!</definedName>
    <definedName name="aac" hidden="1">#REF!</definedName>
    <definedName name="aad" localSheetId="5" hidden="1">#REF!</definedName>
    <definedName name="aad" hidden="1">#REF!</definedName>
    <definedName name="ABBB" localSheetId="3" hidden="1">{"IS",#N/A,FALSE,"IS";"RPTIS",#N/A,FALSE,"RPTIS";"STATS",#N/A,FALSE,"STATS";"CELL",#N/A,FALSE,"CELL";"BS",#N/A,FALSE,"BS"}</definedName>
    <definedName name="ABBB" localSheetId="4" hidden="1">{"IS",#N/A,FALSE,"IS";"RPTIS",#N/A,FALSE,"RPTIS";"STATS",#N/A,FALSE,"STATS";"CELL",#N/A,FALSE,"CELL";"BS",#N/A,FALSE,"BS"}</definedName>
    <definedName name="ABBB" localSheetId="5" hidden="1">{"IS",#N/A,FALSE,"IS";"RPTIS",#N/A,FALSE,"RPTIS";"STATS",#N/A,FALSE,"STATS";"CELL",#N/A,FALSE,"CELL";"BS",#N/A,FALSE,"BS"}</definedName>
    <definedName name="ABBB" hidden="1">{"IS",#N/A,FALSE,"IS";"RPTIS",#N/A,FALSE,"RPTIS";"STATS",#N/A,FALSE,"STATS";"CELL",#N/A,FALSE,"CELL";"BS",#N/A,FALSE,"BS"}</definedName>
    <definedName name="AE" localSheetId="3" hidden="1">#REF!</definedName>
    <definedName name="AE" localSheetId="4" hidden="1">#REF!</definedName>
    <definedName name="AE" localSheetId="5" hidden="1">#REF!</definedName>
    <definedName name="AE" hidden="1">#REF!</definedName>
    <definedName name="aerherh" localSheetId="5" hidden="1">#REF!</definedName>
    <definedName name="aerherh" hidden="1">#REF!</definedName>
    <definedName name="aerhtrha" localSheetId="5" hidden="1">#REF!</definedName>
    <definedName name="aerhtrha" hidden="1">#REF!</definedName>
    <definedName name="Annee">#REF!</definedName>
    <definedName name="Année1" localSheetId="3">#REF!</definedName>
    <definedName name="Année1" localSheetId="4">#REF!</definedName>
    <definedName name="Année1" localSheetId="5">#REF!</definedName>
    <definedName name="Année1">#REF!</definedName>
    <definedName name="Année2" localSheetId="3">#REF!</definedName>
    <definedName name="Année2" localSheetId="4">#REF!</definedName>
    <definedName name="Année2" localSheetId="5">#REF!</definedName>
    <definedName name="Année2">#REF!</definedName>
    <definedName name="Année3" localSheetId="3">#REF!</definedName>
    <definedName name="Année3" localSheetId="4">#REF!</definedName>
    <definedName name="Année3" localSheetId="5">#REF!</definedName>
    <definedName name="Année3">#REF!</definedName>
    <definedName name="Année4" localSheetId="3">#REF!</definedName>
    <definedName name="Année4" localSheetId="4">#REF!</definedName>
    <definedName name="Année4" localSheetId="5">#REF!</definedName>
    <definedName name="Année4">#REF!</definedName>
    <definedName name="Année5" localSheetId="3">#REF!</definedName>
    <definedName name="Année5" localSheetId="4">#REF!</definedName>
    <definedName name="Année5" localSheetId="5">#REF!</definedName>
    <definedName name="Année5">#REF!</definedName>
    <definedName name="Annexe" localSheetId="3" hidden="1">{#N/A,#N/A,FALSE,"Maritime";#N/A,#N/A,FALSE,"Transit";#N/A,#N/A,FALSE,"Commercial";#N/A,#N/A,FALSE,"Safi";#N/A,#N/A,FALSE,"JORF LASFAR";#N/A,#N/A,FALSE,"Agadir";#N/A,#N/A,FALSE,"Nador";#N/A,#N/A,FALSE,"Phyto";#N/A,#N/A,FALSE,"TIR Mohammedia";#N/A,#N/A,FALSE,"NOUACEUR"}</definedName>
    <definedName name="Annexe" localSheetId="4" hidden="1">{#N/A,#N/A,FALSE,"Maritime";#N/A,#N/A,FALSE,"Transit";#N/A,#N/A,FALSE,"Commercial";#N/A,#N/A,FALSE,"Safi";#N/A,#N/A,FALSE,"JORF LASFAR";#N/A,#N/A,FALSE,"Agadir";#N/A,#N/A,FALSE,"Nador";#N/A,#N/A,FALSE,"Phyto";#N/A,#N/A,FALSE,"TIR Mohammedia";#N/A,#N/A,FALSE,"NOUACEUR"}</definedName>
    <definedName name="Annexe" localSheetId="5" hidden="1">{#N/A,#N/A,FALSE,"Maritime";#N/A,#N/A,FALSE,"Transit";#N/A,#N/A,FALSE,"Commercial";#N/A,#N/A,FALSE,"Safi";#N/A,#N/A,FALSE,"JORF LASFAR";#N/A,#N/A,FALSE,"Agadir";#N/A,#N/A,FALSE,"Nador";#N/A,#N/A,FALSE,"Phyto";#N/A,#N/A,FALSE,"TIR Mohammedia";#N/A,#N/A,FALSE,"NOUACEUR"}</definedName>
    <definedName name="Annexe" hidden="1">{#N/A,#N/A,FALSE,"Maritime";#N/A,#N/A,FALSE,"Transit";#N/A,#N/A,FALSE,"Commercial";#N/A,#N/A,FALSE,"Safi";#N/A,#N/A,FALSE,"JORF LASFAR";#N/A,#N/A,FALSE,"Agadir";#N/A,#N/A,FALSE,"Nador";#N/A,#N/A,FALSE,"Phyto";#N/A,#N/A,FALSE,"TIR Mohammedia";#N/A,#N/A,FALSE,"NOUACEUR"}</definedName>
    <definedName name="ANNULE" localSheetId="3" hidden="1">#REF!</definedName>
    <definedName name="ANNULE" localSheetId="4" hidden="1">#REF!</definedName>
    <definedName name="ANNULE" localSheetId="5" hidden="1">#REF!</definedName>
    <definedName name="ANNULE" localSheetId="8" hidden="1">#REF!</definedName>
    <definedName name="ANNULE" localSheetId="7" hidden="1">#REF!</definedName>
    <definedName name="ANNULE" localSheetId="6" hidden="1">#REF!</definedName>
    <definedName name="ANNULE" hidden="1">#REF!</definedName>
    <definedName name="anscount" hidden="1">1</definedName>
    <definedName name="arweherh" localSheetId="5" hidden="1">#REF!</definedName>
    <definedName name="arweherh" hidden="1">#REF!</definedName>
    <definedName name="AS2DocOpenMode" hidden="1">"AS2DocumentEdit"</definedName>
    <definedName name="AS2NamedRange" hidden="1">3</definedName>
    <definedName name="AS2ReportLS" hidden="1">2</definedName>
    <definedName name="AS2SyncStepLS" hidden="1">3</definedName>
    <definedName name="AS2VersionLS" hidden="1">220</definedName>
    <definedName name="ashawrhy" localSheetId="3" hidden="1">#REF!</definedName>
    <definedName name="ashawrhy" localSheetId="4" hidden="1">#REF!</definedName>
    <definedName name="ashawrhy" localSheetId="5" hidden="1">#REF!</definedName>
    <definedName name="ashawrhy" hidden="1">#REF!</definedName>
    <definedName name="Autofi">#REF!</definedName>
    <definedName name="awhywerh" localSheetId="3" hidden="1">#REF!</definedName>
    <definedName name="awhywerh" localSheetId="4" hidden="1">#REF!</definedName>
    <definedName name="awhywerh" localSheetId="5" hidden="1">#REF!</definedName>
    <definedName name="awhywerh" hidden="1">#REF!</definedName>
    <definedName name="AZ" localSheetId="3" hidden="1">#REF!</definedName>
    <definedName name="AZ" localSheetId="4" hidden="1">#REF!</definedName>
    <definedName name="AZ" localSheetId="5" hidden="1">#REF!</definedName>
    <definedName name="AZ" hidden="1">#REF!</definedName>
    <definedName name="AZERTY" localSheetId="3" hidden="1">#REF!</definedName>
    <definedName name="AZERTY" localSheetId="4" hidden="1">#REF!</definedName>
    <definedName name="AZERTY" localSheetId="5" hidden="1">#REF!</definedName>
    <definedName name="AZERTY" hidden="1">#REF!</definedName>
    <definedName name="b" localSheetId="5" hidden="1">#REF!</definedName>
    <definedName name="b" hidden="1">#REF!</definedName>
    <definedName name="bbb" localSheetId="3" hidden="1">#REF!</definedName>
    <definedName name="bbb" localSheetId="4" hidden="1">#REF!</definedName>
    <definedName name="bbb" localSheetId="5" hidden="1">#REF!</definedName>
    <definedName name="bbb" hidden="1">#REF!</definedName>
    <definedName name="belnew" localSheetId="3" hidden="1">{"IS",#N/A,FALSE,"IS";"RPTIS",#N/A,FALSE,"RPTIS";"STATS",#N/A,FALSE,"STATS";"CELL",#N/A,FALSE,"CELL";"BS",#N/A,FALSE,"BS"}</definedName>
    <definedName name="belnew" localSheetId="4" hidden="1">{"IS",#N/A,FALSE,"IS";"RPTIS",#N/A,FALSE,"RPTIS";"STATS",#N/A,FALSE,"STATS";"CELL",#N/A,FALSE,"CELL";"BS",#N/A,FALSE,"BS"}</definedName>
    <definedName name="belnew" localSheetId="5" hidden="1">{"IS",#N/A,FALSE,"IS";"RPTIS",#N/A,FALSE,"RPTIS";"STATS",#N/A,FALSE,"STATS";"CELL",#N/A,FALSE,"CELL";"BS",#N/A,FALSE,"BS"}</definedName>
    <definedName name="belnew" hidden="1">{"IS",#N/A,FALSE,"IS";"RPTIS",#N/A,FALSE,"RPTIS";"STATS",#N/A,FALSE,"STATS";"CELL",#N/A,FALSE,"CELL";"BS",#N/A,FALSE,"BS"}</definedName>
    <definedName name="BLPH1" localSheetId="3" hidden="1">#REF!</definedName>
    <definedName name="BLPH1" localSheetId="4" hidden="1">#REF!</definedName>
    <definedName name="BLPH1" localSheetId="5" hidden="1">#REF!</definedName>
    <definedName name="BLPH1" hidden="1">#REF!</definedName>
    <definedName name="BLPH2" localSheetId="3" hidden="1">#REF!</definedName>
    <definedName name="BLPH2" localSheetId="4" hidden="1">#REF!</definedName>
    <definedName name="BLPH2" localSheetId="5" hidden="1">#REF!</definedName>
    <definedName name="BLPH2" hidden="1">#REF!</definedName>
    <definedName name="BLPH3" localSheetId="3" hidden="1">#REF!</definedName>
    <definedName name="BLPH3" localSheetId="4" hidden="1">#REF!</definedName>
    <definedName name="BLPH3" localSheetId="5" hidden="1">#REF!</definedName>
    <definedName name="BLPH3" hidden="1">#REF!</definedName>
    <definedName name="BLPH33" localSheetId="3" hidden="1">#REF!</definedName>
    <definedName name="BLPH33" localSheetId="4" hidden="1">#REF!</definedName>
    <definedName name="BLPH33" localSheetId="5" hidden="1">#REF!</definedName>
    <definedName name="BLPH33" hidden="1">#REF!</definedName>
    <definedName name="BLPH4" localSheetId="3" hidden="1">#REF!</definedName>
    <definedName name="BLPH4" localSheetId="4" hidden="1">#REF!</definedName>
    <definedName name="BLPH4" localSheetId="5" hidden="1">#REF!</definedName>
    <definedName name="BLPH4" hidden="1">#REF!</definedName>
    <definedName name="cancel" localSheetId="3" hidden="1">{"PARTNERS CAPITAL STMT",#N/A,FALSE,"Partners Capital"}</definedName>
    <definedName name="cancel" localSheetId="4" hidden="1">{"PARTNERS CAPITAL STMT",#N/A,FALSE,"Partners Capital"}</definedName>
    <definedName name="cancel" localSheetId="5" hidden="1">{"PARTNERS CAPITAL STMT",#N/A,FALSE,"Partners Capital"}</definedName>
    <definedName name="cancel" hidden="1">{"PARTNERS CAPITAL STMT",#N/A,FALSE,"Partners Capital"}</definedName>
    <definedName name="cancel2" localSheetId="3" hidden="1">{"PNLProjDL",#N/A,FALSE,"PROJCO";"PNLParDL",#N/A,FALSE,"Parent"}</definedName>
    <definedName name="cancel2" localSheetId="4" hidden="1">{"PNLProjDL",#N/A,FALSE,"PROJCO";"PNLParDL",#N/A,FALSE,"Parent"}</definedName>
    <definedName name="cancel2" localSheetId="5" hidden="1">{"PNLProjDL",#N/A,FALSE,"PROJCO";"PNLParDL",#N/A,FALSE,"Parent"}</definedName>
    <definedName name="cancel2" hidden="1">{"PNLProjDL",#N/A,FALSE,"PROJCO";"PNLParDL",#N/A,FALSE,"Parent"}</definedName>
    <definedName name="cancel3" localSheetId="3" hidden="1">{"Summary",#N/A,FALSE,"MICMULT";"Income Statement",#N/A,FALSE,"MICMULT";"Cash Flows",#N/A,FALSE,"MICMULT"}</definedName>
    <definedName name="cancel3" localSheetId="4" hidden="1">{"Summary",#N/A,FALSE,"MICMULT";"Income Statement",#N/A,FALSE,"MICMULT";"Cash Flows",#N/A,FALSE,"MICMULT"}</definedName>
    <definedName name="cancel3" localSheetId="5" hidden="1">{"Summary",#N/A,FALSE,"MICMULT";"Income Statement",#N/A,FALSE,"MICMULT";"Cash Flows",#N/A,FALSE,"MICMULT"}</definedName>
    <definedName name="cancel3" hidden="1">{"Summary",#N/A,FALSE,"MICMULT";"Income Statement",#N/A,FALSE,"MICMULT";"Cash Flows",#N/A,FALSE,"MICMULT"}</definedName>
    <definedName name="CarryBack">#REF!</definedName>
    <definedName name="ccccc" localSheetId="3" hidden="1">{"10yp key data",#N/A,FALSE,"Market Data"}</definedName>
    <definedName name="ccccc" localSheetId="4" hidden="1">{"10yp key data",#N/A,FALSE,"Market Data"}</definedName>
    <definedName name="ccccc" localSheetId="5" hidden="1">{"10yp key data",#N/A,FALSE,"Market Data"}</definedName>
    <definedName name="ccccc" hidden="1">{"10yp key data",#N/A,FALSE,"Market Data"}</definedName>
    <definedName name="CEX20Plein">#REF!</definedName>
    <definedName name="CEX20Vide">#REF!</definedName>
    <definedName name="CEX40Plein">#REF!</definedName>
    <definedName name="CEX40Vide">#REF!</definedName>
    <definedName name="CIM20Plein">#REF!</definedName>
    <definedName name="CIM20Vide">#REF!</definedName>
    <definedName name="CIM40Plein">#REF!</definedName>
    <definedName name="CIM40Vide">#REF!</definedName>
    <definedName name="CLASSEU" localSheetId="3">#REF!</definedName>
    <definedName name="CLASSEU" localSheetId="4">#REF!</definedName>
    <definedName name="CLASSEU" localSheetId="5">#REF!</definedName>
    <definedName name="CLASSEU">#REF!</definedName>
    <definedName name="Classeur2_000__2__Liste" localSheetId="3">#REF!</definedName>
    <definedName name="Classeur2_000__2__Liste" localSheetId="4">#REF!</definedName>
    <definedName name="Classeur2_000__2__Liste" localSheetId="5">#REF!</definedName>
    <definedName name="Classeur2_000__2__Liste">#REF!</definedName>
    <definedName name="Client_données" localSheetId="3">#REF!</definedName>
    <definedName name="Client_données" localSheetId="4">#REF!</definedName>
    <definedName name="Client_données" localSheetId="5">#REF!</definedName>
    <definedName name="Client_données">#REF!</definedName>
    <definedName name="ConsMask">#REF!</definedName>
    <definedName name="ContribFonciere">#REF!</definedName>
    <definedName name="CTEX20Plein">#REF!</definedName>
    <definedName name="CTEX20Vide">#REF!</definedName>
    <definedName name="CTEX40Plein">#REF!</definedName>
    <definedName name="CTEX40Vide">#REF!</definedName>
    <definedName name="CTIM20Plein">#REF!</definedName>
    <definedName name="CTIM20Vide">#REF!</definedName>
    <definedName name="CTIM40Plein">#REF!</definedName>
    <definedName name="CTIM40Vide">#REF!</definedName>
    <definedName name="CTRS20Plein">#REF!</definedName>
    <definedName name="CTRS20Vide">#REF!</definedName>
    <definedName name="CTRS40Plein">#REF!</definedName>
    <definedName name="CTRS40Vide">#REF!</definedName>
    <definedName name="D" localSheetId="3"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D" localSheetId="4"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D" localSheetId="5"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D"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Date">#REF!</definedName>
    <definedName name="DCF_" localSheetId="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localSheetId="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localSheetId="5"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dddd" localSheetId="3" hidden="1">{"10yp tariffs",#N/A,FALSE,"Celtel alternative 6"}</definedName>
    <definedName name="ddddd" localSheetId="4" hidden="1">{"10yp tariffs",#N/A,FALSE,"Celtel alternative 6"}</definedName>
    <definedName name="ddddd" localSheetId="5" hidden="1">{"10yp tariffs",#N/A,FALSE,"Celtel alternative 6"}</definedName>
    <definedName name="ddddd" hidden="1">{"10yp tariffs",#N/A,FALSE,"Celtel alternative 6"}</definedName>
    <definedName name="dddddd" localSheetId="3" hidden="1">{"10yp profit and loss",#N/A,FALSE,"Celtel alternative 6"}</definedName>
    <definedName name="dddddd" localSheetId="4" hidden="1">{"10yp profit and loss",#N/A,FALSE,"Celtel alternative 6"}</definedName>
    <definedName name="dddddd" localSheetId="5" hidden="1">{"10yp profit and loss",#N/A,FALSE,"Celtel alternative 6"}</definedName>
    <definedName name="dddddd" hidden="1">{"10yp profit and loss",#N/A,FALSE,"Celtel alternative 6"}</definedName>
    <definedName name="delete" localSheetId="3" hidden="1">{"STMT OF CASH FLOWS",#N/A,FALSE,"Cash Flows Indirect"}</definedName>
    <definedName name="delete" localSheetId="4" hidden="1">{"STMT OF CASH FLOWS",#N/A,FALSE,"Cash Flows Indirect"}</definedName>
    <definedName name="delete" localSheetId="5" hidden="1">{"STMT OF CASH FLOWS",#N/A,FALSE,"Cash Flows Indirect"}</definedName>
    <definedName name="delete" hidden="1">{"STMT OF CASH FLOWS",#N/A,FALSE,"Cash Flows Indirect"}</definedName>
    <definedName name="delete2" localSheetId="3" hidden="1">{"BALANCE SHEET ACCTS",#N/A,TRUE,"Working Trial Balance";"INCOME STMT ACCTS",#N/A,TRUE,"Working Trial Balance"}</definedName>
    <definedName name="delete2" localSheetId="4" hidden="1">{"BALANCE SHEET ACCTS",#N/A,TRUE,"Working Trial Balance";"INCOME STMT ACCTS",#N/A,TRUE,"Working Trial Balance"}</definedName>
    <definedName name="delete2" localSheetId="5" hidden="1">{"BALANCE SHEET ACCTS",#N/A,TRUE,"Working Trial Balance";"INCOME STMT ACCTS",#N/A,TRUE,"Working Trial Balance"}</definedName>
    <definedName name="delete2" hidden="1">{"BALANCE SHEET ACCTS",#N/A,TRUE,"Working Trial Balance";"INCOME STMT ACCTS",#N/A,TRUE,"Working Trial Balance"}</definedName>
    <definedName name="Dépenses_cm" localSheetId="3">#REF!</definedName>
    <definedName name="Dépenses_cm" localSheetId="4">#REF!</definedName>
    <definedName name="Dépenses_cm" localSheetId="5">#REF!</definedName>
    <definedName name="Dépenses_cm">#REF!</definedName>
    <definedName name="DevOutput">#REF!</definedName>
    <definedName name="df" localSheetId="3" hidden="1">{#N/A,#N/A,FALSE,"Maritime";#N/A,#N/A,FALSE,"Transit";#N/A,#N/A,FALSE,"Commercial";#N/A,#N/A,FALSE,"Safi";#N/A,#N/A,FALSE,"JORF LASFAR";#N/A,#N/A,FALSE,"Agadir";#N/A,#N/A,FALSE,"Nador";#N/A,#N/A,FALSE,"Phyto";#N/A,#N/A,FALSE,"TIR Mohammedia";#N/A,#N/A,FALSE,"NOUACEUR"}</definedName>
    <definedName name="df" localSheetId="4" hidden="1">{#N/A,#N/A,FALSE,"Maritime";#N/A,#N/A,FALSE,"Transit";#N/A,#N/A,FALSE,"Commercial";#N/A,#N/A,FALSE,"Safi";#N/A,#N/A,FALSE,"JORF LASFAR";#N/A,#N/A,FALSE,"Agadir";#N/A,#N/A,FALSE,"Nador";#N/A,#N/A,FALSE,"Phyto";#N/A,#N/A,FALSE,"TIR Mohammedia";#N/A,#N/A,FALSE,"NOUACEUR"}</definedName>
    <definedName name="df" localSheetId="5" hidden="1">{#N/A,#N/A,FALSE,"Maritime";#N/A,#N/A,FALSE,"Transit";#N/A,#N/A,FALSE,"Commercial";#N/A,#N/A,FALSE,"Safi";#N/A,#N/A,FALSE,"JORF LASFAR";#N/A,#N/A,FALSE,"Agadir";#N/A,#N/A,FALSE,"Nador";#N/A,#N/A,FALSE,"Phyto";#N/A,#N/A,FALSE,"TIR Mohammedia";#N/A,#N/A,FALSE,"NOUACEUR"}</definedName>
    <definedName name="df" hidden="1">{#N/A,#N/A,FALSE,"Maritime";#N/A,#N/A,FALSE,"Transit";#N/A,#N/A,FALSE,"Commercial";#N/A,#N/A,FALSE,"Safi";#N/A,#N/A,FALSE,"JORF LASFAR";#N/A,#N/A,FALSE,"Agadir";#N/A,#N/A,FALSE,"Nador";#N/A,#N/A,FALSE,"Phyto";#N/A,#N/A,FALSE,"TIR Mohammedia";#N/A,#N/A,FALSE,"NOUACEUR"}</definedName>
    <definedName name="DiscountMask">#REF!</definedName>
    <definedName name="Dividend">#REF!</definedName>
    <definedName name="Dragage">#REF!</definedName>
    <definedName name="dsfhkgfhflhglffgfhghgfhfd" localSheetId="3" hidden="1">#REF!</definedName>
    <definedName name="dsfhkgfhflhglffgfhghgfhfd" localSheetId="4" hidden="1">#REF!</definedName>
    <definedName name="dsfhkgfhflhglffgfhghgfhfd" localSheetId="5" hidden="1">#REF!</definedName>
    <definedName name="dsfhkgfhflhglffgfhghgfhfd" hidden="1">#REF!</definedName>
    <definedName name="eeeee" localSheetId="3" hidden="1">{"budget992000 tariff and usage",#N/A,FALSE,"Celtel alternative 6"}</definedName>
    <definedName name="eeeee" localSheetId="4" hidden="1">{"budget992000 tariff and usage",#N/A,FALSE,"Celtel alternative 6"}</definedName>
    <definedName name="eeeee" localSheetId="5" hidden="1">{"budget992000 tariff and usage",#N/A,FALSE,"Celtel alternative 6"}</definedName>
    <definedName name="eeeee" hidden="1">{"budget992000 tariff and usage",#N/A,FALSE,"Celtel alternative 6"}</definedName>
    <definedName name="EMPRUNTS" localSheetId="3">#REF!</definedName>
    <definedName name="EMPRUNTS" localSheetId="4">#REF!</definedName>
    <definedName name="EMPRUNTS">#REF!</definedName>
    <definedName name="End_Bal">#REF!</definedName>
    <definedName name="etat_facturation_données" localSheetId="3">#REF!</definedName>
    <definedName name="etat_facturation_données" localSheetId="4">#REF!</definedName>
    <definedName name="etat_facturation_données" localSheetId="5">#REF!</definedName>
    <definedName name="etat_facturation_données">#REF!</definedName>
    <definedName name="etat_facturation_suivi_créance" localSheetId="3">#REF!</definedName>
    <definedName name="etat_facturation_suivi_créance" localSheetId="4">#REF!</definedName>
    <definedName name="etat_facturation_suivi_créance" localSheetId="5">#REF!</definedName>
    <definedName name="etat_facturation_suivi_créance">#REF!</definedName>
    <definedName name="Etat_subvention_donnée" localSheetId="3">#REF!</definedName>
    <definedName name="Etat_subvention_donnée" localSheetId="4">#REF!</definedName>
    <definedName name="Etat_subvention_donnée" localSheetId="5">#REF!</definedName>
    <definedName name="Etat_subvention_donnée">#REF!</definedName>
    <definedName name="Etat_suivi_subv" localSheetId="3">#REF!</definedName>
    <definedName name="Etat_suivi_subv" localSheetId="4">#REF!</definedName>
    <definedName name="Etat_suivi_subv" localSheetId="5">#REF!</definedName>
    <definedName name="Etat_suivi_subv">#REF!</definedName>
    <definedName name="EURFCFA">#REF!</definedName>
    <definedName name="ExplAnnee">#REF!</definedName>
    <definedName name="ExplMask">#REF!</definedName>
    <definedName name="fdf" localSheetId="3" hidden="1">#REF!</definedName>
    <definedName name="fdf" localSheetId="4" hidden="1">#REF!</definedName>
    <definedName name="fdf" localSheetId="5" hidden="1">#REF!</definedName>
    <definedName name="fdf" hidden="1">#REF!</definedName>
    <definedName name="ff" localSheetId="3"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ff" localSheetId="4"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ff" localSheetId="5"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ff"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fff" localSheetId="3" hidden="1">{#N/A,#N/A,FALSE,"INPUTS";#N/A,#N/A,FALSE,"PROFORMA BSHEET";#N/A,#N/A,FALSE,"COMBINED";#N/A,#N/A,FALSE,"HIGH YIELD";#N/A,#N/A,FALSE,"COMB_GRAPHS"}</definedName>
    <definedName name="fff" localSheetId="4" hidden="1">{#N/A,#N/A,FALSE,"INPUTS";#N/A,#N/A,FALSE,"PROFORMA BSHEET";#N/A,#N/A,FALSE,"COMBINED";#N/A,#N/A,FALSE,"HIGH YIELD";#N/A,#N/A,FALSE,"COMB_GRAPHS"}</definedName>
    <definedName name="fff" localSheetId="5" hidden="1">{#N/A,#N/A,FALSE,"INPUTS";#N/A,#N/A,FALSE,"PROFORMA BSHEET";#N/A,#N/A,FALSE,"COMBINED";#N/A,#N/A,FALSE,"HIGH YIELD";#N/A,#N/A,FALSE,"COMB_GRAPHS"}</definedName>
    <definedName name="fff" hidden="1">{#N/A,#N/A,FALSE,"INPUTS";#N/A,#N/A,FALSE,"PROFORMA BSHEET";#N/A,#N/A,FALSE,"COMBINED";#N/A,#N/A,FALSE,"HIGH YIELD";#N/A,#N/A,FALSE,"COMB_GRAPHS"}</definedName>
    <definedName name="ffffff" localSheetId="3"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ffffff" localSheetId="4"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ffffff" localSheetId="5"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ffffff"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fgh" localSheetId="3" hidden="1">{#N/A,#N/A,FALSE,"YPF"}</definedName>
    <definedName name="fgh" localSheetId="4" hidden="1">{#N/A,#N/A,FALSE,"YPF"}</definedName>
    <definedName name="fgh" localSheetId="5" hidden="1">{#N/A,#N/A,FALSE,"YPF"}</definedName>
    <definedName name="fgh" hidden="1">{#N/A,#N/A,FALSE,"YPF"}</definedName>
    <definedName name="fghj" localSheetId="3" hidden="1">{"quarter",#N/A,FALSE,"MOB"}</definedName>
    <definedName name="fghj" localSheetId="4" hidden="1">{"quarter",#N/A,FALSE,"MOB"}</definedName>
    <definedName name="fghj" localSheetId="5" hidden="1">{"quarter",#N/A,FALSE,"MOB"}</definedName>
    <definedName name="fghj" hidden="1">{"quarter",#N/A,FALSE,"MOB"}</definedName>
    <definedName name="fghjk" localSheetId="3" hidden="1">{"a",#N/A,FALSE,"Fact Sheet";"a",#N/A,FALSE,"DCFEVA";"a",#N/A,FALSE,"Statements";"a",#N/A,FALSE,"Quarterly";"a",#N/A,FALSE,"Q Grid";"a",#N/A,FALSE,"Stockval";"a",#N/A,FALSE,"DDM"}</definedName>
    <definedName name="fghjk" localSheetId="4" hidden="1">{"a",#N/A,FALSE,"Fact Sheet";"a",#N/A,FALSE,"DCFEVA";"a",#N/A,FALSE,"Statements";"a",#N/A,FALSE,"Quarterly";"a",#N/A,FALSE,"Q Grid";"a",#N/A,FALSE,"Stockval";"a",#N/A,FALSE,"DDM"}</definedName>
    <definedName name="fghjk" localSheetId="5" hidden="1">{"a",#N/A,FALSE,"Fact Sheet";"a",#N/A,FALSE,"DCFEVA";"a",#N/A,FALSE,"Statements";"a",#N/A,FALSE,"Quarterly";"a",#N/A,FALSE,"Q Grid";"a",#N/A,FALSE,"Stockval";"a",#N/A,FALSE,"DDM"}</definedName>
    <definedName name="fghjk" hidden="1">{"a",#N/A,FALSE,"Fact Sheet";"a",#N/A,FALSE,"DCFEVA";"a",#N/A,FALSE,"Statements";"a",#N/A,FALSE,"Quarterly";"a",#N/A,FALSE,"Q Grid";"a",#N/A,FALSE,"Stockval";"a",#N/A,FALSE,"DDM"}</definedName>
    <definedName name="fhgkljrhfiuhbgfnkjbniftugbfhgfhhgfhjfoighj" localSheetId="3" hidden="1">{"quarter",#N/A,FALSE,"MOB"}</definedName>
    <definedName name="fhgkljrhfiuhbgfnkjbniftugbfhgfhhgfhjfoighj" localSheetId="4" hidden="1">{"quarter",#N/A,FALSE,"MOB"}</definedName>
    <definedName name="fhgkljrhfiuhbgfnkjbniftugbfhgfhhgfhjfoighj" localSheetId="5" hidden="1">{"quarter",#N/A,FALSE,"MOB"}</definedName>
    <definedName name="fhgkljrhfiuhbgfnkjbniftugbfhgfhhgfhjfoighj" hidden="1">{"quarter",#N/A,FALSE,"MOB"}</definedName>
    <definedName name="Financeurs_données" localSheetId="3">#REF!</definedName>
    <definedName name="Financeurs_données" localSheetId="4">#REF!</definedName>
    <definedName name="Financeurs_données" localSheetId="5">#REF!</definedName>
    <definedName name="Financeurs_données">#REF!</definedName>
    <definedName name="FiscaliteIncitative">#REF!</definedName>
    <definedName name="fjdlkjgfdijhghgrtuhgkjngbgurtluhgkjnjhuglkjjior" localSheetId="3" hidden="1">{#N/A,#N/A,FALSE,"YPF"}</definedName>
    <definedName name="fjdlkjgfdijhghgrtuhgkjngbgurtluhgkjnjhuglkjjior" localSheetId="4" hidden="1">{#N/A,#N/A,FALSE,"YPF"}</definedName>
    <definedName name="fjdlkjgfdijhghgrtuhgkjngbgurtluhgkjnjhuglkjjior" localSheetId="5" hidden="1">{#N/A,#N/A,FALSE,"YPF"}</definedName>
    <definedName name="fjdlkjgfdijhghgrtuhgkjngbgurtluhgkjnjhuglkjjior" hidden="1">{#N/A,#N/A,FALSE,"YPF"}</definedName>
    <definedName name="forecast" localSheetId="3" hidden="1">{"cover a","1q",FALSE,"Cover";"Op Earn Mgd Q1",#N/A,FALSE,"Op-Earn (Mng)";"Op Earn Rpt Q1",#N/A,FALSE,"Op-Earn (Rpt)";"Loans",#N/A,FALSE,"Loans";"Credit Costs",#N/A,FALSE,"CCosts";"Net Interest Margin",#N/A,FALSE,"Margin";"Nonint Income",#N/A,FALSE,"NonII";"Nonint Exp",#N/A,FALSE,"NonIE";"Valuation",#N/A,FALSE,"Valuation"}</definedName>
    <definedName name="forecast" localSheetId="4" hidden="1">{"cover a","1q",FALSE,"Cover";"Op Earn Mgd Q1",#N/A,FALSE,"Op-Earn (Mng)";"Op Earn Rpt Q1",#N/A,FALSE,"Op-Earn (Rpt)";"Loans",#N/A,FALSE,"Loans";"Credit Costs",#N/A,FALSE,"CCosts";"Net Interest Margin",#N/A,FALSE,"Margin";"Nonint Income",#N/A,FALSE,"NonII";"Nonint Exp",#N/A,FALSE,"NonIE";"Valuation",#N/A,FALSE,"Valuation"}</definedName>
    <definedName name="forecast" localSheetId="5" hidden="1">{"cover a","1q",FALSE,"Cover";"Op Earn Mgd Q1",#N/A,FALSE,"Op-Earn (Mng)";"Op Earn Rpt Q1",#N/A,FALSE,"Op-Earn (Rpt)";"Loans",#N/A,FALSE,"Loans";"Credit Costs",#N/A,FALSE,"CCosts";"Net Interest Margin",#N/A,FALSE,"Margin";"Nonint Income",#N/A,FALSE,"NonII";"Nonint Exp",#N/A,FALSE,"NonIE";"Valuation",#N/A,FALSE,"Valuation"}</definedName>
    <definedName name="forecast" hidden="1">{"cover a","1q",FALSE,"Cover";"Op Earn Mgd Q1",#N/A,FALSE,"Op-Earn (Mng)";"Op Earn Rpt Q1",#N/A,FALSE,"Op-Earn (Rpt)";"Loans",#N/A,FALSE,"Loans";"Credit Costs",#N/A,FALSE,"CCosts";"Net Interest Margin",#N/A,FALSE,"Margin";"Nonint Income",#N/A,FALSE,"NonII";"Nonint Exp",#N/A,FALSE,"NonIE";"Valuation",#N/A,FALSE,"Valuation"}</definedName>
    <definedName name="fuelco_wrn.test1." localSheetId="3" hidden="1">{"Income Statement",#N/A,FALSE,"CFMODEL";"Balance Sheet",#N/A,FALSE,"CFMODEL"}</definedName>
    <definedName name="fuelco_wrn.test1." localSheetId="4" hidden="1">{"Income Statement",#N/A,FALSE,"CFMODEL";"Balance Sheet",#N/A,FALSE,"CFMODEL"}</definedName>
    <definedName name="fuelco_wrn.test1." localSheetId="5" hidden="1">{"Income Statement",#N/A,FALSE,"CFMODEL";"Balance Sheet",#N/A,FALSE,"CFMODEL"}</definedName>
    <definedName name="fuelco_wrn.test1." hidden="1">{"Income Statement",#N/A,FALSE,"CFMODEL";"Balance Sheet",#N/A,FALSE,"CFMODEL"}</definedName>
    <definedName name="fuelco_wrn.test2." localSheetId="3" hidden="1">{"SourcesUses",#N/A,TRUE,"CFMODEL";"TransOverview",#N/A,TRUE,"CFMODEL"}</definedName>
    <definedName name="fuelco_wrn.test2." localSheetId="4" hidden="1">{"SourcesUses",#N/A,TRUE,"CFMODEL";"TransOverview",#N/A,TRUE,"CFMODEL"}</definedName>
    <definedName name="fuelco_wrn.test2." localSheetId="5" hidden="1">{"SourcesUses",#N/A,TRUE,"CFMODEL";"TransOverview",#N/A,TRUE,"CFMODEL"}</definedName>
    <definedName name="fuelco_wrn.test2." hidden="1">{"SourcesUses",#N/A,TRUE,"CFMODEL";"TransOverview",#N/A,TRUE,"CFMODEL"}</definedName>
    <definedName name="fuelco_wrn.test3." localSheetId="3" hidden="1">{"SourcesUses",#N/A,TRUE,#N/A;"TransOverview",#N/A,TRUE,"CFMODEL"}</definedName>
    <definedName name="fuelco_wrn.test3." localSheetId="4" hidden="1">{"SourcesUses",#N/A,TRUE,#N/A;"TransOverview",#N/A,TRUE,"CFMODEL"}</definedName>
    <definedName name="fuelco_wrn.test3." localSheetId="5" hidden="1">{"SourcesUses",#N/A,TRUE,#N/A;"TransOverview",#N/A,TRUE,"CFMODEL"}</definedName>
    <definedName name="fuelco_wrn.test3." hidden="1">{"SourcesUses",#N/A,TRUE,#N/A;"TransOverview",#N/A,TRUE,"CFMODEL"}</definedName>
    <definedName name="fuelco_wrn.test4." localSheetId="3" hidden="1">{"SourcesUses",#N/A,TRUE,"FundsFlow";"TransOverview",#N/A,TRUE,"FundsFlow"}</definedName>
    <definedName name="fuelco_wrn.test4." localSheetId="4" hidden="1">{"SourcesUses",#N/A,TRUE,"FundsFlow";"TransOverview",#N/A,TRUE,"FundsFlow"}</definedName>
    <definedName name="fuelco_wrn.test4." localSheetId="5" hidden="1">{"SourcesUses",#N/A,TRUE,"FundsFlow";"TransOverview",#N/A,TRUE,"FundsFlow"}</definedName>
    <definedName name="fuelco_wrn.test4." hidden="1">{"SourcesUses",#N/A,TRUE,"FundsFlow";"TransOverview",#N/A,TRUE,"FundsFlow"}</definedName>
    <definedName name="Full_Print">#REF!</definedName>
    <definedName name="gfhlkjlfdskhdidfuhitr" localSheetId="3" hidden="1">#REF!</definedName>
    <definedName name="gfhlkjlfdskhdidfuhitr" localSheetId="4" hidden="1">#REF!</definedName>
    <definedName name="gfhlkjlfdskhdidfuhitr" localSheetId="5" hidden="1">#REF!</definedName>
    <definedName name="gfhlkjlfdskhdidfuhitr" hidden="1">#REF!</definedName>
    <definedName name="ggggg" localSheetId="3" hidden="1">{"budget992000_customers",#N/A,FALSE,"Celtel alternative 6"}</definedName>
    <definedName name="ggggg" localSheetId="4" hidden="1">{"budget992000_customers",#N/A,FALSE,"Celtel alternative 6"}</definedName>
    <definedName name="ggggg" localSheetId="5" hidden="1">{"budget992000_customers",#N/A,FALSE,"Celtel alternative 6"}</definedName>
    <definedName name="ggggg" hidden="1">{"budget992000_customers",#N/A,FALSE,"Celtel alternative 6"}</definedName>
    <definedName name="ggggggg" localSheetId="3" hidden="1">{"budget992000 profit and loss",#N/A,FALSE,"Celtel alternative 6"}</definedName>
    <definedName name="ggggggg" localSheetId="4" hidden="1">{"budget992000 profit and loss",#N/A,FALSE,"Celtel alternative 6"}</definedName>
    <definedName name="ggggggg" localSheetId="5" hidden="1">{"budget992000 profit and loss",#N/A,FALSE,"Celtel alternative 6"}</definedName>
    <definedName name="ggggggg" hidden="1">{"budget992000 profit and loss",#N/A,FALSE,"Celtel alternative 6"}</definedName>
    <definedName name="gilb.wrn.test2." localSheetId="3" hidden="1">{"SourcesUses",#N/A,TRUE,"CFMODEL";"TransOverview",#N/A,TRUE,"CFMODEL"}</definedName>
    <definedName name="gilb.wrn.test2." localSheetId="4" hidden="1">{"SourcesUses",#N/A,TRUE,"CFMODEL";"TransOverview",#N/A,TRUE,"CFMODEL"}</definedName>
    <definedName name="gilb.wrn.test2." localSheetId="5" hidden="1">{"SourcesUses",#N/A,TRUE,"CFMODEL";"TransOverview",#N/A,TRUE,"CFMODEL"}</definedName>
    <definedName name="gilb.wrn.test2." hidden="1">{"SourcesUses",#N/A,TRUE,"CFMODEL";"TransOverview",#N/A,TRUE,"CFMODEL"}</definedName>
    <definedName name="gilb.wrn.test3." localSheetId="3" hidden="1">{"SourcesUses",#N/A,TRUE,#N/A;"TransOverview",#N/A,TRUE,"CFMODEL"}</definedName>
    <definedName name="gilb.wrn.test3." localSheetId="4" hidden="1">{"SourcesUses",#N/A,TRUE,#N/A;"TransOverview",#N/A,TRUE,"CFMODEL"}</definedName>
    <definedName name="gilb.wrn.test3." localSheetId="5" hidden="1">{"SourcesUses",#N/A,TRUE,#N/A;"TransOverview",#N/A,TRUE,"CFMODEL"}</definedName>
    <definedName name="gilb.wrn.test3." hidden="1">{"SourcesUses",#N/A,TRUE,#N/A;"TransOverview",#N/A,TRUE,"CFMODEL"}</definedName>
    <definedName name="gilb.wrn.test4." localSheetId="3" hidden="1">{"SourcesUses",#N/A,TRUE,"FundsFlow";"TransOverview",#N/A,TRUE,"FundsFlow"}</definedName>
    <definedName name="gilb.wrn.test4." localSheetId="4" hidden="1">{"SourcesUses",#N/A,TRUE,"FundsFlow";"TransOverview",#N/A,TRUE,"FundsFlow"}</definedName>
    <definedName name="gilb.wrn.test4." localSheetId="5" hidden="1">{"SourcesUses",#N/A,TRUE,"FundsFlow";"TransOverview",#N/A,TRUE,"FundsFlow"}</definedName>
    <definedName name="gilb.wrn.test4." hidden="1">{"SourcesUses",#N/A,TRUE,"FundsFlow";"TransOverview",#N/A,TRUE,"FundsFlow"}</definedName>
    <definedName name="gilb_wrn.test1" localSheetId="3" hidden="1">{"Income Statement",#N/A,FALSE,"CFMODEL";"Balance Sheet",#N/A,FALSE,"CFMODEL"}</definedName>
    <definedName name="gilb_wrn.test1" localSheetId="4" hidden="1">{"Income Statement",#N/A,FALSE,"CFMODEL";"Balance Sheet",#N/A,FALSE,"CFMODEL"}</definedName>
    <definedName name="gilb_wrn.test1" localSheetId="5" hidden="1">{"Income Statement",#N/A,FALSE,"CFMODEL";"Balance Sheet",#N/A,FALSE,"CFMODEL"}</definedName>
    <definedName name="gilb_wrn.test1" hidden="1">{"Income Statement",#N/A,FALSE,"CFMODEL";"Balance Sheet",#N/A,FALSE,"CFMODEL"}</definedName>
    <definedName name="graph" localSheetId="3" hidden="1">#REF!</definedName>
    <definedName name="graph" localSheetId="4" hidden="1">#REF!</definedName>
    <definedName name="graph" localSheetId="5" hidden="1">#REF!</definedName>
    <definedName name="graph" localSheetId="8" hidden="1">#REF!</definedName>
    <definedName name="graph" localSheetId="7" hidden="1">#REF!</definedName>
    <definedName name="graph" localSheetId="6" hidden="1">#REF!</definedName>
    <definedName name="graph" hidden="1">#REF!</definedName>
    <definedName name="GRAPH1" localSheetId="3" hidden="1">#REF!</definedName>
    <definedName name="GRAPH1" localSheetId="4" hidden="1">#REF!</definedName>
    <definedName name="GRAPH1" localSheetId="5" hidden="1">#REF!</definedName>
    <definedName name="GRAPH1" hidden="1">#REF!</definedName>
    <definedName name="Header_Row">ROW(#REF!)</definedName>
    <definedName name="hfdkhgfdsklhldsfkj" localSheetId="3" hidden="1">#REF!</definedName>
    <definedName name="hfdkhgfdsklhldsfkj" localSheetId="4" hidden="1">#REF!</definedName>
    <definedName name="hfdkhgfdsklhldsfkj" localSheetId="5" hidden="1">#REF!</definedName>
    <definedName name="hfdkhgfdsklhldsfkj" hidden="1">#REF!</definedName>
    <definedName name="hhftt" localSheetId="3" hidden="1">{"WEO",#N/A,FALSE,"T"}</definedName>
    <definedName name="hhftt" localSheetId="4" hidden="1">{"WEO",#N/A,FALSE,"T"}</definedName>
    <definedName name="hhftt" localSheetId="5" hidden="1">{"WEO",#N/A,FALSE,"T"}</definedName>
    <definedName name="hhftt" hidden="1">{"WEO",#N/A,FALSE,"T"}</definedName>
    <definedName name="hine" localSheetId="3" hidden="1">#REF!</definedName>
    <definedName name="hine" localSheetId="4" hidden="1">#REF!</definedName>
    <definedName name="hine" localSheetId="5" hidden="1">#REF!</definedName>
    <definedName name="hine" localSheetId="8" hidden="1">#REF!</definedName>
    <definedName name="hine" localSheetId="7" hidden="1">#REF!</definedName>
    <definedName name="hine" localSheetId="6" hidden="1">#REF!</definedName>
    <definedName name="hine" hidden="1">#REF!</definedName>
    <definedName name="hine2" localSheetId="3" hidden="1">#REF!</definedName>
    <definedName name="hine2" localSheetId="4" hidden="1">#REF!</definedName>
    <definedName name="hine2" localSheetId="5" hidden="1">#REF!</definedName>
    <definedName name="hine2" localSheetId="8" hidden="1">#REF!</definedName>
    <definedName name="hine2" hidden="1">#REF!</definedName>
    <definedName name="hjgjfkdsgkdjsgkhdsgkgfkjdsgkurgfhbvyuryvhbjf" localSheetId="3" hidden="1">{"a",#N/A,FALSE,"Fact Sheet";"a",#N/A,FALSE,"DCFEVA";"a",#N/A,FALSE,"Statements";"a",#N/A,FALSE,"Quarterly";"a",#N/A,FALSE,"Q Grid";"a",#N/A,FALSE,"Stockval";"a",#N/A,FALSE,"DDM"}</definedName>
    <definedName name="hjgjfkdsgkdjsgkhdsgkgfkjdsgkurgfhbvyuryvhbjf" localSheetId="4" hidden="1">{"a",#N/A,FALSE,"Fact Sheet";"a",#N/A,FALSE,"DCFEVA";"a",#N/A,FALSE,"Statements";"a",#N/A,FALSE,"Quarterly";"a",#N/A,FALSE,"Q Grid";"a",#N/A,FALSE,"Stockval";"a",#N/A,FALSE,"DDM"}</definedName>
    <definedName name="hjgjfkdsgkdjsgkhdsgkgfkjdsgkurgfhbvyuryvhbjf" localSheetId="5" hidden="1">{"a",#N/A,FALSE,"Fact Sheet";"a",#N/A,FALSE,"DCFEVA";"a",#N/A,FALSE,"Statements";"a",#N/A,FALSE,"Quarterly";"a",#N/A,FALSE,"Q Grid";"a",#N/A,FALSE,"Stockval";"a",#N/A,FALSE,"DDM"}</definedName>
    <definedName name="hjgjfkdsgkdjsgkhdsgkgfkjdsgkurgfhbvyuryvhbjf" hidden="1">{"a",#N/A,FALSE,"Fact Sheet";"a",#N/A,FALSE,"DCFEVA";"a",#N/A,FALSE,"Statements";"a",#N/A,FALSE,"Quarterly";"a",#N/A,FALSE,"Q Grid";"a",#N/A,FALSE,"Stockval";"a",#N/A,FALSE,"DDM"}</definedName>
    <definedName name="hu" hidden="1">#REF!</definedName>
    <definedName name="i" localSheetId="3" hidden="1">{"Qtr Op Mgd Q3",#N/A,FALSE,"Qtr-Op (Mng)";"Qtr Op Rpt Q3",#N/A,FALSE,"Qtr-Op (Rpt)";"Operating Vs Reported",#N/A,FALSE,"Rpt-Op Inc"}</definedName>
    <definedName name="i" localSheetId="4" hidden="1">{"Qtr Op Mgd Q3",#N/A,FALSE,"Qtr-Op (Mng)";"Qtr Op Rpt Q3",#N/A,FALSE,"Qtr-Op (Rpt)";"Operating Vs Reported",#N/A,FALSE,"Rpt-Op Inc"}</definedName>
    <definedName name="i" localSheetId="5" hidden="1">{"Qtr Op Mgd Q3",#N/A,FALSE,"Qtr-Op (Mng)";"Qtr Op Rpt Q3",#N/A,FALSE,"Qtr-Op (Rpt)";"Operating Vs Reported",#N/A,FALSE,"Rpt-Op Inc"}</definedName>
    <definedName name="i" hidden="1">{"Qtr Op Mgd Q3",#N/A,FALSE,"Qtr-Op (Mng)";"Qtr Op Rpt Q3",#N/A,FALSE,"Qtr-Op (Rpt)";"Operating Vs Reported",#N/A,FALSE,"Rpt-Op Inc"}</definedName>
    <definedName name="ik" localSheetId="3" hidden="1">#REF!</definedName>
    <definedName name="ik" localSheetId="4" hidden="1">#REF!</definedName>
    <definedName name="ik" localSheetId="5" hidden="1">#REF!</definedName>
    <definedName name="ik" localSheetId="8" hidden="1">#REF!</definedName>
    <definedName name="ik" localSheetId="7" hidden="1">#REF!</definedName>
    <definedName name="ik" localSheetId="6" hidden="1">#REF!</definedName>
    <definedName name="ik" hidden="1">#REF!</definedName>
    <definedName name="IndexCons">#REF!</definedName>
    <definedName name="IndexCPI">#REF!</definedName>
    <definedName name="IndexEquipmt">#REF!</definedName>
    <definedName name="IndexRedevFixe">#REF!</definedName>
    <definedName name="IndexRedevFixe2">#REF!</definedName>
    <definedName name="IndexRedevVar">#REF!</definedName>
    <definedName name="IndexSalary">#REF!</definedName>
    <definedName name="IndexTarif">#REF!</definedName>
    <definedName name="Interest_Rate">#REF!</definedName>
    <definedName name="IQ_1_4_CONSTRUCTION_GROSS_LOANS_FFIEC" hidden="1">"c13402"</definedName>
    <definedName name="IQ_1_4_CONSTRUCTION_LL_REC_DOM_FFIEC" hidden="1">"c12899"</definedName>
    <definedName name="IQ_1_4_CONSTRUCTION_LOAN_COMMITMENTS_UNUSED_FFIEC" hidden="1">"c13244"</definedName>
    <definedName name="IQ_1_4_CONSTRUCTION_LOANS_DUE_30_89_FFIEC" hidden="1">"c13257"</definedName>
    <definedName name="IQ_1_4_CONSTRUCTION_LOANS_DUE_90_FFIEC" hidden="1">"c13285"</definedName>
    <definedName name="IQ_1_4_CONSTRUCTION_LOANS_NON_ACCRUAL_FFIEC" hidden="1">"c13311"</definedName>
    <definedName name="IQ_1_4_CONSTRUCTION_RISK_BASED_FFIEC" hidden="1">"c13423"</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BS_AVAIL_SALE_FFIEC" hidden="1">"c12802"</definedName>
    <definedName name="IQ_ABS_FFIEC" hidden="1">"c12788"</definedName>
    <definedName name="IQ_ABS_INVEST_SECURITIES_FFIEC" hidden="1">"c13461"</definedName>
    <definedName name="IQ_ACCOUNT_CHANGE" hidden="1">"c1449"</definedName>
    <definedName name="IQ_ACCOUNTING_FFIEC" hidden="1">"c13054"</definedName>
    <definedName name="IQ_ACCOUNTING_STANDARD" hidden="1">"c4539"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RUED_INTEREST_RECEIVABLE_FFIEC" hidden="1">"c12842"</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DVERTISING_MARKETING_EXPENSES_FFIEC" hidden="1">"c13048"</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PER_SHARE_BASIC" hidden="1">"c8869"</definedName>
    <definedName name="IQ_AFFO_PER_SHARE_DILUTED" hidden="1">"c8870"</definedName>
    <definedName name="IQ_AFS_INVEST_SECURITIES_FFIEC" hidden="1">"c13456"</definedName>
    <definedName name="IQ_AFS_SECURITIES_TIER_1_FFIEC" hidden="1">"c13343"</definedName>
    <definedName name="IQ_AFTER_TAX_INCOME_FDIC" hidden="1">"c6583"</definedName>
    <definedName name="IQ_AGENCY" hidden="1">"c8960"</definedName>
    <definedName name="IQ_AGENCY_INVEST_SECURITIES_FFIEC" hidden="1">"c13458"</definedName>
    <definedName name="IQ_AGRICULTURAL_GROSS_LOANS_FFIEC" hidden="1">"c13413"</definedName>
    <definedName name="IQ_AGRICULTURAL_LOANS_FOREIGN_FFIEC" hidden="1">"c13481"</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GRICULTURAL_RISK_BASED_FFIEC" hidden="1">"c13434"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_OTHER_LEASES_CHARGE_OFFS_FFIEC" hidden="1">"c13185"</definedName>
    <definedName name="IQ_ALL_OTHER_LEASES_RECOV_FFIEC" hidden="1">"c13207"</definedName>
    <definedName name="IQ_ALL_OTHER_LOANS_CHARGE_OFFS_FFIEC" hidden="1">"c13183"</definedName>
    <definedName name="IQ_ALL_OTHER_LOANS_RECOV_FFIEC" hidden="1">"c13205"</definedName>
    <definedName name="IQ_ALL_OTHER_TRADING_LIABILITIES_DOM_FFIEC" hidden="1">"c12942"</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_LL_LOSSES_FFIEC" hidden="1">"c12810"</definedName>
    <definedName name="IQ_ALLOWABLE_T2_CAPITAL_FFIEC" hidden="1">"c13150"</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CREDIT_LOSSES_OFF_BS_FFIEC" hidden="1">"c12871"</definedName>
    <definedName name="IQ_ALLOWANCE_LL_LOSSES_T2_FFIEC" hidden="1">"c13146"</definedName>
    <definedName name="IQ_ALLOWANCE_NON_PERF_LOANS" hidden="1">"c25"</definedName>
    <definedName name="IQ_ALLOWANCE_TOTAL_LOANS" hidden="1">"c26"</definedName>
    <definedName name="IQ_AMENDED_BALANCE_PREVIOUS_YR_FDIC" hidden="1">"c6499"</definedName>
    <definedName name="IQ_AMORT_EXP_IMPAIRMENT_OTHER_INTANGIBLE_ASSETS_FFIEC" hidden="1">"c13026"</definedName>
    <definedName name="IQ_AMORT_EXPENSE_FDIC" hidden="1">"c6677"</definedName>
    <definedName name="IQ_AMORTIZATION" hidden="1">"c1591"</definedName>
    <definedName name="IQ_AMORTIZED_COST_FDIC" hidden="1">"c6426"</definedName>
    <definedName name="IQ_AMOUNT_FINANCIAL_LOC_CONVEYED_FFIEC" hidden="1">"c13250"</definedName>
    <definedName name="IQ_AMOUNT_PERFORMANCE_LOC_CONVEYED_FFIEC" hidden="1">"c13252"</definedName>
    <definedName name="IQ_AMT_OUT" hidden="1">"c2145"</definedName>
    <definedName name="IQ_ANALYST_DET_EST" hidden="1">"c12043"</definedName>
    <definedName name="IQ_ANALYST_DET_EST_THOM" hidden="1">"c12071"</definedName>
    <definedName name="IQ_ANALYST_NON_PER_DET_EST" hidden="1">"c12755"</definedName>
    <definedName name="IQ_ANALYST_NON_PER_DET_EST_THOM" hidden="1">"c12759"</definedName>
    <definedName name="IQ_ANNU_DISTRIBUTION_UNIT" hidden="1">"c3004"</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NNUITY_SALES_FEES_COMMISSIONS_FFIEC" hidden="1">"c13007"</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HELD_FDIC" hidden="1">"c6305"</definedName>
    <definedName name="IQ_ASSETS_NAME_AP" hidden="1">"c8921"</definedName>
    <definedName name="IQ_ASSETS_NAME_AP_ABS" hidden="1">"c8940"</definedName>
    <definedName name="IQ_ASSETS_OPER_LEASE_DEPR" hidden="1">"c2070"</definedName>
    <definedName name="IQ_ASSETS_OPER_LEASE_GROSS" hidden="1">"c2071"</definedName>
    <definedName name="IQ_ASSETS_PER_EMPLOYEE_FDIC" hidden="1">"c6737"</definedName>
    <definedName name="IQ_ASSETS_REPRICE_ASSETS_TOT_FFIEC" hidden="1">"c13454"</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TM_FEES_FFIEC" hidden="1">"c13042"</definedName>
    <definedName name="IQ_ATM_INTERCHANGE_EXPENSES_FFIEC" hidden="1">"c13056"</definedName>
    <definedName name="IQ_AUDITOR_NAME" hidden="1">"c1539"</definedName>
    <definedName name="IQ_AUDITOR_OPINION" hidden="1">"c1540"</definedName>
    <definedName name="IQ_AUM" hidden="1">"c10043"</definedName>
    <definedName name="IQ_AUM_EQUITY_FUNDS" hidden="1">"c10039"</definedName>
    <definedName name="IQ_AUM_FIXED_INCOME_FUNDS" hidden="1">"c10040"</definedName>
    <definedName name="IQ_AUM_MONEY_MARKET_FUNDS" hidden="1">"c10041"</definedName>
    <definedName name="IQ_AUM_OTHER" hidden="1">"c10042"</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ABLE_FOR_SALE_FDIC" hidden="1">"c6409"</definedName>
    <definedName name="IQ_AVAILABLE_SALE_SEC_FFIEC" hidden="1">"c12791"</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BROKER_REC_NO_REUT" hidden="1">"c5315"</definedName>
    <definedName name="IQ_AVG_BROKER_REC_NO_THOM" hidden="1">"c5094"</definedName>
    <definedName name="IQ_AVG_BROKER_REC_REUT" hidden="1">"c3630"</definedName>
    <definedName name="IQ_AVG_BROKER_REC_THOM" hidden="1">"c3648"</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 hidden="1">"c4455"</definedName>
    <definedName name="IQ_AVG_INDUSTRY_REC_CIQ" hidden="1">"c4984"</definedName>
    <definedName name="IQ_AVG_INDUSTRY_REC_NO" hidden="1">"c4454"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ICE_TARGET" hidden="1">"c82"</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SHAREOUTSTANDING" hidden="1">"c83"</definedName>
    <definedName name="IQ_AVG_TEMP_EMPLOYEES" hidden="1">"c6020"</definedName>
    <definedName name="IQ_AVG_TEV" hidden="1">"c84"</definedName>
    <definedName name="IQ_AVG_TOTAL_ASSETS_LEVERAGE_CAPITAL_FFIEC" hidden="1">"c13159"</definedName>
    <definedName name="IQ_AVG_TOTAL_ASSETS_LEVERAGE_RATIO_FFIEC" hidden="1">"c13154"</definedName>
    <definedName name="IQ_AVG_VOLUME" hidden="1">"c1346"</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 hidden="1">"c8353"</definedName>
    <definedName name="IQ_BALANCE_GOODS_APR_FC_UNUSED_UNUSED_UNUSED" hidden="1">"c8353"</definedName>
    <definedName name="IQ_BALANCE_GOODS_APR_UNUSED" hidden="1">"c7473"</definedName>
    <definedName name="IQ_BALANCE_GOODS_APR_UNUSED_UNUSED_UNUSED" hidden="1">"c7473"</definedName>
    <definedName name="IQ_BALANCE_GOODS_FC_UNUSED" hidden="1">"c7693"</definedName>
    <definedName name="IQ_BALANCE_GOODS_FC_UNUSED_UNUSED_UNUSED" hidden="1">"c7693"</definedName>
    <definedName name="IQ_BALANCE_GOODS_POP_FC_UNUSED" hidden="1">"c7913"</definedName>
    <definedName name="IQ_BALANCE_GOODS_POP_FC_UNUSED_UNUSED_UNUSED" hidden="1">"c7913"</definedName>
    <definedName name="IQ_BALANCE_GOODS_POP_UNUSED" hidden="1">"c7033"</definedName>
    <definedName name="IQ_BALANCE_GOODS_POP_UNUSED_UNUSED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 hidden="1">"c6813"</definedName>
    <definedName name="IQ_BALANCE_GOODS_UNUSED_UNUSED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 hidden="1">"c8133"</definedName>
    <definedName name="IQ_BALANCE_GOODS_YOY_FC_UNUSED_UNUSED_UNUSED" hidden="1">"c8133"</definedName>
    <definedName name="IQ_BALANCE_GOODS_YOY_UNUSED" hidden="1">"c7253"</definedName>
    <definedName name="IQ_BALANCE_GOODS_YOY_UNUSED_UNUSED_UNUSED" hidden="1">"c7253"</definedName>
    <definedName name="IQ_BALANCE_SERV_APR_FC_UNUSED" hidden="1">"c8355"</definedName>
    <definedName name="IQ_BALANCE_SERV_APR_FC_UNUSED_UNUSED_UNUSED" hidden="1">"c8355"</definedName>
    <definedName name="IQ_BALANCE_SERV_APR_UNUSED" hidden="1">"c7475"</definedName>
    <definedName name="IQ_BALANCE_SERV_APR_UNUSED_UNUSED_UNUSED" hidden="1">"c7475"</definedName>
    <definedName name="IQ_BALANCE_SERV_FC_UNUSED" hidden="1">"c7695"</definedName>
    <definedName name="IQ_BALANCE_SERV_FC_UNUSED_UNUSED_UNUSED" hidden="1">"c7695"</definedName>
    <definedName name="IQ_BALANCE_SERV_POP_FC_UNUSED" hidden="1">"c7915"</definedName>
    <definedName name="IQ_BALANCE_SERV_POP_FC_UNUSED_UNUSED_UNUSED" hidden="1">"c7915"</definedName>
    <definedName name="IQ_BALANCE_SERV_POP_UNUSED" hidden="1">"c7035"</definedName>
    <definedName name="IQ_BALANCE_SERV_POP_UNUSED_UNUSED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 hidden="1">"c6815"</definedName>
    <definedName name="IQ_BALANCE_SERV_UNUSED_UNUSED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 hidden="1">"c8135"</definedName>
    <definedName name="IQ_BALANCE_SERV_YOY_FC_UNUSED_UNUSED_UNUSED" hidden="1">"c8135"</definedName>
    <definedName name="IQ_BALANCE_SERV_YOY_UNUSED" hidden="1">"c7255"</definedName>
    <definedName name="IQ_BALANCE_SERV_YOY_UNUSED_UNUSED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 hidden="1">"c8357"</definedName>
    <definedName name="IQ_BALANCE_TRADE_APR_FC_UNUSED_UNUSED_UNUSED" hidden="1">"c8357"</definedName>
    <definedName name="IQ_BALANCE_TRADE_APR_UNUSED" hidden="1">"c7477"</definedName>
    <definedName name="IQ_BALANCE_TRADE_APR_UNUSED_UNUSED_UNUSED" hidden="1">"c7477"</definedName>
    <definedName name="IQ_BALANCE_TRADE_FC_UNUSED" hidden="1">"c7697"</definedName>
    <definedName name="IQ_BALANCE_TRADE_FC_UNUSED_UNUSED_UNUSED" hidden="1">"c7697"</definedName>
    <definedName name="IQ_BALANCE_TRADE_POP_FC_UNUSED" hidden="1">"c7917"</definedName>
    <definedName name="IQ_BALANCE_TRADE_POP_FC_UNUSED_UNUSED_UNUSED" hidden="1">"c7917"</definedName>
    <definedName name="IQ_BALANCE_TRADE_POP_UNUSED" hidden="1">"c7037"</definedName>
    <definedName name="IQ_BALANCE_TRADE_POP_UNUSED_UNUSED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 hidden="1">"c6817"</definedName>
    <definedName name="IQ_BALANCE_TRADE_UNUSED_UNUSED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 hidden="1">"c8137"</definedName>
    <definedName name="IQ_BALANCE_TRADE_YOY_FC_UNUSED_UNUSED_UNUSED" hidden="1">"c8137"</definedName>
    <definedName name="IQ_BALANCE_TRADE_YOY_UNUSED" hidden="1">"c7257"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LOAN_LIST" hidden="1">"c13507"</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ING_FEES_OPERATING_INC_FFIEC" hidden="1">"c13386"</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OUTSTANDING_CURRENT_EST" hidden="1">"c4128"</definedName>
    <definedName name="IQ_BASIC_OUTSTANDING_CURRENT_HIGH_EST" hidden="1">"c4129"</definedName>
    <definedName name="IQ_BASIC_OUTSTANDING_CURRENT_LOW_EST" hidden="1">"c4130"</definedName>
    <definedName name="IQ_BASIC_OUTSTANDING_CURRENT_MEDIAN_EST" hidden="1">"c4131"</definedName>
    <definedName name="IQ_BASIC_OUTSTANDING_CURRENT_NUM_EST" hidden="1">"c4132"</definedName>
    <definedName name="IQ_BASIC_OUTSTANDING_CURRENT_STDDEV_EST" hidden="1">"c4133"</definedName>
    <definedName name="IQ_BASIC_OUTSTANDING_EST" hidden="1">"c4134"</definedName>
    <definedName name="IQ_BASIC_OUTSTANDING_HIGH_EST" hidden="1">"c4135"</definedName>
    <definedName name="IQ_BASIC_OUTSTANDING_LOW_EST" hidden="1">"c4136"</definedName>
    <definedName name="IQ_BASIC_OUTSTANDING_MEDIAN_EST" hidden="1">"c4137"</definedName>
    <definedName name="IQ_BASIC_OUTSTANDING_NUM_EST" hidden="1">"c4138"</definedName>
    <definedName name="IQ_BASIC_OUTSTANDING_STDDEV_EST" hidden="1">"c4139"</definedName>
    <definedName name="IQ_BASIC_WEIGHT" hidden="1">"c87"</definedName>
    <definedName name="IQ_BASIC_WEIGHT_EST" hidden="1">"c4140"</definedName>
    <definedName name="IQ_BASIC_WEIGHT_GUIDANCE" hidden="1">"c4141"</definedName>
    <definedName name="IQ_BASIC_WEIGHT_HIGH_EST" hidden="1">"c4142"</definedName>
    <definedName name="IQ_BASIC_WEIGHT_LOW_EST" hidden="1">"c4143"</definedName>
    <definedName name="IQ_BASIC_WEIGHT_MEDIAN_EST" hidden="1">"c4144"</definedName>
    <definedName name="IQ_BASIC_WEIGHT_NUM_EST" hidden="1">"c4145"</definedName>
    <definedName name="IQ_BASIC_WEIGHT_STDDEV_EST" hidden="1">"c4146"</definedName>
    <definedName name="IQ_BENCHMARK_SECURITY" hidden="1">"c2154"</definedName>
    <definedName name="IQ_BENCHMARK_SPRD" hidden="1">"c2153"</definedName>
    <definedName name="IQ_BENCHMARK_YIELD" hidden="1">"c8955"</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"c11749"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LIST" hidden="1">"c13505"</definedName>
    <definedName name="IQ_BOND_PRICE" hidden="1">"c2162"</definedName>
    <definedName name="IQ_BONDRATING_FITCH" hidden="1">"IQ_BONDRATING_FITCH"</definedName>
    <definedName name="IQ_BONDRATING_SP" hidden="1">"IQ_BONDRATING_SP"</definedName>
    <definedName name="IQ_BOOK_VALUE" hidden="1">"IQ_BOOK_VALUE"</definedName>
    <definedName name="IQ_BORROWED_MONEY_QUARTERLY_AVG_FFIEC" hidden="1">"c13091"</definedName>
    <definedName name="IQ_BORROWINGS_LESS_1YR_ASSETS_TOT_FFIEC" hidden="1">"c13450"</definedName>
    <definedName name="IQ_BROK_COMISSION" hidden="1">"c98"</definedName>
    <definedName name="IQ_BROK_COMMISSION" hidden="1">"c3514"</definedName>
    <definedName name="IQ_BROKERED_DEPOSITS_FDIC" hidden="1">"c6486"</definedName>
    <definedName name="IQ_BUDGET_BALANCE_APR_FC_UNUSED" hidden="1">"c8359"</definedName>
    <definedName name="IQ_BUDGET_BALANCE_APR_FC_UNUSED_UNUSED_UNUSED" hidden="1">"c8359"</definedName>
    <definedName name="IQ_BUDGET_BALANCE_APR_UNUSED" hidden="1">"c7479"</definedName>
    <definedName name="IQ_BUDGET_BALANCE_APR_UNUSED_UNUSED_UNUSED" hidden="1">"c7479"</definedName>
    <definedName name="IQ_BUDGET_BALANCE_FC_UNUSED" hidden="1">"c7699"</definedName>
    <definedName name="IQ_BUDGET_BALANCE_FC_UNUSED_UNUSED_UNUSED" hidden="1">"c7699"</definedName>
    <definedName name="IQ_BUDGET_BALANCE_POP_FC_UNUSED" hidden="1">"c7919"</definedName>
    <definedName name="IQ_BUDGET_BALANCE_POP_FC_UNUSED_UNUSED_UNUSED" hidden="1">"c7919"</definedName>
    <definedName name="IQ_BUDGET_BALANCE_POP_UNUSED" hidden="1">"c7039"</definedName>
    <definedName name="IQ_BUDGET_BALANCE_POP_UNUSED_UNUSED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 hidden="1">"c6819"</definedName>
    <definedName name="IQ_BUDGET_BALANCE_UNUSED_UNUSED_UNUSED" hidden="1">"c6819"</definedName>
    <definedName name="IQ_BUDGET_BALANCE_YOY_FC_UNUSED" hidden="1">"c8139"</definedName>
    <definedName name="IQ_BUDGET_BALANCE_YOY_FC_UNUSED_UNUSED_UNUSED" hidden="1">"c8139"</definedName>
    <definedName name="IQ_BUDGET_BALANCE_YOY_UNUSED" hidden="1">"c7259"</definedName>
    <definedName name="IQ_BUDGET_BALANCE_YOY_UNUSED_UNUSED_UNUSED" hidden="1">"c7259"</definedName>
    <definedName name="IQ_BUDGET_RECEIPTS_APR_FC_UNUSED" hidden="1">"c8361"</definedName>
    <definedName name="IQ_BUDGET_RECEIPTS_APR_FC_UNUSED_UNUSED_UNUSED" hidden="1">"c8361"</definedName>
    <definedName name="IQ_BUDGET_RECEIPTS_APR_UNUSED" hidden="1">"c7481"</definedName>
    <definedName name="IQ_BUDGET_RECEIPTS_APR_UNUSED_UNUSED_UNUSED" hidden="1">"c7481"</definedName>
    <definedName name="IQ_BUDGET_RECEIPTS_FC_UNUSED" hidden="1">"c7701"</definedName>
    <definedName name="IQ_BUDGET_RECEIPTS_FC_UNUSED_UNUSED_UNUSED" hidden="1">"c7701"</definedName>
    <definedName name="IQ_BUDGET_RECEIPTS_POP_FC_UNUSED" hidden="1">"c7921"</definedName>
    <definedName name="IQ_BUDGET_RECEIPTS_POP_FC_UNUSED_UNUSED_UNUSED" hidden="1">"c7921"</definedName>
    <definedName name="IQ_BUDGET_RECEIPTS_POP_UNUSED" hidden="1">"c7041"</definedName>
    <definedName name="IQ_BUDGET_RECEIPTS_POP_UNUSED_UNUSED_UNUSED" hidden="1">"c7041"</definedName>
    <definedName name="IQ_BUDGET_RECEIPTS_UNUSED" hidden="1">"c6821"</definedName>
    <definedName name="IQ_BUDGET_RECEIPTS_UNUSED_UNUSED_UNUSED" hidden="1">"c6821"</definedName>
    <definedName name="IQ_BUDGET_RECEIPTS_YOY_FC_UNUSED" hidden="1">"c8141"</definedName>
    <definedName name="IQ_BUDGET_RECEIPTS_YOY_FC_UNUSED_UNUSED_UNUSED" hidden="1">"c8141"</definedName>
    <definedName name="IQ_BUDGET_RECEIPTS_YOY_UNUSED" hidden="1">"c7261"</definedName>
    <definedName name="IQ_BUDGET_RECEIPTS_YOY_UNUSED_UNUSED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COMBINATIONS_FFIEC" hidden="1">"c12967"</definedName>
    <definedName name="IQ_BUSINESS_DESCRIPTION" hidden="1">"c322"</definedName>
    <definedName name="IQ_BV_ACT_OR_EST_CIQ" hidden="1">"c5068"</definedName>
    <definedName name="IQ_BV_EST" hidden="1">"c5624"</definedName>
    <definedName name="IQ_BV_HIGH_EST" hidden="1">"c5626"</definedName>
    <definedName name="IQ_BV_LOW_EST" hidden="1">"c5627"</definedName>
    <definedName name="IQ_BV_MEDIAN_EST" hidden="1">"c5625"</definedName>
    <definedName name="IQ_BV_NUM_EST" hidden="1">"c5628"</definedName>
    <definedName name="IQ_BV_OVER_SHARES" hidden="1">"c1349"</definedName>
    <definedName name="IQ_BV_SHARE" hidden="1">"c100"</definedName>
    <definedName name="IQ_BV_SHARE_ACT_OR_EST" hidden="1">"c3587"</definedName>
    <definedName name="IQ_BV_SHARE_ACT_OR_EST_THOM" hidden="1">"c5312"</definedName>
    <definedName name="IQ_BV_SHARE_DET_EST" hidden="1">"c12047"</definedName>
    <definedName name="IQ_BV_SHARE_DET_EST_CURRENCY" hidden="1">"c12456"</definedName>
    <definedName name="IQ_BV_SHARE_DET_EST_CURRENCY_THOM" hidden="1">"c12476"</definedName>
    <definedName name="IQ_BV_SHARE_DET_EST_DATE" hidden="1">"c12200"</definedName>
    <definedName name="IQ_BV_SHARE_DET_EST_DATE_THOM" hidden="1">"c12225"</definedName>
    <definedName name="IQ_BV_SHARE_DET_EST_INCL" hidden="1">"c12339"</definedName>
    <definedName name="IQ_BV_SHARE_DET_EST_INCL_THOM" hidden="1">"c12359"</definedName>
    <definedName name="IQ_BV_SHARE_DET_EST_ORIGIN" hidden="1">"c12573"</definedName>
    <definedName name="IQ_BV_SHARE_DET_EST_ORIGIN_THOM" hidden="1">"c12595"</definedName>
    <definedName name="IQ_BV_SHARE_DET_EST_THOM" hidden="1">"c12075"</definedName>
    <definedName name="IQ_BV_SHARE_EST" hidden="1">"c3541"</definedName>
    <definedName name="IQ_BV_SHARE_EST_THOM" hidden="1">"c4020"</definedName>
    <definedName name="IQ_BV_SHARE_HIGH_EST" hidden="1">"c3542"</definedName>
    <definedName name="IQ_BV_SHARE_HIGH_EST_THOM" hidden="1">"c4022"</definedName>
    <definedName name="IQ_BV_SHARE_LOW_EST" hidden="1">"c3543"</definedName>
    <definedName name="IQ_BV_SHARE_LOW_EST_THOM" hidden="1">"c4023"</definedName>
    <definedName name="IQ_BV_SHARE_MEDIAN_EST" hidden="1">"c3544"</definedName>
    <definedName name="IQ_BV_SHARE_MEDIAN_EST_THOM" hidden="1">"c4021"</definedName>
    <definedName name="IQ_BV_SHARE_NUM_EST" hidden="1">"c3539"</definedName>
    <definedName name="IQ_BV_SHARE_NUM_EST_THOM" hidden="1">"c4024"</definedName>
    <definedName name="IQ_BV_SHARE_STDDEV_EST" hidden="1">"c3540"</definedName>
    <definedName name="IQ_BV_SHARE_STDDEV_EST_THOM" hidden="1">"c4025"</definedName>
    <definedName name="IQ_BV_STDDEV_EST" hidden="1">"c5629"</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Q_EST_REUT" hidden="1">"c6800"</definedName>
    <definedName name="IQ_CAL_Q_EST_THOM" hidden="1">"c6804"</definedName>
    <definedName name="IQ_CAL_Y" hidden="1">"c102"</definedName>
    <definedName name="IQ_CAL_Y_EST" hidden="1">"c6797"</definedName>
    <definedName name="IQ_CAL_Y_EST_CIQ" hidden="1">"c6809"</definedName>
    <definedName name="IQ_CAL_Y_EST_REUT" hidden="1">"c6801"</definedName>
    <definedName name="IQ_CAL_Y_EST_THOM" hidden="1">"c6805"</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 hidden="1">"c3584"</definedName>
    <definedName name="IQ_CAPEX_ACT_OR_EST_THOM" hidden="1">"c5546"</definedName>
    <definedName name="IQ_CAPEX_BNK" hidden="1">"c110"</definedName>
    <definedName name="IQ_CAPEX_BR" hidden="1">"c111"</definedName>
    <definedName name="IQ_CAPEX_DET_EST" hidden="1">"c12048"</definedName>
    <definedName name="IQ_CAPEX_DET_EST_CURRENCY" hidden="1">"c12457"</definedName>
    <definedName name="IQ_CAPEX_DET_EST_CURRENCY_THOM" hidden="1">"c12477"</definedName>
    <definedName name="IQ_CAPEX_DET_EST_DATE" hidden="1">"c12201"</definedName>
    <definedName name="IQ_CAPEX_DET_EST_DATE_THOM" hidden="1">"c12226"</definedName>
    <definedName name="IQ_CAPEX_DET_EST_INCL" hidden="1">"c12340"</definedName>
    <definedName name="IQ_CAPEX_DET_EST_INCL_THOM" hidden="1">"c12360"</definedName>
    <definedName name="IQ_CAPEX_DET_EST_ORIGIN" hidden="1">"c12765"</definedName>
    <definedName name="IQ_CAPEX_DET_EST_ORIGIN_THOM" hidden="1">"c12596"</definedName>
    <definedName name="IQ_CAPEX_DET_EST_THOM" hidden="1">"c12076"</definedName>
    <definedName name="IQ_CAPEX_EST" hidden="1">"c3523"</definedName>
    <definedName name="IQ_CAPEX_EST_THOM" hidden="1">"c5502"</definedName>
    <definedName name="IQ_CAPEX_FIN" hidden="1">"c112"</definedName>
    <definedName name="IQ_CAPEX_GUIDANCE" hidden="1">"c4150"</definedName>
    <definedName name="IQ_CAPEX_HIGH_EST" hidden="1">"c3524"</definedName>
    <definedName name="IQ_CAPEX_HIGH_EST_THOM" hidden="1">"c5504"</definedName>
    <definedName name="IQ_CAPEX_HIGH_GUIDANCE" hidden="1">"c4180"</definedName>
    <definedName name="IQ_CAPEX_INS" hidden="1">"c113"</definedName>
    <definedName name="IQ_CAPEX_LOW_EST" hidden="1">"c3525"</definedName>
    <definedName name="IQ_CAPEX_LOW_EST_THOM" hidden="1">"c5505"</definedName>
    <definedName name="IQ_CAPEX_LOW_GUIDANCE" hidden="1">"c4220"</definedName>
    <definedName name="IQ_CAPEX_MEDIAN_EST" hidden="1">"c3526"</definedName>
    <definedName name="IQ_CAPEX_MEDIAN_EST_THOM" hidden="1">"c5503"</definedName>
    <definedName name="IQ_CAPEX_NUM_EST" hidden="1">"c3521"</definedName>
    <definedName name="IQ_CAPEX_NUM_EST_THOM" hidden="1">"c5506"</definedName>
    <definedName name="IQ_CAPEX_STDDEV_EST" hidden="1">"c3522"</definedName>
    <definedName name="IQ_CAPEX_STDDEV_EST_THOM" hidden="1">"c5507"</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BALANCES_DUE_FFIEC" hidden="1">"c12773"</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IVIDENDS_NET_INCOME_FDIC" hidden="1">"c6738"</definedName>
    <definedName name="IQ_CASH_DUE_BANKS" hidden="1">"c1351"</definedName>
    <definedName name="IQ_CASH_EPS_ACT_OR_EST" hidden="1">"c5638"</definedName>
    <definedName name="IQ_CASH_EPS_ACT_OR_EST_THOM" hidden="1">"c5646"</definedName>
    <definedName name="IQ_CASH_EPS_DET_EST_CURRENCY_THOM" hidden="1">"c12478"</definedName>
    <definedName name="IQ_CASH_EPS_DET_EST_DATE_THOM" hidden="1">"c12227"</definedName>
    <definedName name="IQ_CASH_EPS_DET_EST_INCL_THOM" hidden="1">"c12361"</definedName>
    <definedName name="IQ_CASH_EPS_DET_EST_ORIGIN_THOM" hidden="1">"c12597"</definedName>
    <definedName name="IQ_CASH_EPS_DET_EST_THOM" hidden="1">"c12077"</definedName>
    <definedName name="IQ_CASH_EPS_EST" hidden="1">"c5631"</definedName>
    <definedName name="IQ_CASH_EPS_EST_THOM" hidden="1">"c5639"</definedName>
    <definedName name="IQ_CASH_EPS_HIGH_EST" hidden="1">"c5633"</definedName>
    <definedName name="IQ_CASH_EPS_HIGH_EST_THOM" hidden="1">"c5641"</definedName>
    <definedName name="IQ_CASH_EPS_LOW_EST" hidden="1">"c5634"</definedName>
    <definedName name="IQ_CASH_EPS_LOW_EST_THOM" hidden="1">"c5642"</definedName>
    <definedName name="IQ_CASH_EPS_MEDIAN_EST" hidden="1">"c5632"</definedName>
    <definedName name="IQ_CASH_EPS_MEDIAN_EST_THOM" hidden="1">"c5640"</definedName>
    <definedName name="IQ_CASH_EPS_NUM_EST" hidden="1">"c5635"</definedName>
    <definedName name="IQ_CASH_EPS_NUM_EST_THOM" hidden="1">"c5643"</definedName>
    <definedName name="IQ_CASH_EPS_STDDEV_EST" hidden="1">"c5636"</definedName>
    <definedName name="IQ_CASH_EPS_STDDEV_EST_THOM" hidden="1">"c5644"</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 hidden="1">"c4154"</definedName>
    <definedName name="IQ_CASH_FLOW_ACT_OR_EST_CIQ" hidden="1">"c4566"</definedName>
    <definedName name="IQ_CASH_FLOW_EST" hidden="1">"c4153"</definedName>
    <definedName name="IQ_CASH_FLOW_GUIDANCE" hidden="1">"c4155"</definedName>
    <definedName name="IQ_CASH_FLOW_HIGH_EST" hidden="1">"c4156"</definedName>
    <definedName name="IQ_CASH_FLOW_HIGH_GUIDANCE" hidden="1">"c4201"</definedName>
    <definedName name="IQ_CASH_FLOW_LOW_EST" hidden="1">"c4157"</definedName>
    <definedName name="IQ_CASH_FLOW_LOW_GUIDANCE" hidden="1">"c4241"</definedName>
    <definedName name="IQ_CASH_FLOW_MEDIAN_EST" hidden="1">"c4158"</definedName>
    <definedName name="IQ_CASH_FLOW_NUM_EST" hidden="1">"c4159"</definedName>
    <definedName name="IQ_CASH_FLOW_STDDEV_EST" hidden="1">"c4160"</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NET" hidden="1">"c12753"</definedName>
    <definedName name="IQ_CASH_INTEREST_OPER" hidden="1">"c6293"</definedName>
    <definedName name="IQ_CASH_INTEREST_RECEIVED" hidden="1">"c12754"</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 hidden="1">"c4164"</definedName>
    <definedName name="IQ_CASH_OPER_ACT_OR_EST_CIQ" hidden="1">"c4576"</definedName>
    <definedName name="IQ_CASH_OPER_AP" hidden="1">"c8888"</definedName>
    <definedName name="IQ_CASH_OPER_AP_ABS" hidden="1">"c8907"</definedName>
    <definedName name="IQ_CASH_OPER_EST" hidden="1">"c4163"</definedName>
    <definedName name="IQ_CASH_OPER_GUIDANCE" hidden="1">"c4165"</definedName>
    <definedName name="IQ_CASH_OPER_HIGH_EST" hidden="1">"c4166"</definedName>
    <definedName name="IQ_CASH_OPER_HIGH_GUIDANCE" hidden="1">"c4185"</definedName>
    <definedName name="IQ_CASH_OPER_LOW_EST" hidden="1">"c4244"</definedName>
    <definedName name="IQ_CASH_OPER_LOW_GUIDANCE" hidden="1">"c4225"</definedName>
    <definedName name="IQ_CASH_OPER_MEDIAN_EST" hidden="1">"c4245"</definedName>
    <definedName name="IQ_CASH_OPER_NAME_AP" hidden="1">"c8926"</definedName>
    <definedName name="IQ_CASH_OPER_NAME_AP_ABS" hidden="1">"c8945"</definedName>
    <definedName name="IQ_CASH_OPER_NUM_EST" hidden="1">"c4246"</definedName>
    <definedName name="IQ_CASH_OPER_STDDEV_EST" hidden="1">"c4247"</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SEGREG" hidden="1">"c123"</definedName>
    <definedName name="IQ_CASH_SHARE" hidden="1">"c1911"</definedName>
    <definedName name="IQ_CASH_ST" hidden="1">"c1355"</definedName>
    <definedName name="IQ_CASH_ST_INVEST" hidden="1">"c124"</definedName>
    <definedName name="IQ_CASH_ST_INVEST_EST" hidden="1">"c4249"</definedName>
    <definedName name="IQ_CASH_ST_INVEST_GUIDANCE" hidden="1">"c4250"</definedName>
    <definedName name="IQ_CASH_ST_INVEST_HIGH_EST" hidden="1">"c4251"</definedName>
    <definedName name="IQ_CASH_ST_INVEST_HIGH_GUIDANCE" hidden="1">"c4195"</definedName>
    <definedName name="IQ_CASH_ST_INVEST_LOW_EST" hidden="1">"c4252"</definedName>
    <definedName name="IQ_CASH_ST_INVEST_LOW_GUIDANCE" hidden="1">"c4235"</definedName>
    <definedName name="IQ_CASH_ST_INVEST_MEDIAN_EST" hidden="1">"c4253"</definedName>
    <definedName name="IQ_CASH_ST_INVEST_NUM_EST" hidden="1">"c4254"</definedName>
    <definedName name="IQ_CASH_ST_INVEST_STDDEV_EST" hidden="1">"c4255"</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DS_5YR_CIQID" hidden="1">"c11751"</definedName>
    <definedName name="IQ_CDS_ASK" hidden="1">"c6027"</definedName>
    <definedName name="IQ_CDS_BID" hidden="1">"c6026"</definedName>
    <definedName name="IQ_CDS_CURRENCY" hidden="1">"c6031"</definedName>
    <definedName name="IQ_CDS_DERIVATIVES_BENEFICIARY_FFIEC" hidden="1">"c13119"</definedName>
    <definedName name="IQ_CDS_DERIVATIVES_GUARANTOR_FFIEC" hidden="1">"c13112"</definedName>
    <definedName name="IQ_CDS_EVAL_DATE" hidden="1">"c6029"</definedName>
    <definedName name="IQ_CDS_LIST" hidden="1">"c13510"</definedName>
    <definedName name="IQ_CDS_LOAN_LIST" hidden="1">"c13518"</definedName>
    <definedName name="IQ_CDS_MID" hidden="1">"c6028"</definedName>
    <definedName name="IQ_CDS_NAME" hidden="1">"c6034"</definedName>
    <definedName name="IQ_CDS_SENIOR_LIST" hidden="1">"c13508"</definedName>
    <definedName name="IQ_CDS_SUB_LIST" hidden="1">"c13509"</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PS_ACT_OR_EST" hidden="1">"c2217"</definedName>
    <definedName name="IQ_CFPS_ACT_OR_EST_THOM" hidden="1">"c5301"</definedName>
    <definedName name="IQ_CFPS_DET_EST" hidden="1">"c12049"</definedName>
    <definedName name="IQ_CFPS_DET_EST_CURRENCY" hidden="1">"c12458"</definedName>
    <definedName name="IQ_CFPS_DET_EST_CURRENCY_THOM" hidden="1">"c12479"</definedName>
    <definedName name="IQ_CFPS_DET_EST_DATE" hidden="1">"c12202"</definedName>
    <definedName name="IQ_CFPS_DET_EST_DATE_THOM" hidden="1">"c12228"</definedName>
    <definedName name="IQ_CFPS_DET_EST_INCL" hidden="1">"c12341"</definedName>
    <definedName name="IQ_CFPS_DET_EST_INCL_THOM" hidden="1">"c12362"</definedName>
    <definedName name="IQ_CFPS_DET_EST_ORIGIN" hidden="1">"c12575"</definedName>
    <definedName name="IQ_CFPS_DET_EST_ORIGIN_THOM" hidden="1">"c12598"</definedName>
    <definedName name="IQ_CFPS_DET_EST_THOM" hidden="1">"c12078"</definedName>
    <definedName name="IQ_CFPS_EST" hidden="1">"c1667"</definedName>
    <definedName name="IQ_CFPS_EST_THOM" hidden="1">"c4006"</definedName>
    <definedName name="IQ_CFPS_GUIDANCE" hidden="1">"c4256"</definedName>
    <definedName name="IQ_CFPS_HIGH_EST" hidden="1">"c1669"</definedName>
    <definedName name="IQ_CFPS_HIGH_EST_THOM" hidden="1">"c4008"</definedName>
    <definedName name="IQ_CFPS_HIGH_GUIDANCE" hidden="1">"c4167"</definedName>
    <definedName name="IQ_CFPS_LOW_EST" hidden="1">"c1670"</definedName>
    <definedName name="IQ_CFPS_LOW_EST_THOM" hidden="1">"c4009"</definedName>
    <definedName name="IQ_CFPS_LOW_GUIDANCE" hidden="1">"c4207"</definedName>
    <definedName name="IQ_CFPS_MEDIAN_EST" hidden="1">"c1668"</definedName>
    <definedName name="IQ_CFPS_MEDIAN_EST_THOM" hidden="1">"c4007"</definedName>
    <definedName name="IQ_CFPS_NUM_EST" hidden="1">"c1671"</definedName>
    <definedName name="IQ_CFPS_NUM_EST_THOM" hidden="1">"c4010"</definedName>
    <definedName name="IQ_CFPS_STDDEV_EST" hidden="1">"c1672"</definedName>
    <definedName name="IQ_CFPS_STDDEV_EST_THOM" hidden="1">"c4011"</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FAIR_VALUE_FINANCIAL_LIAB_T1_FFIEC" hidden="1">"c13138"</definedName>
    <definedName name="IQ_CHANGE_FAIR_VALUE_OPTIONS_FFIEC" hidden="1">"c13045"</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 hidden="1">"c8500"</definedName>
    <definedName name="IQ_CHANGE_INVENT_REAL_APR_FC_UNUSED_UNUSED_UNUSED" hidden="1">"c8500"</definedName>
    <definedName name="IQ_CHANGE_INVENT_REAL_APR_UNUSED" hidden="1">"c7620"</definedName>
    <definedName name="IQ_CHANGE_INVENT_REAL_APR_UNUSED_UNUSED_UNUSED" hidden="1">"c7620"</definedName>
    <definedName name="IQ_CHANGE_INVENT_REAL_FC_UNUSED" hidden="1">"c7840"</definedName>
    <definedName name="IQ_CHANGE_INVENT_REAL_FC_UNUSED_UNUSED_UNUSED" hidden="1">"c7840"</definedName>
    <definedName name="IQ_CHANGE_INVENT_REAL_POP_FC_UNUSED" hidden="1">"c8060"</definedName>
    <definedName name="IQ_CHANGE_INVENT_REAL_POP_FC_UNUSED_UNUSED_UNUSED" hidden="1">"c8060"</definedName>
    <definedName name="IQ_CHANGE_INVENT_REAL_POP_UNUSED" hidden="1">"c7180"</definedName>
    <definedName name="IQ_CHANGE_INVENT_REAL_POP_UNUSED_UNUSED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 hidden="1">"c6960"</definedName>
    <definedName name="IQ_CHANGE_INVENT_REAL_UNUSED_UNUSED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 hidden="1">"c8280"</definedName>
    <definedName name="IQ_CHANGE_INVENT_REAL_YOY_FC_UNUSED_UNUSED_UNUSED" hidden="1">"c8280"</definedName>
    <definedName name="IQ_CHANGE_INVENT_REAL_YOY_UNUSED" hidden="1">"c7400"</definedName>
    <definedName name="IQ_CHANGE_INVENT_REAL_YOY_UNUSED_UNUSED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IMS_ADJUSTMENT_EXP_PC_FFIEC" hidden="1">"c13100"</definedName>
    <definedName name="IQ_CLASS_MARKETCAP" hidden="1">"c13512"</definedName>
    <definedName name="IQ_CLASS_SHARESOUTSTANDING" hidden="1">"c13513"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D_END_1_4_FIRST_LIENS_TRADING_DOM_FFIEC" hidden="1">"c12928"</definedName>
    <definedName name="IQ_CLOSED_END_1_4_JR_LIENS_LL_REC_DOM_FFIEC" hidden="1">"c12904"</definedName>
    <definedName name="IQ_CLOSED_END_1_4_JUNIOR_LIENS_TRADING_DOM_FFIEC" hidden="1">"c12929"</definedName>
    <definedName name="IQ_CLOSED_END_SEC_1_4_1ST_LIENS_CHARGE_OFFS_FFIEC" hidden="1">"c13169"</definedName>
    <definedName name="IQ_CLOSED_END_SEC_1_4_1ST_LIENS_DUE_30_89_FFIEC" hidden="1">"c13261"</definedName>
    <definedName name="IQ_CLOSED_END_SEC_1_4_1ST_LIENS_DUE_90_FFIEC" hidden="1">"c13289"</definedName>
    <definedName name="IQ_CLOSED_END_SEC_1_4_1ST_LIENS_NON_ACCRUAL_FFIEC" hidden="1">"c13315"</definedName>
    <definedName name="IQ_CLOSED_END_SEC_1_4_1ST_LIENS_RECOV_FFIEC" hidden="1">"c13191"</definedName>
    <definedName name="IQ_CLOSED_END_SEC_1_4_JR_LIENS_CHARGE_OFFS_FFIEC" hidden="1">"c13170"</definedName>
    <definedName name="IQ_CLOSED_END_SEC_1_4_JR_LIENS_DUE_30_89_FFIEC" hidden="1">"c13262"</definedName>
    <definedName name="IQ_CLOSED_END_SEC_1_4_JR_LIENS_DUE_90_FFIEC" hidden="1">"c13290"</definedName>
    <definedName name="IQ_CLOSED_END_SEC_1_4_JR_LIENS_NON_ACCRUAL_FFIEC" hidden="1">"c13316"</definedName>
    <definedName name="IQ_CLOSED_END_SEC_1_4_JR_LIENS_RECOV_FFIEC" hidden="1">"c13192"</definedName>
    <definedName name="IQ_CLOSED_END_SECURED_1_4_FIRST_LIENS_LL_REC_DOM_FFIEC" hidden="1">"c12903"</definedName>
    <definedName name="IQ_CLOSED_LOANS_GROSS_LOANS_FFIEC" hidden="1">"c13399"</definedName>
    <definedName name="IQ_CLOSED_LOANS_RISK_BASED_FFIEC" hidden="1">"c13420"</definedName>
    <definedName name="IQ_CLOSEPRICE" hidden="1">"c174"</definedName>
    <definedName name="IQ_CLOSEPRICE_ADJ" hidden="1">"c2115"</definedName>
    <definedName name="IQ_CMBS_ISSUED_AVAIL_SALE_FFIEC" hidden="1">"c12800"</definedName>
    <definedName name="IQ_CMBS_ISSUED_FFIEC" hidden="1">"c12786"</definedName>
    <definedName name="IQ_CMO_FDIC" hidden="1">"c6406"</definedName>
    <definedName name="IQ_COGS" hidden="1">"c175"</definedName>
    <definedName name="IQ_COLLATERAL_TYPE" hidden="1">"c8954"</definedName>
    <definedName name="IQ_COLLECTION_DOMESTIC_FDIC" hidden="1">"c6387"</definedName>
    <definedName name="IQ_COM_TARGET_PRICE" hidden="1">"c13606"</definedName>
    <definedName name="IQ_COM_TARGET_PRICE_CIQ" hidden="1">"c13599"</definedName>
    <definedName name="IQ_COM_TARGET_PRICE_HIGH" hidden="1">"c13607"</definedName>
    <definedName name="IQ_COM_TARGET_PRICE_HIGH_CIQ" hidden="1">"c13600"</definedName>
    <definedName name="IQ_COM_TARGET_PRICE_LOW" hidden="1">"c13608"</definedName>
    <definedName name="IQ_COM_TARGET_PRICE_LOW_CIQ" hidden="1">"c13601"</definedName>
    <definedName name="IQ_COM_TARGET_PRICE_MEDIAN" hidden="1">"c13609"</definedName>
    <definedName name="IQ_COM_TARGET_PRICE_MEDIAN_CIQ" hidden="1">"c13602"</definedName>
    <definedName name="IQ_COM_TARGET_PRICE_NUM" hidden="1">"c13604"</definedName>
    <definedName name="IQ_COM_TARGET_PRICE_NUM_CIQ" hidden="1">"c13597"</definedName>
    <definedName name="IQ_COM_TARGET_PRICE_STDDEV" hidden="1">"c13605"</definedName>
    <definedName name="IQ_COM_TARGET_PRICE_STDDEV_CIQ" hidden="1">"c13598"</definedName>
    <definedName name="IQ_COMBINED_RATIO" hidden="1">"c176"</definedName>
    <definedName name="IQ_COMM_INDUSTRIAL_LOANS_FFIEC" hidden="1">"c12821"</definedName>
    <definedName name="IQ_COMM_INDUSTRIAL_NON_US_LL_REC_FFIEC" hidden="1">"c12888"</definedName>
    <definedName name="IQ_COMM_INDUSTRIAL_US_LL_REC_FFIEC" hidden="1">"c12887"</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GROSS_LOANS_FFIEC" hidden="1">"c13410"</definedName>
    <definedName name="IQ_COMMERCIAL_INDUSTRIAL_LOANS_DUE_30_89_FFIEC" hidden="1">"c13271"</definedName>
    <definedName name="IQ_COMMERCIAL_INDUSTRIAL_LOANS_DUE_90_FFIEC" hidden="1">"c13297"</definedName>
    <definedName name="IQ_COMMERCIAL_INDUSTRIAL_LOANS_LL_REC_DOM_FFIEC" hidden="1">"c12910"</definedName>
    <definedName name="IQ_COMMERCIAL_INDUSTRIAL_LOANS_NET_FDIC" hidden="1">"c6317"</definedName>
    <definedName name="IQ_COMMERCIAL_INDUSTRIAL_LOANS_NON_ACCRUAL_FFIEC" hidden="1">"c13323"</definedName>
    <definedName name="IQ_COMMERCIAL_INDUSTRIAL_NET_CHARGE_OFFS_FDIC" hidden="1">"c6636"</definedName>
    <definedName name="IQ_COMMERCIAL_INDUSTRIAL_NON_US_CHARGE_OFFS_FFIEC" hidden="1">"c13179"</definedName>
    <definedName name="IQ_COMMERCIAL_INDUSTRIAL_NON_US_RECOV_FFIEC" hidden="1">"c13201"</definedName>
    <definedName name="IQ_COMMERCIAL_INDUSTRIAL_RECOVERIES_FDIC" hidden="1">"c6617"</definedName>
    <definedName name="IQ_COMMERCIAL_INDUSTRIAL_RISK_BASED_FFIEC" hidden="1">"c13431"</definedName>
    <definedName name="IQ_COMMERCIAL_INDUSTRIAL_TOTAL_LOANS_FOREIGN_FDIC" hidden="1">"c6451"</definedName>
    <definedName name="IQ_COMMERCIAL_INDUSTRIAL_TRADING_DOM_FFIEC" hidden="1">"c12932"</definedName>
    <definedName name="IQ_COMMERCIAL_INDUSTRIAL_US_CHARGE_OFFS_FFIEC" hidden="1">"c13178"</definedName>
    <definedName name="IQ_COMMERCIAL_INDUSTRIAL_US_RECOV_FFIEC" hidden="1">"c13200"</definedName>
    <definedName name="IQ_COMMERCIAL_MORT" hidden="1">"c179"</definedName>
    <definedName name="IQ_COMMERCIAL_OTHER_LOC_FFIEC" hidden="1">"c13253"</definedName>
    <definedName name="IQ_COMMERCIAL_PAPER_ASSETS_TOT_FFIEC" hidden="1">"c13449"</definedName>
    <definedName name="IQ_COMMERCIAL_PAPER_FFIEC" hidden="1">"c12863"</definedName>
    <definedName name="IQ_COMMERCIAL_RE_CONSTRUCTION_LAND_DEV_FDIC" hidden="1">"c6526"</definedName>
    <definedName name="IQ_COMMERCIAL_RE_GROSS_LOANS_FFIEC" hidden="1">"c13400"</definedName>
    <definedName name="IQ_COMMERCIAL_RE_LOANS_FDIC" hidden="1">"c6312"</definedName>
    <definedName name="IQ_COMMERCIAL_RE_RISK_BASED_FFIEC" hidden="1">"c13421"</definedName>
    <definedName name="IQ_COMMISS_FEES" hidden="1">"c180"</definedName>
    <definedName name="IQ_COMMISSION_DEF" hidden="1">"c181"</definedName>
    <definedName name="IQ_COMMITMENTS_BUY_SEC_OTHER_OFF_BS_FFIEC" hidden="1">"c13128"</definedName>
    <definedName name="IQ_COMMITMENTS_COMMERCIAL_RE_UNUSED_FFIEC" hidden="1">"c13243"</definedName>
    <definedName name="IQ_COMMITMENTS_MATURITY_EXCEEDING_1YR_FDIC" hidden="1">"c6531"</definedName>
    <definedName name="IQ_COMMITMENTS_NOT_SECURED_RE_FDIC" hidden="1">"c6528"</definedName>
    <definedName name="IQ_COMMITMENTS_SECURED_RE_FDIC" hidden="1">"c6527"</definedName>
    <definedName name="IQ_COMMITMENTS_SELL_SEC_OTHER_OFF_BS_FFIEC" hidden="1">"c13129"</definedName>
    <definedName name="IQ_COMMODITY_EXPOSURE_FFIEC" hidden="1">"c13061"</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"c13596"</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MON_STOCK_FFIEC" hidden="1">"c12876"</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OLIDATED_ASSETS_QUARTERLY_AVG_FFIEC" hidden="1">"c13087"</definedName>
    <definedName name="IQ_CONST_LAND_DEVELOP_OTHER_DOM_CHARGE_OFFS_FFIEC" hidden="1">"c13628"</definedName>
    <definedName name="IQ_CONST_LAND_DEVELOP_OTHER_DOM_RECOV_FFIEC" hidden="1">"c13632"</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L_REC_DOM_FFIEC" hidden="1">"c12900"</definedName>
    <definedName name="IQ_CONSTRUCTION_LOANS" hidden="1">"c222"</definedName>
    <definedName name="IQ_CONSTRUCTION_LOANS_DOM_DUE_30_89_FFIEC" hidden="1">"c13256"</definedName>
    <definedName name="IQ_CONSTRUCTION_LOANS_DOM_DUE_90_FFIEC" hidden="1">"c13284"</definedName>
    <definedName name="IQ_CONSTRUCTION_LOANS_DOM_NON_ACCRUAL_FFIEC" hidden="1">"c13310"</definedName>
    <definedName name="IQ_CONSTRUCTION_LOANS_GROSS_LOANS_FFIEC" hidden="1">"c13401"</definedName>
    <definedName name="IQ_CONSTRUCTION_RISK_BASED_FFIEC" hidden="1">"c13422"</definedName>
    <definedName name="IQ_CONSULTING_FFIEC" hidden="1">"c13055"</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ASES_LL_REC_FFIEC" hidden="1">"c12895"</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LOANS_LL_REC_DOM_FFIEC" hidden="1">"c12911"</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RACTS_OTHER_COMMODITIES_EQUITIES._FDIC" hidden="1">"c6522"</definedName>
    <definedName name="IQ_CONTRACTS_OTHER_COMMODITIES_EQUITIES_FDIC" hidden="1">"c6522"</definedName>
    <definedName name="IQ_CONTRIB_ID_DET_EST" hidden="1">"c12045"</definedName>
    <definedName name="IQ_CONTRIB_ID_DET_EST_THOM" hidden="1">"c12073"</definedName>
    <definedName name="IQ_CONTRIB_NAME_DET_EST" hidden="1">"c12046"</definedName>
    <definedName name="IQ_CONTRIB_NAME_DET_EST_THOM" hidden="1">"c12074"</definedName>
    <definedName name="IQ_CONTRIB_NAME_NON_PER_DET_EST" hidden="1">"c12760"</definedName>
    <definedName name="IQ_CONTRIB_NAME_NON_PER_DET_EST_THOM" hidden="1">"c12764"</definedName>
    <definedName name="IQ_CONTRIB_REC_DET_EST" hidden="1">"c12051"</definedName>
    <definedName name="IQ_CONTRIB_REC_DET_EST_DATE" hidden="1">"c12204"</definedName>
    <definedName name="IQ_CONTRIB_REC_DET_EST_DATE_THOM" hidden="1">"c12230"</definedName>
    <definedName name="IQ_CONTRIB_REC_DET_EST_ORIGIN" hidden="1">"c12577"</definedName>
    <definedName name="IQ_CONTRIB_REC_DET_EST_ORIGIN_THOM" hidden="1">"c12600"</definedName>
    <definedName name="IQ_CONTRIB_REC_DET_EST_THOM" hidden="1">"c12080"</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SION_COMMON_FFIEC" hidden="1">"c12964"</definedName>
    <definedName name="IQ_CONVERSION_PREF_FFIEC" hidden="1">"c12962"</definedName>
    <definedName name="IQ_CONVERT" hidden="1">"c2536"</definedName>
    <definedName name="IQ_CONVERT_PCT" hidden="1">"c2537"</definedName>
    <definedName name="IQ_CONVEXITY" hidden="1">"c2182"</definedName>
    <definedName name="IQ_CONVEYED_TO_OTHERS_FDIC" hidden="1">"c6534"</definedName>
    <definedName name="IQ_CORE_CAPITAL_RATIO_FDIC" hidden="1">"c6745"</definedName>
    <definedName name="IQ_CORE_DEPOSITS_ASSETS_TOT_FFIEC" hidden="1">"c13442"</definedName>
    <definedName name="IQ_CORP_GOODS_PRICE_INDEX_APR_FC_UNUSED" hidden="1">"c8381"</definedName>
    <definedName name="IQ_CORP_GOODS_PRICE_INDEX_APR_FC_UNUSED_UNUSED_UNUSED" hidden="1">"c8381"</definedName>
    <definedName name="IQ_CORP_GOODS_PRICE_INDEX_APR_UNUSED" hidden="1">"c7501"</definedName>
    <definedName name="IQ_CORP_GOODS_PRICE_INDEX_APR_UNUSED_UNUSED_UNUSED" hidden="1">"c7501"</definedName>
    <definedName name="IQ_CORP_GOODS_PRICE_INDEX_FC_UNUSED" hidden="1">"c7721"</definedName>
    <definedName name="IQ_CORP_GOODS_PRICE_INDEX_FC_UNUSED_UNUSED_UNUSED" hidden="1">"c7721"</definedName>
    <definedName name="IQ_CORP_GOODS_PRICE_INDEX_POP_FC_UNUSED" hidden="1">"c7941"</definedName>
    <definedName name="IQ_CORP_GOODS_PRICE_INDEX_POP_FC_UNUSED_UNUSED_UNUSED" hidden="1">"c7941"</definedName>
    <definedName name="IQ_CORP_GOODS_PRICE_INDEX_POP_UNUSED" hidden="1">"c7061"</definedName>
    <definedName name="IQ_CORP_GOODS_PRICE_INDEX_POP_UNUSED_UNUSED_UNUSED" hidden="1">"c7061"</definedName>
    <definedName name="IQ_CORP_GOODS_PRICE_INDEX_UNUSED" hidden="1">"c6841"</definedName>
    <definedName name="IQ_CORP_GOODS_PRICE_INDEX_UNUSED_UNUSED_UNUSED" hidden="1">"c6841"</definedName>
    <definedName name="IQ_CORP_GOODS_PRICE_INDEX_YOY_FC_UNUSED" hidden="1">"c8161"</definedName>
    <definedName name="IQ_CORP_GOODS_PRICE_INDEX_YOY_FC_UNUSED_UNUSED_UNUSED" hidden="1">"c8161"</definedName>
    <definedName name="IQ_CORP_GOODS_PRICE_INDEX_YOY_UNUSED" hidden="1">"c7281"</definedName>
    <definedName name="IQ_CORP_GOODS_PRICE_INDEX_YOY_UNUSED_UNUSED_UNUSED" hidden="1">"c7281"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ST_BORROWED_FUNDS_FFIEC" hidden="1">"c13492"</definedName>
    <definedName name="IQ_COST_BORROWING" hidden="1">"c2936"</definedName>
    <definedName name="IQ_COST_BORROWINGS" hidden="1">"c225"</definedName>
    <definedName name="IQ_COST_CAPITAL_NEW_BUSINESS" hidden="1">"c9968"</definedName>
    <definedName name="IQ_COST_FOREIGN_DEPOSITS_FFIEC" hidden="1">"c13490"</definedName>
    <definedName name="IQ_COST_FUNDS_PURCHASED_FFIEC" hidden="1">"c13491"</definedName>
    <definedName name="IQ_COST_INT_DEPOSITS_FFIEC" hidden="1">"c13489"</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UPON_FORMULA" hidden="1">"c8965"</definedName>
    <definedName name="IQ_COVERED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GROSS_LOANS_FFIEC" hidden="1">"c13412"</definedName>
    <definedName name="IQ_CREDIT_CARD_INTERCHANGE_FEES_FFIEC" hidden="1">"c13046"</definedName>
    <definedName name="IQ_CREDIT_CARD_LINES_FDIC" hidden="1">"c6525"</definedName>
    <definedName name="IQ_CREDIT_CARD_LINES_UNUSED_FFIEC" hidden="1">"c13242"</definedName>
    <definedName name="IQ_CREDIT_CARD_LOANS_CHARGE_OFFS_FFIEC" hidden="1">"c13180"</definedName>
    <definedName name="IQ_CREDIT_CARD_LOANS_DUE_30_89_FFIEC" hidden="1">"c13272"</definedName>
    <definedName name="IQ_CREDIT_CARD_LOANS_DUE_90_FFIEC" hidden="1">"c13298"</definedName>
    <definedName name="IQ_CREDIT_CARD_LOANS_FDIC" hidden="1">"c6319"</definedName>
    <definedName name="IQ_CREDIT_CARD_LOANS_NON_ACCRUAL_FFIEC" hidden="1">"c13324"</definedName>
    <definedName name="IQ_CREDIT_CARD_LOANS_RECOV_FFIEC" hidden="1">"c13202"</definedName>
    <definedName name="IQ_CREDIT_CARD_NET_CHARGE_OFFS_FDIC" hidden="1">"c6654"</definedName>
    <definedName name="IQ_CREDIT_CARD_RECOVERIES_FDIC" hidden="1">"c6653"</definedName>
    <definedName name="IQ_CREDIT_CARD_RISK_BASED_FFIEC" hidden="1">"c13433"</definedName>
    <definedName name="IQ_CREDIT_CARDS_CONSUMER_LOANS_FFIEC" hidden="1">"c12822"</definedName>
    <definedName name="IQ_CREDIT_CARDS_LL_REC_FFIEC" hidden="1">"c12889"</definedName>
    <definedName name="IQ_CREDIT_CARDS_LOANS_TRADING_DOM_FFIEC" hidden="1">"c12933"</definedName>
    <definedName name="IQ_CREDIT_EXPOSURE" hidden="1">"c10038"</definedName>
    <definedName name="IQ_CREDIT_EXPOSURE_FFIEC" hidden="1">"c13062"</definedName>
    <definedName name="IQ_CREDIT_LOSS_CF" hidden="1">"c232"</definedName>
    <definedName name="IQ_CREDIT_LOSS_PROVISION_NET_CHARGE_OFFS_FDIC" hidden="1">"c6734"</definedName>
    <definedName name="IQ_CREDIT_LOSSES_DERIVATIVES_FFIEC" hidden="1">"c13068"</definedName>
    <definedName name="IQ_CREDIT_OPTIONS_DERIVATIVES_BENEFICIARY_FFIEC" hidden="1">"c13121"</definedName>
    <definedName name="IQ_CREDIT_OPTIONS_DERIVATIVES_GUARANTOR_FFIEC" hidden="1">"c13114"</definedName>
    <definedName name="IQ_CUMULATIVE_PREFERREDS_T2_FFIEC" hidden="1">"c13145"</definedName>
    <definedName name="IQ_CUMULATIVE_SPLIT_FACTOR" hidden="1">"c2094"</definedName>
    <definedName name="IQ_CURR_ACCT_BALANCE_APR_FC_UNUSED" hidden="1">"c8387"</definedName>
    <definedName name="IQ_CURR_ACCT_BALANCE_APR_FC_UNUSED_UNUSED_UNUSED" hidden="1">"c8387"</definedName>
    <definedName name="IQ_CURR_ACCT_BALANCE_APR_UNUSED" hidden="1">"c7507"</definedName>
    <definedName name="IQ_CURR_ACCT_BALANCE_APR_UNUSED_UNUSED_UNUSED" hidden="1">"c7507"</definedName>
    <definedName name="IQ_CURR_ACCT_BALANCE_FC_UNUSED" hidden="1">"c7727"</definedName>
    <definedName name="IQ_CURR_ACCT_BALANCE_FC_UNUSED_UNUSED_UNUSED" hidden="1">"c7727"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 hidden="1">"c7947"</definedName>
    <definedName name="IQ_CURR_ACCT_BALANCE_POP_FC_UNUSED_UNUSED_UNUSED" hidden="1">"c7947"</definedName>
    <definedName name="IQ_CURR_ACCT_BALANCE_POP_UNUSED" hidden="1">"c7067"</definedName>
    <definedName name="IQ_CURR_ACCT_BALANCE_POP_UNUSED_UNUSED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 hidden="1">"c6847"</definedName>
    <definedName name="IQ_CURR_ACCT_BALANCE_UNUSED_UNUSED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 hidden="1">"c8167"</definedName>
    <definedName name="IQ_CURR_ACCT_BALANCE_YOY_FC_UNUSED_UNUSED_UNUSED" hidden="1">"c8167"</definedName>
    <definedName name="IQ_CURR_ACCT_BALANCE_YOY_UNUSED" hidden="1">"c7287"</definedName>
    <definedName name="IQ_CURR_ACCT_BALANCE_YOY_UNUSED_UNUSED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 hidden="1">"c2245"</definedName>
    <definedName name="IQ_CUSTOMER_LIAB_ACCEPTANCES_OUT_FFIEC" hidden="1">"c12835"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TA_PROCESSING_EXP_FFIEC" hidden="1">"c13047"</definedName>
    <definedName name="IQ_DATED_DATE" hidden="1">"c2185"</definedName>
    <definedName name="IQ_DAY_COUNT" hidden="1">"c2161"</definedName>
    <definedName name="IQ_DAYS_COVER_SHORT" hidden="1">"c1578"</definedName>
    <definedName name="IQ_DAYS_DELAY" hidden="1">"c8963"</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1_5_INVEST_SECURITIES_FFIEC" hidden="1">"c13465"</definedName>
    <definedName name="IQ_DEBT_ADJ" hidden="1">"c2515"</definedName>
    <definedName name="IQ_DEBT_ADJ_PCT" hidden="1">"c2516"</definedName>
    <definedName name="IQ_DEBT_EQUITY_EST" hidden="1">"c4257"</definedName>
    <definedName name="IQ_DEBT_EQUITY_HIGH_EST" hidden="1">"c4258"</definedName>
    <definedName name="IQ_DEBT_EQUITY_LOW_EST" hidden="1">"c4259"</definedName>
    <definedName name="IQ_DEBT_EQUITY_MEDIAN_EST" hidden="1">"c4260"</definedName>
    <definedName name="IQ_DEBT_EQUITY_NUM_EST" hidden="1">"c4261"</definedName>
    <definedName name="IQ_DEBT_EQUITY_STDDEV_EST" hidden="1">"c4262"</definedName>
    <definedName name="IQ_DEBT_EQUIV_NET_PBO" hidden="1">"c2938"</definedName>
    <definedName name="IQ_DEBT_EQUIV_OPER_LEASE" hidden="1">"c2935"</definedName>
    <definedName name="IQ_DEBT_LESS_1YR_INVEST_SECURITIES_FFIEC" hidden="1">"c13464"</definedName>
    <definedName name="IQ_DEBT_MATURING_MORE_THAN_ONE_YEAR_FFIEC" hidden="1">"c13164"</definedName>
    <definedName name="IQ_DEBT_MATURING_WITHIN_ONE_YEAR_FFIEC" hidden="1">"c13163"</definedName>
    <definedName name="IQ_DEBT_SEC_OVER_5YR_INVEST_SECURITIES_FFIEC" hidden="1">"c13466"</definedName>
    <definedName name="IQ_DEBT_SECURITIES_FOREIGN_FFIEC" hidden="1">"c13484"</definedName>
    <definedName name="IQ_DEBT_SECURITIES_OTHER_ASSETS_DUE_30_89_FFIEC" hidden="1">"c13279"</definedName>
    <definedName name="IQ_DEBT_SECURITIES_OTHER_ASSETS_DUE_90_FFIEC" hidden="1">"c13305"</definedName>
    <definedName name="IQ_DEBT_SECURITIES_OTHER_ASSETS_NON_ACCRUAL_FFIEC" hidden="1">"c13331"</definedName>
    <definedName name="IQ_DECREASE_INT_EXPENSE_FFIEC" hidden="1">"c13064"</definedName>
    <definedName name="IQ_DEDUCTIONS_TOTAL_RISK_BASED_CAPITAL_FFIEC" hidden="1">"c13152"</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_ASSETS_FFIEC" hidden="1">"c12843"</definedName>
    <definedName name="IQ_DEFERRED_TAX_ASSETS_T1_FFIEC" hidden="1">"c13141"</definedName>
    <definedName name="IQ_DEFERRED_TAX_LIAB_FFIEC" hidden="1">"c12870"</definedName>
    <definedName name="IQ_DEFERRED_TAXES" hidden="1">"c1356"</definedName>
    <definedName name="IQ_DEMAND_DEP" hidden="1">"c320"</definedName>
    <definedName name="IQ_DEMAND_DEPOSITS_COMMERCIAL_BANK_SUBS_FFIEC" hidden="1">"c12945"</definedName>
    <definedName name="IQ_DEMAND_DEPOSITS_FDIC" hidden="1">"c6489"</definedName>
    <definedName name="IQ_DEPOSIT_ACCOUNTS_LESS_THAN_100K_FDIC" hidden="1">"c6494"</definedName>
    <definedName name="IQ_DEPOSIT_ACCOUNTS_MORE_THAN_100K_FDIC" hidden="1">"c6492"</definedName>
    <definedName name="IQ_DEPOSITORY_INST_ACCEPTANCES_LL_REC_DOM_FFIEC" hidden="1">"c12908"</definedName>
    <definedName name="IQ_DEPOSITORY_INST_GROSS_LOANS_FFIEC" hidden="1">"c13409"</definedName>
    <definedName name="IQ_DEPOSITORY_INST_RISK_BASED_FFIEC" hidden="1">"c13430"</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100K_MORE_ASSETS_TOT_FFIEC" hidden="1">"c13444"</definedName>
    <definedName name="IQ_DEPOSITS_DOM_FFIEC" hidden="1">"c12850"</definedName>
    <definedName name="IQ_DEPOSITS_FAIR_VALUE_TOT_FFIEC" hidden="1">"c13213"</definedName>
    <definedName name="IQ_DEPOSITS_FIN" hidden="1">"c321"</definedName>
    <definedName name="IQ_DEPOSITS_FOREIGN_FFIEC" hidden="1">"c12853"</definedName>
    <definedName name="IQ_DEPOSITS_HELD_DOMESTIC_FDIC" hidden="1">"c6340"</definedName>
    <definedName name="IQ_DEPOSITS_HELD_FOREIGN_FDIC" hidden="1">"c6341"</definedName>
    <definedName name="IQ_DEPOSITS_INTEREST_SECURITIES" hidden="1">"c5509"</definedName>
    <definedName name="IQ_DEPOSITS_LESS_100K_COMMERCIAL_BANK_SUBS_FFIEC" hidden="1">"c12948"</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LEVEL_1_FFIEC" hidden="1">"c13221"</definedName>
    <definedName name="IQ_DEPOSITS_LEVEL_2_FFIEC" hidden="1">"c13229"</definedName>
    <definedName name="IQ_DEPOSITS_LEVEL_3_FFIEC" hidden="1">"c13237"</definedName>
    <definedName name="IQ_DEPOSITS_MORE_100K_COMMERCIAL_BANK_SUBS_FFIEC" hidden="1">"c12949"</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RIVATIVES_NEGATIVE_FAIR_VALUE_DOM_FFIEC" hidden="1">"c12943"</definedName>
    <definedName name="IQ_DERIVATIVES_NEGATIVE_VALUE_FFIEC" hidden="1">"c12861"</definedName>
    <definedName name="IQ_DERIVATIVES_POS_FAIR_VALUE_FFIEC" hidden="1">"c12827"</definedName>
    <definedName name="IQ_DERIVATIVES_POSITIVE_FAIR_VALUE_TRADING_DOM_FFIEC" hidden="1">"c12938"</definedName>
    <definedName name="IQ_DESCRIPTION_LONG" hidden="1">"c1520"</definedName>
    <definedName name="IQ_DEVELOP_LAND" hidden="1">"c323"</definedName>
    <definedName name="IQ_DIFF_LASTCLOSE_TARGET_PRICE" hidden="1">"c1854"</definedName>
    <definedName name="IQ_DIFF_LASTCLOSE_TARGET_PRICE_CIQ" hidden="1">"c4767"</definedName>
    <definedName name="IQ_DIFF_LASTCLOSE_TARGET_PRICE_THOM" hidden="1">"c5278"</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OUTSTANDING_CURRENT_EST" hidden="1">"c4263"</definedName>
    <definedName name="IQ_DILUT_OUTSTANDING_CURRENT_HIGH_EST" hidden="1">"c4264"</definedName>
    <definedName name="IQ_DILUT_OUTSTANDING_CURRENT_LOW_EST" hidden="1">"c4265"</definedName>
    <definedName name="IQ_DILUT_OUTSTANDING_CURRENT_MEDIAN_EST" hidden="1">"c4266"</definedName>
    <definedName name="IQ_DILUT_OUTSTANDING_CURRENT_NUM_EST" hidden="1">"c4267"</definedName>
    <definedName name="IQ_DILUT_OUTSTANDING_CURRENT_STDDEV_EST" hidden="1">"c4268"</definedName>
    <definedName name="IQ_DILUT_WEIGHT" hidden="1">"c326"</definedName>
    <definedName name="IQ_DILUT_WEIGHT_EST" hidden="1">"c4269"</definedName>
    <definedName name="IQ_DILUT_WEIGHT_GUIDANCE" hidden="1">"c4270"</definedName>
    <definedName name="IQ_DILUT_WEIGHT_HIGH_EST" hidden="1">"c4271"</definedName>
    <definedName name="IQ_DILUT_WEIGHT_LOW_EST" hidden="1">"c4272"</definedName>
    <definedName name="IQ_DILUT_WEIGHT_MEDIAN_EST" hidden="1">"c4273"</definedName>
    <definedName name="IQ_DILUT_WEIGHT_NUM_EST" hidden="1">"c4274"</definedName>
    <definedName name="IQ_DILUT_WEIGHT_STDDEV_EST" hidden="1">"c4275"</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RECTORS_FEES_FFIEC" hidden="1">"c13049"</definedName>
    <definedName name="IQ_DISALLOWED_DEFERRED_TAX_ASSETS_FFIEC" hidden="1">"c13157"</definedName>
    <definedName name="IQ_DISALLOWED_GOODWILL_INTANGIBLE_ASSETS_FFIEC" hidden="1">"c13155"</definedName>
    <definedName name="IQ_DISALLOWED_GOODWILL_INTANGIBLES_T1_FFIEC" hidden="1">"c13137"</definedName>
    <definedName name="IQ_DISALLOWED_SERVICING_ASSETS_FFIEC" hidden="1">"c13156"</definedName>
    <definedName name="IQ_DISALLOWED_SERVICING_ASSETS_T1_FFIEC" hidden="1">"c13140"</definedName>
    <definedName name="IQ_DISCONT_OPER" hidden="1">"c1367"</definedName>
    <definedName name="IQ_DISCOUNT_RATE_PENSION_DOMESTIC" hidden="1">"c327"</definedName>
    <definedName name="IQ_DISCOUNT_RATE_PENSION_FOREIGN" hidden="1">"c328"</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 hidden="1">"c4278"</definedName>
    <definedName name="IQ_DISTRIBUTABLE_CASH_ACT_OR_EST_CIQ" hidden="1">"c4803"</definedName>
    <definedName name="IQ_DISTRIBUTABLE_CASH_EST" hidden="1">"c4277"</definedName>
    <definedName name="IQ_DISTRIBUTABLE_CASH_GUIDANCE" hidden="1">"c4279"</definedName>
    <definedName name="IQ_DISTRIBUTABLE_CASH_HIGH_EST" hidden="1">"c4280"</definedName>
    <definedName name="IQ_DISTRIBUTABLE_CASH_HIGH_GUIDANCE" hidden="1">"c4198"</definedName>
    <definedName name="IQ_DISTRIBUTABLE_CASH_LOW_EST" hidden="1">"c4281"</definedName>
    <definedName name="IQ_DISTRIBUTABLE_CASH_LOW_GUIDANCE" hidden="1">"c4238"</definedName>
    <definedName name="IQ_DISTRIBUTABLE_CASH_MEDIAN_EST" hidden="1">"c4282"</definedName>
    <definedName name="IQ_DISTRIBUTABLE_CASH_NUM_EST" hidden="1">"c4283"</definedName>
    <definedName name="IQ_DISTRIBUTABLE_CASH_PAYOUT" hidden="1">"c3005"</definedName>
    <definedName name="IQ_DISTRIBUTABLE_CASH_SHARE" hidden="1">"c3003"</definedName>
    <definedName name="IQ_DISTRIBUTABLE_CASH_SHARE_ACT_OR_EST" hidden="1">"c4286"</definedName>
    <definedName name="IQ_DISTRIBUTABLE_CASH_SHARE_ACT_OR_EST_CIQ" hidden="1">"c4811"</definedName>
    <definedName name="IQ_DISTRIBUTABLE_CASH_SHARE_EST" hidden="1">"c4285"</definedName>
    <definedName name="IQ_DISTRIBUTABLE_CASH_SHARE_GUIDANCE" hidden="1">"c4287"</definedName>
    <definedName name="IQ_DISTRIBUTABLE_CASH_SHARE_HIGH_EST" hidden="1">"c4288"</definedName>
    <definedName name="IQ_DISTRIBUTABLE_CASH_SHARE_HIGH_GUIDANCE" hidden="1">"c4199"</definedName>
    <definedName name="IQ_DISTRIBUTABLE_CASH_SHARE_LOW_EST" hidden="1">"c4289"</definedName>
    <definedName name="IQ_DISTRIBUTABLE_CASH_SHARE_LOW_GUIDANCE" hidden="1">"c4239"</definedName>
    <definedName name="IQ_DISTRIBUTABLE_CASH_SHARE_MEDIAN_EST" hidden="1">"c4290"</definedName>
    <definedName name="IQ_DISTRIBUTABLE_CASH_SHARE_NUM_EST" hidden="1">"c4291"</definedName>
    <definedName name="IQ_DISTRIBUTABLE_CASH_SHARE_STDDEV_EST" hidden="1">"c4292"</definedName>
    <definedName name="IQ_DISTRIBUTABLE_CASH_STDDEV_EST" hidden="1">"c4294"</definedName>
    <definedName name="IQ_DIV_AMOUNT" hidden="1">"c3041"</definedName>
    <definedName name="IQ_DIV_PAYMENT_DATE" hidden="1">"c2205"</definedName>
    <definedName name="IQ_DIV_PAYMENT_TYPE" hidden="1">"c12752"</definedName>
    <definedName name="IQ_DIV_RECORD_DATE" hidden="1">"c2204"</definedName>
    <definedName name="IQ_DIV_SHARE" hidden="1">"c330"</definedName>
    <definedName name="IQ_DIVEST_CF" hidden="1">"c331"</definedName>
    <definedName name="IQ_DIVID_SHARE" hidden="1">"c1366"</definedName>
    <definedName name="IQ_DIVIDEND_EST" hidden="1">"c4296"</definedName>
    <definedName name="IQ_DIVIDEND_HIGH_EST" hidden="1">"c4297"</definedName>
    <definedName name="IQ_DIVIDEND_LOW_EST" hidden="1">"c4298"</definedName>
    <definedName name="IQ_DIVIDEND_MEDIAN_EST" hidden="1">"c4299"</definedName>
    <definedName name="IQ_DIVIDEND_NUM_EST" hidden="1">"c4300"</definedName>
    <definedName name="IQ_DIVIDEND_STDDEV_EST" hidden="1">"c4301"</definedName>
    <definedName name="IQ_DIVIDEND_YIELD" hidden="1">"c332"</definedName>
    <definedName name="IQ_DIVIDENDS_DECLARED_COMMON_FDIC" hidden="1">"c6659"</definedName>
    <definedName name="IQ_DIVIDENDS_DECLARED_COMMON_FFIEC" hidden="1">"c12969"</definedName>
    <definedName name="IQ_DIVIDENDS_DECLARED_PREFERRED_FDIC" hidden="1">"c6658"</definedName>
    <definedName name="IQ_DIVIDENDS_DECLARED_PREFERRED_FFIEC" hidden="1">"c12968"</definedName>
    <definedName name="IQ_DIVIDENDS_FDIC" hidden="1">"c6660"</definedName>
    <definedName name="IQ_DIVIDENDS_NET_INCOME_FFIEC" hidden="1">"c13349"</definedName>
    <definedName name="IQ_DIVIDENDS_PAID_DECLARED_PERIOD_COVERED" hidden="1">"c9960"</definedName>
    <definedName name="IQ_DIVIDENDS_PAID_DECLARED_PERIOD_GROUP" hidden="1">"c9946"</definedName>
    <definedName name="IQ_DNB_OTHER_EXP_INC_TAX_US" hidden="1">"c6787"</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ACT_OR_EST_THOM" hidden="1">"c5302"</definedName>
    <definedName name="IQ_DPS_DET_EST" hidden="1">"c12052"</definedName>
    <definedName name="IQ_DPS_DET_EST_CURRENCY" hidden="1">"c12459"</definedName>
    <definedName name="IQ_DPS_DET_EST_CURRENCY_THOM" hidden="1">"c12480"</definedName>
    <definedName name="IQ_DPS_DET_EST_DATE" hidden="1">"c12205"</definedName>
    <definedName name="IQ_DPS_DET_EST_DATE_THOM" hidden="1">"c12231"</definedName>
    <definedName name="IQ_DPS_DET_EST_INCL" hidden="1">"c12342"</definedName>
    <definedName name="IQ_DPS_DET_EST_INCL_THOM" hidden="1">"c12363"</definedName>
    <definedName name="IQ_DPS_DET_EST_ORIGIN" hidden="1">"c12578"</definedName>
    <definedName name="IQ_DPS_DET_EST_ORIGIN_THOM" hidden="1">"c12601"</definedName>
    <definedName name="IQ_DPS_DET_EST_THOM" hidden="1">"c12081"</definedName>
    <definedName name="IQ_DPS_EST" hidden="1">"c1674"</definedName>
    <definedName name="IQ_DPS_EST_BOTTOM_UP" hidden="1">"c5493"</definedName>
    <definedName name="IQ_DPS_EST_THOM" hidden="1">"c4013"</definedName>
    <definedName name="IQ_DPS_GUIDANCE" hidden="1">"c4302"</definedName>
    <definedName name="IQ_DPS_HIGH_EST" hidden="1">"c1676"</definedName>
    <definedName name="IQ_DPS_HIGH_EST_THOM" hidden="1">"c4015"</definedName>
    <definedName name="IQ_DPS_HIGH_GUIDANCE" hidden="1">"c4168"</definedName>
    <definedName name="IQ_DPS_LOW_EST" hidden="1">"c1677"</definedName>
    <definedName name="IQ_DPS_LOW_EST_THOM" hidden="1">"c4016"</definedName>
    <definedName name="IQ_DPS_LOW_GUIDANCE" hidden="1">"c4208"</definedName>
    <definedName name="IQ_DPS_MEDIAN_EST" hidden="1">"c1675"</definedName>
    <definedName name="IQ_DPS_MEDIAN_EST_THOM" hidden="1">"c4014"</definedName>
    <definedName name="IQ_DPS_NUM_EST" hidden="1">"c1678"</definedName>
    <definedName name="IQ_DPS_NUM_EST_THOM" hidden="1">"c4017"</definedName>
    <definedName name="IQ_DPS_STDDEV_EST" hidden="1">"c1679"</definedName>
    <definedName name="IQ_DPS_STDDEV_EST_THOM" hidden="1">"c4018"</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YIELD" hidden="1">"c343"</definedName>
    <definedName name="IQ_EARNING_ASSETS_AVG_ASSETS_FFIEC" hidden="1">"c13354"</definedName>
    <definedName name="IQ_EARNING_ASSETS_FDIC" hidden="1">"c6360"</definedName>
    <definedName name="IQ_EARNING_ASSETS_QUARTERLY_AVG_FFIEC" hidden="1">"c13086"</definedName>
    <definedName name="IQ_EARNING_ASSETS_REPRICE_ASSETS_TOT_FFIEC" hidden="1">"c13451"</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ANNOUNCE_DATE_REUT" hidden="1">"c5314"</definedName>
    <definedName name="IQ_EARNINGS_ANNOUNCE_DATE_THOM" hidden="1">"c5093"</definedName>
    <definedName name="IQ_EARNINGS_CO_FFIEC" hidden="1">"c13032"</definedName>
    <definedName name="IQ_EARNINGS_COVERAGE_LOSSES_FFIEC" hidden="1">"c13351"</definedName>
    <definedName name="IQ_EARNINGS_COVERAGE_NET_CHARGE_OFFS_FDIC" hidden="1">"c6735"</definedName>
    <definedName name="IQ_EARNINGS_LIFE_INSURANCE_FFIEC" hidden="1">"c13041"</definedName>
    <definedName name="IQ_EARNINGS_PERIOD_COVERED" hidden="1">"c9958"</definedName>
    <definedName name="IQ_EARNINGS_PERIOD_GROUP" hidden="1">"c9944"</definedName>
    <definedName name="IQ_EBIT" hidden="1">"c352"</definedName>
    <definedName name="IQ_EBIT_10K" hidden="1">"IQ_EBIT_10K"</definedName>
    <definedName name="IQ_EBIT_10Q" hidden="1">"IQ_EBIT_10Q"</definedName>
    <definedName name="IQ_EBIT_10Q1" hidden="1">"IQ_EBIT_10Q1"</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ACT_OR_EST_THOM" hidden="1">"c5303"</definedName>
    <definedName name="IQ_EBIT_DET_EST" hidden="1">"c12053"</definedName>
    <definedName name="IQ_EBIT_DET_EST_CURRENCY" hidden="1">"c12460"</definedName>
    <definedName name="IQ_EBIT_DET_EST_CURRENCY_THOM" hidden="1">"c12481"</definedName>
    <definedName name="IQ_EBIT_DET_EST_DATE" hidden="1">"c12206"</definedName>
    <definedName name="IQ_EBIT_DET_EST_DATE_THOM" hidden="1">"c12232"</definedName>
    <definedName name="IQ_EBIT_DET_EST_INCL" hidden="1">"c12343"</definedName>
    <definedName name="IQ_EBIT_DET_EST_INCL_THOM" hidden="1">"c12364"</definedName>
    <definedName name="IQ_EBIT_DET_EST_ORIGIN" hidden="1">"c12579"</definedName>
    <definedName name="IQ_EBIT_DET_EST_ORIGIN_THOM" hidden="1">"c12602"</definedName>
    <definedName name="IQ_EBIT_DET_EST_THOM" hidden="1">"c12082"</definedName>
    <definedName name="IQ_EBIT_EQ_INC" hidden="1">"c3498"</definedName>
    <definedName name="IQ_EBIT_EQ_INC_EXCL_SBC" hidden="1">"c3502"</definedName>
    <definedName name="IQ_EBIT_EST" hidden="1">"c1681"</definedName>
    <definedName name="IQ_EBIT_EST_THOM" hidden="1">"c5105"</definedName>
    <definedName name="IQ_EBIT_EXCL_SBC" hidden="1">"c3082"</definedName>
    <definedName name="IQ_EBIT_GROWTH_1" hidden="1">"IQ_EBIT_GROWTH_1"</definedName>
    <definedName name="IQ_EBIT_GROWTH_2" hidden="1">"IQ_EBIT_GROWTH_2"</definedName>
    <definedName name="IQ_EBIT_GUIDANCE" hidden="1">"c4303"</definedName>
    <definedName name="IQ_EBIT_GW_ACT_OR_EST" hidden="1">"c4306"</definedName>
    <definedName name="IQ_EBIT_GW_EST" hidden="1">"c4305"</definedName>
    <definedName name="IQ_EBIT_GW_GUIDANCE" hidden="1">"c4307"</definedName>
    <definedName name="IQ_EBIT_GW_HIGH_EST" hidden="1">"c4308"</definedName>
    <definedName name="IQ_EBIT_GW_HIGH_GUIDANCE" hidden="1">"c4171"</definedName>
    <definedName name="IQ_EBIT_GW_LOW_EST" hidden="1">"c4309"</definedName>
    <definedName name="IQ_EBIT_GW_LOW_GUIDANCE" hidden="1">"c4211"</definedName>
    <definedName name="IQ_EBIT_GW_MEDIAN_EST" hidden="1">"c4310"</definedName>
    <definedName name="IQ_EBIT_GW_NUM_EST" hidden="1">"c4311"</definedName>
    <definedName name="IQ_EBIT_GW_STDDEV_EST" hidden="1">"c4312"</definedName>
    <definedName name="IQ_EBIT_HIGH_EST" hidden="1">"c1683"</definedName>
    <definedName name="IQ_EBIT_HIGH_EST_THOM" hidden="1">"c5107"</definedName>
    <definedName name="IQ_EBIT_HIGH_GUIDANCE" hidden="1">"c4172"</definedName>
    <definedName name="IQ_EBIT_INT" hidden="1">"c360"</definedName>
    <definedName name="IQ_EBIT_LOW_EST" hidden="1">"c1684"</definedName>
    <definedName name="IQ_EBIT_LOW_EST_THOM" hidden="1">"c5108"</definedName>
    <definedName name="IQ_EBIT_LOW_GUIDANCE" hidden="1">"c4212"</definedName>
    <definedName name="IQ_EBIT_MARGIN" hidden="1">"c359"</definedName>
    <definedName name="IQ_EBIT_MEDIAN_EST" hidden="1">"c1682"</definedName>
    <definedName name="IQ_EBIT_MEDIAN_EST_THOM" hidden="1">"c5106"</definedName>
    <definedName name="IQ_EBIT_NUM_EST" hidden="1">"c1685"</definedName>
    <definedName name="IQ_EBIT_NUM_EST_THOM" hidden="1">"c5109"</definedName>
    <definedName name="IQ_EBIT_OVER_IE" hidden="1">"c1369"</definedName>
    <definedName name="IQ_EBIT_SBC_ACT_OR_EST" hidden="1">"c4316"</definedName>
    <definedName name="IQ_EBIT_SBC_ACT_OR_EST_CIQ" hidden="1">"c4841"</definedName>
    <definedName name="IQ_EBIT_SBC_EST" hidden="1">"c4315"</definedName>
    <definedName name="IQ_EBIT_SBC_GUIDANCE" hidden="1">"c4317"</definedName>
    <definedName name="IQ_EBIT_SBC_GW_ACT_OR_EST" hidden="1">"c4320"</definedName>
    <definedName name="IQ_EBIT_SBC_GW_ACT_OR_EST_CIQ" hidden="1">"c4845"</definedName>
    <definedName name="IQ_EBIT_SBC_GW_EST" hidden="1">"c4319"</definedName>
    <definedName name="IQ_EBIT_SBC_GW_GUIDANCE" hidden="1">"c4321"</definedName>
    <definedName name="IQ_EBIT_SBC_GW_HIGH_EST" hidden="1">"c4322"</definedName>
    <definedName name="IQ_EBIT_SBC_GW_HIGH_GUIDANCE" hidden="1">"c4193"</definedName>
    <definedName name="IQ_EBIT_SBC_GW_LOW_EST" hidden="1">"c4323"</definedName>
    <definedName name="IQ_EBIT_SBC_GW_LOW_GUIDANCE" hidden="1">"c4233"</definedName>
    <definedName name="IQ_EBIT_SBC_GW_MEDIAN_EST" hidden="1">"c4324"</definedName>
    <definedName name="IQ_EBIT_SBC_GW_NUM_EST" hidden="1">"c4325"</definedName>
    <definedName name="IQ_EBIT_SBC_GW_STDDEV_EST" hidden="1">"c4326"</definedName>
    <definedName name="IQ_EBIT_SBC_HIGH_EST" hidden="1">"c4328"</definedName>
    <definedName name="IQ_EBIT_SBC_HIGH_GUIDANCE" hidden="1">"c4192"</definedName>
    <definedName name="IQ_EBIT_SBC_LOW_EST" hidden="1">"c4329"</definedName>
    <definedName name="IQ_EBIT_SBC_LOW_GUIDANCE" hidden="1">"c4232"</definedName>
    <definedName name="IQ_EBIT_SBC_MEDIAN_EST" hidden="1">"c4330"</definedName>
    <definedName name="IQ_EBIT_SBC_NUM_EST" hidden="1">"c4331"</definedName>
    <definedName name="IQ_EBIT_SBC_STDDEV_EST" hidden="1">"c4332"</definedName>
    <definedName name="IQ_EBIT_STDDEV_EST" hidden="1">"c1686"</definedName>
    <definedName name="IQ_EBIT_STDDEV_EST_THOM" hidden="1">"c5110"</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CIQ" hidden="1">"c5060"</definedName>
    <definedName name="IQ_EBITDA_ACT_OR_EST_THOM" hidden="1">"c5300"</definedName>
    <definedName name="IQ_EBITDA_CAPEX_INT" hidden="1">"c368"</definedName>
    <definedName name="IQ_EBITDA_CAPEX_OVER_TOTAL_IE" hidden="1">"c1370"</definedName>
    <definedName name="IQ_EBITDA_DET_EST" hidden="1">"c12054"</definedName>
    <definedName name="IQ_EBITDA_DET_EST_CURRENCY" hidden="1">"c12461"</definedName>
    <definedName name="IQ_EBITDA_DET_EST_CURRENCY_THOM" hidden="1">"c12482"</definedName>
    <definedName name="IQ_EBITDA_DET_EST_DATE" hidden="1">"c12207"</definedName>
    <definedName name="IQ_EBITDA_DET_EST_DATE_THOM" hidden="1">"c12233"</definedName>
    <definedName name="IQ_EBITDA_DET_EST_INCL" hidden="1">"c12344"</definedName>
    <definedName name="IQ_EBITDA_DET_EST_INCL_THOM" hidden="1">"c12365"</definedName>
    <definedName name="IQ_EBITDA_DET_EST_ORIGIN" hidden="1">"c12580"</definedName>
    <definedName name="IQ_EBITDA_DET_EST_ORIGIN_THOM" hidden="1">"c12603"</definedName>
    <definedName name="IQ_EBITDA_DET_EST_THOM" hidden="1">"c12083"</definedName>
    <definedName name="IQ_EBITDA_EQ_INC" hidden="1">"c3496"</definedName>
    <definedName name="IQ_EBITDA_EQ_INC_EXCL_SBC" hidden="1">"c3500"</definedName>
    <definedName name="IQ_EBITDA_EST" hidden="1">"c369"</definedName>
    <definedName name="IQ_EBITDA_EST_CIQ" hidden="1">"c3622"</definedName>
    <definedName name="IQ_EBITDA_EST_REUT" hidden="1">"c3640"</definedName>
    <definedName name="IQ_EBITDA_EST_THOM" hidden="1">"c3658"</definedName>
    <definedName name="IQ_EBITDA_EXCL_SBC" hidden="1">"c3081"</definedName>
    <definedName name="IQ_EBITDA_GROWTH_1" hidden="1">"IQ_EBITDA_GROWTH_1"</definedName>
    <definedName name="IQ_EBITDA_GROWTH_2" hidden="1">"IQ_EBITDA_GROWTH_2"</definedName>
    <definedName name="IQ_EBITDA_GUIDANCE" hidden="1">"c4334"</definedName>
    <definedName name="IQ_EBITDA_HIGH_EST" hidden="1">"c370"</definedName>
    <definedName name="IQ_EBITDA_HIGH_EST_CIQ" hidden="1">"c3624"</definedName>
    <definedName name="IQ_EBITDA_HIGH_EST_REUT" hidden="1">"c3642"</definedName>
    <definedName name="IQ_EBITDA_HIGH_EST_THOM" hidden="1">"c3660"</definedName>
    <definedName name="IQ_EBITDA_HIGH_GUIDANCE" hidden="1">"c4170"</definedName>
    <definedName name="IQ_EBITDA_INT" hidden="1">"c373"</definedName>
    <definedName name="IQ_EBITDA_LOW_EST" hidden="1">"c371"</definedName>
    <definedName name="IQ_EBITDA_LOW_EST_CIQ" hidden="1">"c3625"</definedName>
    <definedName name="IQ_EBITDA_LOW_EST_REUT" hidden="1">"c3643"</definedName>
    <definedName name="IQ_EBITDA_LOW_EST_THOM" hidden="1">"c3661"</definedName>
    <definedName name="IQ_EBITDA_LOW_GUIDANCE" hidden="1">"c4210"</definedName>
    <definedName name="IQ_EBITDA_MARGIN" hidden="1">"c372"</definedName>
    <definedName name="IQ_EBITDA_MEDIAN_EST" hidden="1">"c1663"</definedName>
    <definedName name="IQ_EBITDA_MEDIAN_EST_CIQ" hidden="1">"c3623"</definedName>
    <definedName name="IQ_EBITDA_MEDIAN_EST_REUT" hidden="1">"c3641"</definedName>
    <definedName name="IQ_EBITDA_MEDIAN_EST_THOM" hidden="1">"c3659"</definedName>
    <definedName name="IQ_EBITDA_NUM_EST" hidden="1">"c374"</definedName>
    <definedName name="IQ_EBITDA_NUM_EST_CIQ" hidden="1">"c3626"</definedName>
    <definedName name="IQ_EBITDA_NUM_EST_REUT" hidden="1">"c3644"</definedName>
    <definedName name="IQ_EBITDA_NUM_EST_THOM" hidden="1">"c3662"</definedName>
    <definedName name="IQ_EBITDA_OVER_TOTAL_IE" hidden="1">"c1371"</definedName>
    <definedName name="IQ_EBITDA_SBC_ACT_OR_EST" hidden="1">"c4337"</definedName>
    <definedName name="IQ_EBITDA_SBC_ACT_OR_EST_CIQ" hidden="1">"c4862"</definedName>
    <definedName name="IQ_EBITDA_SBC_EST" hidden="1">"c4336"</definedName>
    <definedName name="IQ_EBITDA_SBC_GUIDANCE" hidden="1">"c4338"</definedName>
    <definedName name="IQ_EBITDA_SBC_HIGH_EST" hidden="1">"c4339"</definedName>
    <definedName name="IQ_EBITDA_SBC_HIGH_GUIDANCE" hidden="1">"c4194"</definedName>
    <definedName name="IQ_EBITDA_SBC_LOW_EST" hidden="1">"c4340"</definedName>
    <definedName name="IQ_EBITDA_SBC_LOW_GUIDANCE" hidden="1">"c4234"</definedName>
    <definedName name="IQ_EBITDA_SBC_MEDIAN_EST" hidden="1">"c4341"</definedName>
    <definedName name="IQ_EBITDA_SBC_NUM_EST" hidden="1">"c4342"</definedName>
    <definedName name="IQ_EBITDA_SBC_STDDEV_EST" hidden="1">"c4343"</definedName>
    <definedName name="IQ_EBITDA_STDDEV_EST" hidden="1">"c375"</definedName>
    <definedName name="IQ_EBITDA_STDDEV_EST_CIQ" hidden="1">"c3627"</definedName>
    <definedName name="IQ_EBITDA_STDDEV_EST_REUT" hidden="1">"c3645"</definedName>
    <definedName name="IQ_EBITDA_STDDEV_EST_THOM" hidden="1">"c3663"</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FIEC" hidden="1">"c13029"</definedName>
    <definedName name="IQ_EBT_FIN" hidden="1">"c386"</definedName>
    <definedName name="IQ_EBT_FTE_FFIEC" hidden="1">"c13037"</definedName>
    <definedName name="IQ_EBT_GAAP_GUIDANCE" hidden="1">"c4345"</definedName>
    <definedName name="IQ_EBT_GAAP_HIGH_GUIDANCE" hidden="1">"c4174"</definedName>
    <definedName name="IQ_EBT_GAAP_LOW_GUIDANCE" hidden="1">"c4214"</definedName>
    <definedName name="IQ_EBT_GUIDANCE" hidden="1">"c4346"</definedName>
    <definedName name="IQ_EBT_GW_GUIDANCE" hidden="1">"c4347"</definedName>
    <definedName name="IQ_EBT_GW_HIGH_GUIDANCE" hidden="1">"c4175"</definedName>
    <definedName name="IQ_EBT_GW_LOW_GUIDANCE" hidden="1">"c4215"</definedName>
    <definedName name="IQ_EBT_HIGH_GUIDANCE" hidden="1">"c4173"</definedName>
    <definedName name="IQ_EBT_INCL_MARGIN" hidden="1">"c387"</definedName>
    <definedName name="IQ_EBT_INS" hidden="1">"c388"</definedName>
    <definedName name="IQ_EBT_LOW_GUIDANCE" hidden="1">"c4213"</definedName>
    <definedName name="IQ_EBT_RE" hidden="1">"c6215"</definedName>
    <definedName name="IQ_EBT_REIT" hidden="1">"c389"</definedName>
    <definedName name="IQ_EBT_SBC_ACT_OR_EST" hidden="1">"c4350"</definedName>
    <definedName name="IQ_EBT_SBC_ACT_OR_EST_CIQ" hidden="1">"c4875"</definedName>
    <definedName name="IQ_EBT_SBC_EST" hidden="1">"c4349"</definedName>
    <definedName name="IQ_EBT_SBC_GUIDANCE" hidden="1">"c4351"</definedName>
    <definedName name="IQ_EBT_SBC_GW_ACT_OR_EST" hidden="1">"c4354"</definedName>
    <definedName name="IQ_EBT_SBC_GW_ACT_OR_EST_CIQ" hidden="1">"c4879"</definedName>
    <definedName name="IQ_EBT_SBC_GW_EST" hidden="1">"c4353"</definedName>
    <definedName name="IQ_EBT_SBC_GW_GUIDANCE" hidden="1">"c4355"</definedName>
    <definedName name="IQ_EBT_SBC_GW_HIGH_EST" hidden="1">"c4356"</definedName>
    <definedName name="IQ_EBT_SBC_GW_HIGH_GUIDANCE" hidden="1">"c4191"</definedName>
    <definedName name="IQ_EBT_SBC_GW_LOW_EST" hidden="1">"c4357"</definedName>
    <definedName name="IQ_EBT_SBC_GW_LOW_GUIDANCE" hidden="1">"c4231"</definedName>
    <definedName name="IQ_EBT_SBC_GW_MEDIAN_EST" hidden="1">"c4358"</definedName>
    <definedName name="IQ_EBT_SBC_GW_NUM_EST" hidden="1">"c4359"</definedName>
    <definedName name="IQ_EBT_SBC_GW_STDDEV_EST" hidden="1">"c4360"</definedName>
    <definedName name="IQ_EBT_SBC_HIGH_EST" hidden="1">"c4362"</definedName>
    <definedName name="IQ_EBT_SBC_HIGH_GUIDANCE" hidden="1">"c4190"</definedName>
    <definedName name="IQ_EBT_SBC_LOW_EST" hidden="1">"c4363"</definedName>
    <definedName name="IQ_EBT_SBC_LOW_GUIDANCE" hidden="1">"c4230"</definedName>
    <definedName name="IQ_EBT_SBC_MEDIAN_EST" hidden="1">"c4364"</definedName>
    <definedName name="IQ_EBT_SBC_NUM_EST" hidden="1">"c4365"</definedName>
    <definedName name="IQ_EBT_SBC_STDDEV_EST" hidden="1">"c4366"</definedName>
    <definedName name="IQ_EBT_SUBTOTAL_AP" hidden="1">"c8982"</definedName>
    <definedName name="IQ_EBT_UTI" hidden="1">"c390"</definedName>
    <definedName name="IQ_ECO_METRIC_6825_UNUSED" hidden="1">"c6825"</definedName>
    <definedName name="IQ_ECO_METRIC_6825_UNUSED_UNUSED_UNUSED" hidden="1">"c6825"</definedName>
    <definedName name="IQ_ECO_METRIC_6839_UNUSED" hidden="1">"c6839"</definedName>
    <definedName name="IQ_ECO_METRIC_6839_UNUSED_UNUSED_UNUSED" hidden="1">"c6839"</definedName>
    <definedName name="IQ_ECO_METRIC_6896_UNUSED" hidden="1">"c6896"</definedName>
    <definedName name="IQ_ECO_METRIC_6896_UNUSED_UNUSED_UNUSED" hidden="1">"c6896"</definedName>
    <definedName name="IQ_ECO_METRIC_6897_UNUSED" hidden="1">"c6897"</definedName>
    <definedName name="IQ_ECO_METRIC_6897_UNUSED_UNUSED_UNUSED" hidden="1">"c6897"</definedName>
    <definedName name="IQ_ECO_METRIC_6927" hidden="1">"c6927"</definedName>
    <definedName name="IQ_ECO_METRIC_6988_UNUSED" hidden="1">"c6988"</definedName>
    <definedName name="IQ_ECO_METRIC_6988_UNUSED_UNUSED_UNUSED" hidden="1">"c6988"</definedName>
    <definedName name="IQ_ECO_METRIC_7045_UNUSED" hidden="1">"c7045"</definedName>
    <definedName name="IQ_ECO_METRIC_7045_UNUSED_UNUSED_UNUSED" hidden="1">"c7045"</definedName>
    <definedName name="IQ_ECO_METRIC_7059_UNUSED" hidden="1">"c7059"</definedName>
    <definedName name="IQ_ECO_METRIC_7059_UNUSED_UNUSED_UNUSED" hidden="1">"c7059"</definedName>
    <definedName name="IQ_ECO_METRIC_7116_UNUSED" hidden="1">"c7116"</definedName>
    <definedName name="IQ_ECO_METRIC_7116_UNUSED_UNUSED_UNUSED" hidden="1">"c7116"</definedName>
    <definedName name="IQ_ECO_METRIC_7117_UNUSED" hidden="1">"c7117"</definedName>
    <definedName name="IQ_ECO_METRIC_7117_UNUSED_UNUSED_UNUSED" hidden="1">"c7117"</definedName>
    <definedName name="IQ_ECO_METRIC_7147" hidden="1">"c7147"</definedName>
    <definedName name="IQ_ECO_METRIC_7208_UNUSED" hidden="1">"c7208"</definedName>
    <definedName name="IQ_ECO_METRIC_7208_UNUSED_UNUSED_UNUSED" hidden="1">"c7208"</definedName>
    <definedName name="IQ_ECO_METRIC_7265_UNUSED" hidden="1">"c7265"</definedName>
    <definedName name="IQ_ECO_METRIC_7265_UNUSED_UNUSED_UNUSED" hidden="1">"c7265"</definedName>
    <definedName name="IQ_ECO_METRIC_7279_UNUSED" hidden="1">"c7279"</definedName>
    <definedName name="IQ_ECO_METRIC_7279_UNUSED_UNUSED_UNUSED" hidden="1">"c7279"</definedName>
    <definedName name="IQ_ECO_METRIC_7336_UNUSED" hidden="1">"c7336"</definedName>
    <definedName name="IQ_ECO_METRIC_7336_UNUSED_UNUSED_UNUSED" hidden="1">"c7336"</definedName>
    <definedName name="IQ_ECO_METRIC_7337_UNUSED" hidden="1">"c7337"</definedName>
    <definedName name="IQ_ECO_METRIC_7337_UNUSED_UNUSED_UNUSED" hidden="1">"c7337"</definedName>
    <definedName name="IQ_ECO_METRIC_7367" hidden="1">"c7367"</definedName>
    <definedName name="IQ_ECO_METRIC_7428_UNUSED" hidden="1">"c7428"</definedName>
    <definedName name="IQ_ECO_METRIC_7428_UNUSED_UNUSED_UNUSED" hidden="1">"c7428"</definedName>
    <definedName name="IQ_ECO_METRIC_7556_UNUSED" hidden="1">"c7556"</definedName>
    <definedName name="IQ_ECO_METRIC_7556_UNUSED_UNUSED_UNUSED" hidden="1">"c7556"</definedName>
    <definedName name="IQ_ECO_METRIC_7557_UNUSED" hidden="1">"c7557"</definedName>
    <definedName name="IQ_ECO_METRIC_7557_UNUSED_UNUSED_UNUSED" hidden="1">"c7557"</definedName>
    <definedName name="IQ_ECO_METRIC_7587" hidden="1">"c7587"</definedName>
    <definedName name="IQ_ECO_METRIC_7648_UNUSED" hidden="1">"c7648"</definedName>
    <definedName name="IQ_ECO_METRIC_7648_UNUSED_UNUSED_UNUSED" hidden="1">"c7648"</definedName>
    <definedName name="IQ_ECO_METRIC_7704" hidden="1">"c7704"</definedName>
    <definedName name="IQ_ECO_METRIC_7705_UNUSED" hidden="1">"c7705"</definedName>
    <definedName name="IQ_ECO_METRIC_7705_UNUSED_UNUSED_UNUSED" hidden="1">"c7705"</definedName>
    <definedName name="IQ_ECO_METRIC_7706" hidden="1">"c7706"</definedName>
    <definedName name="IQ_ECO_METRIC_7718" hidden="1">"c7718"</definedName>
    <definedName name="IQ_ECO_METRIC_7719_UNUSED" hidden="1">"c7719"</definedName>
    <definedName name="IQ_ECO_METRIC_7719_UNUSED_UNUSED_UNUSED" hidden="1">"c7719"</definedName>
    <definedName name="IQ_ECO_METRIC_7776_UNUSED" hidden="1">"c7776"</definedName>
    <definedName name="IQ_ECO_METRIC_7776_UNUSED_UNUSED_UNUSED" hidden="1">"c7776"</definedName>
    <definedName name="IQ_ECO_METRIC_7777_UNUSED" hidden="1">"c7777"</definedName>
    <definedName name="IQ_ECO_METRIC_7777_UNUSED_UNUSED_UNUSED" hidden="1">"c7777"</definedName>
    <definedName name="IQ_ECO_METRIC_7807" hidden="1">"c7807"</definedName>
    <definedName name="IQ_ECO_METRIC_7811" hidden="1">"c7811"</definedName>
    <definedName name="IQ_ECO_METRIC_7868_UNUSED" hidden="1">"c7868"</definedName>
    <definedName name="IQ_ECO_METRIC_7868_UNUSED_UNUSED_UNUSED" hidden="1">"c7868"</definedName>
    <definedName name="IQ_ECO_METRIC_7873" hidden="1">"c7873"</definedName>
    <definedName name="IQ_ECO_METRIC_7924" hidden="1">"c7924"</definedName>
    <definedName name="IQ_ECO_METRIC_7925_UNUSED" hidden="1">"c7925"</definedName>
    <definedName name="IQ_ECO_METRIC_7925_UNUSED_UNUSED_UNUSED" hidden="1">"c7925"</definedName>
    <definedName name="IQ_ECO_METRIC_7926" hidden="1">"c7926"</definedName>
    <definedName name="IQ_ECO_METRIC_7938" hidden="1">"c7938"</definedName>
    <definedName name="IQ_ECO_METRIC_7939_UNUSED" hidden="1">"c7939"</definedName>
    <definedName name="IQ_ECO_METRIC_7939_UNUSED_UNUSED_UNUSED" hidden="1">"c7939"</definedName>
    <definedName name="IQ_ECO_METRIC_7996_UNUSED" hidden="1">"c7996"</definedName>
    <definedName name="IQ_ECO_METRIC_7996_UNUSED_UNUSED_UNUSED" hidden="1">"c7996"</definedName>
    <definedName name="IQ_ECO_METRIC_7997_UNUSED" hidden="1">"c7997"</definedName>
    <definedName name="IQ_ECO_METRIC_7997_UNUSED_UNUSED_UNUSED" hidden="1">"c7997"</definedName>
    <definedName name="IQ_ECO_METRIC_8027" hidden="1">"c8027"</definedName>
    <definedName name="IQ_ECO_METRIC_8031" hidden="1">"c8031"</definedName>
    <definedName name="IQ_ECO_METRIC_8088_UNUSED" hidden="1">"c8088"</definedName>
    <definedName name="IQ_ECO_METRIC_8088_UNUSED_UNUSED_UNUSED" hidden="1">"c8088"</definedName>
    <definedName name="IQ_ECO_METRIC_8093" hidden="1">"c8093"</definedName>
    <definedName name="IQ_ECO_METRIC_8144" hidden="1">"c8144"</definedName>
    <definedName name="IQ_ECO_METRIC_8145_UNUSED" hidden="1">"c8145"</definedName>
    <definedName name="IQ_ECO_METRIC_8145_UNUSED_UNUSED_UNUSED" hidden="1">"c8145"</definedName>
    <definedName name="IQ_ECO_METRIC_8146" hidden="1">"c8146"</definedName>
    <definedName name="IQ_ECO_METRIC_8158" hidden="1">"c8158"</definedName>
    <definedName name="IQ_ECO_METRIC_8159_UNUSED" hidden="1">"c8159"</definedName>
    <definedName name="IQ_ECO_METRIC_8159_UNUSED_UNUSED_UNUSED" hidden="1">"c8159"</definedName>
    <definedName name="IQ_ECO_METRIC_8216_UNUSED" hidden="1">"c8216"</definedName>
    <definedName name="IQ_ECO_METRIC_8216_UNUSED_UNUSED_UNUSED" hidden="1">"c8216"</definedName>
    <definedName name="IQ_ECO_METRIC_8217_UNUSED" hidden="1">"c8217"</definedName>
    <definedName name="IQ_ECO_METRIC_8217_UNUSED_UNUSED_UNUSED" hidden="1">"c8217"</definedName>
    <definedName name="IQ_ECO_METRIC_8247" hidden="1">"c8247"</definedName>
    <definedName name="IQ_ECO_METRIC_8251" hidden="1">"c8251"</definedName>
    <definedName name="IQ_ECO_METRIC_8308_UNUSED" hidden="1">"c8308"</definedName>
    <definedName name="IQ_ECO_METRIC_8308_UNUSED_UNUSED_UNUSED" hidden="1">"c8308"</definedName>
    <definedName name="IQ_ECO_METRIC_8313" hidden="1">"c8313"</definedName>
    <definedName name="IQ_ECO_METRIC_8366" hidden="1">"c8366"</definedName>
    <definedName name="IQ_ECO_METRIC_8378" hidden="1">"c8378"</definedName>
    <definedName name="IQ_ECO_METRIC_8436_UNUSED" hidden="1">"c8436"</definedName>
    <definedName name="IQ_ECO_METRIC_8436_UNUSED_UNUSED_UNUSED" hidden="1">"c8436"</definedName>
    <definedName name="IQ_ECO_METRIC_8437_UNUSED" hidden="1">"c8437"</definedName>
    <definedName name="IQ_ECO_METRIC_8437_UNUSED_UNUSED_UNUSED" hidden="1">"c8437"</definedName>
    <definedName name="IQ_ECO_METRIC_8467" hidden="1">"c8467"</definedName>
    <definedName name="IQ_ECO_METRIC_8471" hidden="1">"c8471"</definedName>
    <definedName name="IQ_ECO_METRIC_8528_UNUSED" hidden="1">"c8528"</definedName>
    <definedName name="IQ_ECO_METRIC_8528_UNUSED_UNUSED_UNUSED" hidden="1">"c8528"</definedName>
    <definedName name="IQ_ECO_METRIC_8533" hidden="1">"c8533"</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ECTIVE_DATE" hidden="1">"c8966"</definedName>
    <definedName name="IQ_EFFICIENCY_RATIO" hidden="1">"c391"</definedName>
    <definedName name="IQ_EFFICIENCY_RATIO_FDIC" hidden="1">"c6736"</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MPLOYEES_FFIEC" hidden="1">"c13035"</definedName>
    <definedName name="IQ_ENTERPRISE_VALUE" hidden="1">"c1348"</definedName>
    <definedName name="IQ_ENTITLEMENT_DET_EST" hidden="1">"c12044"</definedName>
    <definedName name="IQ_ENTITLEMENT_DET_EST_THOM" hidden="1">"c12072"</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 hidden="1">"IQ_EPS"</definedName>
    <definedName name="IQ_EPS_10K" hidden="1">"IQ_EPS_10K"</definedName>
    <definedName name="IQ_EPS_10Q" hidden="1">"IQ_EPS_10Q"</definedName>
    <definedName name="IQ_EPS_10Q1" hidden="1">"IQ_EPS_10Q1"</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CIQ" hidden="1">"c5058"</definedName>
    <definedName name="IQ_EPS_ACT_OR_EST_THOM" hidden="1">"c5298"</definedName>
    <definedName name="IQ_EPS_AP" hidden="1">"c8880"</definedName>
    <definedName name="IQ_EPS_AP_ABS" hidden="1">"c8899"</definedName>
    <definedName name="IQ_EPS_DET_EST" hidden="1">"c13571"</definedName>
    <definedName name="IQ_EPS_DET_EST_CURRENCY" hidden="1">"c13583"</definedName>
    <definedName name="IQ_EPS_DET_EST_CURRENCY_THOM" hidden="1">"c12484"</definedName>
    <definedName name="IQ_EPS_DET_EST_DATE" hidden="1">"c13575"</definedName>
    <definedName name="IQ_EPS_DET_EST_DATE_THOM" hidden="1">"c12235"</definedName>
    <definedName name="IQ_EPS_DET_EST_INCL" hidden="1">"c13587"</definedName>
    <definedName name="IQ_EPS_DET_EST_INCL_THOM" hidden="1">"c12367"</definedName>
    <definedName name="IQ_EPS_DET_EST_ORIGIN" hidden="1">"c13579"</definedName>
    <definedName name="IQ_EPS_DET_EST_ORIGIN_THOM" hidden="1">"c12605"</definedName>
    <definedName name="IQ_EPS_DET_EST_THOM" hidden="1">"c12085"</definedName>
    <definedName name="IQ_EPS_EST" hidden="1">"c399"</definedName>
    <definedName name="IQ_EPS_EST_1" hidden="1">"IQ_EPS_EST_1"</definedName>
    <definedName name="IQ_EPS_EST_BOTTOM_UP" hidden="1">"c5489"</definedName>
    <definedName name="IQ_EPS_EST_BOTTOM_UP_CIQ" hidden="1">"c12026"</definedName>
    <definedName name="IQ_EPS_EST_BOTTOM_UP_THOM" hidden="1">"c5647"</definedName>
    <definedName name="IQ_EPS_EST_CIQ" hidden="1">"c4994"</definedName>
    <definedName name="IQ_EPS_EST_REUT" hidden="1">"c5453"</definedName>
    <definedName name="IQ_EPS_EST_THOM" hidden="1">"c5290"</definedName>
    <definedName name="IQ_EPS_EXCL_GUIDANCE" hidden="1">"c4368"</definedName>
    <definedName name="IQ_EPS_EXCL_HIGH_GUIDANCE" hidden="1">"c4369"</definedName>
    <definedName name="IQ_EPS_EXCL_LOW_GUIDANCE" hidden="1">"c4204"</definedName>
    <definedName name="IQ_EPS_GAAP_GUIDANCE" hidden="1">"c4370"</definedName>
    <definedName name="IQ_EPS_GAAP_HIGH_GUIDANCE" hidden="1">"c4371"</definedName>
    <definedName name="IQ_EPS_GAAP_LOW_GUIDANCE" hidden="1">"c4205"</definedName>
    <definedName name="IQ_EPS_GW_ACT_OR_EST" hidden="1">"c2223"</definedName>
    <definedName name="IQ_EPS_GW_ACT_OR_EST_CIQ" hidden="1">"c5066"</definedName>
    <definedName name="IQ_EPS_GW_DET_EST" hidden="1">"c12056"</definedName>
    <definedName name="IQ_EPS_GW_DET_EST_CURRENCY" hidden="1">"c12463"</definedName>
    <definedName name="IQ_EPS_GW_DET_EST_CURRENCY_THOM" hidden="1">"c12485"</definedName>
    <definedName name="IQ_EPS_GW_DET_EST_DATE" hidden="1">"c12209"</definedName>
    <definedName name="IQ_EPS_GW_DET_EST_DATE_THOM" hidden="1">"c12236"</definedName>
    <definedName name="IQ_EPS_GW_DET_EST_INCL" hidden="1">"c12346"</definedName>
    <definedName name="IQ_EPS_GW_DET_EST_INCL_THOM" hidden="1">"c12368"</definedName>
    <definedName name="IQ_EPS_GW_DET_EST_ORIGIN" hidden="1">"c12582"</definedName>
    <definedName name="IQ_EPS_GW_DET_EST_ORIGIN_THOM" hidden="1">"c12606"</definedName>
    <definedName name="IQ_EPS_GW_DET_EST_THOM" hidden="1">"c12086"</definedName>
    <definedName name="IQ_EPS_GW_EST" hidden="1">"c1737"</definedName>
    <definedName name="IQ_EPS_GW_EST_BOTTOM_UP" hidden="1">"c5491"</definedName>
    <definedName name="IQ_EPS_GW_EST_BOTTOM_UP_CIQ" hidden="1">"c12028"</definedName>
    <definedName name="IQ_EPS_GW_EST_CIQ" hidden="1">"c4723"</definedName>
    <definedName name="IQ_EPS_GW_EST_REUT" hidden="1">"c5389"</definedName>
    <definedName name="IQ_EPS_GW_EST_THOM" hidden="1">"c5133"</definedName>
    <definedName name="IQ_EPS_GW_GUIDANCE" hidden="1">"c4372"</definedName>
    <definedName name="IQ_EPS_GW_HIGH_EST" hidden="1">"c1739"</definedName>
    <definedName name="IQ_EPS_GW_HIGH_EST_CIQ" hidden="1">"c4725"</definedName>
    <definedName name="IQ_EPS_GW_HIGH_EST_REUT" hidden="1">"c5391"</definedName>
    <definedName name="IQ_EPS_GW_HIGH_EST_THOM" hidden="1">"c5135"</definedName>
    <definedName name="IQ_EPS_GW_HIGH_GUIDANCE" hidden="1">"c4373"</definedName>
    <definedName name="IQ_EPS_GW_LOW_EST" hidden="1">"c1740"</definedName>
    <definedName name="IQ_EPS_GW_LOW_EST_CIQ" hidden="1">"c4726"</definedName>
    <definedName name="IQ_EPS_GW_LOW_EST_REUT" hidden="1">"c5392"</definedName>
    <definedName name="IQ_EPS_GW_LOW_EST_THOM" hidden="1">"c5136"</definedName>
    <definedName name="IQ_EPS_GW_LOW_GUIDANCE" hidden="1">"c4206"</definedName>
    <definedName name="IQ_EPS_GW_MEDIAN_EST" hidden="1">"c1738"</definedName>
    <definedName name="IQ_EPS_GW_MEDIAN_EST_CIQ" hidden="1">"c4724"</definedName>
    <definedName name="IQ_EPS_GW_MEDIAN_EST_REUT" hidden="1">"c5390"</definedName>
    <definedName name="IQ_EPS_GW_MEDIAN_EST_THOM" hidden="1">"c5134"</definedName>
    <definedName name="IQ_EPS_GW_NUM_EST" hidden="1">"c1741"</definedName>
    <definedName name="IQ_EPS_GW_NUM_EST_CIQ" hidden="1">"c4727"</definedName>
    <definedName name="IQ_EPS_GW_NUM_EST_REUT" hidden="1">"c5393"</definedName>
    <definedName name="IQ_EPS_GW_NUM_EST_THOM" hidden="1">"c5137"</definedName>
    <definedName name="IQ_EPS_GW_STDDEV_EST" hidden="1">"c1742"</definedName>
    <definedName name="IQ_EPS_GW_STDDEV_EST_CIQ" hidden="1">"c4728"</definedName>
    <definedName name="IQ_EPS_GW_STDDEV_EST_REUT" hidden="1">"c5394"</definedName>
    <definedName name="IQ_EPS_GW_STDDEV_EST_THOM" hidden="1">"c5138"</definedName>
    <definedName name="IQ_EPS_HIGH_EST" hidden="1">"c400"</definedName>
    <definedName name="IQ_EPS_HIGH_EST_CIQ" hidden="1">"c4995"</definedName>
    <definedName name="IQ_EPS_HIGH_EST_REUT" hidden="1">"c5454"</definedName>
    <definedName name="IQ_EPS_HIGH_EST_THOM" hidden="1">"c5291"</definedName>
    <definedName name="IQ_EPS_LOW_EST" hidden="1">"c401"</definedName>
    <definedName name="IQ_EPS_LOW_EST_CIQ" hidden="1">"c4996"</definedName>
    <definedName name="IQ_EPS_LOW_EST_REUT" hidden="1">"c5455"</definedName>
    <definedName name="IQ_EPS_LOW_EST_THOM" hidden="1">"c5292"</definedName>
    <definedName name="IQ_EPS_MEDIAN_EST" hidden="1">"c1661"</definedName>
    <definedName name="IQ_EPS_MEDIAN_EST_CIQ" hidden="1">"c4997"</definedName>
    <definedName name="IQ_EPS_MEDIAN_EST_REUT" hidden="1">"c5456"</definedName>
    <definedName name="IQ_EPS_MEDIAN_EST_THOM" hidden="1">"c5293"</definedName>
    <definedName name="IQ_EPS_NAME_AP" hidden="1">"c8918"</definedName>
    <definedName name="IQ_EPS_NAME_AP_ABS" hidden="1">"c8937"</definedName>
    <definedName name="IQ_EPS_NORM" hidden="1">"c1902"</definedName>
    <definedName name="IQ_EPS_NORM_DET_EST" hidden="1">"c12058"</definedName>
    <definedName name="IQ_EPS_NORM_DET_EST_CURRENCY" hidden="1">"c12465"</definedName>
    <definedName name="IQ_EPS_NORM_DET_EST_DATE" hidden="1">"c12211"</definedName>
    <definedName name="IQ_EPS_NORM_DET_EST_INCL" hidden="1">"c12348"</definedName>
    <definedName name="IQ_EPS_NORM_DET_EST_ORIGIN" hidden="1">"c12583"</definedName>
    <definedName name="IQ_EPS_NORM_DET_EST_ORIGIN_THOM" hidden="1">"c12607"</definedName>
    <definedName name="IQ_EPS_NORM_EST" hidden="1">"c2226"</definedName>
    <definedName name="IQ_EPS_NORM_EST_BOTTOM_UP" hidden="1">"c5490"</definedName>
    <definedName name="IQ_EPS_NORM_EST_BOTTOM_UP_CIQ" hidden="1">"c12027"</definedName>
    <definedName name="IQ_EPS_NORM_EST_CIQ" hidden="1">"c4667"</definedName>
    <definedName name="IQ_EPS_NORM_EST_REUT" hidden="1">"c5326"</definedName>
    <definedName name="IQ_EPS_NORM_HIGH_EST" hidden="1">"c2228"</definedName>
    <definedName name="IQ_EPS_NORM_HIGH_EST_CIQ" hidden="1">"c4669"</definedName>
    <definedName name="IQ_EPS_NORM_HIGH_EST_REUT" hidden="1">"c5328"</definedName>
    <definedName name="IQ_EPS_NORM_LOW_EST" hidden="1">"c2229"</definedName>
    <definedName name="IQ_EPS_NORM_LOW_EST_CIQ" hidden="1">"c4670"</definedName>
    <definedName name="IQ_EPS_NORM_LOW_EST_REUT" hidden="1">"c5329"</definedName>
    <definedName name="IQ_EPS_NORM_MEDIAN_EST" hidden="1">"c2227"</definedName>
    <definedName name="IQ_EPS_NORM_MEDIAN_EST_CIQ" hidden="1">"c4668"</definedName>
    <definedName name="IQ_EPS_NORM_MEDIAN_EST_REUT" hidden="1">"c5327"</definedName>
    <definedName name="IQ_EPS_NORM_NUM_EST" hidden="1">"c2230"</definedName>
    <definedName name="IQ_EPS_NORM_NUM_EST_CIQ" hidden="1">"c4671"</definedName>
    <definedName name="IQ_EPS_NORM_NUM_EST_REUT" hidden="1">"c5330"</definedName>
    <definedName name="IQ_EPS_NORM_STDDEV_EST" hidden="1">"c2231"</definedName>
    <definedName name="IQ_EPS_NORM_STDDEV_EST_CIQ" hidden="1">"c4672"</definedName>
    <definedName name="IQ_EPS_NORM_STDDEV_EST_REUT" hidden="1">"c5331"</definedName>
    <definedName name="IQ_EPS_NUM_EST" hidden="1">"c402"</definedName>
    <definedName name="IQ_EPS_NUM_EST_CIQ" hidden="1">"c4992"</definedName>
    <definedName name="IQ_EPS_NUM_EST_REUT" hidden="1">"c5451"</definedName>
    <definedName name="IQ_EPS_NUM_EST_THOM" hidden="1">"c5288"</definedName>
    <definedName name="IQ_EPS_REPORT_ACT_OR_EST" hidden="1">"c2224"</definedName>
    <definedName name="IQ_EPS_REPORT_ACT_OR_EST_CIQ" hidden="1">"c5067"</definedName>
    <definedName name="IQ_EPS_REPORT_ACT_OR_EST_THOM" hidden="1">"c5307"</definedName>
    <definedName name="IQ_EPS_REPORTED_DET_EST" hidden="1">"c12057"</definedName>
    <definedName name="IQ_EPS_REPORTED_DET_EST_CURRENCY" hidden="1">"c12464"</definedName>
    <definedName name="IQ_EPS_REPORTED_DET_EST_CURRENCY_THOM" hidden="1">"c12486"</definedName>
    <definedName name="IQ_EPS_REPORTED_DET_EST_DATE" hidden="1">"c12210"</definedName>
    <definedName name="IQ_EPS_REPORTED_DET_EST_DATE_THOM" hidden="1">"c12237"</definedName>
    <definedName name="IQ_EPS_REPORTED_DET_EST_INCL" hidden="1">"c12347"</definedName>
    <definedName name="IQ_EPS_REPORTED_DET_EST_INCL_THOM" hidden="1">"c12369"</definedName>
    <definedName name="IQ_EPS_REPORTED_DET_EST_ORIGIN" hidden="1">"c12772"</definedName>
    <definedName name="IQ_EPS_REPORTED_DET_EST_ORIGIN_THOM" hidden="1">"c13511"</definedName>
    <definedName name="IQ_EPS_REPORTED_DET_EST_THOM" hidden="1">"c12087"</definedName>
    <definedName name="IQ_EPS_REPORTED_EST" hidden="1">"c1744"</definedName>
    <definedName name="IQ_EPS_REPORTED_EST_BOTTOM_UP" hidden="1">"c5492"</definedName>
    <definedName name="IQ_EPS_REPORTED_EST_BOTTOM_UP_CIQ" hidden="1">"c12029"</definedName>
    <definedName name="IQ_EPS_REPORTED_EST_CIQ" hidden="1">"c4730"</definedName>
    <definedName name="IQ_EPS_REPORTED_EST_REUT" hidden="1">"c5396"</definedName>
    <definedName name="IQ_EPS_REPORTED_EST_THOM" hidden="1">"c5140"</definedName>
    <definedName name="IQ_EPS_REPORTED_HIGH_EST" hidden="1">"c1746"</definedName>
    <definedName name="IQ_EPS_REPORTED_HIGH_EST_CIQ" hidden="1">"c4732"</definedName>
    <definedName name="IQ_EPS_REPORTED_HIGH_EST_REUT" hidden="1">"c5398"</definedName>
    <definedName name="IQ_EPS_REPORTED_HIGH_EST_THOM" hidden="1">"c5142"</definedName>
    <definedName name="IQ_EPS_REPORTED_LOW_EST" hidden="1">"c1747"</definedName>
    <definedName name="IQ_EPS_REPORTED_LOW_EST_CIQ" hidden="1">"c4733"</definedName>
    <definedName name="IQ_EPS_REPORTED_LOW_EST_REUT" hidden="1">"c5399"</definedName>
    <definedName name="IQ_EPS_REPORTED_LOW_EST_THOM" hidden="1">"c5143"</definedName>
    <definedName name="IQ_EPS_REPORTED_MEDIAN_EST" hidden="1">"c1745"</definedName>
    <definedName name="IQ_EPS_REPORTED_MEDIAN_EST_CIQ" hidden="1">"c4731"</definedName>
    <definedName name="IQ_EPS_REPORTED_MEDIAN_EST_REUT" hidden="1">"c5397"</definedName>
    <definedName name="IQ_EPS_REPORTED_MEDIAN_EST_THOM" hidden="1">"c5141"</definedName>
    <definedName name="IQ_EPS_REPORTED_NUM_EST" hidden="1">"c1748"</definedName>
    <definedName name="IQ_EPS_REPORTED_NUM_EST_CIQ" hidden="1">"c4734"</definedName>
    <definedName name="IQ_EPS_REPORTED_NUM_EST_REUT" hidden="1">"c5400"</definedName>
    <definedName name="IQ_EPS_REPORTED_NUM_EST_THOM" hidden="1">"c5144"</definedName>
    <definedName name="IQ_EPS_REPORTED_STDDEV_EST" hidden="1">"c1749"</definedName>
    <definedName name="IQ_EPS_REPORTED_STDDEV_EST_CIQ" hidden="1">"c4735"</definedName>
    <definedName name="IQ_EPS_REPORTED_STDDEV_EST_REUT" hidden="1">"c5401"</definedName>
    <definedName name="IQ_EPS_REPORTED_STDDEV_EST_THOM" hidden="1">"c5145"</definedName>
    <definedName name="IQ_EPS_SBC_ACT_OR_EST" hidden="1">"c4376"</definedName>
    <definedName name="IQ_EPS_SBC_ACT_OR_EST_CIQ" hidden="1">"c4901"</definedName>
    <definedName name="IQ_EPS_SBC_EST" hidden="1">"c4375"</definedName>
    <definedName name="IQ_EPS_SBC_GUIDANCE" hidden="1">"c4377"</definedName>
    <definedName name="IQ_EPS_SBC_GW_ACT_OR_EST" hidden="1">"c4380"</definedName>
    <definedName name="IQ_EPS_SBC_GW_ACT_OR_EST_CIQ" hidden="1">"c4905"</definedName>
    <definedName name="IQ_EPS_SBC_GW_EST" hidden="1">"c4379"</definedName>
    <definedName name="IQ_EPS_SBC_GW_GUIDANCE" hidden="1">"c4381"</definedName>
    <definedName name="IQ_EPS_SBC_GW_HIGH_EST" hidden="1">"c4382"</definedName>
    <definedName name="IQ_EPS_SBC_GW_HIGH_GUIDANCE" hidden="1">"c4189"</definedName>
    <definedName name="IQ_EPS_SBC_GW_LOW_EST" hidden="1">"c4383"</definedName>
    <definedName name="IQ_EPS_SBC_GW_LOW_GUIDANCE" hidden="1">"c4229"</definedName>
    <definedName name="IQ_EPS_SBC_GW_MEDIAN_EST" hidden="1">"c4384"</definedName>
    <definedName name="IQ_EPS_SBC_GW_NUM_EST" hidden="1">"c4385"</definedName>
    <definedName name="IQ_EPS_SBC_GW_STDDEV_EST" hidden="1">"c4386"</definedName>
    <definedName name="IQ_EPS_SBC_HIGH_EST" hidden="1">"c4388"</definedName>
    <definedName name="IQ_EPS_SBC_HIGH_GUIDANCE" hidden="1">"c4188"</definedName>
    <definedName name="IQ_EPS_SBC_LOW_EST" hidden="1">"c4389"</definedName>
    <definedName name="IQ_EPS_SBC_LOW_GUIDANCE" hidden="1">"c4228"</definedName>
    <definedName name="IQ_EPS_SBC_MEDIAN_EST" hidden="1">"c4390"</definedName>
    <definedName name="IQ_EPS_SBC_NUM_EST" hidden="1">"c4391"</definedName>
    <definedName name="IQ_EPS_SBC_STDDEV_EST" hidden="1">"c4392"</definedName>
    <definedName name="IQ_EPS_STDDEV_EST" hidden="1">"c403"</definedName>
    <definedName name="IQ_EPS_STDDEV_EST_CIQ" hidden="1">"c4993"</definedName>
    <definedName name="IQ_EPS_STDDEV_EST_REUT" hidden="1">"c5452"</definedName>
    <definedName name="IQ_EPS_STDDEV_EST_THOM" hidden="1">"c5289"</definedName>
    <definedName name="IQ_EQUITY_AFFIL" hidden="1">"c1451"</definedName>
    <definedName name="IQ_EQUITY_AP" hidden="1">"c8887"</definedName>
    <definedName name="IQ_EQUITY_AP_ABS" hidden="1">"c8906"</definedName>
    <definedName name="IQ_EQUITY_ASSETS_TOT_FFIEC" hidden="1">"c13436"</definedName>
    <definedName name="IQ_EQUITY_BEG_EXCL_FFIEC" hidden="1">"c12957"</definedName>
    <definedName name="IQ_EQUITY_BEG_FFIEC" hidden="1">"c12959"</definedName>
    <definedName name="IQ_EQUITY_CAPITAL_ASSETS_FDIC" hidden="1">"c6744"</definedName>
    <definedName name="IQ_EQUITY_CAPITAL_QUARTERLY_AVG_FFIEC" hidden="1">"c13092"</definedName>
    <definedName name="IQ_EQUITY_ENDING_FFIEC" hidden="1">"c12973"</definedName>
    <definedName name="IQ_EQUITY_FDIC" hidden="1">"c6353"</definedName>
    <definedName name="IQ_EQUITY_INDEX_EXPOSURE_FFIEC" hidden="1">"c13060"</definedName>
    <definedName name="IQ_EQUITY_METHOD" hidden="1">"c404"</definedName>
    <definedName name="IQ_EQUITY_NAME_AP" hidden="1">"c8925"</definedName>
    <definedName name="IQ_EQUITY_NAME_AP_ABS" hidden="1">"c8944"</definedName>
    <definedName name="IQ_EQUITY_SEC_FAIR_VALUE_FFIEC" hidden="1">"c12805"</definedName>
    <definedName name="IQ_EQUITY_SEC_INVEST_SECURITIES_FFIEC" hidden="1">"c13463"</definedName>
    <definedName name="IQ_EQUITY_SECURITIES_FDIC" hidden="1">"c6304"</definedName>
    <definedName name="IQ_EQUITY_SECURITIES_WITHOUT_FAIR_VALUES_FFIEC" hidden="1">"c12846"</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OP_DEBT_GUARANTEED_FFIEC" hidden="1">"c12971"</definedName>
    <definedName name="IQ_EST_ACT_BV" hidden="1">"c5630"</definedName>
    <definedName name="IQ_EST_ACT_BV_SHARE" hidden="1">"c3549"</definedName>
    <definedName name="IQ_EST_ACT_BV_SHARE_THOM" hidden="1">"c4026"</definedName>
    <definedName name="IQ_EST_ACT_CAPEX" hidden="1">"c3546"</definedName>
    <definedName name="IQ_EST_ACT_CAPEX_THOM" hidden="1">"c5508"</definedName>
    <definedName name="IQ_EST_ACT_CASH_EPS" hidden="1">"c5637"</definedName>
    <definedName name="IQ_EST_ACT_CASH_EPS_THOM" hidden="1">"c5645"</definedName>
    <definedName name="IQ_EST_ACT_CASH_FLOW" hidden="1">"c4394"</definedName>
    <definedName name="IQ_EST_ACT_CASH_OPER" hidden="1">"c4395"</definedName>
    <definedName name="IQ_EST_ACT_CFPS" hidden="1">"c1673"</definedName>
    <definedName name="IQ_EST_ACT_CFPS_THOM" hidden="1">"c4012"</definedName>
    <definedName name="IQ_EST_ACT_DISTRIBUTABLE_CASH" hidden="1">"c4396"</definedName>
    <definedName name="IQ_EST_ACT_DISTRIBUTABLE_CASH_SHARE" hidden="1">"c4397"</definedName>
    <definedName name="IQ_EST_ACT_DPS" hidden="1">"c1680"</definedName>
    <definedName name="IQ_EST_ACT_DPS_THOM" hidden="1">"c4019"</definedName>
    <definedName name="IQ_EST_ACT_EBIT" hidden="1">"c1687"</definedName>
    <definedName name="IQ_EST_ACT_EBIT_GW" hidden="1">"c4398"</definedName>
    <definedName name="IQ_EST_ACT_EBIT_SBC" hidden="1">"c4399"</definedName>
    <definedName name="IQ_EST_ACT_EBIT_SBC_GW" hidden="1">"c4400"</definedName>
    <definedName name="IQ_EST_ACT_EBIT_THOM" hidden="1">"c5111"</definedName>
    <definedName name="IQ_EST_ACT_EBITDA" hidden="1">"c1664"</definedName>
    <definedName name="IQ_EST_ACT_EBITDA_CIQ" hidden="1">"c3667"</definedName>
    <definedName name="IQ_EST_ACT_EBITDA_SBC" hidden="1">"c4401"</definedName>
    <definedName name="IQ_EST_ACT_EBITDA_THOM" hidden="1">"c3998"</definedName>
    <definedName name="IQ_EST_ACT_EBT_SBC" hidden="1">"c4402"</definedName>
    <definedName name="IQ_EST_ACT_EBT_SBC_GW" hidden="1">"c4403"</definedName>
    <definedName name="IQ_EST_ACT_EPS" hidden="1">"c1648"</definedName>
    <definedName name="IQ_EST_ACT_EPS_CIQ" hidden="1">"c4998"</definedName>
    <definedName name="IQ_EST_ACT_EPS_GW" hidden="1">"c1743"</definedName>
    <definedName name="IQ_EST_ACT_EPS_GW_CIQ" hidden="1">"c4729"</definedName>
    <definedName name="IQ_EST_ACT_EPS_GW_REUT" hidden="1">"c5395"</definedName>
    <definedName name="IQ_EST_ACT_EPS_GW_THOM" hidden="1">"c5139"</definedName>
    <definedName name="IQ_EST_ACT_EPS_NORM" hidden="1">"c2232"</definedName>
    <definedName name="IQ_EST_ACT_EPS_NORM_CIQ" hidden="1">"c4673"</definedName>
    <definedName name="IQ_EST_ACT_EPS_NORM_REUT" hidden="1">"c5332"</definedName>
    <definedName name="IQ_EST_ACT_EPS_REPORTED" hidden="1">"c1750"</definedName>
    <definedName name="IQ_EST_ACT_EPS_REPORTED_CIQ" hidden="1">"c4736"</definedName>
    <definedName name="IQ_EST_ACT_EPS_REPORTED_REUT" hidden="1">"c5402"</definedName>
    <definedName name="IQ_EST_ACT_EPS_REPORTED_THOM" hidden="1">"c5146"</definedName>
    <definedName name="IQ_EST_ACT_EPS_SBC" hidden="1">"c4404"</definedName>
    <definedName name="IQ_EST_ACT_EPS_SBC_GW" hidden="1">"c4405"</definedName>
    <definedName name="IQ_EST_ACT_EPS_THOM" hidden="1">"c5294"</definedName>
    <definedName name="IQ_EST_ACT_FFO" hidden="1">"c4407"</definedName>
    <definedName name="IQ_EST_ACT_FFO_ADJ" hidden="1">"c4406"</definedName>
    <definedName name="IQ_EST_ACT_FFO_SHARE" hidden="1">"c1666"</definedName>
    <definedName name="IQ_EST_ACT_FFO_SHARE_SHARE_THOM" hidden="1">"c4005"</definedName>
    <definedName name="IQ_EST_ACT_FFO_THOM" hidden="1">"c4005"</definedName>
    <definedName name="IQ_EST_ACT_GROSS_MARGIN" hidden="1">"c5553"</definedName>
    <definedName name="IQ_EST_ACT_GROSS_MARGIN_THOM" hidden="1">"c5561"</definedName>
    <definedName name="IQ_EST_ACT_MAINT_CAPEX" hidden="1">"c4408"</definedName>
    <definedName name="IQ_EST_ACT_NAV" hidden="1">"c1757"</definedName>
    <definedName name="IQ_EST_ACT_NAV_SHARE" hidden="1">"c5608"</definedName>
    <definedName name="IQ_EST_ACT_NAV_THOM" hidden="1">"c5600"</definedName>
    <definedName name="IQ_EST_ACT_NET_DEBT" hidden="1">"c3545"</definedName>
    <definedName name="IQ_EST_ACT_NET_DEBT_THOM" hidden="1">"c4033"</definedName>
    <definedName name="IQ_EST_ACT_NI" hidden="1">"c1722"</definedName>
    <definedName name="IQ_EST_ACT_NI_GW" hidden="1">"c1729"</definedName>
    <definedName name="IQ_EST_ACT_NI_REPORTED" hidden="1">"c1736"</definedName>
    <definedName name="IQ_EST_ACT_NI_SBC" hidden="1">"c4409"</definedName>
    <definedName name="IQ_EST_ACT_NI_SBC_GW" hidden="1">"c4410"</definedName>
    <definedName name="IQ_EST_ACT_NI_THOM" hidden="1">"c5132"</definedName>
    <definedName name="IQ_EST_ACT_OPER_INC" hidden="1">"c1694"</definedName>
    <definedName name="IQ_EST_ACT_OPER_INC_THOM" hidden="1">"c5118"</definedName>
    <definedName name="IQ_EST_ACT_PRETAX_GW_INC" hidden="1">"c1708"</definedName>
    <definedName name="IQ_EST_ACT_PRETAX_INC" hidden="1">"c1701"</definedName>
    <definedName name="IQ_EST_ACT_PRETAX_INC_THOM" hidden="1">"c5125"</definedName>
    <definedName name="IQ_EST_ACT_PRETAX_REPORT_INC" hidden="1">"c1715"</definedName>
    <definedName name="IQ_EST_ACT_RECURRING_PROFIT" hidden="1">"c4411"</definedName>
    <definedName name="IQ_EST_ACT_RECURRING_PROFIT_SHARE" hidden="1">"c4412"</definedName>
    <definedName name="IQ_EST_ACT_RETURN_ASSETS" hidden="1">"c3547"</definedName>
    <definedName name="IQ_EST_ACT_RETURN_ASSETS_THOM" hidden="1">"c4040"</definedName>
    <definedName name="IQ_EST_ACT_RETURN_EQUITY" hidden="1">"c3548"</definedName>
    <definedName name="IQ_EST_ACT_RETURN_EQUITY_THOM" hidden="1">"c5287"</definedName>
    <definedName name="IQ_EST_ACT_REV" hidden="1">"c2113"</definedName>
    <definedName name="IQ_EST_ACT_REV_CIQ" hidden="1">"c3666"</definedName>
    <definedName name="IQ_EST_ACT_REV_THOM" hidden="1">"c3997"</definedName>
    <definedName name="IQ_EST_BV_SHARE_DIFF" hidden="1">"c4147"</definedName>
    <definedName name="IQ_EST_BV_SHARE_SURPRISE_PERCENT" hidden="1">"c4148"</definedName>
    <definedName name="IQ_EST_CAPEX_DIFF" hidden="1">"c4149"</definedName>
    <definedName name="IQ_EST_CAPEX_GROWTH_1YR" hidden="1">"c3588"</definedName>
    <definedName name="IQ_EST_CAPEX_GROWTH_1YR_THOM" hidden="1">"c5542"</definedName>
    <definedName name="IQ_EST_CAPEX_GROWTH_2YR" hidden="1">"c3589"</definedName>
    <definedName name="IQ_EST_CAPEX_GROWTH_2YR_THOM" hidden="1">"c5543"</definedName>
    <definedName name="IQ_EST_CAPEX_GROWTH_Q_1YR" hidden="1">"c3590"</definedName>
    <definedName name="IQ_EST_CAPEX_GROWTH_Q_1YR_THOM" hidden="1">"c5544"</definedName>
    <definedName name="IQ_EST_CAPEX_SEQ_GROWTH_Q" hidden="1">"c3591"</definedName>
    <definedName name="IQ_EST_CAPEX_SEQ_GROWTH_Q_THOM" hidden="1">"c5545"</definedName>
    <definedName name="IQ_EST_CAPEX_SURPRISE_PERCENT" hidden="1">"c4151"</definedName>
    <definedName name="IQ_EST_CASH_FLOW_DIFF" hidden="1">"c4152"</definedName>
    <definedName name="IQ_EST_CASH_FLOW_SURPRISE_PERCENT" hidden="1">"c4161"</definedName>
    <definedName name="IQ_EST_CASH_OPER_DIFF" hidden="1">"c4162"</definedName>
    <definedName name="IQ_EST_CASH_OPER_SURPRISE_PERCENT" hidden="1">"c4248"</definedName>
    <definedName name="IQ_EST_CFPS_DIFF" hidden="1">"c1871"</definedName>
    <definedName name="IQ_EST_CFPS_DIFF_THOM" hidden="1">"c5188"</definedName>
    <definedName name="IQ_EST_CFPS_GROWTH_1YR" hidden="1">"c1774"</definedName>
    <definedName name="IQ_EST_CFPS_GROWTH_1YR_THOM" hidden="1">"c5174"</definedName>
    <definedName name="IQ_EST_CFPS_GROWTH_2YR" hidden="1">"c1775"</definedName>
    <definedName name="IQ_EST_CFPS_GROWTH_2YR_THOM" hidden="1">"c5175"</definedName>
    <definedName name="IQ_EST_CFPS_GROWTH_Q_1YR" hidden="1">"c1776"</definedName>
    <definedName name="IQ_EST_CFPS_GROWTH_Q_1YR_THOM" hidden="1">"c5176"</definedName>
    <definedName name="IQ_EST_CFPS_SEQ_GROWTH_Q" hidden="1">"c1777"</definedName>
    <definedName name="IQ_EST_CFPS_SEQ_GROWTH_Q_THOM" hidden="1">"c5177"</definedName>
    <definedName name="IQ_EST_CFPS_SURPRISE_PERCENT" hidden="1">"c1872"</definedName>
    <definedName name="IQ_EST_CFPS_SURPRISE_PERCENT_THOM" hidden="1">"c5189"</definedName>
    <definedName name="IQ_EST_CURRENCY" hidden="1">"c2140"</definedName>
    <definedName name="IQ_EST_CURRENCY_CIQ" hidden="1">"c4769"</definedName>
    <definedName name="IQ_EST_CURRENCY_REUT" hidden="1">"c5437"</definedName>
    <definedName name="IQ_EST_CURRENCY_THOM" hidden="1">"c5280"</definedName>
    <definedName name="IQ_EST_DATE" hidden="1">"c1634"</definedName>
    <definedName name="IQ_EST_DATE_CIQ" hidden="1">"c4770"</definedName>
    <definedName name="IQ_EST_DATE_REUT" hidden="1">"c5438"</definedName>
    <definedName name="IQ_EST_DATE_THOM" hidden="1">"c5281"</definedName>
    <definedName name="IQ_EST_DISTRIBUTABLE_CASH_DIFF" hidden="1">"c4276"</definedName>
    <definedName name="IQ_EST_DISTRIBUTABLE_CASH_GROWTH_1YR" hidden="1">"c4413"</definedName>
    <definedName name="IQ_EST_DISTRIBUTABLE_CASH_GROWTH_2YR" hidden="1">"c4414"</definedName>
    <definedName name="IQ_EST_DISTRIBUTABLE_CASH_GROWTH_Q_1YR" hidden="1">"c4415"</definedName>
    <definedName name="IQ_EST_DISTRIBUTABLE_CASH_SEQ_GROWTH_Q" hidden="1">"c4416"</definedName>
    <definedName name="IQ_EST_DISTRIBUTABLE_CASH_SHARE_DIFF" hidden="1">"c4284"</definedName>
    <definedName name="IQ_EST_DISTRIBUTABLE_CASH_SHARE_GROWTH_1YR" hidden="1">"c4417"</definedName>
    <definedName name="IQ_EST_DISTRIBUTABLE_CASH_SHARE_GROWTH_2YR" hidden="1">"c4418"</definedName>
    <definedName name="IQ_EST_DISTRIBUTABLE_CASH_SHARE_GROWTH_Q_1YR" hidden="1">"c4419"</definedName>
    <definedName name="IQ_EST_DISTRIBUTABLE_CASH_SHARE_SEQ_GROWTH_Q" hidden="1">"c4420"</definedName>
    <definedName name="IQ_EST_DISTRIBUTABLE_CASH_SHARE_SURPRISE_PERCENT" hidden="1">"c4293"</definedName>
    <definedName name="IQ_EST_DISTRIBUTABLE_CASH_SURPRISE_PERCENT" hidden="1">"c4295"</definedName>
    <definedName name="IQ_EST_DPS_DIFF" hidden="1">"c1873"</definedName>
    <definedName name="IQ_EST_DPS_DIFF_THOM" hidden="1">"c5190"</definedName>
    <definedName name="IQ_EST_DPS_GROWTH_1YR" hidden="1">"c1778"</definedName>
    <definedName name="IQ_EST_DPS_GROWTH_1YR_THOM" hidden="1">"c5178"</definedName>
    <definedName name="IQ_EST_DPS_GROWTH_2YR" hidden="1">"c1779"</definedName>
    <definedName name="IQ_EST_DPS_GROWTH_2YR_THOM" hidden="1">"c5179"</definedName>
    <definedName name="IQ_EST_DPS_GROWTH_Q_1YR" hidden="1">"c1780"</definedName>
    <definedName name="IQ_EST_DPS_GROWTH_Q_1YR_THOM" hidden="1">"c5180"</definedName>
    <definedName name="IQ_EST_DPS_SEQ_GROWTH_Q" hidden="1">"c1781"</definedName>
    <definedName name="IQ_EST_DPS_SEQ_GROWTH_Q_THOM" hidden="1">"c5181"</definedName>
    <definedName name="IQ_EST_DPS_SURPRISE_PERCENT" hidden="1">"c1874"</definedName>
    <definedName name="IQ_EST_DPS_SURPRISE_PERCENT_THOM" hidden="1">"c5191"</definedName>
    <definedName name="IQ_EST_EBIT_DIFF" hidden="1">"c1875"</definedName>
    <definedName name="IQ_EST_EBIT_DIFF_THOM" hidden="1">"c5192"</definedName>
    <definedName name="IQ_EST_EBIT_GW_DIFF" hidden="1">"c4304"</definedName>
    <definedName name="IQ_EST_EBIT_GW_SURPRISE_PERCENT" hidden="1">"c4313"</definedName>
    <definedName name="IQ_EST_EBIT_SBC_DIFF" hidden="1">"c4314"</definedName>
    <definedName name="IQ_EST_EBIT_SBC_GW_DIFF" hidden="1">"c4318"</definedName>
    <definedName name="IQ_EST_EBIT_SBC_GW_SURPRISE_PERCENT" hidden="1">"c4327"</definedName>
    <definedName name="IQ_EST_EBIT_SBC_SURPRISE_PERCENT" hidden="1">"c4333"</definedName>
    <definedName name="IQ_EST_EBIT_SURPRISE_PERCENT" hidden="1">"c1876"</definedName>
    <definedName name="IQ_EST_EBIT_SURPRISE_PERCENT_THOM" hidden="1">"c5193"</definedName>
    <definedName name="IQ_EST_EBITDA_DIFF" hidden="1">"c1867"</definedName>
    <definedName name="IQ_EST_EBITDA_DIFF_CIQ" hidden="1">"c3719"</definedName>
    <definedName name="IQ_EST_EBITDA_DIFF_THOM" hidden="1">"c5184"</definedName>
    <definedName name="IQ_EST_EBITDA_GROWTH_1YR" hidden="1">"c1766"</definedName>
    <definedName name="IQ_EST_EBITDA_GROWTH_1YR_THOM" hidden="1">"c5161"</definedName>
    <definedName name="IQ_EST_EBITDA_GROWTH_2YR" hidden="1">"c1767"</definedName>
    <definedName name="IQ_EST_EBITDA_GROWTH_2YR_THOM" hidden="1">"c5162"</definedName>
    <definedName name="IQ_EST_EBITDA_GROWTH_Q_1YR" hidden="1">"c1768"</definedName>
    <definedName name="IQ_EST_EBITDA_GROWTH_Q_1YR_THOM" hidden="1">"c5163"</definedName>
    <definedName name="IQ_EST_EBITDA_SBC_DIFF" hidden="1">"c4335"</definedName>
    <definedName name="IQ_EST_EBITDA_SBC_SURPRISE_PERCENT" hidden="1">"c4344"</definedName>
    <definedName name="IQ_EST_EBITDA_SEQ_GROWTH_Q" hidden="1">"c1769"</definedName>
    <definedName name="IQ_EST_EBITDA_SEQ_GROWTH_Q_THOM" hidden="1">"c5164"</definedName>
    <definedName name="IQ_EST_EBITDA_SURPRISE_PERCENT" hidden="1">"c1868"</definedName>
    <definedName name="IQ_EST_EBITDA_SURPRISE_PERCENT_CIQ" hidden="1">"c3720"</definedName>
    <definedName name="IQ_EST_EBITDA_SURPRISE_PERCENT_THOM" hidden="1">"c5185"</definedName>
    <definedName name="IQ_EST_EBT_SBC_DIFF" hidden="1">"c4348"</definedName>
    <definedName name="IQ_EST_EBT_SBC_GW_DIFF" hidden="1">"c4352"</definedName>
    <definedName name="IQ_EST_EBT_SBC_GW_SURPRISE_PERCENT" hidden="1">"c4361"</definedName>
    <definedName name="IQ_EST_EBT_SBC_SURPRISE_PERCENT" hidden="1">"c4367"</definedName>
    <definedName name="IQ_EST_EPS_DIFF" hidden="1">"c1864"</definedName>
    <definedName name="IQ_EST_EPS_DIFF_CIQ" hidden="1">"c4999"</definedName>
    <definedName name="IQ_EST_EPS_DIFF_THOM" hidden="1">"c5295"</definedName>
    <definedName name="IQ_EST_EPS_GROWTH_1YR" hidden="1">"c1636"</definedName>
    <definedName name="IQ_EST_EPS_GROWTH_1YR_CIQ" hidden="1">"c3628"</definedName>
    <definedName name="IQ_EST_EPS_GROWTH_1YR_REUT" hidden="1">"c3646"</definedName>
    <definedName name="IQ_EST_EPS_GROWTH_1YR_THOM" hidden="1">"c3664"</definedName>
    <definedName name="IQ_EST_EPS_GROWTH_2YR" hidden="1">"c1637"</definedName>
    <definedName name="IQ_EST_EPS_GROWTH_2YR_THOM" hidden="1">"c5154"</definedName>
    <definedName name="IQ_EST_EPS_GROWTH_5YR" hidden="1">"c1655"</definedName>
    <definedName name="IQ_EST_EPS_GROWTH_5YR_BOTTOM_UP" hidden="1">"c5487"</definedName>
    <definedName name="IQ_EST_EPS_GROWTH_5YR_BOTTOM_UP_CIQ" hidden="1">"c12024"</definedName>
    <definedName name="IQ_EST_EPS_GROWTH_5YR_CIQ" hidden="1">"c3615"</definedName>
    <definedName name="IQ_EST_EPS_GROWTH_5YR_HIGH" hidden="1">"c1657"</definedName>
    <definedName name="IQ_EST_EPS_GROWTH_5YR_HIGH_CIQ" hidden="1">"c4663"</definedName>
    <definedName name="IQ_EST_EPS_GROWTH_5YR_HIGH_THOM" hidden="1">"c5101"</definedName>
    <definedName name="IQ_EST_EPS_GROWTH_5YR_LOW" hidden="1">"c1658"</definedName>
    <definedName name="IQ_EST_EPS_GROWTH_5YR_LOW_CIQ" hidden="1">"c4664"</definedName>
    <definedName name="IQ_EST_EPS_GROWTH_5YR_LOW_THOM" hidden="1">"c5102"</definedName>
    <definedName name="IQ_EST_EPS_GROWTH_5YR_MEDIAN" hidden="1">"c1656"</definedName>
    <definedName name="IQ_EST_EPS_GROWTH_5YR_MEDIAN_CIQ" hidden="1">"c5480"</definedName>
    <definedName name="IQ_EST_EPS_GROWTH_5YR_MEDIAN_THOM" hidden="1">"c5100"</definedName>
    <definedName name="IQ_EST_EPS_GROWTH_5YR_NUM" hidden="1">"c1659"</definedName>
    <definedName name="IQ_EST_EPS_GROWTH_5YR_NUM_CIQ" hidden="1">"c4665"</definedName>
    <definedName name="IQ_EST_EPS_GROWTH_5YR_NUM_THOM" hidden="1">"c5103"</definedName>
    <definedName name="IQ_EST_EPS_GROWTH_5YR_REUT" hidden="1">"c3633"</definedName>
    <definedName name="IQ_EST_EPS_GROWTH_5YR_STDDEV" hidden="1">"c1660"</definedName>
    <definedName name="IQ_EST_EPS_GROWTH_5YR_STDDEV_CIQ" hidden="1">"c4666"</definedName>
    <definedName name="IQ_EST_EPS_GROWTH_5YR_STDDEV_THOM" hidden="1">"c5104"</definedName>
    <definedName name="IQ_EST_EPS_GROWTH_5YR_THOM" hidden="1">"c3651"</definedName>
    <definedName name="IQ_EST_EPS_GROWTH_Q_1YR" hidden="1">"c1641"</definedName>
    <definedName name="IQ_EST_EPS_GROWTH_Q_1YR_CIQ" hidden="1">"c4744"</definedName>
    <definedName name="IQ_EST_EPS_GROWTH_Q_1YR_REUT" hidden="1">"c5410"</definedName>
    <definedName name="IQ_EST_EPS_GROWTH_Q_1YR_THOM" hidden="1">"c5155"</definedName>
    <definedName name="IQ_EST_EPS_GW_DIFF" hidden="1">"c1891"</definedName>
    <definedName name="IQ_EST_EPS_GW_DIFF_CIQ" hidden="1">"c4761"</definedName>
    <definedName name="IQ_EST_EPS_GW_DIFF_REUT" hidden="1">"c5429"</definedName>
    <definedName name="IQ_EST_EPS_GW_DIFF_THOM" hidden="1">"c5200"</definedName>
    <definedName name="IQ_EST_EPS_GW_SURPRISE_PERCENT" hidden="1">"c1892"</definedName>
    <definedName name="IQ_EST_EPS_GW_SURPRISE_PERCENT_CIQ" hidden="1">"c4762"</definedName>
    <definedName name="IQ_EST_EPS_GW_SURPRISE_PERCENT_REUT" hidden="1">"c5430"</definedName>
    <definedName name="IQ_EST_EPS_GW_SURPRISE_PERCENT_THOM" hidden="1">"c5201"</definedName>
    <definedName name="IQ_EST_EPS_NORM_DIFF" hidden="1">"c2247"</definedName>
    <definedName name="IQ_EST_EPS_NORM_DIFF_CIQ" hidden="1">"c4745"</definedName>
    <definedName name="IQ_EST_EPS_NORM_DIFF_REUT" hidden="1">"c5411"</definedName>
    <definedName name="IQ_EST_EPS_NORM_SURPRISE_PERCENT" hidden="1">"c2248"</definedName>
    <definedName name="IQ_EST_EPS_NORM_SURPRISE_PERCENT_CIQ" hidden="1">"c4746"</definedName>
    <definedName name="IQ_EST_EPS_NORM_SURPRISE_PERCENT_REUT" hidden="1">"c5412"</definedName>
    <definedName name="IQ_EST_EPS_REPORT_DIFF" hidden="1">"c1893"</definedName>
    <definedName name="IQ_EST_EPS_REPORT_DIFF_CIQ" hidden="1">"c4763"</definedName>
    <definedName name="IQ_EST_EPS_REPORT_DIFF_REUT" hidden="1">"c5431"</definedName>
    <definedName name="IQ_EST_EPS_REPORT_DIFF_THOM" hidden="1">"c5202"</definedName>
    <definedName name="IQ_EST_EPS_REPORT_SURPRISE_PERCENT" hidden="1">"c1894"</definedName>
    <definedName name="IQ_EST_EPS_REPORT_SURPRISE_PERCENT_CIQ" hidden="1">"c4764"</definedName>
    <definedName name="IQ_EST_EPS_REPORT_SURPRISE_PERCENT_REUT" hidden="1">"c5432"</definedName>
    <definedName name="IQ_EST_EPS_REPORT_SURPRISE_PERCENT_THOM" hidden="1">"c5203"</definedName>
    <definedName name="IQ_EST_EPS_SBC_DIFF" hidden="1">"c4374"</definedName>
    <definedName name="IQ_EST_EPS_SBC_GW_DIFF" hidden="1">"c4378"</definedName>
    <definedName name="IQ_EST_EPS_SBC_GW_SURPRISE_PERCENT" hidden="1">"c4387"</definedName>
    <definedName name="IQ_EST_EPS_SBC_SURPRISE_PERCENT" hidden="1">"c4393"</definedName>
    <definedName name="IQ_EST_EPS_SEQ_GROWTH_Q" hidden="1">"c1764"</definedName>
    <definedName name="IQ_EST_EPS_SEQ_GROWTH_Q_THOM" hidden="1">"c5156"</definedName>
    <definedName name="IQ_EST_EPS_SURPRISE" hidden="1">"c1635"</definedName>
    <definedName name="IQ_EST_EPS_SURPRISE_PERCENT" hidden="1">"c1635"</definedName>
    <definedName name="IQ_EST_EPS_SURPRISE_PERCENT_CIQ" hidden="1">"c5000"</definedName>
    <definedName name="IQ_EST_EPS_SURPRISE_PERCENT_THOM" hidden="1">"c5296"</definedName>
    <definedName name="IQ_EST_FAIR_VALUE_MORT_SERVICING_ASSETS_FFIEC" hidden="1">"c12956"</definedName>
    <definedName name="IQ_EST_FFO_ADJ_DIFF" hidden="1">"c4433"</definedName>
    <definedName name="IQ_EST_FFO_ADJ_GROWTH_1YR" hidden="1">"c4421"</definedName>
    <definedName name="IQ_EST_FFO_ADJ_GROWTH_2YR" hidden="1">"c4422"</definedName>
    <definedName name="IQ_EST_FFO_ADJ_GROWTH_Q_1YR" hidden="1">"c4423"</definedName>
    <definedName name="IQ_EST_FFO_ADJ_SEQ_GROWTH_Q" hidden="1">"c4424"</definedName>
    <definedName name="IQ_EST_FFO_ADJ_SURPRISE_PERCENT" hidden="1">"c4442"</definedName>
    <definedName name="IQ_EST_FFO_DIFF" hidden="1">"c4444"</definedName>
    <definedName name="IQ_EST_FFO_DIFF_THOM" hidden="1">"c5186"</definedName>
    <definedName name="IQ_EST_FFO_GROWTH_1YR" hidden="1">"c4425"</definedName>
    <definedName name="IQ_EST_FFO_GROWTH_1YR_THOM" hidden="1">"c5170"</definedName>
    <definedName name="IQ_EST_FFO_GROWTH_2YR" hidden="1">"c4426"</definedName>
    <definedName name="IQ_EST_FFO_GROWTH_2YR_THOM" hidden="1">"c5171"</definedName>
    <definedName name="IQ_EST_FFO_GROWTH_Q_1YR" hidden="1">"c4427"</definedName>
    <definedName name="IQ_EST_FFO_GROWTH_Q_1YR_THOM" hidden="1">"c5172"</definedName>
    <definedName name="IQ_EST_FFO_SEQ_GROWTH_Q" hidden="1">"c4428"</definedName>
    <definedName name="IQ_EST_FFO_SEQ_GROWTH_Q_THOM" hidden="1">"c5173"</definedName>
    <definedName name="IQ_EST_FFO_SHARE_DIFF" hidden="1">"c1869"</definedName>
    <definedName name="IQ_EST_FFO_SHARE_GROWTH_1YR" hidden="1">"c1770"</definedName>
    <definedName name="IQ_EST_FFO_SHARE_GROWTH_2YR" hidden="1">"c1771"</definedName>
    <definedName name="IQ_EST_FFO_SHARE_GROWTH_Q_1YR" hidden="1">"c1772"</definedName>
    <definedName name="IQ_EST_FFO_SHARE_SEQ_GROWTH_Q" hidden="1">"c1773"</definedName>
    <definedName name="IQ_EST_FFO_SHARE_SHARE_DIFF_THOM" hidden="1">"c5186"</definedName>
    <definedName name="IQ_EST_FFO_SHARE_SHARE_SURPRISE_PERCENT_THOM" hidden="1">"c5187"</definedName>
    <definedName name="IQ_EST_FFO_SHARE_SURPRISE_PERCENT" hidden="1">"c1870"</definedName>
    <definedName name="IQ_EST_FFO_SURPRISE_PERCENT" hidden="1">"c4453"</definedName>
    <definedName name="IQ_EST_FFO_SURPRISE_PERCENT_THOM" hidden="1">"c5187"</definedName>
    <definedName name="IQ_EST_FOOTNOTE" hidden="1">"c4540"</definedName>
    <definedName name="IQ_EST_FOOTNOTE_CIQ" hidden="1">"c12022"</definedName>
    <definedName name="IQ_EST_FOOTNOTE_THOM" hidden="1">"c5313"</definedName>
    <definedName name="IQ_EST_MAINT_CAPEX_DIFF" hidden="1">"c4456"</definedName>
    <definedName name="IQ_EST_MAINT_CAPEX_GROWTH_1YR" hidden="1">"c4429"</definedName>
    <definedName name="IQ_EST_MAINT_CAPEX_GROWTH_2YR" hidden="1">"c4430"</definedName>
    <definedName name="IQ_EST_MAINT_CAPEX_GROWTH_Q_1YR" hidden="1">"c4431"</definedName>
    <definedName name="IQ_EST_MAINT_CAPEX_SEQ_GROWTH_Q" hidden="1">"c4432"</definedName>
    <definedName name="IQ_EST_MAINT_CAPEX_SURPRISE_PERCENT" hidden="1">"c4465"</definedName>
    <definedName name="IQ_EST_NAV_DIFF" hidden="1">"c1895"</definedName>
    <definedName name="IQ_EST_NAV_SHARE_SURPRISE_PERCENT" hidden="1">"c1896"</definedName>
    <definedName name="IQ_EST_NAV_SURPRISE_PERCENT" hidden="1">"c12040"</definedName>
    <definedName name="IQ_EST_NET_DEBT_DIFF" hidden="1">"c4466"</definedName>
    <definedName name="IQ_EST_NET_DEBT_SURPRISE_PERCENT" hidden="1">"c4468"</definedName>
    <definedName name="IQ_EST_NI_DIFF" hidden="1">"c1885"</definedName>
    <definedName name="IQ_EST_NI_DIFF_THOM" hidden="1">"c5198"</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BC_DIFF" hidden="1">"c4472"</definedName>
    <definedName name="IQ_EST_NI_SBC_GW_DIFF" hidden="1">"c4476"</definedName>
    <definedName name="IQ_EST_NI_SBC_GW_SURPRISE_PERCENT" hidden="1">"c4485"</definedName>
    <definedName name="IQ_EST_NI_SBC_SURPRISE_PERCENT" hidden="1">"c4491"</definedName>
    <definedName name="IQ_EST_NI_SURPRISE_PERCENT" hidden="1">"c1886"</definedName>
    <definedName name="IQ_EST_NI_SURPRISE_PERCENT_THOM" hidden="1">"c5199"</definedName>
    <definedName name="IQ_EST_NUM_BUY" hidden="1">"c1759"</definedName>
    <definedName name="IQ_EST_NUM_HIGH_REC" hidden="1">"c5649"</definedName>
    <definedName name="IQ_EST_NUM_HIGH_REC_THOM" hidden="1">"c5166"</definedName>
    <definedName name="IQ_EST_NUM_HIGHEST_REC" hidden="1">"c5648"</definedName>
    <definedName name="IQ_EST_NUM_HIGHEST_REC_THOM" hidden="1">"c5165"</definedName>
    <definedName name="IQ_EST_NUM_HOLD" hidden="1">"c1761"</definedName>
    <definedName name="IQ_EST_NUM_LOW_REC" hidden="1">"c5651"</definedName>
    <definedName name="IQ_EST_NUM_LOW_REC_THOM" hidden="1">"c5168"</definedName>
    <definedName name="IQ_EST_NUM_LOWEST_REC" hidden="1">"c5652"</definedName>
    <definedName name="IQ_EST_NUM_LOWEST_REC_THOM" hidden="1">"c5169"</definedName>
    <definedName name="IQ_EST_NUM_NEUTRAL_REC" hidden="1">"c5650"</definedName>
    <definedName name="IQ_EST_NUM_NEUTRAL_REC_THOM" hidden="1">"c5167"</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DIFF_THOM" hidden="1">"c5194"</definedName>
    <definedName name="IQ_EST_OPER_INC_SURPRISE_PERCENT" hidden="1">"c1878"</definedName>
    <definedName name="IQ_EST_OPER_INC_SURPRISE_PERCENT_THOM" hidden="1">"c5195"</definedName>
    <definedName name="IQ_EST_PRE_TAX_DIFF" hidden="1">"c1879"</definedName>
    <definedName name="IQ_EST_PRE_TAX_DIFF_THOM" hidden="1">"c5196"</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PRE_TAX_SURPRISE_PERCENT_THOM" hidden="1">"c5197"</definedName>
    <definedName name="IQ_EST_RECURRING_PROFIT_SHARE_DIFF" hidden="1">"c4505"</definedName>
    <definedName name="IQ_EST_RECURRING_PROFIT_SHARE_SURPRISE_PERCENT" hidden="1">"c4515"</definedName>
    <definedName name="IQ_EST_REV_DIFF" hidden="1">"c1865"</definedName>
    <definedName name="IQ_EST_REV_DIFF_CIQ" hidden="1">"c3717"</definedName>
    <definedName name="IQ_EST_REV_DIFF_THOM" hidden="1">"c5182"</definedName>
    <definedName name="IQ_EST_REV_GROWTH_1YR" hidden="1">"c1638"</definedName>
    <definedName name="IQ_EST_REV_GROWTH_1YR_THOM" hidden="1">"c5157"</definedName>
    <definedName name="IQ_EST_REV_GROWTH_2YR" hidden="1">"c1639"</definedName>
    <definedName name="IQ_EST_REV_GROWTH_2YR_THOM" hidden="1">"c5158"</definedName>
    <definedName name="IQ_EST_REV_GROWTH_Q_1YR" hidden="1">"c1640"</definedName>
    <definedName name="IQ_EST_REV_GROWTH_Q_1YR_THOM" hidden="1">"c5159"</definedName>
    <definedName name="IQ_EST_REV_SEQ_GROWTH_Q" hidden="1">"c1765"</definedName>
    <definedName name="IQ_EST_REV_SEQ_GROWTH_Q_THOM" hidden="1">"c5160"</definedName>
    <definedName name="IQ_EST_REV_SURPRISE_PERCENT" hidden="1">"c1866"</definedName>
    <definedName name="IQ_EST_REV_SURPRISE_PERCENT_CIQ" hidden="1">"c3718"</definedName>
    <definedName name="IQ_EST_REV_SURPRISE_PERCENT_THOM" hidden="1">"c5183"</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_OVER_REVENUE_EST" hidden="1">"IQ_EV_OVER_REVENUE_EST"</definedName>
    <definedName name="IQ_EV_OVER_REVENUE_EST_1" hidden="1">"IQ_EV_OVER_REVENUE_EST_1"</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S_AP" hidden="1">"c8875"</definedName>
    <definedName name="IQ_EXPENSES_AP_ABS" hidden="1">"c8894"</definedName>
    <definedName name="IQ_EXPENSES_FIXED_ASSETS_FFIEC" hidden="1">"c13024"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 hidden="1">"c8401"</definedName>
    <definedName name="IQ_EXPORTS_APR_FC_UNUSED_UNUSED_UNUSED" hidden="1">"c8401"</definedName>
    <definedName name="IQ_EXPORTS_APR_UNUSED" hidden="1">"c7521"</definedName>
    <definedName name="IQ_EXPORTS_APR_UNUSED_UNUSED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 hidden="1">"c7741"</definedName>
    <definedName name="IQ_EXPORTS_FC_UNUSED_UNUSED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 hidden="1">"c8512"</definedName>
    <definedName name="IQ_EXPORTS_GOODS_REAL_SAAR_APR_FC_UNUSED_UNUSED_UNUSED" hidden="1">"c8512"</definedName>
    <definedName name="IQ_EXPORTS_GOODS_REAL_SAAR_APR_UNUSED" hidden="1">"c7632"</definedName>
    <definedName name="IQ_EXPORTS_GOODS_REAL_SAAR_APR_UNUSED_UNUSED_UNUSED" hidden="1">"c7632"</definedName>
    <definedName name="IQ_EXPORTS_GOODS_REAL_SAAR_FC_UNUSED" hidden="1">"c7852"</definedName>
    <definedName name="IQ_EXPORTS_GOODS_REAL_SAAR_FC_UNUSED_UNUSED_UNUSED" hidden="1">"c7852"</definedName>
    <definedName name="IQ_EXPORTS_GOODS_REAL_SAAR_POP" hidden="1">"c11931"</definedName>
    <definedName name="IQ_EXPORTS_GOODS_REAL_SAAR_POP_FC_UNUSED" hidden="1">"c8072"</definedName>
    <definedName name="IQ_EXPORTS_GOODS_REAL_SAAR_POP_FC_UNUSED_UNUSED_UNUSED" hidden="1">"c8072"</definedName>
    <definedName name="IQ_EXPORTS_GOODS_REAL_SAAR_POP_UNUSED" hidden="1">"c7192"</definedName>
    <definedName name="IQ_EXPORTS_GOODS_REAL_SAAR_POP_UNUSED_UNUSED_UNUSED" hidden="1">"c7192"</definedName>
    <definedName name="IQ_EXPORTS_GOODS_REAL_SAAR_UNUSED" hidden="1">"c6972"</definedName>
    <definedName name="IQ_EXPORTS_GOODS_REAL_SAAR_UNUSED_UNUSED_UNUSED" hidden="1">"c6972"</definedName>
    <definedName name="IQ_EXPORTS_GOODS_REAL_SAAR_YOY" hidden="1">"c11932"</definedName>
    <definedName name="IQ_EXPORTS_GOODS_REAL_SAAR_YOY_FC_UNUSED" hidden="1">"c8292"</definedName>
    <definedName name="IQ_EXPORTS_GOODS_REAL_SAAR_YOY_FC_UNUSED_UNUSED_UNUSED" hidden="1">"c8292"</definedName>
    <definedName name="IQ_EXPORTS_GOODS_REAL_SAAR_YOY_UNUSED" hidden="1">"c7412"</definedName>
    <definedName name="IQ_EXPORTS_GOODS_REAL_SAAR_YOY_UNUSED_UNUSED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 hidden="1">"c7961"</definedName>
    <definedName name="IQ_EXPORTS_POP_FC_UNUSED_UNUSED_UNUSED" hidden="1">"c7961"</definedName>
    <definedName name="IQ_EXPORTS_POP_UNUSED" hidden="1">"c7081"</definedName>
    <definedName name="IQ_EXPORTS_POP_UNUSED_UNUSED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 hidden="1">"c8516"</definedName>
    <definedName name="IQ_EXPORTS_SERVICES_REAL_SAAR_APR_FC_UNUSED_UNUSED_UNUSED" hidden="1">"c8516"</definedName>
    <definedName name="IQ_EXPORTS_SERVICES_REAL_SAAR_APR_UNUSED" hidden="1">"c7636"</definedName>
    <definedName name="IQ_EXPORTS_SERVICES_REAL_SAAR_APR_UNUSED_UNUSED_UNUSED" hidden="1">"c7636"</definedName>
    <definedName name="IQ_EXPORTS_SERVICES_REAL_SAAR_FC_UNUSED" hidden="1">"c7856"</definedName>
    <definedName name="IQ_EXPORTS_SERVICES_REAL_SAAR_FC_UNUSED_UNUSED_UNUSED" hidden="1">"c7856"</definedName>
    <definedName name="IQ_EXPORTS_SERVICES_REAL_SAAR_POP" hidden="1">"c11935"</definedName>
    <definedName name="IQ_EXPORTS_SERVICES_REAL_SAAR_POP_FC_UNUSED" hidden="1">"c8076"</definedName>
    <definedName name="IQ_EXPORTS_SERVICES_REAL_SAAR_POP_FC_UNUSED_UNUSED_UNUSED" hidden="1">"c8076"</definedName>
    <definedName name="IQ_EXPORTS_SERVICES_REAL_SAAR_POP_UNUSED" hidden="1">"c7196"</definedName>
    <definedName name="IQ_EXPORTS_SERVICES_REAL_SAAR_POP_UNUSED_UNUSED_UNUSED" hidden="1">"c7196"</definedName>
    <definedName name="IQ_EXPORTS_SERVICES_REAL_SAAR_UNUSED" hidden="1">"c6976"</definedName>
    <definedName name="IQ_EXPORTS_SERVICES_REAL_SAAR_UNUSED_UNUSED_UNUSED" hidden="1">"c6976"</definedName>
    <definedName name="IQ_EXPORTS_SERVICES_REAL_SAAR_YOY" hidden="1">"c11936"</definedName>
    <definedName name="IQ_EXPORTS_SERVICES_REAL_SAAR_YOY_FC_UNUSED" hidden="1">"c8296"</definedName>
    <definedName name="IQ_EXPORTS_SERVICES_REAL_SAAR_YOY_FC_UNUSED_UNUSED_UNUSED" hidden="1">"c8296"</definedName>
    <definedName name="IQ_EXPORTS_SERVICES_REAL_SAAR_YOY_UNUSED" hidden="1">"c7416"</definedName>
    <definedName name="IQ_EXPORTS_SERVICES_REAL_SAAR_YOY_UNUSED_UNUSED_UNUSED" hidden="1">"c7416"</definedName>
    <definedName name="IQ_EXPORTS_SERVICES_REAL_YOY" hidden="1">"c7417"</definedName>
    <definedName name="IQ_EXPORTS_SERVICES_REAL_YOY_FC" hidden="1">"c8297"</definedName>
    <definedName name="IQ_EXPORTS_UNUSED" hidden="1">"c6861"</definedName>
    <definedName name="IQ_EXPORTS_UNUSED_UNUSED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 hidden="1">"c8181"</definedName>
    <definedName name="IQ_EXPORTS_YOY_FC_UNUSED_UNUSED_UNUSED" hidden="1">"c8181"</definedName>
    <definedName name="IQ_EXPORTS_YOY_UNUSED" hidden="1">"c7301"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AVG_ASSETS_FFIEC" hidden="1">"c13369"</definedName>
    <definedName name="IQ_EXTRA_ITEMS" hidden="1">"c1459"</definedName>
    <definedName name="IQ_EXTRAORDINARY_GAINS_FDIC" hidden="1">"c6586"</definedName>
    <definedName name="IQ_EXTRAORDINARY_ITEMS_FFIEC" hidden="1">"c13033"</definedName>
    <definedName name="IQ_FAD" hidden="1">"c8757"</definedName>
    <definedName name="IQ_FAD_PAYOUT_RATIO" hidden="1">"c8872"</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DIC_DEPOSIT_INSURANCE_FFIEC" hidden="1">"c13053"</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S_PURCHASED_DOM_FFIEC" hidden="1">"c12856"</definedName>
    <definedName name="IQ_FED_FUNDS_PURCHASED_FDIC" hidden="1">"c6343"</definedName>
    <definedName name="IQ_FED_FUNDS_PURCHASED_QUARTERLY_AVG_FFIEC" hidden="1">"c13090"</definedName>
    <definedName name="IQ_FED_FUNDS_SOLD_DOM_FFIEC" hidden="1">"c12806"</definedName>
    <definedName name="IQ_FED_FUNDS_SOLD_FDIC" hidden="1">"c6307"</definedName>
    <definedName name="IQ_FED_FUNDS_SOLD_QUARTERLY_AVG_FFIEC" hidden="1">"c13080"</definedName>
    <definedName name="IQ_FEDFUNDS_SOLD" hidden="1">"c2256"</definedName>
    <definedName name="IQ_FEES_COMMISSIONS_BROKERAGE_FFIEC" hidden="1">"c13005"</definedName>
    <definedName name="IQ_FFO" hidden="1">"c1574"</definedName>
    <definedName name="IQ_FFO_ACT_OR_EST" hidden="1">"c4446"</definedName>
    <definedName name="IQ_FFO_ADJ_ACT_OR_EST" hidden="1">"c4435"</definedName>
    <definedName name="IQ_FFO_ADJ_ACT_OR_EST_CIQ" hidden="1">"c4960"</definedName>
    <definedName name="IQ_FFO_ADJ_EST" hidden="1">"c4434"</definedName>
    <definedName name="IQ_FFO_ADJ_GUIDANCE" hidden="1">"c4436"</definedName>
    <definedName name="IQ_FFO_ADJ_HIGH_EST" hidden="1">"c4437"</definedName>
    <definedName name="IQ_FFO_ADJ_HIGH_GUIDANCE" hidden="1">"c4202"</definedName>
    <definedName name="IQ_FFO_ADJ_LOW_EST" hidden="1">"c4438"</definedName>
    <definedName name="IQ_FFO_ADJ_LOW_GUIDANCE" hidden="1">"c4242"</definedName>
    <definedName name="IQ_FFO_ADJ_MEDIAN_EST" hidden="1">"c4439"</definedName>
    <definedName name="IQ_FFO_ADJ_NUM_EST" hidden="1">"c4440"</definedName>
    <definedName name="IQ_FFO_ADJ_STDDEV_EST" hidden="1">"c4441"</definedName>
    <definedName name="IQ_FFO_EST" hidden="1">"c4445"</definedName>
    <definedName name="IQ_FFO_EST_DET_EST" hidden="1">"c12059"</definedName>
    <definedName name="IQ_FFO_EST_DET_EST_CURRENCY" hidden="1">"c12466"</definedName>
    <definedName name="IQ_FFO_EST_DET_EST_CURRENCY_THOM" hidden="1">"c12487"</definedName>
    <definedName name="IQ_FFO_EST_DET_EST_DATE" hidden="1">"c12212"</definedName>
    <definedName name="IQ_FFO_EST_DET_EST_DATE_THOM" hidden="1">"c12238"</definedName>
    <definedName name="IQ_FFO_EST_DET_EST_INCL" hidden="1">"c12349"</definedName>
    <definedName name="IQ_FFO_EST_DET_EST_INCL_THOM" hidden="1">"c12370"</definedName>
    <definedName name="IQ_FFO_EST_DET_EST_ORIGIN" hidden="1">"c12722"</definedName>
    <definedName name="IQ_FFO_EST_DET_EST_ORIGIN_THOM" hidden="1">"c12608"</definedName>
    <definedName name="IQ_FFO_EST_DET_EST_THOM" hidden="1">"c12088"</definedName>
    <definedName name="IQ_FFO_EST_THOM" hidden="1">"c3999"</definedName>
    <definedName name="IQ_FFO_GUIDANCE" hidden="1">"c4443"</definedName>
    <definedName name="IQ_FFO_HIGH_EST" hidden="1">"c4448"</definedName>
    <definedName name="IQ_FFO_HIGH_EST_THOM" hidden="1">"c4001"</definedName>
    <definedName name="IQ_FFO_HIGH_GUIDANCE" hidden="1">"c4184"</definedName>
    <definedName name="IQ_FFO_LOW_EST" hidden="1">"c4449"</definedName>
    <definedName name="IQ_FFO_LOW_EST_THOM" hidden="1">"c4002"</definedName>
    <definedName name="IQ_FFO_LOW_GUIDANCE" hidden="1">"c4224"</definedName>
    <definedName name="IQ_FFO_MEDIAN_EST" hidden="1">"c4450"</definedName>
    <definedName name="IQ_FFO_MEDIAN_EST_THOM" hidden="1">"c4000"</definedName>
    <definedName name="IQ_FFO_NUM_EST" hidden="1">"c4451"</definedName>
    <definedName name="IQ_FFO_NUM_EST_THOM" hidden="1">"c4003"</definedName>
    <definedName name="IQ_FFO_PAYOUT_RATIO" hidden="1">"c3492"</definedName>
    <definedName name="IQ_FFO_PER_SHARE_BASIC" hidden="1">"c8867"</definedName>
    <definedName name="IQ_FFO_PER_SHARE_DILUTED" hidden="1">"c8868"</definedName>
    <definedName name="IQ_FFO_SHARE_ACT_OR_EST" hidden="1">"c2216"</definedName>
    <definedName name="IQ_FFO_SHARE_ACT_OR_EST_CIQ" hidden="1">"c4971"</definedName>
    <definedName name="IQ_FFO_SHARE_EST" hidden="1">"c418"</definedName>
    <definedName name="IQ_FFO_SHARE_GUIDANCE" hidden="1">"c4447"</definedName>
    <definedName name="IQ_FFO_SHARE_HIGH_EST" hidden="1">"c419"</definedName>
    <definedName name="IQ_FFO_SHARE_HIGH_GUIDANCE" hidden="1">"c4203"</definedName>
    <definedName name="IQ_FFO_SHARE_LOW_EST" hidden="1">"c420"</definedName>
    <definedName name="IQ_FFO_SHARE_LOW_GUIDANCE" hidden="1">"c4243"</definedName>
    <definedName name="IQ_FFO_SHARE_MEDIAN_EST" hidden="1">"c1665"</definedName>
    <definedName name="IQ_FFO_SHARE_NUM_EST" hidden="1">"c421"</definedName>
    <definedName name="IQ_FFO_SHARE_SHARE_EST_DET_EST" hidden="1">"c12059"</definedName>
    <definedName name="IQ_FFO_SHARE_SHARE_EST_DET_EST_CURRENCY" hidden="1">"c12466"</definedName>
    <definedName name="IQ_FFO_SHARE_SHARE_EST_DET_EST_CURRENCY_THOM" hidden="1">"c12487"</definedName>
    <definedName name="IQ_FFO_SHARE_SHARE_EST_DET_EST_DATE" hidden="1">"c12212"</definedName>
    <definedName name="IQ_FFO_SHARE_SHARE_EST_DET_EST_DATE_THOM" hidden="1">"c12238"</definedName>
    <definedName name="IQ_FFO_SHARE_SHARE_EST_DET_EST_INCL" hidden="1">"c12349"</definedName>
    <definedName name="IQ_FFO_SHARE_SHARE_EST_DET_EST_INCL_THOM" hidden="1">"c12370"</definedName>
    <definedName name="IQ_FFO_SHARE_SHARE_EST_DET_EST_ORIGIN" hidden="1">"c12722"</definedName>
    <definedName name="IQ_FFO_SHARE_SHARE_EST_DET_EST_ORIGIN_THOM" hidden="1">"c12608"</definedName>
    <definedName name="IQ_FFO_SHARE_SHARE_EST_DET_EST_THOM" hidden="1">"c12088"</definedName>
    <definedName name="IQ_FFO_SHARE_SHARE_EST_THOM" hidden="1">"c3999"</definedName>
    <definedName name="IQ_FFO_SHARE_SHARE_HIGH_EST_THOM" hidden="1">"c4001"</definedName>
    <definedName name="IQ_FFO_SHARE_SHARE_LOW_EST_THOM" hidden="1">"c4002"</definedName>
    <definedName name="IQ_FFO_SHARE_SHARE_MEDIAN_EST_THOM" hidden="1">"c4000"</definedName>
    <definedName name="IQ_FFO_SHARE_SHARE_NUM_EST_THOM" hidden="1">"c4003"</definedName>
    <definedName name="IQ_FFO_SHARE_SHARE_STDDEV_EST_THOM" hidden="1">"c4004"</definedName>
    <definedName name="IQ_FFO_SHARE_STDDEV_EST" hidden="1">"c422"</definedName>
    <definedName name="IQ_FFO_STDDEV_EST" hidden="1">"c4452"</definedName>
    <definedName name="IQ_FFO_STDDEV_EST_THOM" hidden="1">"c4004"</definedName>
    <definedName name="IQ_FH" hidden="1">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DUCIARY_INCOME_OPERATING_INC_FFIEC" hidden="1">"c13383"</definedName>
    <definedName name="IQ_FIFETEEN_YEAR_FIXED_AND_FLOATING_RATE_FDIC" hidden="1">"c6423"</definedName>
    <definedName name="IQ_FIFETEEN_YEAR_MORTGAGE_PASS_THROUGHS_FDIC" hidden="1">"c6415"</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ANCIAL_LOC_FOREIGN_GUARANTEES_FFIEC" hidden="1">"c13249"</definedName>
    <definedName name="IQ_FINANCIAL_SERVICING_ASSETS_FAIR_VALUE_TOT_FFIEC" hidden="1">"c13212"</definedName>
    <definedName name="IQ_FINANCIAL_SERVICING_ASSETS_LEVEL_1_FFIEC" hidden="1">"c13220"</definedName>
    <definedName name="IQ_FINANCIAL_SERVICING_ASSETS_LEVEL_2_FFIEC" hidden="1">"c13228"</definedName>
    <definedName name="IQ_FINANCIAL_SERVICING_ASSETS_LEVEL_3_FFIEC" hidden="1">"c13236"</definedName>
    <definedName name="IQ_FINANCIAL_SERVICING_LIAB_FAIR_VALUE_TOT_FFIEC" hidden="1">"c13215"</definedName>
    <definedName name="IQ_FINANCIAL_SERVICING_LIAB_LEVEL_1_FFIEC" hidden="1">"c13223"</definedName>
    <definedName name="IQ_FINANCIAL_SERVICING_LIAB_LEVEL_2_FFIEC" hidden="1">"c13231"</definedName>
    <definedName name="IQ_FINANCIAL_SERVICING_LIAB_LEVEL_3_FFIEC" hidden="1">"c13239"</definedName>
    <definedName name="IQ_FINANCING_CASH" hidden="1">"c1405"</definedName>
    <definedName name="IQ_FINANCING_CASH_SUPPL" hidden="1">"c1406"</definedName>
    <definedName name="IQ_FINANCING_OBLIG_CURRENT" hidden="1">"c11753"</definedName>
    <definedName name="IQ_FINANCING_OBLIG_NON_CURRENT" hidden="1">"c11754"</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CIQ" hidden="1">"c6806"</definedName>
    <definedName name="IQ_FISCAL_Q_EST_REUT" hidden="1">"c6798"</definedName>
    <definedName name="IQ_FISCAL_Q_EST_THOM" hidden="1">"c6802"</definedName>
    <definedName name="IQ_FISCAL_Y" hidden="1">"c441"</definedName>
    <definedName name="IQ_FISCAL_Y_EST" hidden="1">"c6795"</definedName>
    <definedName name="IQ_FISCAL_Y_EST_CIQ" hidden="1">"c6807"</definedName>
    <definedName name="IQ_FISCAL_Y_EST_REUT" hidden="1">"c6799"</definedName>
    <definedName name="IQ_FISCAL_Y_EST_THOM" hidden="1">"c6803"</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_FREQUENCY" hidden="1">"c8964"</definedName>
    <definedName name="IQ_FIXED_ASSET_TURNS" hidden="1">"c445"</definedName>
    <definedName name="IQ_FIXED_INCOME_LIST" hidden="1">"c13504"</definedName>
    <definedName name="IQ_FIXED_INVEST_APR_FC_UNUSED" hidden="1">"c8410"</definedName>
    <definedName name="IQ_FIXED_INVEST_APR_FC_UNUSED_UNUSED_UNUSED" hidden="1">"c8410"</definedName>
    <definedName name="IQ_FIXED_INVEST_APR_UNUSED" hidden="1">"c7530"</definedName>
    <definedName name="IQ_FIXED_INVEST_APR_UNUSED_UNUSED_UNUSED" hidden="1">"c7530"</definedName>
    <definedName name="IQ_FIXED_INVEST_FC_UNUSED" hidden="1">"c7750"</definedName>
    <definedName name="IQ_FIXED_INVEST_FC_UNUSED_UNUSED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 hidden="1">"c7970"</definedName>
    <definedName name="IQ_FIXED_INVEST_POP_FC_UNUSED_UNUSED_UNUSED" hidden="1">"c7970"</definedName>
    <definedName name="IQ_FIXED_INVEST_POP_UNUSED" hidden="1">"c7090"</definedName>
    <definedName name="IQ_FIXED_INVEST_POP_UNUSED_UNUSED_UNUSED" hidden="1">"c7090"</definedName>
    <definedName name="IQ_FIXED_INVEST_REAL_APR_FC_UNUSED" hidden="1">"c8518"</definedName>
    <definedName name="IQ_FIXED_INVEST_REAL_APR_FC_UNUSED_UNUSED_UNUSED" hidden="1">"c8518"</definedName>
    <definedName name="IQ_FIXED_INVEST_REAL_APR_UNUSED" hidden="1">"c7638"</definedName>
    <definedName name="IQ_FIXED_INVEST_REAL_APR_UNUSED_UNUSED_UNUSED" hidden="1">"c7638"</definedName>
    <definedName name="IQ_FIXED_INVEST_REAL_FC_UNUSED" hidden="1">"c7858"</definedName>
    <definedName name="IQ_FIXED_INVEST_REAL_FC_UNUSED_UNUSED_UNUSED" hidden="1">"c7858"</definedName>
    <definedName name="IQ_FIXED_INVEST_REAL_POP_FC_UNUSED" hidden="1">"c8078"</definedName>
    <definedName name="IQ_FIXED_INVEST_REAL_POP_FC_UNUSED_UNUSED_UNUSED" hidden="1">"c8078"</definedName>
    <definedName name="IQ_FIXED_INVEST_REAL_POP_UNUSED" hidden="1">"c7198"</definedName>
    <definedName name="IQ_FIXED_INVEST_REAL_POP_UNUSED_UNUSED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 hidden="1">"c6978"</definedName>
    <definedName name="IQ_FIXED_INVEST_REAL_UNUSED_UNUSED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 hidden="1">"c8298"</definedName>
    <definedName name="IQ_FIXED_INVEST_REAL_YOY_FC_UNUSED_UNUSED_UNUSED" hidden="1">"c8298"</definedName>
    <definedName name="IQ_FIXED_INVEST_REAL_YOY_UNUSED" hidden="1">"c7418"</definedName>
    <definedName name="IQ_FIXED_INVEST_REAL_YOY_UNUSED_UNUSED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 hidden="1">"c6870"</definedName>
    <definedName name="IQ_FIXED_INVEST_UNUSED_UNUSED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 hidden="1">"c8190"</definedName>
    <definedName name="IQ_FIXED_INVEST_YOY_FC_UNUSED_UNUSED_UNUSED" hidden="1">"c8190"</definedName>
    <definedName name="IQ_FIXED_INVEST_YOY_UNUSED" hidden="1">"c7310"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DUE_30_89_FFIEC" hidden="1">"c13269"</definedName>
    <definedName name="IQ_FOREIGN_BANKS_DUE_90_FFIEC" hidden="1">"c13295"</definedName>
    <definedName name="IQ_FOREIGN_BANKS_LOAN_CHARG_OFFS_FDIC" hidden="1">"c6645"</definedName>
    <definedName name="IQ_FOREIGN_BANKS_NET_CHARGE_OFFS_FDIC" hidden="1">"c6647"</definedName>
    <definedName name="IQ_FOREIGN_BANKS_NON_ACCRUAL_FFIEC" hidden="1">"c13321"</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ASSETS_TOT_FFIEC" hidden="1">"c13445"</definedName>
    <definedName name="IQ_FOREIGN_DEPOSITS_NONTRANSACTION_ACCOUNTS_FDIC" hidden="1">"c6549"</definedName>
    <definedName name="IQ_FOREIGN_DEPOSITS_TOT_FFIEC" hidden="1">"c13486"</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L_REC_FFIEC" hidden="1">"c12892"</definedName>
    <definedName name="IQ_FOREIGN_LOANS" hidden="1">"c448"</definedName>
    <definedName name="IQ_FOREIGN_LOANS_LEASES_FOREIGN_FFIEC" hidden="1">"c13478"</definedName>
    <definedName name="IQ_FQ" hidden="1">500</definedName>
    <definedName name="IQ_FUEL" hidden="1">"c449"</definedName>
    <definedName name="IQ_FULL_TIME" hidden="1">"c450"</definedName>
    <definedName name="IQ_FULLY_INSURED_DEPOSITS_FDIC" hidden="1">"c6487"</definedName>
    <definedName name="IQ_FUND_FEE_INC_NON_INT_INC_FFIEC" hidden="1">"c13493"</definedName>
    <definedName name="IQ_FUNDING_DEPENDENCE_FFIEC" hidden="1">"c13336"</definedName>
    <definedName name="IQ_FUNDING_DEPENDENCE_ST_FFIEC" hidden="1">"c13337"</definedName>
    <definedName name="IQ_FUNDS_PURCHASED_ASSETS_TOT_FFIEC" hidden="1">"c13446"</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FFIEC" hidden="1">"c13125"</definedName>
    <definedName name="IQ_FX_CONTRACTS_SPOT_FDIC" hidden="1">"c6356"</definedName>
    <definedName name="IQ_FX_EXPOSURE_FFIEC" hidden="1">"c13059"</definedName>
    <definedName name="IQ_FY" hidden="1">1000</definedName>
    <definedName name="IQ_FY_DATE" hidden="1">"IQ_FY_DATE"</definedName>
    <definedName name="IQ_GA_EXP" hidden="1">"c2241"</definedName>
    <definedName name="IQ_GAAP_BS" hidden="1">"c6789"</definedName>
    <definedName name="IQ_GAAP_CF" hidden="1">"c6790"</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CREDIT_DERIVATIVES_FFIEC" hidden="1">"c13066"</definedName>
    <definedName name="IQ_GAIN_CREDIT_DERIVATIVES_NON_TRADING_FFIEC" hidden="1">"c13067"</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AFS_AVG_ASSETS_FFIEC" hidden="1">"c13364"</definedName>
    <definedName name="IQ_GAINS_ASSETS_TOT_FFIEC" hidden="1">"c13073"</definedName>
    <definedName name="IQ_GAINS_AVAIL_SALE_EQUITY_SEC_T2_FFIEC" hidden="1">"c13147"</definedName>
    <definedName name="IQ_GAINS_AVAIL_SALE_SEC_T1_FFIEC" hidden="1">"c13131"</definedName>
    <definedName name="IQ_GAINS_CASH_FLOW_HEDGES_T1_FFIEC" hidden="1">"c13133"</definedName>
    <definedName name="IQ_GAINS_HTM_AVG_ASSETS_FFIEC" hidden="1">"c13363"</definedName>
    <definedName name="IQ_GAINS_INSTRUMENT_SPECIFIC_CREDIT_RISK_LIAB_FFIEC" hidden="1">"c13076"</definedName>
    <definedName name="IQ_GAINS_INSTRUMENT_SPECIFIC_RISK_FFIEC" hidden="1">"c13074"</definedName>
    <definedName name="IQ_GAINS_INSURANCE_ACTIVITIES_FFIEC" hidden="1">"c13072"</definedName>
    <definedName name="IQ_GAINS_LIABILITIES_FFIEC" hidden="1">"c13075"</definedName>
    <definedName name="IQ_GAINS_SALE_ASSETS_FDIC" hidden="1">"c6675"</definedName>
    <definedName name="IQ_GAINS_SALE_LOANS_LEASES_FFIEC" hidden="1">"c13013"</definedName>
    <definedName name="IQ_GAINS_SALE_OTHER_ASSETS_FFIEC" hidden="1">"c13015"</definedName>
    <definedName name="IQ_GAINS_SALE_OTHER_RE_OWNED_FFIEC" hidden="1">"c13014"</definedName>
    <definedName name="IQ_GAINS_SECURITIZATION_OPERATING_INC_FFIEC" hidden="1">"c13391"</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FFIEC" hidden="1">"c12836"</definedName>
    <definedName name="IQ_GOODWILL_IMPAIRMENT_FDIC" hidden="1">"c6678"</definedName>
    <definedName name="IQ_GOODWILL_IMPAIRMENT_FFIEC" hidden="1">"c13025"</definedName>
    <definedName name="IQ_GOODWILL_INTAN_FDIC" hidden="1">"c6333"</definedName>
    <definedName name="IQ_GOODWILL_NET" hidden="1">"c1380"</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LOSSES_AVG_LOANS_FFIEC" hidden="1">"c13475"</definedName>
    <definedName name="IQ_GROSS_MARGIN" hidden="1">"c529"</definedName>
    <definedName name="IQ_GROSS_MARGIN_ACT_OR_EST" hidden="1">"c5554"</definedName>
    <definedName name="IQ_GROSS_MARGIN_ACT_OR_EST_THOM" hidden="1">"c5562"</definedName>
    <definedName name="IQ_GROSS_MARGIN_DET_EST_DATE_THOM" hidden="1">"c12239"</definedName>
    <definedName name="IQ_GROSS_MARGIN_DET_EST_INCL_THOM" hidden="1">"c12371"</definedName>
    <definedName name="IQ_GROSS_MARGIN_DET_EST_ORIGIN_THOM" hidden="1">"c12609"</definedName>
    <definedName name="IQ_GROSS_MARGIN_DET_EST_THOM" hidden="1">"c12089"</definedName>
    <definedName name="IQ_GROSS_MARGIN_EST" hidden="1">"c5547"</definedName>
    <definedName name="IQ_GROSS_MARGIN_EST_THOM" hidden="1">"c5555"</definedName>
    <definedName name="IQ_GROSS_MARGIN_HIGH_EST" hidden="1">"c5549"</definedName>
    <definedName name="IQ_GROSS_MARGIN_HIGH_EST_THOM" hidden="1">"c5557"</definedName>
    <definedName name="IQ_GROSS_MARGIN_LOW_EST" hidden="1">"c5550"</definedName>
    <definedName name="IQ_GROSS_MARGIN_LOW_EST_THOM" hidden="1">"c5558"</definedName>
    <definedName name="IQ_GROSS_MARGIN_MEDIAN_EST" hidden="1">"c5548"</definedName>
    <definedName name="IQ_GROSS_MARGIN_MEDIAN_EST_THOM" hidden="1">"c5556"</definedName>
    <definedName name="IQ_GROSS_MARGIN_NUM_EST" hidden="1">"c5551"</definedName>
    <definedName name="IQ_GROSS_MARGIN_NUM_EST_THOM" hidden="1">"c5559"</definedName>
    <definedName name="IQ_GROSS_MARGIN_STDDEV_EST" hidden="1">"c5552"</definedName>
    <definedName name="IQ_GROSS_MARGIN_STDDEV_EST_THOM" hidden="1">"c5560"</definedName>
    <definedName name="IQ_GROSS_PC_EARNED" hidden="1">"c2747"</definedName>
    <definedName name="IQ_GROSS_PROFIT" hidden="1">"c1378"</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EXP_CASINO" hidden="1">"c8733"</definedName>
    <definedName name="IQ_HG_EXP_DEVELOPMENT" hidden="1">"c8738"</definedName>
    <definedName name="IQ_HG_EXP_ENTERTAINMENT" hidden="1">"c8736"</definedName>
    <definedName name="IQ_HG_EXP_FOOD_BEV" hidden="1">"c8734"</definedName>
    <definedName name="IQ_HG_EXP_FRANCHISE_MANAGEMENT" hidden="1">"c8744"</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INCENTIVE_MANAGEMENT_FEES" hidden="1">"c8727"</definedName>
    <definedName name="IQ_HG_REV_MANAGEMENT_FEES" hidden="1">"c8718"</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PROM_COSTS" hidden="1">"c8745"</definedName>
    <definedName name="IQ_HG_ROOMS_BEG" hidden="1">"c8600"</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MANAGED" hidden="1">"c8644"</definedName>
    <definedName name="IQ_HG_TABLE_GAMES_OWNED" hidden="1">"c8642"</definedName>
    <definedName name="IQ_HG_TABLE_GAM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LOW_CLOSEPRICE_DATE" hidden="1">"c1204"</definedName>
    <definedName name="IQ_HIGH_TARGET_PRICE" hidden="1">"c1651"</definedName>
    <definedName name="IQ_HIGH_TARGET_PRICE_CIQ" hidden="1">"c4659"</definedName>
    <definedName name="IQ_HIGH_TARGET_PRICE_REUT" hidden="1">"c5317"</definedName>
    <definedName name="IQ_HIGH_TARGET_PRICE_THOM" hidden="1">"c5096"</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 hidden="1">"c8422"</definedName>
    <definedName name="IQ_HOUSING_COMPLETIONS_SINGLE_FAM_APR_FC_UNUSED_UNUSED_UNUSED" hidden="1">"c8422"</definedName>
    <definedName name="IQ_HOUSING_COMPLETIONS_SINGLE_FAM_APR_UNUSED" hidden="1">"c7542"</definedName>
    <definedName name="IQ_HOUSING_COMPLETIONS_SINGLE_FAM_APR_UNUSED_UNUSED_UNUSED" hidden="1">"c7542"</definedName>
    <definedName name="IQ_HOUSING_COMPLETIONS_SINGLE_FAM_FC_UNUSED" hidden="1">"c7762"</definedName>
    <definedName name="IQ_HOUSING_COMPLETIONS_SINGLE_FAM_FC_UNUSED_UNUSED_UNUSED" hidden="1">"c7762"</definedName>
    <definedName name="IQ_HOUSING_COMPLETIONS_SINGLE_FAM_POP_FC_UNUSED" hidden="1">"c7982"</definedName>
    <definedName name="IQ_HOUSING_COMPLETIONS_SINGLE_FAM_POP_FC_UNUSED_UNUSED_UNUSED" hidden="1">"c7982"</definedName>
    <definedName name="IQ_HOUSING_COMPLETIONS_SINGLE_FAM_POP_UNUSED" hidden="1">"c7102"</definedName>
    <definedName name="IQ_HOUSING_COMPLETIONS_SINGLE_FAM_POP_UNUSED_UNUSED_UNUSED" hidden="1">"c7102"</definedName>
    <definedName name="IQ_HOUSING_COMPLETIONS_SINGLE_FAM_UNUSED" hidden="1">"c6882"</definedName>
    <definedName name="IQ_HOUSING_COMPLETIONS_SINGLE_FAM_UNUSED_UNUSED_UNUSED" hidden="1">"c6882"</definedName>
    <definedName name="IQ_HOUSING_COMPLETIONS_SINGLE_FAM_YOY_FC_UNUSED" hidden="1">"c8202"</definedName>
    <definedName name="IQ_HOUSING_COMPLETIONS_SINGLE_FAM_YOY_FC_UNUSED_UNUSED_UNUSED" hidden="1">"c8202"</definedName>
    <definedName name="IQ_HOUSING_COMPLETIONS_SINGLE_FAM_YOY_UNUSED" hidden="1">"c7322"</definedName>
    <definedName name="IQ_HOUSING_COMPLETIONS_SINGLE_FAM_YOY_UNUSED_UNUSED_UNUSED" hidden="1">"c7322"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HTM_INVEST_SECURITIES_FFIEC" hidden="1">"c13455"</definedName>
    <definedName name="IQ_HTM_SECURITIES_TIER_1_FFIEC" hidden="1">"c13342"</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IR_OIL" hidden="1">"c547"</definedName>
    <definedName name="IQ_IMPAIRMENT_GW" hidden="1">"c548"</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 hidden="1">"c8523"</definedName>
    <definedName name="IQ_IMPORTS_GOODS_REAL_SAAR_APR_FC_UNUSED_UNUSED_UNUSED" hidden="1">"c8523"</definedName>
    <definedName name="IQ_IMPORTS_GOODS_REAL_SAAR_APR_UNUSED" hidden="1">"c7643"</definedName>
    <definedName name="IQ_IMPORTS_GOODS_REAL_SAAR_APR_UNUSED_UNUSED_UNUSED" hidden="1">"c7643"</definedName>
    <definedName name="IQ_IMPORTS_GOODS_REAL_SAAR_FC_UNUSED" hidden="1">"c7863"</definedName>
    <definedName name="IQ_IMPORTS_GOODS_REAL_SAAR_FC_UNUSED_UNUSED_UNUSED" hidden="1">"c7863"</definedName>
    <definedName name="IQ_IMPORTS_GOODS_REAL_SAAR_POP_FC_UNUSED" hidden="1">"c8083"</definedName>
    <definedName name="IQ_IMPORTS_GOODS_REAL_SAAR_POP_FC_UNUSED_UNUSED_UNUSED" hidden="1">"c8083"</definedName>
    <definedName name="IQ_IMPORTS_GOODS_REAL_SAAR_POP_UNUSED" hidden="1">"c7203"</definedName>
    <definedName name="IQ_IMPORTS_GOODS_REAL_SAAR_POP_UNUSED_UNUSED_UNUSED" hidden="1">"c7203"</definedName>
    <definedName name="IQ_IMPORTS_GOODS_REAL_SAAR_UNUSED" hidden="1">"c6983"</definedName>
    <definedName name="IQ_IMPORTS_GOODS_REAL_SAAR_UNUSED_UNUSED_UNUSED" hidden="1">"c6983"</definedName>
    <definedName name="IQ_IMPORTS_GOODS_REAL_SAAR_YOY_FC_UNUSED" hidden="1">"c8303"</definedName>
    <definedName name="IQ_IMPORTS_GOODS_REAL_SAAR_YOY_FC_UNUSED_UNUSED_UNUSED" hidden="1">"c8303"</definedName>
    <definedName name="IQ_IMPORTS_GOODS_REAL_SAAR_YOY_UNUSED" hidden="1">"c7423"</definedName>
    <definedName name="IQ_IMPORTS_GOODS_REAL_SAAR_YOY_UNUSED_UNUSED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 hidden="1">"c8429"</definedName>
    <definedName name="IQ_IMPORTS_GOODS_SERVICES_APR_FC_UNUSED_UNUSED_UNUSED" hidden="1">"c8429"</definedName>
    <definedName name="IQ_IMPORTS_GOODS_SERVICES_APR_UNUSED" hidden="1">"c7549"</definedName>
    <definedName name="IQ_IMPORTS_GOODS_SERVICES_APR_UNUSED_UNUSED_UNUSED" hidden="1">"c7549"</definedName>
    <definedName name="IQ_IMPORTS_GOODS_SERVICES_FC_UNUSED" hidden="1">"c7769"</definedName>
    <definedName name="IQ_IMPORTS_GOODS_SERVICES_FC_UNUSED_UNUSED_UNUSED" hidden="1">"c7769"</definedName>
    <definedName name="IQ_IMPORTS_GOODS_SERVICES_POP_FC_UNUSED" hidden="1">"c7989"</definedName>
    <definedName name="IQ_IMPORTS_GOODS_SERVICES_POP_FC_UNUSED_UNUSED_UNUSED" hidden="1">"c7989"</definedName>
    <definedName name="IQ_IMPORTS_GOODS_SERVICES_POP_UNUSED" hidden="1">"c7109"</definedName>
    <definedName name="IQ_IMPORTS_GOODS_SERVICES_POP_UNUSED_UNUSED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 hidden="1">"c8524"</definedName>
    <definedName name="IQ_IMPORTS_GOODS_SERVICES_REAL_SAAR_APR_FC_UNUSED_UNUSED_UNUSED" hidden="1">"c8524"</definedName>
    <definedName name="IQ_IMPORTS_GOODS_SERVICES_REAL_SAAR_APR_UNUSED" hidden="1">"c7644"</definedName>
    <definedName name="IQ_IMPORTS_GOODS_SERVICES_REAL_SAAR_APR_UNUSED_UNUSED_UNUSED" hidden="1">"c7644"</definedName>
    <definedName name="IQ_IMPORTS_GOODS_SERVICES_REAL_SAAR_FC_UNUSED" hidden="1">"c7864"</definedName>
    <definedName name="IQ_IMPORTS_GOODS_SERVICES_REAL_SAAR_FC_UNUSED_UNUSED_UNUSED" hidden="1">"c7864"</definedName>
    <definedName name="IQ_IMPORTS_GOODS_SERVICES_REAL_SAAR_POP" hidden="1">"c11959"</definedName>
    <definedName name="IQ_IMPORTS_GOODS_SERVICES_REAL_SAAR_POP_FC_UNUSED" hidden="1">"c8084"</definedName>
    <definedName name="IQ_IMPORTS_GOODS_SERVICES_REAL_SAAR_POP_FC_UNUSED_UNUSED_UNUSED" hidden="1">"c8084"</definedName>
    <definedName name="IQ_IMPORTS_GOODS_SERVICES_REAL_SAAR_POP_UNUSED" hidden="1">"c7204"</definedName>
    <definedName name="IQ_IMPORTS_GOODS_SERVICES_REAL_SAAR_POP_UNUSED_UNUSED_UNUSED" hidden="1">"c7204"</definedName>
    <definedName name="IQ_IMPORTS_GOODS_SERVICES_REAL_SAAR_UNUSED" hidden="1">"c6984"</definedName>
    <definedName name="IQ_IMPORTS_GOODS_SERVICES_REAL_SAAR_UNUSED_UNUSED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 hidden="1">"c8304"</definedName>
    <definedName name="IQ_IMPORTS_GOODS_SERVICES_REAL_SAAR_YOY_FC_UNUSED_UNUSED_UNUSED" hidden="1">"c8304"</definedName>
    <definedName name="IQ_IMPORTS_GOODS_SERVICES_REAL_SAAR_YOY_UNUSED" hidden="1">"c7424"</definedName>
    <definedName name="IQ_IMPORTS_GOODS_SERVICES_REAL_SAAR_YOY_UNUSED_UNUSED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 hidden="1">"c6889"</definedName>
    <definedName name="IQ_IMPORTS_GOODS_SERVICES_UNUSED_UNUSED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 hidden="1">"c8209"</definedName>
    <definedName name="IQ_IMPORTS_GOODS_SERVICES_YOY_FC_UNUSED_UNUSED_UNUSED" hidden="1">"c8209"</definedName>
    <definedName name="IQ_IMPORTS_GOODS_SERVICES_YOY_UNUSED" hidden="1">"c7329"</definedName>
    <definedName name="IQ_IMPORTS_GOODS_SERVICES_YOY_UNUSED_UNUSED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DOM_LOANS_FFIEC" hidden="1">"c12975"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CHECKS_FFIEC" hidden="1">"c13040"</definedName>
    <definedName name="IQ_INCOME_EARNED_FDIC" hidden="1">"c6359"</definedName>
    <definedName name="IQ_INCOME_FIDUCIARY_ACTIVITIES_FFIEC" hidden="1">"c13002"</definedName>
    <definedName name="IQ_INCOME_LEASE_FINANCING_REC_FFIEC" hidden="1">"c12980"</definedName>
    <definedName name="IQ_INCOME_LOANS_LEASES_TAX_EXEMPT_FFIEC" hidden="1">"c13038"</definedName>
    <definedName name="IQ_INCOME_OTHER_INSURANCE_ACTIVITIES_FFIEC" hidden="1">"c13009"</definedName>
    <definedName name="IQ_INCOME_SALE_MUTUAL_FUNDS_DOM_FFIEC" hidden="1">"c13069"</definedName>
    <definedName name="IQ_INCOME_SECURITIES_TAX_EXEMPT_FFIEC" hidden="1">"c13039"</definedName>
    <definedName name="IQ_INCOME_TAXES_FDIC" hidden="1">"c6582"</definedName>
    <definedName name="IQ_INCOME_TAXES_FFIEC" hidden="1">"c13030"</definedName>
    <definedName name="IQ_INCREASE_INT_INCOME_FFIEC" hidden="1">"c13063"</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S_CHARGE_OFFS_FDIC" hidden="1">"c6599"</definedName>
    <definedName name="IQ_INDIVIDUALS_GROSS_LOANS_FFIEC" hidden="1">"c13411"</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IVIDUALS_RISK_BASED_FFIEC" hidden="1">"c13432"</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_DEPOSITS" hidden="1">"c89"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REINSURANCE_UNDERWRITING_INCOME_FFIEC" hidden="1">"c13008"</definedName>
    <definedName name="IQ_INSURANCE_REV_OPERATING_INC_FFIEC" hidden="1">"c13387"</definedName>
    <definedName name="IQ_INSURANCE_UNDERWRITING_INCOME_FDIC" hidden="1">"c6671"</definedName>
    <definedName name="IQ_INT_BEARING_DEPOSITS" hidden="1">"c1166"</definedName>
    <definedName name="IQ_INT_BEARING_FUNDS_AVG_ASSETS_FFIEC" hidden="1">"c13355"</definedName>
    <definedName name="IQ_INT_BEARING_LIABILITIES_REPRICE_ASSETS_TOT_FFIEC" hidden="1">"c13452"</definedName>
    <definedName name="IQ_INT_BORROW" hidden="1">"c583"</definedName>
    <definedName name="IQ_INT_DEMAND_NOTES_FDIC" hidden="1">"c6567"</definedName>
    <definedName name="IQ_INT_DEPOSITS" hidden="1">"c584"</definedName>
    <definedName name="IQ_INT_DEPOSITS_DOM_FFIEC" hidden="1">"c12852"</definedName>
    <definedName name="IQ_INT_DEPOSITS_DOM_QUARTERLY_AVG_FFIEC" hidden="1">"c13088"</definedName>
    <definedName name="IQ_INT_DEPOSITS_FOREIGN_FFIEC" hidden="1">"c12855"</definedName>
    <definedName name="IQ_INT_DEPOSITS_FOREIGN_QUARTERLY_AVG_FFIEC" hidden="1">"c13089"</definedName>
    <definedName name="IQ_INT_DIV_INC" hidden="1">"c585"</definedName>
    <definedName name="IQ_INT_DIV_INC_MBS_FFIEC" hidden="1">"c12984"</definedName>
    <definedName name="IQ_INT_DIV_INC_SECURITIES_FFIEC" hidden="1">"c12982"</definedName>
    <definedName name="IQ_INT_DIV_INC_SECURITIES_OTHER_FFIEC" hidden="1">"c12985"</definedName>
    <definedName name="IQ_INT_DIV_INC_TREASURY_SECURITIES_FFIEC" hidden="1">"c12983"</definedName>
    <definedName name="IQ_INT_DOMESTIC_DEPOSITS_FDIC" hidden="1">"c6564"</definedName>
    <definedName name="IQ_INT_EXP_AVG_ASSETS_FFIEC" hidden="1">"c13357"</definedName>
    <definedName name="IQ_INT_EXP_BR" hidden="1">"c586"</definedName>
    <definedName name="IQ_INT_EXP_COVERAGE" hidden="1">"c587"</definedName>
    <definedName name="IQ_INT_EXP_EARNING_ASSETS_FFIEC" hidden="1">"c13376"</definedName>
    <definedName name="IQ_INT_EXP_FED_FUNDS_PURCHASED_FFIEC" hidden="1">"c12996"</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FED_FUNDS_FDIC" hidden="1">"c6566"</definedName>
    <definedName name="IQ_INT_FEE_INC_LOANS_1_4_DOM_FFIEC" hidden="1">"c12976"</definedName>
    <definedName name="IQ_INT_FEE_INC_LOANS_DOM_FFIEC" hidden="1">"c13335"</definedName>
    <definedName name="IQ_INT_FEE_INC_LOANS_FOREIGN_FFIEC" hidden="1">"c12979"</definedName>
    <definedName name="IQ_INT_FEE_INC_LOANS_OTHER_DOM_FFIEC" hidden="1">"c12978"</definedName>
    <definedName name="IQ_INT_FEE_INC_SECURED_RE_DOM_FFIEC" hidden="1">"c12977"</definedName>
    <definedName name="IQ_INT_FEE_INCOME_FFIEC" hidden="1">"c12974"</definedName>
    <definedName name="IQ_INT_FOREIGN_DEPOSITS_FDIC" hidden="1">"c6565"</definedName>
    <definedName name="IQ_INT_INC_AVG_ASSETS_FFIEC" hidden="1">"c13356"</definedName>
    <definedName name="IQ_INT_INC_BR" hidden="1">"c593"</definedName>
    <definedName name="IQ_INT_INC_DEPOSITORY_INST_FDIC" hidden="1">"c6558"</definedName>
    <definedName name="IQ_INT_INC_DOM_LOANS_FDIC" hidden="1">"c6555"</definedName>
    <definedName name="IQ_INT_INC_DUE_DEPOSITORY_INSTITUTIONS_FFIEC" hidden="1">"c12981"</definedName>
    <definedName name="IQ_INT_INC_EARNING_ASSETS_FFIEC" hidden="1">"c13375"</definedName>
    <definedName name="IQ_INT_INC_FED_FUNDS_FDIC" hidden="1">"c6561"</definedName>
    <definedName name="IQ_INT_INC_FED_FUNDS_SOLD_FFIEC" hidden="1">"c12987"</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E_AVG_ASSETS_FFIEC" hidden="1">"c13358"</definedName>
    <definedName name="IQ_INT_INC_TE_EARNING_ASSETS_FFIEC" hidden="1">"c13377"</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TRADING_ASSETS_FFIEC" hidden="1">"c12986"</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ON_DEPOSITS_DOM_FFIEC" hidden="1">"c12991"</definedName>
    <definedName name="IQ_INT_ON_DEPOSITS_FFIEC" hidden="1">"c12990"</definedName>
    <definedName name="IQ_INT_ON_DEPOSITS_FOREIGN_FFIEC" hidden="1">"c12995"</definedName>
    <definedName name="IQ_INT_RATE_EXPOSURE_FFIEC" hidden="1">"c13058"</definedName>
    <definedName name="IQ_INT_RATE_SPREAD" hidden="1">"c604"</definedName>
    <definedName name="IQ_INT_SUB_NOTES_FDIC" hidden="1">"c6568"</definedName>
    <definedName name="IQ_INT_SUB_NOTES_FFIEC" hidden="1">"c12998"</definedName>
    <definedName name="IQ_INT_TIME_DEPOSITS_LESS_THAN_100K_DOM_FFIEC" hidden="1">"c12993"</definedName>
    <definedName name="IQ_INT_TIME_DEPOSITS_MORE_THAN_100K_DOM_FFIEC" hidden="1">"c12992"</definedName>
    <definedName name="IQ_INT_TRADING_LIABILITIES_FFIEC" hidden="1">"c12997"</definedName>
    <definedName name="IQ_INTANGIBLES_NET" hidden="1">"c1407"</definedName>
    <definedName name="IQ_INTEREST_BEARING_BALANCES_FDIC" hidden="1">"c6371"</definedName>
    <definedName name="IQ_INTEREST_BEARING_CASH_FOREIGN_FFIEC" hidden="1">"c12776"</definedName>
    <definedName name="IQ_INTEREST_BEARING_CASH_US_FFIEC" hidden="1">"c12775"</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10K" hidden="1">"IQ_INTEREST_INC_10K"</definedName>
    <definedName name="IQ_INTEREST_INC_10Q" hidden="1">"IQ_INTEREST_INC_10Q"</definedName>
    <definedName name="IQ_INTEREST_INC_10Q1" hidden="1">"IQ_INTEREST_INC_10Q1"</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IES_ASSETS_TOT_FFIEC" hidden="1">"c13440"</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_UNCONSOLIDATED_SUBS_FFIEC" hidden="1">"c12834"</definedName>
    <definedName name="IQ_INVESTMENT_BANKING_BROKERAGE_FEES_FFIEC" hidden="1">"c13627"</definedName>
    <definedName name="IQ_INVESTMENT_BANKING_FEES_COMMISSIONS_FFIEC" hidden="1">"c13006"</definedName>
    <definedName name="IQ_INVESTMENT_BANKING_OTHER_FEES_FDIC" hidden="1">"c6666"</definedName>
    <definedName name="IQ_IPRD" hidden="1">"c644"</definedName>
    <definedName name="IQ_IRA_KEOGH_ACCOUNTS_FDIC" hidden="1">"c6496"</definedName>
    <definedName name="IQ_ISIN" hidden="1">"c12041"</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 hidden="1">"c8443"</definedName>
    <definedName name="IQ_ISM_SERVICES_APR_FC_UNUSED_UNUSED_UNUSED" hidden="1">"c8443"</definedName>
    <definedName name="IQ_ISM_SERVICES_APR_UNUSED" hidden="1">"c7563"</definedName>
    <definedName name="IQ_ISM_SERVICES_APR_UNUSED_UNUSED_UNUSED" hidden="1">"c7563"</definedName>
    <definedName name="IQ_ISM_SERVICES_FC_UNUSED" hidden="1">"c7783"</definedName>
    <definedName name="IQ_ISM_SERVICES_FC_UNUSED_UNUSED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 hidden="1">"c8003"</definedName>
    <definedName name="IQ_ISM_SERVICES_POP_FC_UNUSED_UNUSED_UNUSED" hidden="1">"c8003"</definedName>
    <definedName name="IQ_ISM_SERVICES_POP_UNUSED" hidden="1">"c7123"</definedName>
    <definedName name="IQ_ISM_SERVICES_POP_UNUSED_UNUSED_UNUSED" hidden="1">"c7123"</definedName>
    <definedName name="IQ_ISM_SERVICES_UNUSED" hidden="1">"c6903"</definedName>
    <definedName name="IQ_ISM_SERVICES_UNUSED_UNUSED_UNUSED" hidden="1">"c6903"</definedName>
    <definedName name="IQ_ISM_SERVICES_YOY_FC_UNUSED" hidden="1">"c8223"</definedName>
    <definedName name="IQ_ISM_SERVICES_YOY_FC_UNUSED_UNUSED_UNUSED" hidden="1">"c8223"</definedName>
    <definedName name="IQ_ISM_SERVICES_YOY_UNUSED" hidden="1">"c7343"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_MONTHLY_FACTOR" hidden="1">"c8971"</definedName>
    <definedName name="IQ_LATEST_MONTHLY_FACTOR_DATE" hidden="1">"c8972"</definedName>
    <definedName name="IQ_LATESTK" hidden="1">1000</definedName>
    <definedName name="IQ_LATESTKFR" hidden="1">"100"</definedName>
    <definedName name="IQ_LATESTQ" hidden="1">500</definedName>
    <definedName name="IQ_LATESTQFR" hidden="1">"50"</definedName>
    <definedName name="IQ_LEAD_UNDERWRITER" hidden="1">"c8957"</definedName>
    <definedName name="IQ_LEASE_FIN_RECEIVABLES_NON_US_CHARGE_OFFS_FFIEC" hidden="1">"c13631"</definedName>
    <definedName name="IQ_LEASE_FIN_RECEIVABLES_NON_US_RECOV_FFIEC" hidden="1">"c13635"</definedName>
    <definedName name="IQ_LEASE_FIN_RECEIVABLES_US_CHARGE_OFFS_FFIEC" hidden="1">"c13630"</definedName>
    <definedName name="IQ_LEASE_FIN_RECEIVABLES_US_RECOV_FFIEC" hidden="1">"c13634"</definedName>
    <definedName name="IQ_LEASE_FINANCING_REC_DUE_30_89_FFIEC" hidden="1">"c13276"</definedName>
    <definedName name="IQ_LEASE_FINANCING_REC_DUE_90_FFIEC" hidden="1">"c13302"</definedName>
    <definedName name="IQ_LEASE_FINANCING_REC_NON_ACCRUAL_FFIEC" hidden="1">"c13328"</definedName>
    <definedName name="IQ_LEASE_FINANCING_RECEIVABLES_CHARGE_OFFS_FDIC" hidden="1">"c6602"</definedName>
    <definedName name="IQ_LEASE_FINANCING_RECEIVABLES_DOM_FFIEC" hidden="1">"c12915"</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ASE_RECEIVABLES_FOREIGN_FFIEC" hidden="1">"c13483"</definedName>
    <definedName name="IQ_LEASES_INDIVIDUALS_CHARGE_OFFS_FFIEC" hidden="1">"c13184"</definedName>
    <definedName name="IQ_LEASES_INDIVIDUALS_RECOV_FFIEC" hidden="1">"c13206"</definedName>
    <definedName name="IQ_LEASES_PERSONAL_EXP_DUE_30_89_FFIEC" hidden="1">"c13277"</definedName>
    <definedName name="IQ_LEASES_PERSONAL_EXP_DUE_90_FFIEC" hidden="1">"c13303"</definedName>
    <definedName name="IQ_LEASES_PERSONAL_EXP_NON_ACCRUAL_FFIEC" hidden="1">"c13329"</definedName>
    <definedName name="IQ_LEGAL_FEES_FFIEC" hidden="1">"c13052"</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ABILITY_ACCEPTANCES_OUT_FFIEC" hidden="1">"c12866"</definedName>
    <definedName name="IQ_LIABILITY_SHORT_POSITIONS_DOM_FFIEC" hidden="1">"c12941"</definedName>
    <definedName name="IQ_LICENSED_POPS" hidden="1">"c2123"</definedName>
    <definedName name="IQ_LIFE_EARNED" hidden="1">"c2739"</definedName>
    <definedName name="IQ_LIFE_INSURANCE_ASSETS_FDIC" hidden="1">"c6372"</definedName>
    <definedName name="IQ_LIFE_INSURANCE_ASSETS_FFIEC" hidden="1">"c12847"</definedName>
    <definedName name="IQ_LIFOR" hidden="1">"c655"</definedName>
    <definedName name="IQ_LIQUID_ASSETS_ASSETS_TOT_FFIEC" hidden="1">"c13439"</definedName>
    <definedName name="IQ_LIQUID_ASSETS_NONCORE_FUNDING_FFIEC" hidden="1">"c13339"</definedName>
    <definedName name="IQ_LL" hidden="1">"c656"</definedName>
    <definedName name="IQ_LOAN_ALLOW_GROSS_LOANS_FFIEC" hidden="1">"c13415"</definedName>
    <definedName name="IQ_LOAN_ALLOWANCE_GROSS_LOSSES_FFIEC" hidden="1">"c13352"</definedName>
    <definedName name="IQ_LOAN_ALLOWANCE_NET_LOANS_FFIEC" hidden="1">"c13472"</definedName>
    <definedName name="IQ_LOAN_ALLOWANCE_NONACCRUAL_ASSETS_FFIEC" hidden="1">"c13473"</definedName>
    <definedName name="IQ_LOAN_ALLOWANCE_PAST_DUE_NONACCRUAL_FFIEC" hidden="1">"c13474"</definedName>
    <definedName name="IQ_LOAN_COMMITMENTS_FAIR_VALUE_TOT_FFIEC" hidden="1">"c13216"</definedName>
    <definedName name="IQ_LOAN_COMMITMENTS_LEVEL_1_FFIEC" hidden="1">"c13224"</definedName>
    <definedName name="IQ_LOAN_COMMITMENTS_LEVEL_2_FFIEC" hidden="1">"c13232"</definedName>
    <definedName name="IQ_LOAN_COMMITMENTS_LEVEL_3_FFIEC" hidden="1">"c13240"</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AVERAGE_LOANS_FFIEC" hidden="1">"c13350"</definedName>
    <definedName name="IQ_LOAN_LOSSES_FDIC" hidden="1">"c6580"</definedName>
    <definedName name="IQ_LOAN_SERVICE_REV" hidden="1">"c658"</definedName>
    <definedName name="IQ_LOANS_AGRICULTURAL_PROD_LL_REC_FFIEC" hidden="1">"c12886"</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_US_LL_REC_FFIEC" hidden="1">"c12884"</definedName>
    <definedName name="IQ_LOANS_DEPOSITORY_INSTITUTIONS_FDIC" hidden="1">"c6382"</definedName>
    <definedName name="IQ_LOANS_DOM_QUARTERLY_AVG_FFIEC" hidden="1">"c13084"</definedName>
    <definedName name="IQ_LOANS_FARMERS_CHARGE_OFFS_FFIEC" hidden="1">"c13177"</definedName>
    <definedName name="IQ_LOANS_FARMERS_RECOV_FFIEC" hidden="1">"c13199"</definedName>
    <definedName name="IQ_LOANS_FINANCE_AGRICULTURAL_DUE_30_89_FFIEC" hidden="1">"c13270"</definedName>
    <definedName name="IQ_LOANS_FINANCE_AGRICULTURAL_DUE_90_FFIEC" hidden="1">"c13296"</definedName>
    <definedName name="IQ_LOANS_FINANCE_AGRICULTURAL_NON_ACCRUAL_FFIEC" hidden="1">"c13322"</definedName>
    <definedName name="IQ_LOANS_FINANCE_AGRICULTURAL_PROD_LL_REC_DOM_FFIEC" hidden="1">"c12909"</definedName>
    <definedName name="IQ_LOANS_FOR_SALE" hidden="1">"c666"</definedName>
    <definedName name="IQ_LOANS_FOREIGN_GOV_CHARGE_OFFS_FFIEC" hidden="1">"c13182"</definedName>
    <definedName name="IQ_LOANS_FOREIGN_GOV_DUE_30_89_FFIEC" hidden="1">"c13274"</definedName>
    <definedName name="IQ_LOANS_FOREIGN_GOV_DUE_90_FFIEC" hidden="1">"c13300"</definedName>
    <definedName name="IQ_LOANS_FOREIGN_GOV_LL_REC_DOM_FFIEC" hidden="1">"c12912"</definedName>
    <definedName name="IQ_LOANS_FOREIGN_GOV_NON_ACCRUAL_FFIEC" hidden="1">"c13326"</definedName>
    <definedName name="IQ_LOANS_FOREIGN_GOV_RECOV_FFIEC" hidden="1">"c13204"</definedName>
    <definedName name="IQ_LOANS_FOREIGN_INST_CHARGE_OFFS_FFIEC" hidden="1">"c13176"</definedName>
    <definedName name="IQ_LOANS_FOREIGN_INST_RECOV_FFIEC" hidden="1">"c13198"</definedName>
    <definedName name="IQ_LOANS_FOREIGN_LL_REC_FFIEC" hidden="1">"c12885"</definedName>
    <definedName name="IQ_LOANS_GOV_GUARANTEED_DUE_30_89_FFIEC" hidden="1">"c13281"</definedName>
    <definedName name="IQ_LOANS_GOV_GUARANTEED_DUE_90_FFIEC" hidden="1">"c13307"</definedName>
    <definedName name="IQ_LOANS_GOV_GUARANTEED_EXCL_GNMA_DUE_30_89_FFIEC" hidden="1">"c13282"</definedName>
    <definedName name="IQ_LOANS_GOV_GUARANTEED_EXCL_GNMA_DUE_90_FFIEC" hidden="1">"c13308"</definedName>
    <definedName name="IQ_LOANS_GOV_GUARANTEED_EXCL_GNMA_NON_ACCRUAL_FFIEC" hidden="1">"c13333"</definedName>
    <definedName name="IQ_LOANS_GOV_GUARANTEED_NON_ACCRUAL_FFIEC" hidden="1">"c13332"</definedName>
    <definedName name="IQ_LOANS_HELD_FOREIGN_FDIC" hidden="1">"c6315"</definedName>
    <definedName name="IQ_LOANS_INDIVIDUALS_FOREIGN_FFIEC" hidden="1">"c13480"</definedName>
    <definedName name="IQ_LOANS_LEASES_ASSETS_TOT_FFIEC" hidden="1">"c13437"</definedName>
    <definedName name="IQ_LOANS_LEASES_FAIR_VALUE_TOT_FFIEC" hidden="1">"c13209"</definedName>
    <definedName name="IQ_LOANS_LEASES_FOREIGN_FDIC" hidden="1">"c6383"</definedName>
    <definedName name="IQ_LOANS_LEASES_GROSS_FDIC" hidden="1">"c6323"</definedName>
    <definedName name="IQ_LOANS_LEASES_GROSS_FOREIGN_FDIC" hidden="1">"c6384"</definedName>
    <definedName name="IQ_LOANS_LEASES_HELD_SALE_FFIEC" hidden="1">"c12808"</definedName>
    <definedName name="IQ_LOANS_LEASES_LEVEL_1_FFIEC" hidden="1">"c13217"</definedName>
    <definedName name="IQ_LOANS_LEASES_LEVEL_2_FFIEC" hidden="1">"c13225"</definedName>
    <definedName name="IQ_LOANS_LEASES_LEVEL_3_FFIEC" hidden="1">"c13233"</definedName>
    <definedName name="IQ_LOANS_LEASES_NET_FDIC" hidden="1">"c6327"</definedName>
    <definedName name="IQ_LOANS_LEASES_NET_UNEARNED_FDIC" hidden="1">"c6325"</definedName>
    <definedName name="IQ_LOANS_LEASES_NET_UNEARNED_INC_ALLOWANCE_FFIEC" hidden="1">"c12811"</definedName>
    <definedName name="IQ_LOANS_LEASES_NET_UNEARNED_INCOME_FFIEC" hidden="1">"c12809"</definedName>
    <definedName name="IQ_LOANS_LEASES_QUARTERLY_AVG_FFIEC" hidden="1">"c13081"</definedName>
    <definedName name="IQ_LOANS_LOC_ASSETS_TOT_FFIEC" hidden="1">"c13441"</definedName>
    <definedName name="IQ_LOANS_NOT_SECURED_RE_FDIC" hidden="1">"c6381"</definedName>
    <definedName name="IQ_LOANS_PAST_DUE" hidden="1">"c667"</definedName>
    <definedName name="IQ_LOANS_PURCHASING_CARRYING_SECURITIES_LL_REC_DOM_FFIEC" hidden="1">"c12913"</definedName>
    <definedName name="IQ_LOANS_RECEIV_CURRENT" hidden="1">"c668"</definedName>
    <definedName name="IQ_LOANS_RECEIV_LT" hidden="1">"c669"</definedName>
    <definedName name="IQ_LOANS_RECEIV_LT_UTI" hidden="1">"c670"</definedName>
    <definedName name="IQ_LOANS_SEC_RE_FOREIGN_CHARGE_OFFS_FFIEC" hidden="1">"c13174"</definedName>
    <definedName name="IQ_LOANS_SEC_RE_FOREIGN_RECOV_FFIEC" hidden="1">"c13196"</definedName>
    <definedName name="IQ_LOANS_SECURED_1_4_DOM_QUARTERLY_AVG_FFIEC" hidden="1">"c13082"</definedName>
    <definedName name="IQ_LOANS_SECURED_BY_RE_CHARGE_OFFS_FDIC" hidden="1">"c6588"</definedName>
    <definedName name="IQ_LOANS_SECURED_BY_RE_RECOVERIES_FDIC" hidden="1">"c6607"</definedName>
    <definedName name="IQ_LOANS_SECURED_CONSTRUCTION_TRADING_DOM_FFIEC" hidden="1">"c12925"</definedName>
    <definedName name="IQ_LOANS_SECURED_FARMLAND_TRADING_DOM_FFIEC" hidden="1">"c12926"</definedName>
    <definedName name="IQ_LOANS_SECURED_NON_US_FDIC" hidden="1">"c6380"</definedName>
    <definedName name="IQ_LOANS_SECURED_RE_DOM_QUARTERLY_AVG_FFIEC" hidden="1">"c13083"</definedName>
    <definedName name="IQ_LOANS_SECURED_RE_FFIEC" hidden="1">"c12820"</definedName>
    <definedName name="IQ_LOANS_SECURED_RE_LL_REC_FFIEC" hidden="1">"c12883"</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ANS_US_INST_CHARGE_OFFS_FFIEC" hidden="1">"c13175"</definedName>
    <definedName name="IQ_LOANS_US_INST_RECOV_FFIEC" hidden="1">"c13197"</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AVAIL_SALE_EQUITY_SEC_T1_FFIEC" hidden="1">"c13132"</definedName>
    <definedName name="IQ_LOSS_LOSS_EXP" hidden="1">"c672"</definedName>
    <definedName name="IQ_LOSS_TO_NET_EARNED" hidden="1">"c2751"</definedName>
    <definedName name="IQ_LOW_TARGET_PRICE" hidden="1">"c1652"</definedName>
    <definedName name="IQ_LOW_TARGET_PRICE_CIQ" hidden="1">"c4660"</definedName>
    <definedName name="IQ_LOW_TARGET_PRICE_REUT" hidden="1">"c5318"</definedName>
    <definedName name="IQ_LOW_TARGET_PRICE_THOM" hidden="1">"c5097"</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MATURING_1YR_INT_SENSITIVITY_FFIEC" hidden="1">"c13097"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REPRICE_ASSETS_TOT_FFIEC" hidden="1">"c13453"</definedName>
    <definedName name="IQ_LT_DEBT_REPRICING_WITHIN_1_YR_INT_SENSITIVITY_FFIEC" hidden="1">"c13095"</definedName>
    <definedName name="IQ_LT_DEBT_UTI" hidden="1">"c696"</definedName>
    <definedName name="IQ_LT_GROWTH_DET_EST" hidden="1">"c12060"</definedName>
    <definedName name="IQ_LT_GROWTH_DET_EST_DATE" hidden="1">"c12213"</definedName>
    <definedName name="IQ_LT_GROWTH_DET_EST_DATE_THOM" hidden="1">"c12240"</definedName>
    <definedName name="IQ_LT_GROWTH_DET_EST_INCL" hidden="1">"c12350"</definedName>
    <definedName name="IQ_LT_GROWTH_DET_EST_INCL_THOM" hidden="1">"c12372"</definedName>
    <definedName name="IQ_LT_GROWTH_DET_EST_ORIGIN" hidden="1">"c12725"</definedName>
    <definedName name="IQ_LT_GROWTH_DET_EST_ORIGIN_THOM" hidden="1">"c12610"</definedName>
    <definedName name="IQ_LT_GROWTH_DET_EST_THOM" hidden="1">"c12090"</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INT_CAPEX" hidden="1">"c2947"</definedName>
    <definedName name="IQ_MAINT_CAPEX_ACT_OR_EST" hidden="1">"c4458"</definedName>
    <definedName name="IQ_MAINT_CAPEX_ACT_OR_EST_CIQ" hidden="1">"c4987"</definedName>
    <definedName name="IQ_MAINT_CAPEX_EST" hidden="1">"c4457"</definedName>
    <definedName name="IQ_MAINT_CAPEX_GUIDANCE" hidden="1">"c4459"</definedName>
    <definedName name="IQ_MAINT_CAPEX_HIGH_EST" hidden="1">"c4460"</definedName>
    <definedName name="IQ_MAINT_CAPEX_HIGH_GUIDANCE" hidden="1">"c4197"</definedName>
    <definedName name="IQ_MAINT_CAPEX_LOW_EST" hidden="1">"c4461"</definedName>
    <definedName name="IQ_MAINT_CAPEX_LOW_GUIDANCE" hidden="1">"c4237"</definedName>
    <definedName name="IQ_MAINT_CAPEX_MEDIAN_EST" hidden="1">"c4462"</definedName>
    <definedName name="IQ_MAINT_CAPEX_NUM_EST" hidden="1">"c4463"</definedName>
    <definedName name="IQ_MAINT_CAPEX_STDDEV_EST" hidden="1">"c4464"</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TURITY_DATE" hidden="1">"c2146"</definedName>
    <definedName name="IQ_MATURITY_ONE_YEAR_LESS_FDIC" hidden="1">"c6425"</definedName>
    <definedName name="IQ_MBS_INVEST_SECURITIES_FFIEC" hidden="1">"c13460"</definedName>
    <definedName name="IQ_MBS_OTHER_ISSUED_FNMA_OTHERS_AVAIL_SALE_FFIEC" hidden="1">"c12799"</definedName>
    <definedName name="IQ_MBS_OTHER_ISSUED_FNMA_OTHERS_FFIEC" hidden="1">"c12785"</definedName>
    <definedName name="IQ_MBS_PASS_THROUGH_FNMA_AVAIL_SALE_FFIEC" hidden="1">"c12797"</definedName>
    <definedName name="IQ_MBS_PASS_THROUGH_FNMA_FFIEC" hidden="1">"c12783"</definedName>
    <definedName name="IQ_MBS_PASS_THROUGH_GNMA_AVAIL_SALE_FFIEC" hidden="1">"c12796"</definedName>
    <definedName name="IQ_MBS_PASS_THROUGH_GNMA_FFIEC" hidden="1">"c12782"</definedName>
    <definedName name="IQ_MBS_PASS_THROUGH_ISSUED_FNMA_GNMA_TRADING_DOM_FFIEC" hidden="1">"c12921"</definedName>
    <definedName name="IQ_MBS_PASS_THROUGH_OTHER_AVAIL_SALE_FFIEC" hidden="1">"c12798"</definedName>
    <definedName name="IQ_MBS_PASS_THROUGH_OTHER_FFIEC" hidden="1">"c12784"</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DAYS_CLAIMS_PAYABLE" hidden="1">"c9937"</definedName>
    <definedName name="IQ_MC_DAYS_CLAIMS_PAYABLE_EXCL_CAPITATION" hidden="1">"c9938"</definedName>
    <definedName name="IQ_MC_MEDICAL_COSTS_PMPM" hidden="1">"c9925"</definedName>
    <definedName name="IQ_MC_PARENT_CASH" hidden="1">"c9942"</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TATUTORY_SURPLUS" hidden="1">"c2772"</definedName>
    <definedName name="IQ_MC_TOTAL_COVERED_LIVES" hidden="1">"c9919"</definedName>
    <definedName name="IQ_MC_TOTAL_MEMBERSHIP" hidden="1">"c9922"</definedName>
    <definedName name="IQ_MC_TOTAL_MEMBERSHIP_CAPITATION" hidden="1">"c9923"</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 hidden="1">"c8460"</definedName>
    <definedName name="IQ_MEDIAN_NEW_HOME_SALES_APR_FC_UNUSED_UNUSED_UNUSED" hidden="1">"c8460"</definedName>
    <definedName name="IQ_MEDIAN_NEW_HOME_SALES_APR_UNUSED" hidden="1">"c7580"</definedName>
    <definedName name="IQ_MEDIAN_NEW_HOME_SALES_APR_UNUSED_UNUSED_UNUSED" hidden="1">"c7580"</definedName>
    <definedName name="IQ_MEDIAN_NEW_HOME_SALES_FC_UNUSED" hidden="1">"c7800"</definedName>
    <definedName name="IQ_MEDIAN_NEW_HOME_SALES_FC_UNUSED_UNUSED_UNUSED" hidden="1">"c7800"</definedName>
    <definedName name="IQ_MEDIAN_NEW_HOME_SALES_POP_FC_UNUSED" hidden="1">"c8020"</definedName>
    <definedName name="IQ_MEDIAN_NEW_HOME_SALES_POP_FC_UNUSED_UNUSED_UNUSED" hidden="1">"c8020"</definedName>
    <definedName name="IQ_MEDIAN_NEW_HOME_SALES_POP_UNUSED" hidden="1">"c7140"</definedName>
    <definedName name="IQ_MEDIAN_NEW_HOME_SALES_POP_UNUSED_UNUSED_UNUSED" hidden="1">"c7140"</definedName>
    <definedName name="IQ_MEDIAN_NEW_HOME_SALES_UNUSED" hidden="1">"c6920"</definedName>
    <definedName name="IQ_MEDIAN_NEW_HOME_SALES_UNUSED_UNUSED_UNUSED" hidden="1">"c6920"</definedName>
    <definedName name="IQ_MEDIAN_NEW_HOME_SALES_YOY_FC_UNUSED" hidden="1">"c8240"</definedName>
    <definedName name="IQ_MEDIAN_NEW_HOME_SALES_YOY_FC_UNUSED_UNUSED_UNUSED" hidden="1">"c8240"</definedName>
    <definedName name="IQ_MEDIAN_NEW_HOME_SALES_YOY_UNUSED" hidden="1">"c7360"</definedName>
    <definedName name="IQ_MEDIAN_NEW_HOME_SALES_YOY_UNUSED_UNUSED_UNUSED" hidden="1">"c7360"</definedName>
    <definedName name="IQ_MEDIAN_TARGET_PRICE" hidden="1">"c1650"</definedName>
    <definedName name="IQ_MEDIAN_TARGET_PRICE_CIQ" hidden="1">"c4658"</definedName>
    <definedName name="IQ_MEDIAN_TARGET_PRICE_REUT" hidden="1">"c5316"</definedName>
    <definedName name="IQ_MEDIAN_TARGET_PRICE_THOM" hidden="1">"c5095"</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NORITY_INT_AVG_ASSETS_FFIEC" hidden="1">"c13367"</definedName>
    <definedName name="IQ_MINORITY_INT_BS_FFIEC" hidden="1">"c12874"</definedName>
    <definedName name="IQ_MINORITY_INT_FFIEC" hidden="1">"c13031"</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KTCAP_TOTAL_REV_FWD_REUT" hidden="1">"c4048"</definedName>
    <definedName name="IQ_MKTCAP_TOTAL_REV_FWD_THOM" hidden="1">"c4055"</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ONEY_MARKET_ACCOUNTS_COMMERCIAL_BANK_SUBS_FFIEC" hidden="1">"c12947"</definedName>
    <definedName name="IQ_MONEY_MARKET_ACCOUNTS_OTHER_INSTITUTIONS_FFIEC" hidden="1">"c12952"</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ASSETS_FFIEC" hidden="1">"c12838"</definedName>
    <definedName name="IQ_MORTGAGE_SERVICING_FDIC" hidden="1">"c6335"</definedName>
    <definedName name="IQ_MULTI_RES_PROPERTIES_TRADING_DOM_FFIEC" hidden="1">"c12930"</definedName>
    <definedName name="IQ_MULTIFAMILY_LOANS_GROSS_LOANS_FFIEC" hidden="1">"c13404"</definedName>
    <definedName name="IQ_MULTIFAMILY_LOANS_RISK_BASED_FFIEC" hidden="1">"c13425"</definedName>
    <definedName name="IQ_MULTIFAMILY_RESIDENTIAL_LOANS_FDIC" hidden="1">"c6311"</definedName>
    <definedName name="IQ_MUNICIPAL_INVEST_SECURITIES_FFIEC" hidden="1">"c13459"</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AV_ACT_OR_EST" hidden="1">"c2225"</definedName>
    <definedName name="IQ_NAV_ACT_OR_EST_THOM" hidden="1">"c5607"</definedName>
    <definedName name="IQ_NAV_DET_EST_CURRENCY_THOM" hidden="1">"c12490"</definedName>
    <definedName name="IQ_NAV_DET_EST_DATE_THOM" hidden="1">"c12241"</definedName>
    <definedName name="IQ_NAV_DET_EST_INCL_THOM" hidden="1">"c12373"</definedName>
    <definedName name="IQ_NAV_DET_EST_ORIGIN_THOM" hidden="1">"c12707"</definedName>
    <definedName name="IQ_NAV_DET_EST_THOM" hidden="1">"c12091"</definedName>
    <definedName name="IQ_NAV_EST" hidden="1">"c1751"</definedName>
    <definedName name="IQ_NAV_EST_THOM" hidden="1">"c5601"</definedName>
    <definedName name="IQ_NAV_HIGH_EST" hidden="1">"c1753"</definedName>
    <definedName name="IQ_NAV_HIGH_EST_THOM" hidden="1">"c5604"</definedName>
    <definedName name="IQ_NAV_LOW_EST" hidden="1">"c1754"</definedName>
    <definedName name="IQ_NAV_LOW_EST_THOM" hidden="1">"c5605"</definedName>
    <definedName name="IQ_NAV_MEDIAN_EST" hidden="1">"c1752"</definedName>
    <definedName name="IQ_NAV_MEDIAN_EST_THOM" hidden="1">"c5602"</definedName>
    <definedName name="IQ_NAV_NUM_EST" hidden="1">"c1755"</definedName>
    <definedName name="IQ_NAV_NUM_EST_THOM" hidden="1">"c5606"</definedName>
    <definedName name="IQ_NAV_SHARE_ACT_OR_EST" hidden="1">"c2225"</definedName>
    <definedName name="IQ_NAV_SHARE_DET_EST_ORIGIN" hidden="1">"c12585"</definedName>
    <definedName name="IQ_NAV_SHARE_DET_EST_ORIGIN_THOM" hidden="1">"c12611"</definedName>
    <definedName name="IQ_NAV_SHARE_EST" hidden="1">"c5609"</definedName>
    <definedName name="IQ_NAV_SHARE_HIGH_EST" hidden="1">"c5612"</definedName>
    <definedName name="IQ_NAV_SHARE_LOW_EST" hidden="1">"c5613"</definedName>
    <definedName name="IQ_NAV_SHARE_MEDIAN_EST" hidden="1">"c5610"</definedName>
    <definedName name="IQ_NAV_SHARE_NUM_EST" hidden="1">"c5614"</definedName>
    <definedName name="IQ_NAV_SHARE_STDDEV_EST" hidden="1">"c5611"</definedName>
    <definedName name="IQ_NAV_STDDEV_EST" hidden="1">"c1756"</definedName>
    <definedName name="IQ_NAV_STDDEV_EST_THOM" hidden="1">"c5603"</definedName>
    <definedName name="IQ_NEGATIVE_FAIR_VALUE_DERIVATIVES_BENEFICIARY_FFIEC" hidden="1">"c13124"</definedName>
    <definedName name="IQ_NEGATIVE_FAIR_VALUE_DERIVATIVES_GUARANTOR_FFIEC" hidden="1">"c13117"</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ACT_OR_EST_THOM" hidden="1">"c5309"</definedName>
    <definedName name="IQ_NET_DEBT_DET_EST" hidden="1">"c12061"</definedName>
    <definedName name="IQ_NET_DEBT_DET_EST_CURRENCY" hidden="1">"c12468"</definedName>
    <definedName name="IQ_NET_DEBT_DET_EST_CURRENCY_THOM" hidden="1">"c12491"</definedName>
    <definedName name="IQ_NET_DEBT_DET_EST_DATE" hidden="1">"c12214"</definedName>
    <definedName name="IQ_NET_DEBT_DET_EST_DATE_THOM" hidden="1">"c12242"</definedName>
    <definedName name="IQ_NET_DEBT_DET_EST_INCL" hidden="1">"c12351"</definedName>
    <definedName name="IQ_NET_DEBT_DET_EST_INCL_THOM" hidden="1">"c12374"</definedName>
    <definedName name="IQ_NET_DEBT_DET_EST_ORIGIN" hidden="1">"c12586"</definedName>
    <definedName name="IQ_NET_DEBT_DET_EST_ORIGIN_THOM" hidden="1">"c12612"</definedName>
    <definedName name="IQ_NET_DEBT_DET_EST_THOM" hidden="1">"c12092"</definedName>
    <definedName name="IQ_NET_DEBT_EBITDA" hidden="1">"c750"</definedName>
    <definedName name="IQ_NET_DEBT_EBITDA_CAPEX" hidden="1">"c2949"</definedName>
    <definedName name="IQ_NET_DEBT_EST" hidden="1">"c3517"</definedName>
    <definedName name="IQ_NET_DEBT_EST_THOM" hidden="1">"c4027"</definedName>
    <definedName name="IQ_NET_DEBT_GUIDANCE" hidden="1">"c4467"</definedName>
    <definedName name="IQ_NET_DEBT_HIGH_EST" hidden="1">"c3518"</definedName>
    <definedName name="IQ_NET_DEBT_HIGH_EST_THOM" hidden="1">"c4029"</definedName>
    <definedName name="IQ_NET_DEBT_HIGH_GUIDANCE" hidden="1">"c4181"</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 hidden="1">"c3519"</definedName>
    <definedName name="IQ_NET_DEBT_LOW_EST_THOM" hidden="1">"c4030"</definedName>
    <definedName name="IQ_NET_DEBT_LOW_GUIDANCE" hidden="1">"c4221"</definedName>
    <definedName name="IQ_NET_DEBT_MEDIAN_EST" hidden="1">"c3520"</definedName>
    <definedName name="IQ_NET_DEBT_MEDIAN_EST_THOM" hidden="1">"c4028"</definedName>
    <definedName name="IQ_NET_DEBT_NUM_EST" hidden="1">"c3515"</definedName>
    <definedName name="IQ_NET_DEBT_NUM_EST_THOM" hidden="1">"c4031"</definedName>
    <definedName name="IQ_NET_DEBT_STDDEV_EST" hidden="1">"c3516"</definedName>
    <definedName name="IQ_NET_DEBT_STDDEV_EST_THOM" hidden="1">"c4032"</definedName>
    <definedName name="IQ_NET_EARNED" hidden="1">"c2734"</definedName>
    <definedName name="IQ_NET_FUNDS_PURCHASED_ASSETS_TOT_FFIEC" hidden="1">"c13448"</definedName>
    <definedName name="IQ_NET_INC" hidden="1">"c1394"</definedName>
    <definedName name="IQ_NET_INC_10K" hidden="1">"IQ_NET_INC_10K"</definedName>
    <definedName name="IQ_NET_INC_10Q" hidden="1">"IQ_NET_INC_10Q"</definedName>
    <definedName name="IQ_NET_INC_10Q1" hidden="1">"IQ_NET_INC_10Q1"</definedName>
    <definedName name="IQ_NET_INC_BEFORE" hidden="1">"c1368"</definedName>
    <definedName name="IQ_NET_INC_CF" hidden="1">"c1397"</definedName>
    <definedName name="IQ_NET_INC_GROWTH_1" hidden="1">"IQ_NET_INC_GROWTH_1"</definedName>
    <definedName name="IQ_NET_INC_GROWTH_2" hidden="1">"IQ_NET_INC_GROWTH_2"</definedName>
    <definedName name="IQ_NET_INC_MARGIN" hidden="1">"c1398"</definedName>
    <definedName name="IQ_NET_INCOME_FDIC" hidden="1">"c6587"</definedName>
    <definedName name="IQ_NET_INCOME_LH_FFIEC" hidden="1">"c13110"</definedName>
    <definedName name="IQ_NET_INCOME_PC_FFIEC" hidden="1">"c13103"</definedName>
    <definedName name="IQ_NET_INCOME_SHE_FFIEC" hidden="1">"c12960"</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INCOME_FFIEC" hidden="1">"c13001"</definedName>
    <definedName name="IQ_NET_INT_INCOME_FTE_FFIEC" hidden="1">"c13036"</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CORE_DEPOSITS_FFIEC" hidden="1">"c13341"</definedName>
    <definedName name="IQ_NET_LOANS_DEPOSITS_FFIEC" hidden="1">"c13340"</definedName>
    <definedName name="IQ_NET_LOANS_EQUITY_FFIEC" hidden="1">"c13347"</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CT_OR_EST_THOM" hidden="1">"c5306"</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AVG_ASSETS_FFIEC" hidden="1">"c13370"</definedName>
    <definedName name="IQ_NI_BEFORE_CAPITALIZED" hidden="1">"c792"</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DET_EST" hidden="1">"c12062"</definedName>
    <definedName name="IQ_NI_DET_EST_CURRENCY" hidden="1">"c12469"</definedName>
    <definedName name="IQ_NI_DET_EST_CURRENCY_THOM" hidden="1">"c12492"</definedName>
    <definedName name="IQ_NI_DET_EST_DATE" hidden="1">"c12215"</definedName>
    <definedName name="IQ_NI_DET_EST_DATE_THOM" hidden="1">"c12243"</definedName>
    <definedName name="IQ_NI_DET_EST_INCL" hidden="1">"c12352"</definedName>
    <definedName name="IQ_NI_DET_EST_INCL_THOM" hidden="1">"c12375"</definedName>
    <definedName name="IQ_NI_DET_EST_ORIGIN" hidden="1">"c12587"</definedName>
    <definedName name="IQ_NI_DET_EST_ORIGIN_THOM" hidden="1">"c12613"</definedName>
    <definedName name="IQ_NI_DET_EST_THOM" hidden="1">"c12093"</definedName>
    <definedName name="IQ_NI_EST" hidden="1">"c1716"</definedName>
    <definedName name="IQ_NI_EST_THOM" hidden="1">"c5126"</definedName>
    <definedName name="IQ_NI_FFIEC" hidden="1">"c13034"</definedName>
    <definedName name="IQ_NI_GAAP_GUIDANCE" hidden="1">"c4470"</definedName>
    <definedName name="IQ_NI_GAAP_HIGH_GUIDANCE" hidden="1">"c4177"</definedName>
    <definedName name="IQ_NI_GAAP_LOW_GUIDANCE" hidden="1">"c4217"</definedName>
    <definedName name="IQ_NI_GUIDANCE" hidden="1">"c4469"</definedName>
    <definedName name="IQ_NI_GW_DET_EST" hidden="1">"c12063"</definedName>
    <definedName name="IQ_NI_GW_DET_EST_CURRENCY" hidden="1">"c12470"</definedName>
    <definedName name="IQ_NI_GW_DET_EST_DATE" hidden="1">"c12216"</definedName>
    <definedName name="IQ_NI_GW_DET_EST_INCL" hidden="1">"c12353"</definedName>
    <definedName name="IQ_NI_GW_EST" hidden="1">"c1723"</definedName>
    <definedName name="IQ_NI_GW_GUIDANCE" hidden="1">"c4471"</definedName>
    <definedName name="IQ_NI_GW_HIGH_EST" hidden="1">"c1725"</definedName>
    <definedName name="IQ_NI_GW_HIGH_GUIDANCE" hidden="1">"c4178"</definedName>
    <definedName name="IQ_NI_GW_LOW_EST" hidden="1">"c1726"</definedName>
    <definedName name="IQ_NI_GW_LOW_GUIDANCE" hidden="1">"c4218"</definedName>
    <definedName name="IQ_NI_GW_MEDIAN_EST" hidden="1">"c1724"</definedName>
    <definedName name="IQ_NI_GW_NUM_EST" hidden="1">"c1727"</definedName>
    <definedName name="IQ_NI_GW_STDDEV_EST" hidden="1">"c1728"</definedName>
    <definedName name="IQ_NI_HIGH_EST" hidden="1">"c1718"</definedName>
    <definedName name="IQ_NI_HIGH_EST_THOM" hidden="1">"c5128"</definedName>
    <definedName name="IQ_NI_HIGH_GUIDANCE" hidden="1">"c4176"</definedName>
    <definedName name="IQ_NI_LOW_EST" hidden="1">"c1719"</definedName>
    <definedName name="IQ_NI_LOW_EST_THOM" hidden="1">"c5129"</definedName>
    <definedName name="IQ_NI_LOW_GUIDANCE" hidden="1">"c4216"</definedName>
    <definedName name="IQ_NI_MARGIN" hidden="1">"c794"</definedName>
    <definedName name="IQ_NI_MEDIAN_EST" hidden="1">"c1717"</definedName>
    <definedName name="IQ_NI_MEDIAN_EST_THOM" hidden="1">"c5127"</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NUM_EST_THOM" hidden="1">"c5130"</definedName>
    <definedName name="IQ_NI_REPORTED_DET_EST_ORIGIN" hidden="1">"c12588"</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BC_ACT_OR_EST" hidden="1">"c4474"</definedName>
    <definedName name="IQ_NI_SBC_ACT_OR_EST_CIQ" hidden="1">"c5012"</definedName>
    <definedName name="IQ_NI_SBC_EST" hidden="1">"c4473"</definedName>
    <definedName name="IQ_NI_SBC_GUIDANCE" hidden="1">"c4475"</definedName>
    <definedName name="IQ_NI_SBC_GW_ACT_OR_EST" hidden="1">"c4478"</definedName>
    <definedName name="IQ_NI_SBC_GW_ACT_OR_EST_CIQ" hidden="1">"c5016"</definedName>
    <definedName name="IQ_NI_SBC_GW_EST" hidden="1">"c4477"</definedName>
    <definedName name="IQ_NI_SBC_GW_GUIDANCE" hidden="1">"c4479"</definedName>
    <definedName name="IQ_NI_SBC_GW_HIGH_EST" hidden="1">"c4480"</definedName>
    <definedName name="IQ_NI_SBC_GW_HIGH_GUIDANCE" hidden="1">"c4187"</definedName>
    <definedName name="IQ_NI_SBC_GW_LOW_EST" hidden="1">"c4481"</definedName>
    <definedName name="IQ_NI_SBC_GW_LOW_GUIDANCE" hidden="1">"c4227"</definedName>
    <definedName name="IQ_NI_SBC_GW_MEDIAN_EST" hidden="1">"c4482"</definedName>
    <definedName name="IQ_NI_SBC_GW_NUM_EST" hidden="1">"c4483"</definedName>
    <definedName name="IQ_NI_SBC_GW_STDDEV_EST" hidden="1">"c4484"</definedName>
    <definedName name="IQ_NI_SBC_HIGH_EST" hidden="1">"c4486"</definedName>
    <definedName name="IQ_NI_SBC_HIGH_GUIDANCE" hidden="1">"c4186"</definedName>
    <definedName name="IQ_NI_SBC_LOW_EST" hidden="1">"c4487"</definedName>
    <definedName name="IQ_NI_SBC_LOW_GUIDANCE" hidden="1">"c4226"</definedName>
    <definedName name="IQ_NI_SBC_MEDIAN_EST" hidden="1">"c4488"</definedName>
    <definedName name="IQ_NI_SBC_NUM_EST" hidden="1">"c4489"</definedName>
    <definedName name="IQ_NI_SBC_STDDEV_EST" hidden="1">"c4490"</definedName>
    <definedName name="IQ_NI_SFAS" hidden="1">"c795"</definedName>
    <definedName name="IQ_NI_STDDEV_EST" hidden="1">"c1721"</definedName>
    <definedName name="IQ_NI_STDDEV_EST_THOM" hidden="1">"c5131"</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_ALLOW_RECEIVABLES_FFIEC" hidden="1">"c13353"</definedName>
    <definedName name="IQ_NON_ACCRUAL_LOANS" hidden="1">"c796"</definedName>
    <definedName name="IQ_NON_CASH" hidden="1">"c1399"</definedName>
    <definedName name="IQ_NON_CASH_ITEMS" hidden="1">"c797"</definedName>
    <definedName name="IQ_NON_FARM_NONRES_PROPERTIES_TRADING_DOM_FFIEC" hidden="1">"c12931"</definedName>
    <definedName name="IQ_NON_INS_EXP" hidden="1">"c798"</definedName>
    <definedName name="IQ_NON_INS_REV" hidden="1">"c799"</definedName>
    <definedName name="IQ_NON_INT_BAL_OTHER_INSTITUTIONS_FFIEC" hidden="1">"c12950"</definedName>
    <definedName name="IQ_NON_INT_BEAR_CD" hidden="1">"c11750"</definedName>
    <definedName name="IQ_NON_INT_BEARING_DEPOSITS" hidden="1">"c800"</definedName>
    <definedName name="IQ_NON_INT_DEPOSITS_DOM_FFIEC" hidden="1">"c12851"</definedName>
    <definedName name="IQ_NON_INT_DEPOSITS_FOREIGN_FFIEC" hidden="1">"c12854"</definedName>
    <definedName name="IQ_NON_INT_EXP" hidden="1">"c801"</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EXPENSE_FFIEC" hidden="1">"c13028"</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AVG_ASSETS_FFIEC" hidden="1">"c13359"</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_INC_OPERATING_INC_FFIEC" hidden="1">"c13382"</definedName>
    <definedName name="IQ_NON_INT_INCOME_FFIEC" hidden="1">"c13017"</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_LEASE_FIN_REC_FFIEC" hidden="1">"c13625"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INCOME_AMORT_CLOSED_END_LOANS_FFIEC" hidden="1">"c13078"</definedName>
    <definedName name="IQ_NONCASH_PENSION_EXP" hidden="1">"c3000"</definedName>
    <definedName name="IQ_NONCORE_ASSETS_TOT_FFIEC" hidden="1">"c13443"</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NONRES_GROSS_LOANS_FFIEC" hidden="1">"c13405"</definedName>
    <definedName name="IQ_NONFARM_NONRES_LL_REC_DOM_FFIEC" hidden="1">"c13626"</definedName>
    <definedName name="IQ_NONFARM_NONRES_RISK_BASED_FFIEC" hidden="1">"c13426"</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CASH_FFIEC" hidden="1">"c12774"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QUALIFYING_PREFERRED_T1_FFIEC" hidden="1">"c13134"</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 hidden="1">"c8468"</definedName>
    <definedName name="IQ_NONRES_FIXED_INVEST_PRIV_APR_FC_UNUSED_UNUSED_UNUSED" hidden="1">"c8468"</definedName>
    <definedName name="IQ_NONRES_FIXED_INVEST_PRIV_APR_UNUSED" hidden="1">"c7588"</definedName>
    <definedName name="IQ_NONRES_FIXED_INVEST_PRIV_APR_UNUSED_UNUSED_UNUSED" hidden="1">"c7588"</definedName>
    <definedName name="IQ_NONRES_FIXED_INVEST_PRIV_FC_UNUSED" hidden="1">"c7808"</definedName>
    <definedName name="IQ_NONRES_FIXED_INVEST_PRIV_FC_UNUSED_UNUSED_UNUSED" hidden="1">"c7808"</definedName>
    <definedName name="IQ_NONRES_FIXED_INVEST_PRIV_POP_FC_UNUSED" hidden="1">"c8028"</definedName>
    <definedName name="IQ_NONRES_FIXED_INVEST_PRIV_POP_FC_UNUSED_UNUSED_UNUSED" hidden="1">"c8028"</definedName>
    <definedName name="IQ_NONRES_FIXED_INVEST_PRIV_POP_UNUSED" hidden="1">"c7148"</definedName>
    <definedName name="IQ_NONRES_FIXED_INVEST_PRIV_POP_UNUSED_UNUSED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 hidden="1">"c6928"</definedName>
    <definedName name="IQ_NONRES_FIXED_INVEST_PRIV_UNUSED_UNUSED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 hidden="1">"c8248"</definedName>
    <definedName name="IQ_NONRES_FIXED_INVEST_PRIV_YOY_FC_UNUSED_UNUSED_UNUSED" hidden="1">"c8248"</definedName>
    <definedName name="IQ_NONRES_FIXED_INVEST_PRIV_YOY_UNUSED" hidden="1">"c7368"</definedName>
    <definedName name="IQ_NONRES_FIXED_INVEST_PRIV_YOY_UNUSED_UNUSED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DING_SECURITIES_FAIR_VALUE_TOT_FFIEC" hidden="1">"c13211"</definedName>
    <definedName name="IQ_NONTRADING_SECURITIES_LEVEL_1_FFIEC" hidden="1">"c13219"</definedName>
    <definedName name="IQ_NONTRADING_SECURITIES_LEVEL_2_FFIEC" hidden="1">"c13227"</definedName>
    <definedName name="IQ_NONTRADING_SECURITIES_LEVEL_3_FFIEC" hidden="1">"c13235"</definedName>
    <definedName name="IQ_NONTRANSACTION_ACCOUNTS_FDIC" hidden="1">"c6552"</definedName>
    <definedName name="IQ_NONUTIL_REV" hidden="1">"c2089"</definedName>
    <definedName name="IQ_NORM_EPS_ACT_OR_EST" hidden="1">"c2249"</definedName>
    <definedName name="IQ_NORM_EPS_ACT_OR_EST_CIQ" hidden="1">"c5069"</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AMT_DERIVATIVES_BENEFICIARY_FFIEC" hidden="1">"c13118"</definedName>
    <definedName name="IQ_NOTIONAL_AMT_DERIVATIVES_GUARANTOR_FFIEC" hidden="1">"c13111"</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OW_ATS_ACCOUNTS_COMMERCIAL_BANK_SUBS_FFIEC" hidden="1">"c12946"</definedName>
    <definedName name="IQ_NOW_ATS_ACCOUNTS_OTHER_INSTITUTIONS_FFIEC" hidden="1">"c12951"</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ANCY_CONSOL" hidden="1">"c8840"</definedName>
    <definedName name="IQ_OCCUPANCY_EXP_AVG_ASSETS_FFIEC" hidden="1">"c13372"</definedName>
    <definedName name="IQ_OCCUPANCY_EXP_OPERATING_INC_FFIEC" hidden="1">"c13380"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"c12732"</definedName>
    <definedName name="IQ_OG_DAILY_PRDUCTION_GROWTH_GAS_EQUIVALENT" hidden="1">"c12733"</definedName>
    <definedName name="IQ_OG_DAILY_PRDUCTION_GROWTH_NGL" hidden="1">"c12734"</definedName>
    <definedName name="IQ_OG_DAILY_PRDUCTION_GROWTH_OIL" hidden="1">"c12735"</definedName>
    <definedName name="IQ_OG_DAILY_PRDUCTION_GROWTH_OIL_EQUIVALENT" hidden="1">"c12736"</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TOTAL_WELLS_DRILLED" hidden="1">"c10096"</definedName>
    <definedName name="IQ_OG_GROSS_OPERATED_WELLS" hidden="1">"c10092"</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"c12737"</definedName>
    <definedName name="IQ_OG_PRDUCTION_GROWTH_GAS_EQUIVALENT" hidden="1">"c12738"</definedName>
    <definedName name="IQ_OG_PRDUCTION_GROWTH_NGL" hidden="1">"c12739"</definedName>
    <definedName name="IQ_OG_PRDUCTION_GROWTH_OIL" hidden="1">"c12740"</definedName>
    <definedName name="IQ_OG_PRDUCTION_GROWTH_OIL_EQUIVALENT" hidden="1">"c12741"</definedName>
    <definedName name="IQ_OG_PRDUCTION_GROWTH_TOAL" hidden="1">"c12742"</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OIL_PRODUCT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ACT_OR_EST" hidden="1">"c2220"</definedName>
    <definedName name="IQ_OPER_INC_ACT_OR_EST_THOM" hidden="1">"c5304"</definedName>
    <definedName name="IQ_OPER_INC_BR" hidden="1">"c850"</definedName>
    <definedName name="IQ_OPER_INC_DET_EST" hidden="1">"c12064"</definedName>
    <definedName name="IQ_OPER_INC_DET_EST_CURRENCY" hidden="1">"c12471"</definedName>
    <definedName name="IQ_OPER_INC_DET_EST_CURRENCY_THOM" hidden="1">"c12494"</definedName>
    <definedName name="IQ_OPER_INC_DET_EST_DATE" hidden="1">"c12217"</definedName>
    <definedName name="IQ_OPER_INC_DET_EST_DATE_THOM" hidden="1">"c12245"</definedName>
    <definedName name="IQ_OPER_INC_DET_EST_INCL" hidden="1">"c12354"</definedName>
    <definedName name="IQ_OPER_INC_DET_EST_INCL_THOM" hidden="1">"c12377"</definedName>
    <definedName name="IQ_OPER_INC_DET_EST_ORIGIN" hidden="1">"c12589"</definedName>
    <definedName name="IQ_OPER_INC_DET_EST_ORIGIN_THOM" hidden="1">"c12615"</definedName>
    <definedName name="IQ_OPER_INC_DET_EST_THOM" hidden="1">"c12095"</definedName>
    <definedName name="IQ_OPER_INC_EST" hidden="1">"c1688"</definedName>
    <definedName name="IQ_OPER_INC_EST_THOM" hidden="1">"c5112"</definedName>
    <definedName name="IQ_OPER_INC_FIN" hidden="1">"c851"</definedName>
    <definedName name="IQ_OPER_INC_HIGH_EST" hidden="1">"c1690"</definedName>
    <definedName name="IQ_OPER_INC_HIGH_EST_THOM" hidden="1">"c5114"</definedName>
    <definedName name="IQ_OPER_INC_INS" hidden="1">"c852"</definedName>
    <definedName name="IQ_OPER_INC_LOW_EST" hidden="1">"c1691"</definedName>
    <definedName name="IQ_OPER_INC_LOW_EST_THOM" hidden="1">"c5115"</definedName>
    <definedName name="IQ_OPER_INC_MARGIN" hidden="1">"c1448"</definedName>
    <definedName name="IQ_OPER_INC_MEDIAN_EST" hidden="1">"c1689"</definedName>
    <definedName name="IQ_OPER_INC_MEDIAN_EST_THOM" hidden="1">"c5113"</definedName>
    <definedName name="IQ_OPER_INC_NUM_EST" hidden="1">"c1692"</definedName>
    <definedName name="IQ_OPER_INC_NUM_EST_THOM" hidden="1">"c5116"</definedName>
    <definedName name="IQ_OPER_INC_RE" hidden="1">"c6240"</definedName>
    <definedName name="IQ_OPER_INC_REIT" hidden="1">"c853"</definedName>
    <definedName name="IQ_OPER_INC_STDDEV_EST" hidden="1">"c1693"</definedName>
    <definedName name="IQ_OPER_INC_STDDEV_EST_THOM" hidden="1">"c5117"</definedName>
    <definedName name="IQ_OPER_INC_UTI" hidden="1">"c854"</definedName>
    <definedName name="IQ_OPERATING_EXP_AVG_ASSETS_FFIEC" hidden="1">"c13373"</definedName>
    <definedName name="IQ_OPERATING_INC_AVG_ASSETS_FFIEC" hidden="1">"c13368"</definedName>
    <definedName name="IQ_OPERATING_INC_TE_AVG_ASSETS_FFIEC" hidden="1">"c13360"</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FIEC" hidden="1">"c12831"</definedName>
    <definedName name="IQ_OREO_FOREIGN_FDIC" hidden="1">"c6460"</definedName>
    <definedName name="IQ_OREO_MULTI_FAMILY_RESIDENTIAL_FDIC" hidden="1">"c6455"</definedName>
    <definedName name="IQ_OREO_OTHER_FFIEC" hidden="1">"c12833"</definedName>
    <definedName name="IQ_OTHER_ADDITIONS_T1_FFIEC" hidden="1">"c13142"</definedName>
    <definedName name="IQ_OTHER_ADDITIONS_T2_FFIEC" hidden="1">"c13148"</definedName>
    <definedName name="IQ_OTHER_ADJUST_GROSS_LOANS" hidden="1">"c859"</definedName>
    <definedName name="IQ_OTHER_ADJUSTMENTS_COVERED" hidden="1">"c9961"</definedName>
    <definedName name="IQ_OTHER_ADJUSTMENTS_FFIEC" hidden="1">"c12972"</definedName>
    <definedName name="IQ_OTHER_ADJUSTMENTS_GROUP" hidden="1">"c9947"</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FIEC" hidden="1">"c12848"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TOTAL_FFIEC" hidden="1">"c12841"</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BORROWED_MONEY_FFIEC" hidden="1">"c12862"</definedName>
    <definedName name="IQ_OTHER_BORROWED_MONEY_LT_FFIEC" hidden="1">"c12865"</definedName>
    <definedName name="IQ_OTHER_BORROWED_MONEY_ST_FFIEC" hidden="1">"c12864"</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OMPREHENSIVE_INCOME_FFIEC" hidden="1">"c12970"</definedName>
    <definedName name="IQ_OTHER_CONSTRUCTION_GROSS_LOANS_FFIEC" hidden="1">"c13403"</definedName>
    <definedName name="IQ_OTHER_CONSTRUCTION_LOANS_DUE_30_89_FFIEC" hidden="1">"c13258"</definedName>
    <definedName name="IQ_OTHER_CONSTRUCTION_LOANS_DUE_90_FFIEC" hidden="1">"c13286"</definedName>
    <definedName name="IQ_OTHER_CONSTRUCTION_LOANS_NON_ACCRUAL_FFIEC" hidden="1">"c13312"</definedName>
    <definedName name="IQ_OTHER_CONSTRUCTION_LOANS_UNUSED_FFIEC" hidden="1">"c13245"</definedName>
    <definedName name="IQ_OTHER_CONSTRUCTION_RISK_BASED_FFIEC" hidden="1">"c13424"</definedName>
    <definedName name="IQ_OTHER_CONSUMER_LL_REC_FFIEC" hidden="1">"c12891"</definedName>
    <definedName name="IQ_OTHER_CONSUMER_LOANS_FFIEC" hidden="1">"c12824"</definedName>
    <definedName name="IQ_OTHER_CONSUMER_LOANS_TRADING_DOM_FFIEC" hidden="1">"c12935"</definedName>
    <definedName name="IQ_OTHER_CURRENT_ASSETS" hidden="1">"c1403"</definedName>
    <definedName name="IQ_OTHER_CURRENT_LIAB" hidden="1">"c1404"</definedName>
    <definedName name="IQ_OTHER_DEBT" hidden="1">"c2507"</definedName>
    <definedName name="IQ_OTHER_DEBT_PCT" hidden="1">"c2508"</definedName>
    <definedName name="IQ_OTHER_DEBT_SEC_DOM_AVAIL_SALE_FFIEC" hidden="1">"c12803"</definedName>
    <definedName name="IQ_OTHER_DEBT_SEC_FOREIGN_AVAIL_SALE_FFIEC" hidden="1">"c12804"</definedName>
    <definedName name="IQ_OTHER_DEBT_SEC_INVEST_SECURITIES_FFIEC" hidden="1">"c13462"</definedName>
    <definedName name="IQ_OTHER_DEBT_SEC_TRADING_DOM_FFIEC" hidden="1">"c12924"</definedName>
    <definedName name="IQ_OTHER_DEBT_SEC_TRADING_FFIEC" hidden="1">"c12819"</definedName>
    <definedName name="IQ_OTHER_DEBT_SECURITIES_DOM_FFIEC" hidden="1">"c12789"</definedName>
    <definedName name="IQ_OTHER_DEBT_SECURITIES_FOREIGN_FFIEC" hidden="1">"c12790"</definedName>
    <definedName name="IQ_OTHER_DEDUCTIONS_LEVERAGE_RATIO_FFIEC" hidden="1">"c13158"</definedName>
    <definedName name="IQ_OTHER_DEP" hidden="1">"c885"</definedName>
    <definedName name="IQ_OTHER_DEPOSITORY_INSTITUTIONS_LOANS_FDIC" hidden="1">"c6436"</definedName>
    <definedName name="IQ_OTHER_DEPOSITORY_INSTITUTIONS_TOTAL_LOANS_FOREIGN_FDIC" hidden="1">"c6442"</definedName>
    <definedName name="IQ_OTHER_DEPOSITS_FFIEC" hidden="1">"c12994"</definedName>
    <definedName name="IQ_OTHER_DERIVATIVES_BENEFICIARY_FFIEC" hidden="1">"c13122"</definedName>
    <definedName name="IQ_OTHER_DERIVATIVES_GUARANTOR_FFIEC" hidden="1">"c13115"</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CAPITAL_COMPS_FFIEC" hidden="1">"c12880"</definedName>
    <definedName name="IQ_OTHER_EQUITY_FFIEC" hidden="1">"c12879"</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EXP_OPERATING_INC_FFIEC" hidden="1">"c13381"</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FOREIGN_LOANS_FOREIGN_FFIEC" hidden="1">"c13482"</definedName>
    <definedName name="IQ_OTHER_INSURANCE_FEES_FDIC" hidden="1">"c6672"</definedName>
    <definedName name="IQ_OTHER_INSURANCE_PREMIUMS_FFIEC" hidden="1">"c13071"</definedName>
    <definedName name="IQ_OTHER_INT_EXPENSE_FFIEC" hidden="1">"c12999"</definedName>
    <definedName name="IQ_OTHER_INT_INCOME_FFIEC" hidden="1">"c12988"</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ASSETS_FFIEC" hidden="1">"c12837"</definedName>
    <definedName name="IQ_OTHER_INTANGIBLE_ASSETS_TOT_FFIEC" hidden="1">"c12840"</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EASES_DUE_30_89_FFIEC" hidden="1">"c13278"</definedName>
    <definedName name="IQ_OTHER_LEASES_DUE_90_FFIEC" hidden="1">"c13304"</definedName>
    <definedName name="IQ_OTHER_LEASES_LL_REC_FFIEC" hidden="1">"c12896"</definedName>
    <definedName name="IQ_OTHER_LEASES_NON_ACCRUAL_FFIEC" hidden="1">"c13330"</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IABILITIES_FFIEC" hidden="1">"c12872"</definedName>
    <definedName name="IQ_OTHER_LIABILITIES_TOTAL_FFIEC" hidden="1">"c12869"</definedName>
    <definedName name="IQ_OTHER_LL_REC_FFIEC" hidden="1">"c12894"</definedName>
    <definedName name="IQ_OTHER_LOANS" hidden="1">"c945"</definedName>
    <definedName name="IQ_OTHER_LOANS_CHARGE_OFFS_FDIC" hidden="1">"c6601"</definedName>
    <definedName name="IQ_OTHER_LOANS_DUE_30_89_FFIEC" hidden="1">"c13275"</definedName>
    <definedName name="IQ_OTHER_LOANS_DUE_90_FFIEC" hidden="1">"c13301"</definedName>
    <definedName name="IQ_OTHER_LOANS_FFIEC" hidden="1">"c12825"</definedName>
    <definedName name="IQ_OTHER_LOANS_FOREIGN_FDIC" hidden="1">"c6446"</definedName>
    <definedName name="IQ_OTHER_LOANS_GROSS_LOANS_FFIEC" hidden="1">"c13414"</definedName>
    <definedName name="IQ_OTHER_LOANS_INDIVIDUALS_CHARGE_OFFS_FFIEC" hidden="1">"c13181"</definedName>
    <definedName name="IQ_OTHER_LOANS_INDIVIDUALS_DUE_30_89_FFIEC" hidden="1">"c13273"</definedName>
    <definedName name="IQ_OTHER_LOANS_INDIVIDUALS_DUE_90_FFIEC" hidden="1">"c13299"</definedName>
    <definedName name="IQ_OTHER_LOANS_INDIVIDUALS_NON_ACCRUAL_FFIEC" hidden="1">"c13325"</definedName>
    <definedName name="IQ_OTHER_LOANS_INDIVIDUALS_RECOV_FFIEC" hidden="1">"c13203"</definedName>
    <definedName name="IQ_OTHER_LOANS_LEASES_FDIC" hidden="1">"c6322"</definedName>
    <definedName name="IQ_OTHER_LOANS_LL_REC_DOM_FFIEC" hidden="1">"c12914"</definedName>
    <definedName name="IQ_OTHER_LOANS_NET_CHARGE_OFFS_FDIC" hidden="1">"c6639"</definedName>
    <definedName name="IQ_OTHER_LOANS_NON_ACCRUAL_FFIEC" hidden="1">"c13327"</definedName>
    <definedName name="IQ_OTHER_LOANS_RECOVERIES_FDIC" hidden="1">"c6620"</definedName>
    <definedName name="IQ_OTHER_LOANS_RISK_BASED_FFIEC" hidden="1">"c13435"</definedName>
    <definedName name="IQ_OTHER_LOANS_TOTAL_FDIC" hidden="1">"c6432"</definedName>
    <definedName name="IQ_OTHER_LOANS_TRADING_DOM_FFIEC" hidden="1">"c12936"</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BS_AVAIL_SALE_FFIEC" hidden="1">"c12801"</definedName>
    <definedName name="IQ_OTHER_MBS_FFIEC" hidden="1">"c12787"</definedName>
    <definedName name="IQ_OTHER_MBS_ISSUED_FNMA_GNMA_TRADING_DOM_FFIEC" hidden="1">"c12922"</definedName>
    <definedName name="IQ_OTHER_MBS_ISSUED_FNMA_GNMA_TRADING_FFIEC" hidden="1">"c12817"</definedName>
    <definedName name="IQ_OTHER_MBS_TRADING_DOM_FFIEC" hidden="1">"c12923"</definedName>
    <definedName name="IQ_OTHER_MBS_TRADING_FFIEC" hidden="1">"c12818"</definedName>
    <definedName name="IQ_OTHER_NET" hidden="1">"c1453"</definedName>
    <definedName name="IQ_OTHER_NON_INT_ALLOCATIONS_FFIEC" hidden="1">"c13065"</definedName>
    <definedName name="IQ_OTHER_NON_INT_EXP" hidden="1">"c953"</definedName>
    <definedName name="IQ_OTHER_NON_INT_EXP_FDIC" hidden="1">"c6578"</definedName>
    <definedName name="IQ_OTHER_NON_INT_EXP_FFIEC" hidden="1">"c13027"</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INT_INC_OPERATING_INC_FFIEC" hidden="1">"c13392"</definedName>
    <definedName name="IQ_OTHER_NON_INT_INCOME_FFIEC" hidden="1">"c13016"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NONFARM_NONRES_GROSS_LOANS_FFIEC" hidden="1">"c13407"</definedName>
    <definedName name="IQ_OTHER_NONFARM_NONRES_LL_REC_DOM_FFIEC" hidden="1">"c12907"</definedName>
    <definedName name="IQ_OTHER_NONFARM_NONRES_RISK_BASED_FFIEC" hidden="1">"c13428"</definedName>
    <definedName name="IQ_OTHER_OFF_BS_ITEMS_FFIEC" hidden="1">"c13126"</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PROP" hidden="1">"c8764"</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REVOL_CREDIT_CONSUMER_LOANS_FFIEC" hidden="1">"c12823"</definedName>
    <definedName name="IQ_OTHER_REVOLVING_CREDIT_LL_REC_FFIEC" hidden="1">"c12890"</definedName>
    <definedName name="IQ_OTHER_REVOLVING_CREDIT_LOANS_TRADING_DOM_FFIEC" hidden="1">"c12934"</definedName>
    <definedName name="IQ_OTHER_ROOMS" hidden="1">"c8788"</definedName>
    <definedName name="IQ_OTHER_SAVINGS_DEPOSITS_FDIC" hidden="1">"c6554"</definedName>
    <definedName name="IQ_OTHER_SQ_FT" hidden="1">"c8780"</definedName>
    <definedName name="IQ_OTHER_STRIKE_PRICE_GRANTED" hidden="1">"c2692"</definedName>
    <definedName name="IQ_OTHER_TRADING_ASSETS_FFIEC" hidden="1">"c12826"</definedName>
    <definedName name="IQ_OTHER_TRADING_ASSETS_TOTAL_FFIEC" hidden="1">"c12937"</definedName>
    <definedName name="IQ_OTHER_TRADING_LIABILITIES_FFIEC" hidden="1">"c12860"</definedName>
    <definedName name="IQ_OTHER_TRANSACTIONS_FDIC" hidden="1">"c6504"</definedName>
    <definedName name="IQ_OTHER_UNDRAWN" hidden="1">"c2522"</definedName>
    <definedName name="IQ_OTHER_UNITS" hidden="1">"c8772"</definedName>
    <definedName name="IQ_OTHER_UNUSED_COMMITMENTS_FDIC" hidden="1">"c6530"</definedName>
    <definedName name="IQ_OTHER_UNUSED_FFIEC" hidden="1">"c13248"</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VER_FIFETEEN_YEAR_MORTGAGE_PASS_THROUGHS_FDIC" hidden="1">"c6416"</definedName>
    <definedName name="IQ_OVER_FIFTEEN_YEAR_FIXED_AND_FLOATING_RATE_FDIC" hidden="1">"c6424"</definedName>
    <definedName name="IQ_OVER_THREE_YEARS_FDIC" hidden="1">"c6418"</definedName>
    <definedName name="IQ_OVERHEAD_EXP_AVG_ASSETS_FFIEC" hidden="1">"c13361"</definedName>
    <definedName name="IQ_OVERHEAD_EXP_REV_FFIEC" hidden="1">"c13494"</definedName>
    <definedName name="IQ_OVERHEAD_NON_INT_INC_AVG_ASSETS_FFIEC" hidden="1">"c13374"</definedName>
    <definedName name="IQ_OVERHEAD_NON_INT_OPERATING_INC_FFIEC" hidden="1">"c13393"</definedName>
    <definedName name="IQ_OVERHEAD_OPERATING_INC_FFIEC" hidden="1">"c13378"</definedName>
    <definedName name="IQ_OWNER_OCCUPIED_GROSS_LOANS_FFIEC" hidden="1">"c13406"</definedName>
    <definedName name="IQ_OWNER_OCCUPIED_LOANS_RISK_BASED_FFIEC" hidden="1">"c13427"</definedName>
    <definedName name="IQ_OWNER_OCCUPIED_NONFARM_NONRES_LL_REC_DOM_FFIEC" hidden="1">"c12906"</definedName>
    <definedName name="IQ_OWNERSHIP" hidden="1">"c2160"</definedName>
    <definedName name="IQ_PART_TIME" hidden="1">"c1024"</definedName>
    <definedName name="IQ_PARTICIPATION_POOLS_RESIDENTIAL_MORTGAGES_FDIC" hidden="1">"c6403"</definedName>
    <definedName name="IQ_PARTICIPATIONS_ACCEPTANCES_FFIEC" hidden="1">"c13254"</definedName>
    <definedName name="IQ_PARTNERSHIP_INC_RE" hidden="1">"c12039"</definedName>
    <definedName name="IQ_PASS_THROUGH_FNMA_GNMA_TRADING_FFIEC" hidden="1">"c12816"</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ST_DUE_ALLOW_GROSS_LOANS_FFIEC" hidden="1">"c13416"</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IQ" hidden="1">"c4042"</definedName>
    <definedName name="IQ_PE_EXCL_FWD_REUT" hidden="1">"c4049"</definedName>
    <definedName name="IQ_PE_EXCL_FWD_THOM" hidden="1">"c4056"</definedName>
    <definedName name="IQ_PE_NORMALIZED" hidden="1">"c2207"</definedName>
    <definedName name="IQ_PE_RATIO" hidden="1">"c1610"</definedName>
    <definedName name="IQ_PEG_FWD" hidden="1">"c1863"</definedName>
    <definedName name="IQ_PEG_FWD_CIQ" hidden="1">"c4045"</definedName>
    <definedName name="IQ_PEG_FWD_REUT" hidden="1">"c4052"</definedName>
    <definedName name="IQ_PEG_FWD_THOM" hidden="1">"c4059"</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CIQ" hidden="1">"c3790"</definedName>
    <definedName name="IQ_PERCENT_CHANGE_EST_5YR_GROWTH_RATE_12MONTHS_THOM" hidden="1">"c5269"</definedName>
    <definedName name="IQ_PERCENT_CHANGE_EST_5YR_GROWTH_RATE_18MONTHS" hidden="1">"c1853"</definedName>
    <definedName name="IQ_PERCENT_CHANGE_EST_5YR_GROWTH_RATE_18MONTHS_CIQ" hidden="1">"c3791"</definedName>
    <definedName name="IQ_PERCENT_CHANGE_EST_5YR_GROWTH_RATE_18MONTHS_THOM" hidden="1">"c5270"</definedName>
    <definedName name="IQ_PERCENT_CHANGE_EST_5YR_GROWTH_RATE_3MONTHS" hidden="1">"c1849"</definedName>
    <definedName name="IQ_PERCENT_CHANGE_EST_5YR_GROWTH_RATE_3MONTHS_CIQ" hidden="1">"c3787"</definedName>
    <definedName name="IQ_PERCENT_CHANGE_EST_5YR_GROWTH_RATE_3MONTHS_THOM" hidden="1">"c5266"</definedName>
    <definedName name="IQ_PERCENT_CHANGE_EST_5YR_GROWTH_RATE_6MONTHS" hidden="1">"c1850"</definedName>
    <definedName name="IQ_PERCENT_CHANGE_EST_5YR_GROWTH_RATE_6MONTHS_CIQ" hidden="1">"c3788"</definedName>
    <definedName name="IQ_PERCENT_CHANGE_EST_5YR_GROWTH_RATE_6MONTHS_THOM" hidden="1">"c5267"</definedName>
    <definedName name="IQ_PERCENT_CHANGE_EST_5YR_GROWTH_RATE_9MONTHS" hidden="1">"c1851"</definedName>
    <definedName name="IQ_PERCENT_CHANGE_EST_5YR_GROWTH_RATE_9MONTHS_CIQ" hidden="1">"c3789"</definedName>
    <definedName name="IQ_PERCENT_CHANGE_EST_5YR_GROWTH_RATE_9MONTHS_THOM" hidden="1">"c5268"</definedName>
    <definedName name="IQ_PERCENT_CHANGE_EST_5YR_GROWTH_RATE_DAY" hidden="1">"c1846"</definedName>
    <definedName name="IQ_PERCENT_CHANGE_EST_5YR_GROWTH_RATE_DAY_CIQ" hidden="1">"c3785"</definedName>
    <definedName name="IQ_PERCENT_CHANGE_EST_5YR_GROWTH_RATE_DAY_THOM" hidden="1">"c5264"</definedName>
    <definedName name="IQ_PERCENT_CHANGE_EST_5YR_GROWTH_RATE_MONTH" hidden="1">"c1848"</definedName>
    <definedName name="IQ_PERCENT_CHANGE_EST_5YR_GROWTH_RATE_MONTH_CIQ" hidden="1">"c3786"</definedName>
    <definedName name="IQ_PERCENT_CHANGE_EST_5YR_GROWTH_RATE_MONTH_THOM" hidden="1">"c5265"</definedName>
    <definedName name="IQ_PERCENT_CHANGE_EST_5YR_GROWTH_RATE_WEEK" hidden="1">"c1847"</definedName>
    <definedName name="IQ_PERCENT_CHANGE_EST_5YR_GROWTH_RATE_WEEK_CIQ" hidden="1">"c3797"</definedName>
    <definedName name="IQ_PERCENT_CHANGE_EST_5YR_GROWTH_RATE_WEEK_THOM" hidden="1">"c5277"</definedName>
    <definedName name="IQ_PERCENT_CHANGE_EST_CFPS_12MONTHS" hidden="1">"c1812"</definedName>
    <definedName name="IQ_PERCENT_CHANGE_EST_CFPS_12MONTHS_THOM" hidden="1">"c5234"</definedName>
    <definedName name="IQ_PERCENT_CHANGE_EST_CFPS_18MONTHS" hidden="1">"c1813"</definedName>
    <definedName name="IQ_PERCENT_CHANGE_EST_CFPS_18MONTHS_THOM" hidden="1">"c5235"</definedName>
    <definedName name="IQ_PERCENT_CHANGE_EST_CFPS_3MONTHS" hidden="1">"c1809"</definedName>
    <definedName name="IQ_PERCENT_CHANGE_EST_CFPS_3MONTHS_THOM" hidden="1">"c5231"</definedName>
    <definedName name="IQ_PERCENT_CHANGE_EST_CFPS_6MONTHS" hidden="1">"c1810"</definedName>
    <definedName name="IQ_PERCENT_CHANGE_EST_CFPS_6MONTHS_THOM" hidden="1">"c5232"</definedName>
    <definedName name="IQ_PERCENT_CHANGE_EST_CFPS_9MONTHS" hidden="1">"c1811"</definedName>
    <definedName name="IQ_PERCENT_CHANGE_EST_CFPS_9MONTHS_THOM" hidden="1">"c5233"</definedName>
    <definedName name="IQ_PERCENT_CHANGE_EST_CFPS_DAY" hidden="1">"c1806"</definedName>
    <definedName name="IQ_PERCENT_CHANGE_EST_CFPS_DAY_THOM" hidden="1">"c5229"</definedName>
    <definedName name="IQ_PERCENT_CHANGE_EST_CFPS_MONTH" hidden="1">"c1808"</definedName>
    <definedName name="IQ_PERCENT_CHANGE_EST_CFPS_MONTH_THOM" hidden="1">"c5230"</definedName>
    <definedName name="IQ_PERCENT_CHANGE_EST_CFPS_WEEK" hidden="1">"c1807"</definedName>
    <definedName name="IQ_PERCENT_CHANGE_EST_CFPS_WEEK_THOM" hidden="1">"c5272"</definedName>
    <definedName name="IQ_PERCENT_CHANGE_EST_DPS_12MONTHS" hidden="1">"c1820"</definedName>
    <definedName name="IQ_PERCENT_CHANGE_EST_DPS_12MONTHS_THOM" hidden="1">"c5241"</definedName>
    <definedName name="IQ_PERCENT_CHANGE_EST_DPS_18MONTHS" hidden="1">"c1821"</definedName>
    <definedName name="IQ_PERCENT_CHANGE_EST_DPS_18MONTHS_THOM" hidden="1">"c5242"</definedName>
    <definedName name="IQ_PERCENT_CHANGE_EST_DPS_3MONTHS" hidden="1">"c1817"</definedName>
    <definedName name="IQ_PERCENT_CHANGE_EST_DPS_3MONTHS_THOM" hidden="1">"c5238"</definedName>
    <definedName name="IQ_PERCENT_CHANGE_EST_DPS_6MONTHS" hidden="1">"c1818"</definedName>
    <definedName name="IQ_PERCENT_CHANGE_EST_DPS_6MONTHS_THOM" hidden="1">"c5239"</definedName>
    <definedName name="IQ_PERCENT_CHANGE_EST_DPS_9MONTHS" hidden="1">"c1819"</definedName>
    <definedName name="IQ_PERCENT_CHANGE_EST_DPS_9MONTHS_THOM" hidden="1">"c5240"</definedName>
    <definedName name="IQ_PERCENT_CHANGE_EST_DPS_DAY" hidden="1">"c1814"</definedName>
    <definedName name="IQ_PERCENT_CHANGE_EST_DPS_DAY_THOM" hidden="1">"c5236"</definedName>
    <definedName name="IQ_PERCENT_CHANGE_EST_DPS_MONTH" hidden="1">"c1816"</definedName>
    <definedName name="IQ_PERCENT_CHANGE_EST_DPS_MONTH_THOM" hidden="1">"c5237"</definedName>
    <definedName name="IQ_PERCENT_CHANGE_EST_DPS_WEEK" hidden="1">"c1815"</definedName>
    <definedName name="IQ_PERCENT_CHANGE_EST_DPS_WEEK_THOM" hidden="1">"c5273"</definedName>
    <definedName name="IQ_PERCENT_CHANGE_EST_EBITDA_12MONTHS" hidden="1">"c1804"</definedName>
    <definedName name="IQ_PERCENT_CHANGE_EST_EBITDA_12MONTHS_CIQ" hidden="1">"c3748"</definedName>
    <definedName name="IQ_PERCENT_CHANGE_EST_EBITDA_12MONTHS_THOM" hidden="1">"c5227"</definedName>
    <definedName name="IQ_PERCENT_CHANGE_EST_EBITDA_18MONTHS" hidden="1">"c1805"</definedName>
    <definedName name="IQ_PERCENT_CHANGE_EST_EBITDA_18MONTHS_CIQ" hidden="1">"c3749"</definedName>
    <definedName name="IQ_PERCENT_CHANGE_EST_EBITDA_18MONTHS_THOM" hidden="1">"c5228"</definedName>
    <definedName name="IQ_PERCENT_CHANGE_EST_EBITDA_3MONTHS" hidden="1">"c1801"</definedName>
    <definedName name="IQ_PERCENT_CHANGE_EST_EBITDA_3MONTHS_CIQ" hidden="1">"c3745"</definedName>
    <definedName name="IQ_PERCENT_CHANGE_EST_EBITDA_3MONTHS_THOM" hidden="1">"c5224"</definedName>
    <definedName name="IQ_PERCENT_CHANGE_EST_EBITDA_6MONTHS" hidden="1">"c1802"</definedName>
    <definedName name="IQ_PERCENT_CHANGE_EST_EBITDA_6MONTHS_CIQ" hidden="1">"c3746"</definedName>
    <definedName name="IQ_PERCENT_CHANGE_EST_EBITDA_6MONTHS_THOM" hidden="1">"c5225"</definedName>
    <definedName name="IQ_PERCENT_CHANGE_EST_EBITDA_9MONTHS" hidden="1">"c1803"</definedName>
    <definedName name="IQ_PERCENT_CHANGE_EST_EBITDA_9MONTHS_CIQ" hidden="1">"c3747"</definedName>
    <definedName name="IQ_PERCENT_CHANGE_EST_EBITDA_9MONTHS_THOM" hidden="1">"c5226"</definedName>
    <definedName name="IQ_PERCENT_CHANGE_EST_EBITDA_DAY" hidden="1">"c1798"</definedName>
    <definedName name="IQ_PERCENT_CHANGE_EST_EBITDA_DAY_CIQ" hidden="1">"c3743"</definedName>
    <definedName name="IQ_PERCENT_CHANGE_EST_EBITDA_DAY_THOM" hidden="1">"c5222"</definedName>
    <definedName name="IQ_PERCENT_CHANGE_EST_EBITDA_MONTH" hidden="1">"c1800"</definedName>
    <definedName name="IQ_PERCENT_CHANGE_EST_EBITDA_MONTH_CIQ" hidden="1">"c3744"</definedName>
    <definedName name="IQ_PERCENT_CHANGE_EST_EBITDA_MONTH_THOM" hidden="1">"c5223"</definedName>
    <definedName name="IQ_PERCENT_CHANGE_EST_EBITDA_WEEK" hidden="1">"c1799"</definedName>
    <definedName name="IQ_PERCENT_CHANGE_EST_EBITDA_WEEK_CIQ" hidden="1">"c3792"</definedName>
    <definedName name="IQ_PERCENT_CHANGE_EST_EBITDA_WEEK_THOM" hidden="1">"c5271"</definedName>
    <definedName name="IQ_PERCENT_CHANGE_EST_EPS_12MONTHS" hidden="1">"c1788"</definedName>
    <definedName name="IQ_PERCENT_CHANGE_EST_EPS_12MONTHS_CIQ" hidden="1">"c3733"</definedName>
    <definedName name="IQ_PERCENT_CHANGE_EST_EPS_12MONTHS_THOM" hidden="1">"c5212"</definedName>
    <definedName name="IQ_PERCENT_CHANGE_EST_EPS_18MONTHS" hidden="1">"c1789"</definedName>
    <definedName name="IQ_PERCENT_CHANGE_EST_EPS_18MONTHS_CIQ" hidden="1">"c3734"</definedName>
    <definedName name="IQ_PERCENT_CHANGE_EST_EPS_18MONTHS_THOM" hidden="1">"c5213"</definedName>
    <definedName name="IQ_PERCENT_CHANGE_EST_EPS_3MONTHS" hidden="1">"c1785"</definedName>
    <definedName name="IQ_PERCENT_CHANGE_EST_EPS_3MONTHS_CIQ" hidden="1">"c3730"</definedName>
    <definedName name="IQ_PERCENT_CHANGE_EST_EPS_3MONTHS_THOM" hidden="1">"c5209"</definedName>
    <definedName name="IQ_PERCENT_CHANGE_EST_EPS_6MONTHS" hidden="1">"c1786"</definedName>
    <definedName name="IQ_PERCENT_CHANGE_EST_EPS_6MONTHS_CIQ" hidden="1">"c3731"</definedName>
    <definedName name="IQ_PERCENT_CHANGE_EST_EPS_6MONTHS_THOM" hidden="1">"c5210"</definedName>
    <definedName name="IQ_PERCENT_CHANGE_EST_EPS_9MONTHS" hidden="1">"c1787"</definedName>
    <definedName name="IQ_PERCENT_CHANGE_EST_EPS_9MONTHS_CIQ" hidden="1">"c3732"</definedName>
    <definedName name="IQ_PERCENT_CHANGE_EST_EPS_9MONTHS_THOM" hidden="1">"c5211"</definedName>
    <definedName name="IQ_PERCENT_CHANGE_EST_EPS_DAY" hidden="1">"c1782"</definedName>
    <definedName name="IQ_PERCENT_CHANGE_EST_EPS_DAY_CIQ" hidden="1">"c3727"</definedName>
    <definedName name="IQ_PERCENT_CHANGE_EST_EPS_DAY_THOM" hidden="1">"c5206"</definedName>
    <definedName name="IQ_PERCENT_CHANGE_EST_EPS_MONTH" hidden="1">"c1784"</definedName>
    <definedName name="IQ_PERCENT_CHANGE_EST_EPS_MONTH_CIQ" hidden="1">"c3729"</definedName>
    <definedName name="IQ_PERCENT_CHANGE_EST_EPS_MONTH_THOM" hidden="1">"c5208"</definedName>
    <definedName name="IQ_PERCENT_CHANGE_EST_EPS_WEEK" hidden="1">"c1783"</definedName>
    <definedName name="IQ_PERCENT_CHANGE_EST_EPS_WEEK_CIQ" hidden="1">"c3728"</definedName>
    <definedName name="IQ_PERCENT_CHANGE_EST_EPS_WEEK_THOM" hidden="1">"c5207"</definedName>
    <definedName name="IQ_PERCENT_CHANGE_EST_FFO_12MONTHS" hidden="1">"c1828"</definedName>
    <definedName name="IQ_PERCENT_CHANGE_EST_FFO_12MONTHS_THOM" hidden="1">"c5248"</definedName>
    <definedName name="IQ_PERCENT_CHANGE_EST_FFO_18MONTHS" hidden="1">"c1829"</definedName>
    <definedName name="IQ_PERCENT_CHANGE_EST_FFO_18MONTHS_THOM" hidden="1">"c5249"</definedName>
    <definedName name="IQ_PERCENT_CHANGE_EST_FFO_3MONTHS" hidden="1">"c1825"</definedName>
    <definedName name="IQ_PERCENT_CHANGE_EST_FFO_3MONTHS_THOM" hidden="1">"c5245"</definedName>
    <definedName name="IQ_PERCENT_CHANGE_EST_FFO_6MONTHS" hidden="1">"c1826"</definedName>
    <definedName name="IQ_PERCENT_CHANGE_EST_FFO_6MONTHS_THOM" hidden="1">"c5246"</definedName>
    <definedName name="IQ_PERCENT_CHANGE_EST_FFO_9MONTHS" hidden="1">"c1827"</definedName>
    <definedName name="IQ_PERCENT_CHANGE_EST_FFO_9MONTHS_THOM" hidden="1">"c5247"</definedName>
    <definedName name="IQ_PERCENT_CHANGE_EST_FFO_DAY" hidden="1">"c1822"</definedName>
    <definedName name="IQ_PERCENT_CHANGE_EST_FFO_DAY_THOM" hidden="1">"c5243"</definedName>
    <definedName name="IQ_PERCENT_CHANGE_EST_FFO_MONTH" hidden="1">"c1824"</definedName>
    <definedName name="IQ_PERCENT_CHANGE_EST_FFO_MONTH_THOM" hidden="1">"c5244"</definedName>
    <definedName name="IQ_PERCENT_CHANGE_EST_FFO_SHARE_SHARE_12MONTHS" hidden="1">"c1828"</definedName>
    <definedName name="IQ_PERCENT_CHANGE_EST_FFO_SHARE_SHARE_12MONTHS_THOM" hidden="1">"c5248"</definedName>
    <definedName name="IQ_PERCENT_CHANGE_EST_FFO_SHARE_SHARE_18MONTHS" hidden="1">"c1829"</definedName>
    <definedName name="IQ_PERCENT_CHANGE_EST_FFO_SHARE_SHARE_18MONTHS_THOM" hidden="1">"c5249"</definedName>
    <definedName name="IQ_PERCENT_CHANGE_EST_FFO_SHARE_SHARE_3MONTHS" hidden="1">"c1825"</definedName>
    <definedName name="IQ_PERCENT_CHANGE_EST_FFO_SHARE_SHARE_3MONTHS_THOM" hidden="1">"c5245"</definedName>
    <definedName name="IQ_PERCENT_CHANGE_EST_FFO_SHARE_SHARE_6MONTHS" hidden="1">"c1826"</definedName>
    <definedName name="IQ_PERCENT_CHANGE_EST_FFO_SHARE_SHARE_6MONTHS_THOM" hidden="1">"c5246"</definedName>
    <definedName name="IQ_PERCENT_CHANGE_EST_FFO_SHARE_SHARE_9MONTHS" hidden="1">"c1827"</definedName>
    <definedName name="IQ_PERCENT_CHANGE_EST_FFO_SHARE_SHARE_9MONTHS_THOM" hidden="1">"c5247"</definedName>
    <definedName name="IQ_PERCENT_CHANGE_EST_FFO_SHARE_SHARE_DAY" hidden="1">"c1822"</definedName>
    <definedName name="IQ_PERCENT_CHANGE_EST_FFO_SHARE_SHARE_DAY_THOM" hidden="1">"c5243"</definedName>
    <definedName name="IQ_PERCENT_CHANGE_EST_FFO_SHARE_SHARE_MONTH" hidden="1">"c1824"</definedName>
    <definedName name="IQ_PERCENT_CHANGE_EST_FFO_SHARE_SHARE_MONTH_THOM" hidden="1">"c5244"</definedName>
    <definedName name="IQ_PERCENT_CHANGE_EST_FFO_SHARE_SHARE_WEEK" hidden="1">"c1823"</definedName>
    <definedName name="IQ_PERCENT_CHANGE_EST_FFO_SHARE_SHARE_WEEK_THOM" hidden="1">"c5274"</definedName>
    <definedName name="IQ_PERCENT_CHANGE_EST_FFO_WEEK" hidden="1">"c1823"</definedName>
    <definedName name="IQ_PERCENT_CHANGE_EST_FFO_WEEK_THOM" hidden="1">"c5274"</definedName>
    <definedName name="IQ_PERCENT_CHANGE_EST_PRICE_TARGET_12MONTHS" hidden="1">"c1844"</definedName>
    <definedName name="IQ_PERCENT_CHANGE_EST_PRICE_TARGET_12MONTHS_CIQ" hidden="1">"c3783"</definedName>
    <definedName name="IQ_PERCENT_CHANGE_EST_PRICE_TARGET_12MONTHS_THOM" hidden="1">"c5262"</definedName>
    <definedName name="IQ_PERCENT_CHANGE_EST_PRICE_TARGET_18MONTHS" hidden="1">"c1845"</definedName>
    <definedName name="IQ_PERCENT_CHANGE_EST_PRICE_TARGET_18MONTHS_CIQ" hidden="1">"c3784"</definedName>
    <definedName name="IQ_PERCENT_CHANGE_EST_PRICE_TARGET_18MONTHS_THOM" hidden="1">"c5263"</definedName>
    <definedName name="IQ_PERCENT_CHANGE_EST_PRICE_TARGET_3MONTHS" hidden="1">"c1841"</definedName>
    <definedName name="IQ_PERCENT_CHANGE_EST_PRICE_TARGET_3MONTHS_CIQ" hidden="1">"c3780"</definedName>
    <definedName name="IQ_PERCENT_CHANGE_EST_PRICE_TARGET_3MONTHS_THOM" hidden="1">"c5259"</definedName>
    <definedName name="IQ_PERCENT_CHANGE_EST_PRICE_TARGET_6MONTHS" hidden="1">"c1842"</definedName>
    <definedName name="IQ_PERCENT_CHANGE_EST_PRICE_TARGET_6MONTHS_CIQ" hidden="1">"c3781"</definedName>
    <definedName name="IQ_PERCENT_CHANGE_EST_PRICE_TARGET_6MONTHS_THOM" hidden="1">"c5260"</definedName>
    <definedName name="IQ_PERCENT_CHANGE_EST_PRICE_TARGET_9MONTHS" hidden="1">"c1843"</definedName>
    <definedName name="IQ_PERCENT_CHANGE_EST_PRICE_TARGET_9MONTHS_CIQ" hidden="1">"c3782"</definedName>
    <definedName name="IQ_PERCENT_CHANGE_EST_PRICE_TARGET_9MONTHS_THOM" hidden="1">"c5261"</definedName>
    <definedName name="IQ_PERCENT_CHANGE_EST_PRICE_TARGET_DAY" hidden="1">"c1838"</definedName>
    <definedName name="IQ_PERCENT_CHANGE_EST_PRICE_TARGET_DAY_CIQ" hidden="1">"c3778"</definedName>
    <definedName name="IQ_PERCENT_CHANGE_EST_PRICE_TARGET_DAY_THOM" hidden="1">"c5257"</definedName>
    <definedName name="IQ_PERCENT_CHANGE_EST_PRICE_TARGET_MONTH" hidden="1">"c1840"</definedName>
    <definedName name="IQ_PERCENT_CHANGE_EST_PRICE_TARGET_MONTH_CIQ" hidden="1">"c3779"</definedName>
    <definedName name="IQ_PERCENT_CHANGE_EST_PRICE_TARGET_MONTH_THOM" hidden="1">"c5258"</definedName>
    <definedName name="IQ_PERCENT_CHANGE_EST_PRICE_TARGET_WEEK" hidden="1">"c1839"</definedName>
    <definedName name="IQ_PERCENT_CHANGE_EST_PRICE_TARGET_WEEK_CIQ" hidden="1">"c3798"</definedName>
    <definedName name="IQ_PERCENT_CHANGE_EST_PRICE_TARGET_WEEK_THOM" hidden="1">"c5276"</definedName>
    <definedName name="IQ_PERCENT_CHANGE_EST_RECO_12MONTHS" hidden="1">"c1836"</definedName>
    <definedName name="IQ_PERCENT_CHANGE_EST_RECO_12MONTHS_CIQ" hidden="1">"c3776"</definedName>
    <definedName name="IQ_PERCENT_CHANGE_EST_RECO_12MONTHS_THOM" hidden="1">"c5255"</definedName>
    <definedName name="IQ_PERCENT_CHANGE_EST_RECO_18MONTHS" hidden="1">"c1837"</definedName>
    <definedName name="IQ_PERCENT_CHANGE_EST_RECO_18MONTHS_CIQ" hidden="1">"c3777"</definedName>
    <definedName name="IQ_PERCENT_CHANGE_EST_RECO_18MONTHS_THOM" hidden="1">"c5256"</definedName>
    <definedName name="IQ_PERCENT_CHANGE_EST_RECO_3MONTHS" hidden="1">"c1833"</definedName>
    <definedName name="IQ_PERCENT_CHANGE_EST_RECO_3MONTHS_CIQ" hidden="1">"c3773"</definedName>
    <definedName name="IQ_PERCENT_CHANGE_EST_RECO_3MONTHS_THOM" hidden="1">"c5252"</definedName>
    <definedName name="IQ_PERCENT_CHANGE_EST_RECO_6MONTHS" hidden="1">"c1834"</definedName>
    <definedName name="IQ_PERCENT_CHANGE_EST_RECO_6MONTHS_CIQ" hidden="1">"c3774"</definedName>
    <definedName name="IQ_PERCENT_CHANGE_EST_RECO_6MONTHS_THOM" hidden="1">"c5253"</definedName>
    <definedName name="IQ_PERCENT_CHANGE_EST_RECO_9MONTHS" hidden="1">"c1835"</definedName>
    <definedName name="IQ_PERCENT_CHANGE_EST_RECO_9MONTHS_CIQ" hidden="1">"c3775"</definedName>
    <definedName name="IQ_PERCENT_CHANGE_EST_RECO_9MONTHS_THOM" hidden="1">"c5254"</definedName>
    <definedName name="IQ_PERCENT_CHANGE_EST_RECO_DAY" hidden="1">"c1830"</definedName>
    <definedName name="IQ_PERCENT_CHANGE_EST_RECO_DAY_CIQ" hidden="1">"c3771"</definedName>
    <definedName name="IQ_PERCENT_CHANGE_EST_RECO_DAY_THOM" hidden="1">"c5250"</definedName>
    <definedName name="IQ_PERCENT_CHANGE_EST_RECO_MONTH" hidden="1">"c1832"</definedName>
    <definedName name="IQ_PERCENT_CHANGE_EST_RECO_MONTH_CIQ" hidden="1">"c3772"</definedName>
    <definedName name="IQ_PERCENT_CHANGE_EST_RECO_MONTH_THOM" hidden="1">"c5251"</definedName>
    <definedName name="IQ_PERCENT_CHANGE_EST_RECO_WEEK" hidden="1">"c1831"</definedName>
    <definedName name="IQ_PERCENT_CHANGE_EST_RECO_WEEK_CIQ" hidden="1">"c3796"</definedName>
    <definedName name="IQ_PERCENT_CHANGE_EST_RECO_WEEK_THOM" hidden="1">"c5275"</definedName>
    <definedName name="IQ_PERCENT_CHANGE_EST_REV_12MONTHS" hidden="1">"c1796"</definedName>
    <definedName name="IQ_PERCENT_CHANGE_EST_REV_12MONTHS_CIQ" hidden="1">"c3741"</definedName>
    <definedName name="IQ_PERCENT_CHANGE_EST_REV_12MONTHS_THOM" hidden="1">"c5220"</definedName>
    <definedName name="IQ_PERCENT_CHANGE_EST_REV_18MONTHS" hidden="1">"c1797"</definedName>
    <definedName name="IQ_PERCENT_CHANGE_EST_REV_18MONTHS_CIQ" hidden="1">"c3742"</definedName>
    <definedName name="IQ_PERCENT_CHANGE_EST_REV_18MONTHS_THOM" hidden="1">"c5221"</definedName>
    <definedName name="IQ_PERCENT_CHANGE_EST_REV_3MONTHS" hidden="1">"c1793"</definedName>
    <definedName name="IQ_PERCENT_CHANGE_EST_REV_3MONTHS_CIQ" hidden="1">"c3738"</definedName>
    <definedName name="IQ_PERCENT_CHANGE_EST_REV_3MONTHS_THOM" hidden="1">"c5217"</definedName>
    <definedName name="IQ_PERCENT_CHANGE_EST_REV_6MONTHS" hidden="1">"c1794"</definedName>
    <definedName name="IQ_PERCENT_CHANGE_EST_REV_6MONTHS_CIQ" hidden="1">"c3739"</definedName>
    <definedName name="IQ_PERCENT_CHANGE_EST_REV_6MONTHS_THOM" hidden="1">"c5218"</definedName>
    <definedName name="IQ_PERCENT_CHANGE_EST_REV_9MONTHS" hidden="1">"c1795"</definedName>
    <definedName name="IQ_PERCENT_CHANGE_EST_REV_9MONTHS_CIQ" hidden="1">"c3740"</definedName>
    <definedName name="IQ_PERCENT_CHANGE_EST_REV_9MONTHS_THOM" hidden="1">"c5219"</definedName>
    <definedName name="IQ_PERCENT_CHANGE_EST_REV_DAY" hidden="1">"c1790"</definedName>
    <definedName name="IQ_PERCENT_CHANGE_EST_REV_DAY_CIQ" hidden="1">"c3735"</definedName>
    <definedName name="IQ_PERCENT_CHANGE_EST_REV_DAY_THOM" hidden="1">"c5214"</definedName>
    <definedName name="IQ_PERCENT_CHANGE_EST_REV_MONTH" hidden="1">"c1792"</definedName>
    <definedName name="IQ_PERCENT_CHANGE_EST_REV_MONTH_CIQ" hidden="1">"c3737"</definedName>
    <definedName name="IQ_PERCENT_CHANGE_EST_REV_MONTH_THOM" hidden="1">"c5216"</definedName>
    <definedName name="IQ_PERCENT_CHANGE_EST_REV_WEEK" hidden="1">"c1791"</definedName>
    <definedName name="IQ_PERCENT_CHANGE_EST_REV_WEEK_CIQ" hidden="1">"c3736"</definedName>
    <definedName name="IQ_PERCENT_CHANGE_EST_REV_WEEK_THOM" hidden="1">"c5215"</definedName>
    <definedName name="IQ_PERCENT_INSURED_FDIC" hidden="1">"c6374"</definedName>
    <definedName name="IQ_PERFORMANCE_LOC_FOREIGN_GUARANTEES_FFIEC" hidden="1">"c13251"</definedName>
    <definedName name="IQ_PERIODDATE" hidden="1">"c1414"</definedName>
    <definedName name="IQ_PERIODDATE_AP" hidden="1">"c11745"</definedName>
    <definedName name="IQ_PERIODDATE_BS" hidden="1">"c1032"</definedName>
    <definedName name="IQ_PERIODDATE_CF" hidden="1">"c1033"</definedName>
    <definedName name="IQ_PERIODDATE_FDIC" hidden="1">"c13646"</definedName>
    <definedName name="IQ_PERIODDATE_FFIEC" hidden="1">"c13645"</definedName>
    <definedName name="IQ_PERIODDATE_IS" hidden="1">"c1034"</definedName>
    <definedName name="IQ_PERIODLENGTH_AP" hidden="1">"c11746"</definedName>
    <definedName name="IQ_PERIODLENGTH_CF" hidden="1">"c1502"</definedName>
    <definedName name="IQ_PERIODLENGTH_IS" hidden="1">"c1503"</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ERSONNEL_EXP_AVG_ASSETS_FFIEC" hidden="1">"c13371"</definedName>
    <definedName name="IQ_PERSONNEL_EXP_OPERATING_INC_FFIEC" hidden="1">"c13379"</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"c12750"</definedName>
    <definedName name="IQ_PHARMBIO_NUMBER_PROD__CLINICAL_DEV" hidden="1">"c12745"</definedName>
    <definedName name="IQ_PHARMBIO_NUMBER_PROD__LAUNCHED_DURING_PERIOD" hidden="1">"c12751"</definedName>
    <definedName name="IQ_PHARMBIO_NUMBER_PROD__PHASE_I" hidden="1">"c12746"</definedName>
    <definedName name="IQ_PHARMBIO_NUMBER_PROD__PHASE_II" hidden="1">"c12747"</definedName>
    <definedName name="IQ_PHARMBIO_NUMBER_PROD__PHASE_III" hidden="1">"c12748"</definedName>
    <definedName name="IQ_PHARMBIO_NUMBER_PROD__PRE_CLINICAL_TRIALS" hidden="1">"c12744"</definedName>
    <definedName name="IQ_PHARMBIO_NUMBER_PROD__PRE_REGISTRATION" hidden="1">"c12749"</definedName>
    <definedName name="IQ_PHARMBIO_NUMBER_PROD__RESEARCH_DEV" hidden="1">"c12743"</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_INVEST_SECURITIES_FFIEC" hidden="1">"c13467"</definedName>
    <definedName name="IQ_PLEDGED_SECURITIES_FDIC" hidden="1">"c6401"</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LICYHOLDER_BENEFITS_LH_FFIEC" hidden="1">"c13107"</definedName>
    <definedName name="IQ_POOL_AMT_ORIGINAL" hidden="1">"c8970"</definedName>
    <definedName name="IQ_POOL_NAME" hidden="1">"c8967"</definedName>
    <definedName name="IQ_POOL_NUMBER" hidden="1">"c8968"</definedName>
    <definedName name="IQ_POOL_TYPE" hidden="1">"c8969"</definedName>
    <definedName name="IQ_POSITIVE_FAIR_VALUE_DERIVATIVES_BENEFICIARY_FFIEC" hidden="1">"c13123"</definedName>
    <definedName name="IQ_POSITIVE_FAIR_VALUE_DERIVATIVES_GUARANTOR_FFIEC" hidden="1">"c13116"</definedName>
    <definedName name="IQ_POST_RETIRE_EXP" hidden="1">"c1039"</definedName>
    <definedName name="IQ_POSTAGE_FFIEC" hidden="1">"c13051"</definedName>
    <definedName name="IQ_POSTPAID_CHURN" hidden="1">"c2121"</definedName>
    <definedName name="IQ_POSTPAID_SUBS" hidden="1">"c2118"</definedName>
    <definedName name="IQ_POTENTIAL_UPSIDE" hidden="1">"c1855"</definedName>
    <definedName name="IQ_POTENTIAL_UPSIDE_CIQ" hidden="1">"c3799"</definedName>
    <definedName name="IQ_POTENTIAL_UPSIDE_THOM" hidden="1">"c5279"</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ACT_OR_EST" hidden="1">"c2221"</definedName>
    <definedName name="IQ_PRE_TAX_ACT_OR_EST_THOM" hidden="1">"c5305"</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STOCK_FFIEC" hidden="1">"c12875"</definedName>
    <definedName name="IQ_PREF_TOT" hidden="1">"c1415"</definedName>
    <definedName name="IQ_PREFERRED_FDIC" hidden="1">"c6349"</definedName>
    <definedName name="IQ_PREFERRED_LIST" hidden="1">"c13506"</definedName>
    <definedName name="IQ_PREMISES_EQUIPMENT_FDIC" hidden="1">"c6577"</definedName>
    <definedName name="IQ_PREMISES_FIXED_ASSETS_CAP_LEASES_FFIEC" hidden="1">"c12830"</definedName>
    <definedName name="IQ_PREMIUM_INSURANCE_CREDIT_FFIEC" hidden="1">"c13070"</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ETAX_INC_DET_EST" hidden="1">"c12055"</definedName>
    <definedName name="IQ_PRETAX_INC_DET_EST_CURRENCY" hidden="1">"c12462"</definedName>
    <definedName name="IQ_PRETAX_INC_DET_EST_CURRENCY_THOM" hidden="1">"c12483"</definedName>
    <definedName name="IQ_PRETAX_INC_DET_EST_DATE" hidden="1">"c12208"</definedName>
    <definedName name="IQ_PRETAX_INC_DET_EST_DATE_THOM" hidden="1">"c12234"</definedName>
    <definedName name="IQ_PRETAX_INC_DET_EST_INCL" hidden="1">"c12345"</definedName>
    <definedName name="IQ_PRETAX_INC_DET_EST_INCL_THOM" hidden="1">"c12366"</definedName>
    <definedName name="IQ_PRETAX_INC_DET_EST_ORIGIN" hidden="1">"c12771"</definedName>
    <definedName name="IQ_PRETAX_INC_DET_EST_ORIGIN_THOM" hidden="1">"c12604"</definedName>
    <definedName name="IQ_PRETAX_INC_DET_EST_THOM" hidden="1">"c12084"</definedName>
    <definedName name="IQ_PRETAX_INC_EST" hidden="1">"c1695"</definedName>
    <definedName name="IQ_PRETAX_INC_EST_THOM" hidden="1">"c5119"</definedName>
    <definedName name="IQ_PRETAX_INC_HIGH_EST" hidden="1">"c1697"</definedName>
    <definedName name="IQ_PRETAX_INC_HIGH_EST_THOM" hidden="1">"c5121"</definedName>
    <definedName name="IQ_PRETAX_INC_LOW_EST" hidden="1">"c1698"</definedName>
    <definedName name="IQ_PRETAX_INC_LOW_EST_THOM" hidden="1">"c5122"</definedName>
    <definedName name="IQ_PRETAX_INC_MEDIAN_EST" hidden="1">"c1696"</definedName>
    <definedName name="IQ_PRETAX_INC_MEDIAN_EST_THOM" hidden="1">"c5120"</definedName>
    <definedName name="IQ_PRETAX_INC_NUM_EST" hidden="1">"c1699"</definedName>
    <definedName name="IQ_PRETAX_INC_NUM_EST_THOM" hidden="1">"c5123"</definedName>
    <definedName name="IQ_PRETAX_INC_STDDEV_EST" hidden="1">"c1700"</definedName>
    <definedName name="IQ_PRETAX_INC_STDDEV_EST_THOM" hidden="1">"c5124"</definedName>
    <definedName name="IQ_PRETAX_OPERATING_INC_AVG_ASSETS_FFIEC" hidden="1">"c13365"</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ETAX_RETURN_ASSETS_FDIC" hidden="1">"c6731"</definedName>
    <definedName name="IQ_PREV_MONTHLY_FACTOR" hidden="1">"c8973"</definedName>
    <definedName name="IQ_PREV_MONTHLY_FACTOR_DATE" hidden="1">"c8974"</definedName>
    <definedName name="IQ_PRICE_CFPS_FWD" hidden="1">"c2237"</definedName>
    <definedName name="IQ_PRICE_CFPS_FWD_THOM" hidden="1">"c4060"</definedName>
    <definedName name="IQ_PRICE_OVER_BVPS" hidden="1">"c1412"</definedName>
    <definedName name="IQ_PRICE_OVER_EPS_EST" hidden="1">"IQ_PRICE_OVER_EPS_EST"</definedName>
    <definedName name="IQ_PRICE_OVER_EPS_EST_1" hidden="1">"IQ_PRICE_OVER_EPS_EST_1"</definedName>
    <definedName name="IQ_PRICE_OVER_LTM_EPS" hidden="1">"c1413"</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TARGET" hidden="1">"c82"</definedName>
    <definedName name="IQ_PRICE_TARGET_BOTTOM_UP" hidden="1">"c5486"</definedName>
    <definedName name="IQ_PRICE_TARGET_BOTTOM_UP_CIQ" hidden="1">"c12023"</definedName>
    <definedName name="IQ_PRICE_TARGET_CIQ" hidden="1">"c3613"</definedName>
    <definedName name="IQ_PRICE_TARGET_REUT" hidden="1">"c3631"</definedName>
    <definedName name="IQ_PRICE_TARGET_THOM" hidden="1">"c3649"</definedName>
    <definedName name="IQ_PRICE_VOLATILITY_EST" hidden="1">"c4492"</definedName>
    <definedName name="IQ_PRICE_VOLATILITY_HIGH" hidden="1">"c4493"</definedName>
    <definedName name="IQ_PRICE_VOLATILITY_LOW" hidden="1">"c4494"</definedName>
    <definedName name="IQ_PRICE_VOLATILITY_MEDIAN" hidden="1">"c4495"</definedName>
    <definedName name="IQ_PRICE_VOLATILITY_NUM" hidden="1">"c4496"</definedName>
    <definedName name="IQ_PRICE_VOLATILITY_STDDEV" hidden="1">"c4497"</definedName>
    <definedName name="IQ_PRICEDATE" hidden="1">"c1069"</definedName>
    <definedName name="IQ_PRICEDATETIME" hidden="1">"IQ_PRICEDATETIME"</definedName>
    <definedName name="IQ_PRICING_DATE" hidden="1">"c1613"</definedName>
    <definedName name="IQ_PRIMARY_EPS_TYPE" hidden="1">"c4498"</definedName>
    <definedName name="IQ_PRIMARY_INDUSTRY" hidden="1">"c1070"</definedName>
    <definedName name="IQ_PRINCIPAL_AMT" hidden="1">"c2157"</definedName>
    <definedName name="IQ_PRIVATE_CONST_TOTAL_APR_FC_UNUSED" hidden="1">"c8559"</definedName>
    <definedName name="IQ_PRIVATE_CONST_TOTAL_APR_FC_UNUSED_UNUSED_UNUSED" hidden="1">"c8559"</definedName>
    <definedName name="IQ_PRIVATE_CONST_TOTAL_APR_UNUSED" hidden="1">"c7679"</definedName>
    <definedName name="IQ_PRIVATE_CONST_TOTAL_APR_UNUSED_UNUSED_UNUSED" hidden="1">"c7679"</definedName>
    <definedName name="IQ_PRIVATE_CONST_TOTAL_FC_UNUSED" hidden="1">"c7899"</definedName>
    <definedName name="IQ_PRIVATE_CONST_TOTAL_FC_UNUSED_UNUSED_UNUSED" hidden="1">"c7899"</definedName>
    <definedName name="IQ_PRIVATE_CONST_TOTAL_POP_FC_UNUSED" hidden="1">"c8119"</definedName>
    <definedName name="IQ_PRIVATE_CONST_TOTAL_POP_FC_UNUSED_UNUSED_UNUSED" hidden="1">"c8119"</definedName>
    <definedName name="IQ_PRIVATE_CONST_TOTAL_POP_UNUSED" hidden="1">"c7239"</definedName>
    <definedName name="IQ_PRIVATE_CONST_TOTAL_POP_UNUSED_UNUSED_UNUSED" hidden="1">"c7239"</definedName>
    <definedName name="IQ_PRIVATE_CONST_TOTAL_UNUSED" hidden="1">"c7019"</definedName>
    <definedName name="IQ_PRIVATE_CONST_TOTAL_UNUSED_UNUSED_UNUSED" hidden="1">"c7019"</definedName>
    <definedName name="IQ_PRIVATE_CONST_TOTAL_YOY_FC_UNUSED" hidden="1">"c8339"</definedName>
    <definedName name="IQ_PRIVATE_CONST_TOTAL_YOY_FC_UNUSED_UNUSED_UNUSED" hidden="1">"c8339"</definedName>
    <definedName name="IQ_PRIVATE_CONST_TOTAL_YOY_UNUSED" hidden="1">"c7459"</definedName>
    <definedName name="IQ_PRIVATE_CONST_TOTAL_YOY_UNUSED_UNUSED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 hidden="1">"c8535"</definedName>
    <definedName name="IQ_PRIVATE_RES_CONST_REAL_APR_FC_UNUSED_UNUSED_UNUSED" hidden="1">"c8535"</definedName>
    <definedName name="IQ_PRIVATE_RES_CONST_REAL_APR_UNUSED" hidden="1">"c7655"</definedName>
    <definedName name="IQ_PRIVATE_RES_CONST_REAL_APR_UNUSED_UNUSED_UNUSED" hidden="1">"c7655"</definedName>
    <definedName name="IQ_PRIVATE_RES_CONST_REAL_FC_UNUSED" hidden="1">"c7875"</definedName>
    <definedName name="IQ_PRIVATE_RES_CONST_REAL_FC_UNUSED_UNUSED_UNUSED" hidden="1">"c7875"</definedName>
    <definedName name="IQ_PRIVATE_RES_CONST_REAL_POP_FC_UNUSED" hidden="1">"c8095"</definedName>
    <definedName name="IQ_PRIVATE_RES_CONST_REAL_POP_FC_UNUSED_UNUSED_UNUSED" hidden="1">"c8095"</definedName>
    <definedName name="IQ_PRIVATE_RES_CONST_REAL_POP_UNUSED" hidden="1">"c7215"</definedName>
    <definedName name="IQ_PRIVATE_RES_CONST_REAL_POP_UNUSED_UNUSED_UNUSED" hidden="1">"c7215"</definedName>
    <definedName name="IQ_PRIVATE_RES_CONST_REAL_UNUSED" hidden="1">"c6995"</definedName>
    <definedName name="IQ_PRIVATE_RES_CONST_REAL_UNUSED_UNUSED_UNUSED" hidden="1">"c6995"</definedName>
    <definedName name="IQ_PRIVATE_RES_CONST_REAL_YOY_FC_UNUSED" hidden="1">"c8315"</definedName>
    <definedName name="IQ_PRIVATE_RES_CONST_REAL_YOY_FC_UNUSED_UNUSED_UNUSED" hidden="1">"c8315"</definedName>
    <definedName name="IQ_PRIVATE_RES_CONST_REAL_YOY_UNUSED" hidden="1">"c7435"</definedName>
    <definedName name="IQ_PRIVATE_RES_CONST_REAL_YOY_UNUSED_UNUSED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FESSIONAL" hidden="1">"c1071"</definedName>
    <definedName name="IQ_PROFESSIONAL_TITLE" hidden="1">"c1072"</definedName>
    <definedName name="IQ_PROFIT_AFTER_COST_CAPITAL_NEW_BUSINESS" hidden="1">"c9969"</definedName>
    <definedName name="IQ_PROFIT_BEFORE_COST_CAPITAL_NEW_BUSINESS" hidden="1">"c9967"</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ROVISION_LL_FFIEC" hidden="1">"c13019"</definedName>
    <definedName name="IQ_PROVISION_LOSSES_AVG_ASSETS_FFIEC" hidden="1">"c13362"</definedName>
    <definedName name="IQ_PROVISION_LOSSES_AVG_LOANS_FFIEC" hidden="1">"c13470"</definedName>
    <definedName name="IQ_PROVISION_LOSSES_NET_LOSSES_FFIEC" hidden="1">"c13471"</definedName>
    <definedName name="IQ_PTBV" hidden="1">"c1084"</definedName>
    <definedName name="IQ_PTBV_AVG" hidden="1">"c1085"</definedName>
    <definedName name="IQ_PURCHASE_FOREIGN_CURRENCIES_FDIC" hidden="1">"c6513"</definedName>
    <definedName name="IQ_PURCHASE_TREASURY_FFIEC" hidden="1">"c12966"</definedName>
    <definedName name="IQ_PURCHASED_CREDIT_RELS_SERVICING_ASSETS_FFIEC" hidden="1">"c12839"</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 hidden="1">"c8491"</definedName>
    <definedName name="IQ_PURCHASES_EQUIP_NONRES_SAAR_APR_FC_UNUSED_UNUSED_UNUSED" hidden="1">"c8491"</definedName>
    <definedName name="IQ_PURCHASES_EQUIP_NONRES_SAAR_APR_UNUSED" hidden="1">"c7611"</definedName>
    <definedName name="IQ_PURCHASES_EQUIP_NONRES_SAAR_APR_UNUSED_UNUSED_UNUSED" hidden="1">"c7611"</definedName>
    <definedName name="IQ_PURCHASES_EQUIP_NONRES_SAAR_FC_UNUSED" hidden="1">"c7831"</definedName>
    <definedName name="IQ_PURCHASES_EQUIP_NONRES_SAAR_FC_UNUSED_UNUSED_UNUSED" hidden="1">"c7831"</definedName>
    <definedName name="IQ_PURCHASES_EQUIP_NONRES_SAAR_POP_FC_UNUSED" hidden="1">"c8051"</definedName>
    <definedName name="IQ_PURCHASES_EQUIP_NONRES_SAAR_POP_FC_UNUSED_UNUSED_UNUSED" hidden="1">"c8051"</definedName>
    <definedName name="IQ_PURCHASES_EQUIP_NONRES_SAAR_POP_UNUSED" hidden="1">"c7171"</definedName>
    <definedName name="IQ_PURCHASES_EQUIP_NONRES_SAAR_POP_UNUSED_UNUSED_UNUSED" hidden="1">"c7171"</definedName>
    <definedName name="IQ_PURCHASES_EQUIP_NONRES_SAAR_UNUSED" hidden="1">"c6951"</definedName>
    <definedName name="IQ_PURCHASES_EQUIP_NONRES_SAAR_UNUSED_UNUSED_UNUSED" hidden="1">"c6951"</definedName>
    <definedName name="IQ_PURCHASES_EQUIP_NONRES_SAAR_YOY_FC_UNUSED" hidden="1">"c8271"</definedName>
    <definedName name="IQ_PURCHASES_EQUIP_NONRES_SAAR_YOY_FC_UNUSED_UNUSED_UNUSED" hidden="1">"c8271"</definedName>
    <definedName name="IQ_PURCHASES_EQUIP_NONRES_SAAR_YOY_UNUSED" hidden="1">"c7391"</definedName>
    <definedName name="IQ_PURCHASES_EQUIP_NONRES_SAAR_YOY_UNUSED_UNUSED_UNUSED" hidden="1">"c7391"</definedName>
    <definedName name="IQ_PURCHASING_SECURITIES_LL_REC_FFIEC" hidden="1">"c12893"</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UALIFYING_MINORITY_INT_T1_FFIEC" hidden="1">"c13135"</definedName>
    <definedName name="IQ_QUALIFYING_SUB_DEBT_REDEEM_PREF_T2_FFIEC" hidden="1">"c13144"</definedName>
    <definedName name="IQ_QUALIFYING_TRUST_PREFERRED_T1_FFIEC" hidden="1">"c13136"</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1_4_RISK_BASED_FFIEC" hidden="1">"c13418"</definedName>
    <definedName name="IQ_RE_ACQ_SATISFACTION_DEBTS_FFIEC" hidden="1">"c12832"</definedName>
    <definedName name="IQ_RE_DEPR_AMORT" hidden="1">"c8750"</definedName>
    <definedName name="IQ_RE_FARMLAND_GROSS_LOANS_FFIEC" hidden="1">"c13408"</definedName>
    <definedName name="IQ_RE_FARMLAND_RISK_BASED_FFIEC" hidden="1">"c13429"</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FOREIGN_FFIEC" hidden="1">"c13479"</definedName>
    <definedName name="IQ_RE_GAIN_LOSS_SALE_ASSETS" hidden="1">"c8751"</definedName>
    <definedName name="IQ_RE_INVEST_FDIC" hidden="1">"c6331"</definedName>
    <definedName name="IQ_RE_LOANS_1_4_GROSS_LOANS_FFIEC" hidden="1">"c13397"</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LOANS_GROSS_LOANS_FFIEC" hidden="1">"c13396"</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_RISK_BASED_FFIEC" hidden="1">"c13417"</definedName>
    <definedName name="IQ_REAL_ESTATE" hidden="1">"c1093"</definedName>
    <definedName name="IQ_REAL_ESTATE_ASSETS" hidden="1">"c1094"</definedName>
    <definedName name="IQ_REALIZED_GAINS_AVAIL_SALE_SEC_FFIEC" hidden="1">"c13022"</definedName>
    <definedName name="IQ_REALIZED_GAINS_HELD_MATURITY_SEC_FFIEC" hidden="1">"c13021"</definedName>
    <definedName name="IQ_REALIZED_GAINS_SEC_TOT_FFIEC" hidden="1">"c13517"</definedName>
    <definedName name="IQ_RECOVERIES_1_4_FAMILY_LOANS_FDIC" hidden="1">"c6707"</definedName>
    <definedName name="IQ_RECOVERIES_AUTO_LOANS_FDIC" hidden="1">"c6701"</definedName>
    <definedName name="IQ_RECOVERIES_AVG_LOANS_FFIEC" hidden="1">"c13476"</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ACT_OR_EST_CIQ" hidden="1">"c5045"</definedName>
    <definedName name="IQ_RECURRING_PROFIT_EST" hidden="1">"c4499"</definedName>
    <definedName name="IQ_RECURRING_PROFIT_GUIDANCE" hidden="1">"c4500"</definedName>
    <definedName name="IQ_RECURRING_PROFIT_HIGH_EST" hidden="1">"c4501"</definedName>
    <definedName name="IQ_RECURRING_PROFIT_HIGH_GUIDANCE" hidden="1">"c4179"</definedName>
    <definedName name="IQ_RECURRING_PROFIT_LOW_EST" hidden="1">"c4502"</definedName>
    <definedName name="IQ_RECURRING_PROFIT_LOW_GUIDANCE" hidden="1">"c4219"</definedName>
    <definedName name="IQ_RECURRING_PROFIT_MEDIAN_EST" hidden="1">"c4503"</definedName>
    <definedName name="IQ_RECURRING_PROFIT_NUM_EST" hidden="1">"c4504"</definedName>
    <definedName name="IQ_RECURRING_PROFIT_SHARE_ACT_OR_EST" hidden="1">"c4508"</definedName>
    <definedName name="IQ_RECURRING_PROFIT_SHARE_ACT_OR_EST_CIQ" hidden="1">"c5046"</definedName>
    <definedName name="IQ_RECURRING_PROFIT_SHARE_EST" hidden="1">"c4506"</definedName>
    <definedName name="IQ_RECURRING_PROFIT_SHARE_GUIDANCE" hidden="1">"c4509"</definedName>
    <definedName name="IQ_RECURRING_PROFIT_SHARE_HIGH_EST" hidden="1">"c4510"</definedName>
    <definedName name="IQ_RECURRING_PROFIT_SHARE_HIGH_GUIDANCE" hidden="1">"c4200"</definedName>
    <definedName name="IQ_RECURRING_PROFIT_SHARE_LOW_EST" hidden="1">"c4511"</definedName>
    <definedName name="IQ_RECURRING_PROFIT_SHARE_LOW_GUIDANCE" hidden="1">"c4240"</definedName>
    <definedName name="IQ_RECURRING_PROFIT_SHARE_MEDIAN_EST" hidden="1">"c4512"</definedName>
    <definedName name="IQ_RECURRING_PROFIT_SHARE_NUM_EST" hidden="1">"c4513"</definedName>
    <definedName name="IQ_RECURRING_PROFIT_SHARE_STDDEV_EST" hidden="1">"c4514"</definedName>
    <definedName name="IQ_RECURRING_PROFIT_STDDEV_EST" hidden="1">"c4516"</definedName>
    <definedName name="IQ_REDEEM_PREF_STOCK" hidden="1">"c1417"</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INSURANCE_RECOVERABLE_ASSETS_LH_FFIEC" hidden="1">"c13104"</definedName>
    <definedName name="IQ_REINSURANCE_RECOVERABLE_ASSETS_PC_FFIEC" hidden="1">"c13098"</definedName>
    <definedName name="IQ_RELATED_PLANS_FDIC" hidden="1">"c6320"</definedName>
    <definedName name="IQ_RENT_OTHER_INC_FROM_OREO_FFIEC" hidden="1">"c13043"</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_SAFE_DEPOSIT_FFIEC" hidden="1">"c13044"</definedName>
    <definedName name="IQ_RENTAL_REV" hidden="1">"c1101"</definedName>
    <definedName name="IQ_REPRICEABLE_EARNING_ASSETS_INT_SENSITIVITY_FFIEC" hidden="1">"c13093"</definedName>
    <definedName name="IQ_REPRICEABLE_INT_DEPOSITS_INT_SENSITIVITY_FFIEC" hidden="1">"c13094"</definedName>
    <definedName name="IQ_REPURCHASED_REBOOKED_GNMA_DUE_30_89_FFIEC" hidden="1">"c13283"</definedName>
    <definedName name="IQ_REPURCHASED_REBOOKED_GNMA_DUE_90_FFIEC" hidden="1">"c13309"</definedName>
    <definedName name="IQ_REPURCHASED_REBOOKED_GNMA_NON_ACCRUAL_FFIEC" hidden="1">"c13334"</definedName>
    <definedName name="IQ_RES_CONST_REAL_APR_FC_UNUSED" hidden="1">"c8536"</definedName>
    <definedName name="IQ_RES_CONST_REAL_APR_FC_UNUSED_UNUSED_UNUSED" hidden="1">"c8536"</definedName>
    <definedName name="IQ_RES_CONST_REAL_APR_UNUSED" hidden="1">"c7656"</definedName>
    <definedName name="IQ_RES_CONST_REAL_APR_UNUSED_UNUSED_UNUSED" hidden="1">"c7656"</definedName>
    <definedName name="IQ_RES_CONST_REAL_FC_UNUSED" hidden="1">"c7876"</definedName>
    <definedName name="IQ_RES_CONST_REAL_FC_UNUSED_UNUSED_UNUSED" hidden="1">"c7876"</definedName>
    <definedName name="IQ_RES_CONST_REAL_POP_FC_UNUSED" hidden="1">"c8096"</definedName>
    <definedName name="IQ_RES_CONST_REAL_POP_FC_UNUSED_UNUSED_UNUSED" hidden="1">"c8096"</definedName>
    <definedName name="IQ_RES_CONST_REAL_POP_UNUSED" hidden="1">"c7216"</definedName>
    <definedName name="IQ_RES_CONST_REAL_POP_UNUSED_UNUSED_UNUSED" hidden="1">"c7216"</definedName>
    <definedName name="IQ_RES_CONST_REAL_SAAR_APR_FC_UNUSED" hidden="1">"c8537"</definedName>
    <definedName name="IQ_RES_CONST_REAL_SAAR_APR_FC_UNUSED_UNUSED_UNUSED" hidden="1">"c8537"</definedName>
    <definedName name="IQ_RES_CONST_REAL_SAAR_APR_UNUSED" hidden="1">"c7657"</definedName>
    <definedName name="IQ_RES_CONST_REAL_SAAR_APR_UNUSED_UNUSED_UNUSED" hidden="1">"c7657"</definedName>
    <definedName name="IQ_RES_CONST_REAL_SAAR_FC_UNUSED" hidden="1">"c7877"</definedName>
    <definedName name="IQ_RES_CONST_REAL_SAAR_FC_UNUSED_UNUSED_UNUSED" hidden="1">"c7877"</definedName>
    <definedName name="IQ_RES_CONST_REAL_SAAR_POP_FC_UNUSED" hidden="1">"c8097"</definedName>
    <definedName name="IQ_RES_CONST_REAL_SAAR_POP_FC_UNUSED_UNUSED_UNUSED" hidden="1">"c8097"</definedName>
    <definedName name="IQ_RES_CONST_REAL_SAAR_POP_UNUSED" hidden="1">"c7217"</definedName>
    <definedName name="IQ_RES_CONST_REAL_SAAR_POP_UNUSED_UNUSED_UNUSED" hidden="1">"c7217"</definedName>
    <definedName name="IQ_RES_CONST_REAL_SAAR_UNUSED" hidden="1">"c6997"</definedName>
    <definedName name="IQ_RES_CONST_REAL_SAAR_UNUSED_UNUSED_UNUSED" hidden="1">"c6997"</definedName>
    <definedName name="IQ_RES_CONST_REAL_SAAR_YOY_FC_UNUSED" hidden="1">"c8317"</definedName>
    <definedName name="IQ_RES_CONST_REAL_SAAR_YOY_FC_UNUSED_UNUSED_UNUSED" hidden="1">"c8317"</definedName>
    <definedName name="IQ_RES_CONST_REAL_SAAR_YOY_UNUSED" hidden="1">"c7437"</definedName>
    <definedName name="IQ_RES_CONST_REAL_SAAR_YOY_UNUSED_UNUSED_UNUSED" hidden="1">"c7437"</definedName>
    <definedName name="IQ_RES_CONST_REAL_UNUSED" hidden="1">"c6996"</definedName>
    <definedName name="IQ_RES_CONST_REAL_UNUSED_UNUSED_UNUSED" hidden="1">"c6996"</definedName>
    <definedName name="IQ_RES_CONST_REAL_YOY_FC_UNUSED" hidden="1">"c8316"</definedName>
    <definedName name="IQ_RES_CONST_REAL_YOY_FC_UNUSED_UNUSED_UNUSED" hidden="1">"c8316"</definedName>
    <definedName name="IQ_RES_CONST_REAL_YOY_UNUSED" hidden="1">"c7436"</definedName>
    <definedName name="IQ_RES_CONST_REAL_YOY_UNUSED_UNUSED_UNUSED" hidden="1">"c7436"</definedName>
    <definedName name="IQ_RES_CONST_SAAR_APR_FC_UNUSED" hidden="1">"c8540"</definedName>
    <definedName name="IQ_RES_CONST_SAAR_APR_FC_UNUSED_UNUSED_UNUSED" hidden="1">"c8540"</definedName>
    <definedName name="IQ_RES_CONST_SAAR_APR_UNUSED" hidden="1">"c7660"</definedName>
    <definedName name="IQ_RES_CONST_SAAR_APR_UNUSED_UNUSED_UNUSED" hidden="1">"c7660"</definedName>
    <definedName name="IQ_RES_CONST_SAAR_FC_UNUSED" hidden="1">"c7880"</definedName>
    <definedName name="IQ_RES_CONST_SAAR_FC_UNUSED_UNUSED_UNUSED" hidden="1">"c7880"</definedName>
    <definedName name="IQ_RES_CONST_SAAR_POP_FC_UNUSED" hidden="1">"c8100"</definedName>
    <definedName name="IQ_RES_CONST_SAAR_POP_FC_UNUSED_UNUSED_UNUSED" hidden="1">"c8100"</definedName>
    <definedName name="IQ_RES_CONST_SAAR_POP_UNUSED" hidden="1">"c7220"</definedName>
    <definedName name="IQ_RES_CONST_SAAR_POP_UNUSED_UNUSED_UNUSED" hidden="1">"c7220"</definedName>
    <definedName name="IQ_RES_CONST_SAAR_UNUSED" hidden="1">"c7000"</definedName>
    <definedName name="IQ_RES_CONST_SAAR_UNUSED_UNUSED_UNUSED" hidden="1">"c7000"</definedName>
    <definedName name="IQ_RES_CONST_SAAR_YOY_FC_UNUSED" hidden="1">"c8320"</definedName>
    <definedName name="IQ_RES_CONST_SAAR_YOY_FC_UNUSED_UNUSED_UNUSED" hidden="1">"c8320"</definedName>
    <definedName name="IQ_RES_CONST_SAAR_YOY_UNUSED" hidden="1">"c7440"</definedName>
    <definedName name="IQ_RES_CONST_SAAR_YOY_UNUSED_UNUSED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"c1419"</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FFIEC" hidden="1">"c12958"</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"c2895"</definedName>
    <definedName name="IQ_RETAIL_ACQUIRED_OWNED_STORES" hidden="1">"c2903"</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SALES" hidden="1">"c7003"</definedName>
    <definedName name="IQ_RETAIL_SALES_APR" hidden="1">"c7663"</definedName>
    <definedName name="IQ_RETAIL_SALES_APR_FC" hidden="1">"c8543"</definedName>
    <definedName name="IQ_RETAIL_SALES_CATALOG" hidden="1">"c9903"</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"c9904"</definedName>
    <definedName name="IQ_RETAIL_SALES_POP" hidden="1">"c7223"</definedName>
    <definedName name="IQ_RETAIL_SALES_POP_FC" hidden="1">"c8103"</definedName>
    <definedName name="IQ_RETAIL_SALES_RETAIL" hidden="1">"c9902"</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NED_EARN" hidden="1">"c1420"</definedName>
    <definedName name="IQ_RETAINED_EARNINGS_AVERAGE_EQUITY_FDIC" hidden="1">"c6733"</definedName>
    <definedName name="IQ_RETAINED_EARNINGS_EQUITY_FFIEC" hidden="1">"c13348"</definedName>
    <definedName name="IQ_RETAINED_EARNINGS_FFIEC" hidden="1">"c12878"</definedName>
    <definedName name="IQ_RETURN_ASSETS" hidden="1">"c1113"</definedName>
    <definedName name="IQ_RETURN_ASSETS_ACT_OR_EST" hidden="1">"c3585"</definedName>
    <definedName name="IQ_RETURN_ASSETS_ACT_OR_EST_THOM" hidden="1">"c5310"</definedName>
    <definedName name="IQ_RETURN_ASSETS_BANK" hidden="1">"c1114"</definedName>
    <definedName name="IQ_RETURN_ASSETS_BROK" hidden="1">"c1115"</definedName>
    <definedName name="IQ_RETURN_ASSETS_DET_EST" hidden="1">"c12066"</definedName>
    <definedName name="IQ_RETURN_ASSETS_DET_EST_DATE" hidden="1">"c12219"</definedName>
    <definedName name="IQ_RETURN_ASSETS_DET_EST_DATE_THOM" hidden="1">"c12247"</definedName>
    <definedName name="IQ_RETURN_ASSETS_DET_EST_INCL" hidden="1">"c12356"</definedName>
    <definedName name="IQ_RETURN_ASSETS_DET_EST_INCL_THOM" hidden="1">"c12379"</definedName>
    <definedName name="IQ_RETURN_ASSETS_DET_EST_ORIGIN" hidden="1">"c12591"</definedName>
    <definedName name="IQ_RETURN_ASSETS_DET_EST_ORIGIN_THOM" hidden="1">"c12617"</definedName>
    <definedName name="IQ_RETURN_ASSETS_DET_EST_THOM" hidden="1">"c12097"</definedName>
    <definedName name="IQ_RETURN_ASSETS_EST" hidden="1">"c3529"</definedName>
    <definedName name="IQ_RETURN_ASSETS_EST_THOM" hidden="1">"c4034"</definedName>
    <definedName name="IQ_RETURN_ASSETS_FDIC" hidden="1">"c6730"</definedName>
    <definedName name="IQ_RETURN_ASSETS_FS" hidden="1">"c1116"</definedName>
    <definedName name="IQ_RETURN_ASSETS_GUIDANCE" hidden="1">"c4517"</definedName>
    <definedName name="IQ_RETURN_ASSETS_HIGH_EST" hidden="1">"c3530"</definedName>
    <definedName name="IQ_RETURN_ASSETS_HIGH_EST_THOM" hidden="1">"c4036"</definedName>
    <definedName name="IQ_RETURN_ASSETS_HIGH_GUIDANCE" hidden="1">"c4183"</definedName>
    <definedName name="IQ_RETURN_ASSETS_LOW_EST" hidden="1">"c3531"</definedName>
    <definedName name="IQ_RETURN_ASSETS_LOW_EST_THOM" hidden="1">"c4037"</definedName>
    <definedName name="IQ_RETURN_ASSETS_LOW_GUIDANCE" hidden="1">"c4223"</definedName>
    <definedName name="IQ_RETURN_ASSETS_MEDIAN_EST" hidden="1">"c3532"</definedName>
    <definedName name="IQ_RETURN_ASSETS_MEDIAN_EST_THOM" hidden="1">"c4035"</definedName>
    <definedName name="IQ_RETURN_ASSETS_NUM_EST" hidden="1">"c3527"</definedName>
    <definedName name="IQ_RETURN_ASSETS_NUM_EST_THOM" hidden="1">"c4038"</definedName>
    <definedName name="IQ_RETURN_ASSETS_STDDEV_EST" hidden="1">"c3528"</definedName>
    <definedName name="IQ_RETURN_ASSETS_STDDEV_EST_THOM" hidden="1">"c4039"</definedName>
    <definedName name="IQ_RETURN_CAPITAL" hidden="1">"c1117"</definedName>
    <definedName name="IQ_RETURN_EMBEDDED_VALUE" hidden="1">"c9974"</definedName>
    <definedName name="IQ_RETURN_EQUITY" hidden="1">"c1118"</definedName>
    <definedName name="IQ_RETURN_EQUITY_ACT_OR_EST" hidden="1">"c3586"</definedName>
    <definedName name="IQ_RETURN_EQUITY_ACT_OR_EST_THOM" hidden="1">"c5311"</definedName>
    <definedName name="IQ_RETURN_EQUITY_BANK" hidden="1">"c1119"</definedName>
    <definedName name="IQ_RETURN_EQUITY_BROK" hidden="1">"c1120"</definedName>
    <definedName name="IQ_RETURN_EQUITY_DET_EST" hidden="1">"c12067"</definedName>
    <definedName name="IQ_RETURN_EQUITY_DET_EST_DATE" hidden="1">"c12220"</definedName>
    <definedName name="IQ_RETURN_EQUITY_DET_EST_DATE_THOM" hidden="1">"c12248"</definedName>
    <definedName name="IQ_RETURN_EQUITY_DET_EST_INCL" hidden="1">"c12357"</definedName>
    <definedName name="IQ_RETURN_EQUITY_DET_EST_INCL_THOM" hidden="1">"c12380"</definedName>
    <definedName name="IQ_RETURN_EQUITY_DET_EST_ORIGIN" hidden="1">"c12592"</definedName>
    <definedName name="IQ_RETURN_EQUITY_DET_EST_ORIGIN_THOM" hidden="1">"c12618"</definedName>
    <definedName name="IQ_RETURN_EQUITY_DET_EST_THOM" hidden="1">"c12098"</definedName>
    <definedName name="IQ_RETURN_EQUITY_EST" hidden="1">"c3535"</definedName>
    <definedName name="IQ_RETURN_EQUITY_EST_THOM" hidden="1">"c5479"</definedName>
    <definedName name="IQ_RETURN_EQUITY_FDIC" hidden="1">"c6732"</definedName>
    <definedName name="IQ_RETURN_EQUITY_FS" hidden="1">"c1121"</definedName>
    <definedName name="IQ_RETURN_EQUITY_GUIDANCE" hidden="1">"c4518"</definedName>
    <definedName name="IQ_RETURN_EQUITY_HIGH_EST" hidden="1">"c3536"</definedName>
    <definedName name="IQ_RETURN_EQUITY_HIGH_EST_THOM" hidden="1">"c5283"</definedName>
    <definedName name="IQ_RETURN_EQUITY_HIGH_GUIDANCE" hidden="1">"c4182"</definedName>
    <definedName name="IQ_RETURN_EQUITY_LOW_EST" hidden="1">"c3537"</definedName>
    <definedName name="IQ_RETURN_EQUITY_LOW_EST_THOM" hidden="1">"c5284"</definedName>
    <definedName name="IQ_RETURN_EQUITY_LOW_GUIDANCE" hidden="1">"c4222"</definedName>
    <definedName name="IQ_RETURN_EQUITY_MEDIAN_EST" hidden="1">"c3538"</definedName>
    <definedName name="IQ_RETURN_EQUITY_MEDIAN_EST_THOM" hidden="1">"c5282"</definedName>
    <definedName name="IQ_RETURN_EQUITY_NUM_EST" hidden="1">"c3533"</definedName>
    <definedName name="IQ_RETURN_EQUITY_NUM_EST_THOM" hidden="1">"c5285"</definedName>
    <definedName name="IQ_RETURN_EQUITY_STDDEV_EST" hidden="1">"c3534"</definedName>
    <definedName name="IQ_RETURN_EQUITY_STDDEV_EST_THOM" hidden="1">"c5286"</definedName>
    <definedName name="IQ_RETURN_INVESTMENT" hidden="1">"c1421"</definedName>
    <definedName name="IQ_REV" hidden="1">"c1122"</definedName>
    <definedName name="IQ_REV_AP" hidden="1">"c8873"</definedName>
    <definedName name="IQ_REV_AP_ABS" hidden="1">"c8892"</definedName>
    <definedName name="IQ_REV_BEFORE_LL" hidden="1">"c1123"</definedName>
    <definedName name="IQ_REV_DET_EST" hidden="1">"c12065"</definedName>
    <definedName name="IQ_REV_DET_EST_CURRENCY" hidden="1">"c12472"</definedName>
    <definedName name="IQ_REV_DET_EST_CURRENCY_THOM" hidden="1">"c12495"</definedName>
    <definedName name="IQ_REV_DET_EST_DATE" hidden="1">"c12218"</definedName>
    <definedName name="IQ_REV_DET_EST_DATE_THOM" hidden="1">"c12246"</definedName>
    <definedName name="IQ_REV_DET_EST_INCL" hidden="1">"c12355"</definedName>
    <definedName name="IQ_REV_DET_EST_INCL_THOM" hidden="1">"c12378"</definedName>
    <definedName name="IQ_REV_DET_EST_ORIGIN" hidden="1">"c12590"</definedName>
    <definedName name="IQ_REV_DET_EST_ORIGIN_THOM" hidden="1">"c12616"</definedName>
    <definedName name="IQ_REV_DET_EST_THOM" hidden="1">"c12096"</definedName>
    <definedName name="IQ_REV_NAME_AP" hidden="1">"c8911"</definedName>
    <definedName name="IQ_REV_NAME_AP_ABS" hidden="1">"c8930"</definedName>
    <definedName name="IQ_REV_STDDEV_EST" hidden="1">"c1124"</definedName>
    <definedName name="IQ_REV_STDDEV_EST_CIQ" hidden="1">"c3621"</definedName>
    <definedName name="IQ_REV_STDDEV_EST_REUT" hidden="1">"c3639"</definedName>
    <definedName name="IQ_REV_STDDEV_EST_THOM" hidden="1">"c3657"</definedName>
    <definedName name="IQ_REV_UTI" hidden="1">"c1125"</definedName>
    <definedName name="IQ_REVALUATION_GAINS_DERIVATIVE_DOM_FFIEC" hidden="1">"c12828"</definedName>
    <definedName name="IQ_REVALUATION_GAINS_DERIVATIVE_FOREIGN_FFIEC" hidden="1">"c12829"</definedName>
    <definedName name="IQ_REVALUATION_GAINS_FDIC" hidden="1">"c6428"</definedName>
    <definedName name="IQ_REVALUATION_LOSSES_FDIC" hidden="1">"c6429"</definedName>
    <definedName name="IQ_REVENUE" hidden="1">"c1422"</definedName>
    <definedName name="IQ_REVENUE_10K" hidden="1">"IQ_REVENUE_10K"</definedName>
    <definedName name="IQ_REVENUE_10Q" hidden="1">"IQ_REVENUE_10Q"</definedName>
    <definedName name="IQ_REVENUE_10Q1" hidden="1">"IQ_REVENUE_10Q1"</definedName>
    <definedName name="IQ_REVENUE_ACT_OR_EST" hidden="1">"c2214"</definedName>
    <definedName name="IQ_REVENUE_ACT_OR_EST_CIQ" hidden="1">"c5059"</definedName>
    <definedName name="IQ_REVENUE_ACT_OR_EST_THOM" hidden="1">"c5299"</definedName>
    <definedName name="IQ_REVENUE_BEFORE_LL_FFIEC" hidden="1">"c13018"</definedName>
    <definedName name="IQ_REVENUE_EST" hidden="1">"c1126"</definedName>
    <definedName name="IQ_REVENUE_EST_1" hidden="1">"IQ_REVENUE_EST_1"</definedName>
    <definedName name="IQ_REVENUE_EST_BOTTOM_UP" hidden="1">"c5488"</definedName>
    <definedName name="IQ_REVENUE_EST_BOTTOM_UP_CIQ" hidden="1">"c12025"</definedName>
    <definedName name="IQ_REVENUE_EST_CIQ" hidden="1">"c3616"</definedName>
    <definedName name="IQ_REVENUE_EST_REUT" hidden="1">"c3634"</definedName>
    <definedName name="IQ_REVENUE_EST_THOM" hidden="1">"c3652"</definedName>
    <definedName name="IQ_REVENUE_GROWTH_1" hidden="1">"IQ_REVENUE_GROWTH_1"</definedName>
    <definedName name="IQ_REVENUE_GROWTH_2" hidden="1">"IQ_REVENUE_GROWTH_2"</definedName>
    <definedName name="IQ_REVENUE_GUIDANCE" hidden="1">"c4519"</definedName>
    <definedName name="IQ_REVENUE_HIGH_EST" hidden="1">"c1127"</definedName>
    <definedName name="IQ_REVENUE_HIGH_EST_CIQ" hidden="1">"c3618"</definedName>
    <definedName name="IQ_REVENUE_HIGH_EST_REUT" hidden="1">"c3636"</definedName>
    <definedName name="IQ_REVENUE_HIGH_EST_THOM" hidden="1">"c3654"</definedName>
    <definedName name="IQ_REVENUE_HIGH_GUIDANCE" hidden="1">"c4169"</definedName>
    <definedName name="IQ_REVENUE_LOW_EST" hidden="1">"c1128"</definedName>
    <definedName name="IQ_REVENUE_LOW_EST_CIQ" hidden="1">"c3619"</definedName>
    <definedName name="IQ_REVENUE_LOW_EST_REUT" hidden="1">"c3637"</definedName>
    <definedName name="IQ_REVENUE_LOW_EST_THOM" hidden="1">"c3655"</definedName>
    <definedName name="IQ_REVENUE_LOW_GUIDANCE" hidden="1">"c4209"</definedName>
    <definedName name="IQ_REVENUE_MEDIAN_EST" hidden="1">"c1662"</definedName>
    <definedName name="IQ_REVENUE_MEDIAN_EST_CIQ" hidden="1">"c3617"</definedName>
    <definedName name="IQ_REVENUE_MEDIAN_EST_REUT" hidden="1">"c3635"</definedName>
    <definedName name="IQ_REVENUE_MEDIAN_EST_THOM" hidden="1">"c3653"</definedName>
    <definedName name="IQ_REVENUE_NUM_EST" hidden="1">"c1129"</definedName>
    <definedName name="IQ_REVENUE_NUM_EST_CIQ" hidden="1">"c3620"</definedName>
    <definedName name="IQ_REVENUE_NUM_EST_REUT" hidden="1">"c3638"</definedName>
    <definedName name="IQ_REVENUE_NUM_EST_THOM" hidden="1">"c3656"</definedName>
    <definedName name="IQ_REVISION_DATE_" hidden="1">39947.0941898148</definedName>
    <definedName name="IQ_REVOLV_OPEN_SECURED_1_4_LL_REC_DOM_FFIEC" hidden="1">"c12902"</definedName>
    <definedName name="IQ_REVOLVING_HOME_EQUITY_LINES_UNUSED_FFIEC" hidden="1">"c13241"</definedName>
    <definedName name="IQ_REVOLVING_LOANS_GROSS_LOANS_FFIEC" hidden="1">"c13398"</definedName>
    <definedName name="IQ_REVOLVING_LOANS_RISK_BASED_FFIEC" hidden="1">"c13419"</definedName>
    <definedName name="IQ_REVOLVING_LOANS_SEC_1_4_DOM_CHARGE_OFFS_FFIEC" hidden="1">"c13168"</definedName>
    <definedName name="IQ_REVOLVING_LOANS_SEC_1_4_DOM_RECOV_FFIEC" hidden="1">"c13190"</definedName>
    <definedName name="IQ_REVOLVING_OPEN_END_1_4_TRADING_DOM_FFIEC" hidden="1">"c12927"</definedName>
    <definedName name="IQ_REVOLVING_SECURED_1_4_DUE_30_89_FFIEC" hidden="1">"c13260"</definedName>
    <definedName name="IQ_REVOLVING_SECURED_1_4_DUE_90_FFIEC" hidden="1">"c13288"</definedName>
    <definedName name="IQ_REVOLVING_SECURED_1_4_NON_ACCRUAL_FFIEC" hidden="1">"c13314"</definedName>
    <definedName name="IQ_RISK_ADJ_BANK_ASSETS" hidden="1">"c2670"</definedName>
    <definedName name="IQ_RISK_WEIGHTED_ASSETS_FDIC" hidden="1">"c6370"</definedName>
    <definedName name="IQ_RSI" hidden="1">"c12704"</definedName>
    <definedName name="IQ_RSI_ADJ" hidden="1">"c12705"</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IES_EMPLOYEE_BENEFITS_FFIEC" hidden="1">"c13023"</definedName>
    <definedName name="IQ_SALARY" hidden="1">"c1130"</definedName>
    <definedName name="IQ_SALARY_FDIC" hidden="1">"c6576"</definedName>
    <definedName name="IQ_SALE_COMMON_GROSS_FFIEC" hidden="1">"c12963"</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PREF_FFIEC" hidden="1">"c12961"</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_TREASURY_FFIEC" hidden="1">"c12965"</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BC_EXPENSE_FFIEC" hidden="1">"c13077"</definedName>
    <definedName name="IQ_SEC_1_4_CONSTRUCTION_DOM_CHARGE_OFFS_FFIEC" hidden="1">"c13165"</definedName>
    <definedName name="IQ_SEC_1_4_CONSTRUCTION_DOM_RECOV_FFIEC" hidden="1">"c13187"</definedName>
    <definedName name="IQ_SEC_BORROWED_OFF_BS_FFIEC" hidden="1">"c13127"</definedName>
    <definedName name="IQ_SEC_FARMLAND_DOM_CHARGE_OFFS_FFIEC" hidden="1">"c13167"</definedName>
    <definedName name="IQ_SEC_FARMLAND_DOM_RECOV_FFIEC" hidden="1">"c13189"</definedName>
    <definedName name="IQ_SEC_FUNDS_PURCHASED_ASSETS_TOT_FFIEC" hidden="1">"c13447"</definedName>
    <definedName name="IQ_SEC_ISSUED_US_AVAIL_SALE_FFIEC" hidden="1">"c12795"</definedName>
    <definedName name="IQ_SEC_ISSUED_US_TRADING_DOM_FFIEC" hidden="1">"c12920"</definedName>
    <definedName name="IQ_SEC_ISSUED_US_TRADING_FFIEC" hidden="1">"c12815"</definedName>
    <definedName name="IQ_SEC_MULTIFAM_DOM_CHARGE_OFFS_FFIEC" hidden="1">"c13171"</definedName>
    <definedName name="IQ_SEC_MULTIFAM_DOM_DUE_30_89_FFIEC" hidden="1">"c13263"</definedName>
    <definedName name="IQ_SEC_MULTIFAM_DOM_DUE_90_FFIEC" hidden="1">"c13291"</definedName>
    <definedName name="IQ_SEC_MULTIFAM_DOM_NON_ACCRUAL_FFIEC" hidden="1">"c13317"</definedName>
    <definedName name="IQ_SEC_MULTIFAM_DOM_RECOV_FFIEC" hidden="1">"c13193"</definedName>
    <definedName name="IQ_SEC_NONFARM_NONRES_CHARGE_OFFS_FFIEC" hidden="1">"c13629"</definedName>
    <definedName name="IQ_SEC_NONFARM_NONRES_DOM_OFFICES_DUE_30_89_FFIEC" hidden="1">"c13264"</definedName>
    <definedName name="IQ_SEC_NONFARM_NONRES_DOM_OFFICES_DUE_90_FFIEC" hidden="1">"c13292"</definedName>
    <definedName name="IQ_SEC_NONFARM_NONRES_DOM_OFFICES_NON_ACCRUAL_FFIEC" hidden="1">"c13318"</definedName>
    <definedName name="IQ_SEC_NONFARM_NONRES_RECOV_FFIEC" hidden="1">"c13633"</definedName>
    <definedName name="IQ_SEC_OTHER_CONSTRUCTION_DOM_CHARGE_OFFS_FFIEC" hidden="1">"c13166"</definedName>
    <definedName name="IQ_SEC_OTHER_CONSTRUCTION_DOM_RECOV_FFIEC" hidden="1">"c13188"</definedName>
    <definedName name="IQ_SEC_OTHER_NONFARM_NONRES_CHARGE_OFFS_FFIEC" hidden="1">"c13173"</definedName>
    <definedName name="IQ_SEC_OTHER_NONFARM_NONRES_DUE_30_89_FFIEC" hidden="1">"c13266"</definedName>
    <definedName name="IQ_SEC_OTHER_NONFARM_NONRES_DUE_90_FFIEC" hidden="1">"c13637"</definedName>
    <definedName name="IQ_SEC_OTHER_NONFARM_NONRES_RECOV_FFIEC" hidden="1">"c13195"</definedName>
    <definedName name="IQ_SEC_OWNER_NONFARM_NONRES_CHARGE_OFFS_FFIEC" hidden="1">"c13172"</definedName>
    <definedName name="IQ_SEC_OWNER_NONFARM_NONRES_DUE_30_89_FFIEC" hidden="1">"c13265"</definedName>
    <definedName name="IQ_SEC_OWNER_NONFARM_NONRES_DUE_90_FFIEC" hidden="1">"c13636"</definedName>
    <definedName name="IQ_SEC_OWNER_NONFARM_NONRES_RECOV_FFIEC" hidden="1">"c13194"</definedName>
    <definedName name="IQ_SEC_PURCHASED_RESELL" hidden="1">"c5513"</definedName>
    <definedName name="IQ_SEC_PURCHASED_RESELL_FFIEC" hidden="1">"c12807"</definedName>
    <definedName name="IQ_SEC_RE_FOREIGN_DUE_30_89_FFIEC" hidden="1">"c13267"</definedName>
    <definedName name="IQ_SEC_RE_FOREIGN_DUE_90_FFIEC" hidden="1">"c13293"</definedName>
    <definedName name="IQ_SEC_RE_FOREIGN_NON_ACCRUAL_FFIEC" hidden="1">"c13319"</definedName>
    <definedName name="IQ_SEC_SOLD_REPURCHASE_FFIEC" hidden="1">"c12857"</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DOM_DUE_30_89_FFIEC" hidden="1">"c13259"</definedName>
    <definedName name="IQ_SECURED_FARMLAND_DOM_DUE_90_FFIEC" hidden="1">"c13287"</definedName>
    <definedName name="IQ_SECURED_FARMLAND_DOM_NON_ACCRUAL_FFIEC" hidden="1">"c13313"</definedName>
    <definedName name="IQ_SECURED_FARMLAND_LL_REC_DOM_FFIEC" hidden="1">"c12901"</definedName>
    <definedName name="IQ_SECURED_FARMLAND_NET_CHARGE_OFFS_FDIC" hidden="1">"c6631"</definedName>
    <definedName name="IQ_SECURED_FARMLAND_RECOVERIES_FDIC" hidden="1">"c6612"</definedName>
    <definedName name="IQ_SECURED_MULTI_RES_LL_REC_DOM_FFIEC" hidden="1">"c12905"</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HELD_MATURITY_FFIEC" hidden="1">"c12777"</definedName>
    <definedName name="IQ_SECURITIES_ISSUED_STATES_FDIC" hidden="1">"c6300"</definedName>
    <definedName name="IQ_SECURITIES_ISSUED_US_FFIEC" hidden="1">"c12781"</definedName>
    <definedName name="IQ_SECURITIES_LENT_FDIC" hidden="1">"c6532"</definedName>
    <definedName name="IQ_SECURITIES_LENT_FFIEC" hidden="1">"c13255"</definedName>
    <definedName name="IQ_SECURITIES_QUARTERLY_AVG_FFIEC" hidden="1">"c13079"</definedName>
    <definedName name="IQ_SECURITIES_UNDERWRITING_FDIC" hidden="1">"c6529"</definedName>
    <definedName name="IQ_SECURITIES_UNDERWRITING_UNUSED_FFIEC" hidden="1">"c13247"</definedName>
    <definedName name="IQ_SECURITIZATION_INC_OPERATING_INC_FFIEC" hidden="1">"c13390"</definedName>
    <definedName name="IQ_SECURITIZATION_INCOME_FFIEC" hidden="1">"c13012"</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DOL" hidden="1">"c12042"</definedName>
    <definedName name="IQ_SELECTED_FOREIGN_ASSETS_FFIEC" hidden="1">"c13485"</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_ACCOUNT_ASSETS_LH_FFIEC" hidden="1">"c13105"</definedName>
    <definedName name="IQ_SEPARATE_ACCOUNT_LIAB_LH_FFIEC" hidden="1">"c13108"</definedName>
    <definedName name="IQ_SEPARATE_ACCT_ASSETS" hidden="1">"c1155"</definedName>
    <definedName name="IQ_SEPARATE_ACCT_LIAB" hidden="1">"c1156"</definedName>
    <definedName name="IQ_SERV_CHARGE_DEPOSITS" hidden="1">"c1157"</definedName>
    <definedName name="IQ_SERVICE_CHARGES_DEPOSIT_ACCOUNTS_DOM_FFIEC" hidden="1">"c13003"</definedName>
    <definedName name="IQ_SERVICE_CHARGES_FDIC" hidden="1">"c6572"</definedName>
    <definedName name="IQ_SERVICE_CHARGES_OPERATING_INC_FFIEC" hidden="1">"c13384"</definedName>
    <definedName name="IQ_SERVICE_FEE" hidden="1">"c8951"</definedName>
    <definedName name="IQ_SERVICING_FEES_FFIEC" hidden="1">"c13011"</definedName>
    <definedName name="IQ_SERVICING_FEES_OPERATING_INC_FFIEC" hidden="1">"c13389"</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"c1347"</definedName>
    <definedName name="IQ_SHARES_PER_DR" hidden="1">"c204"</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POSITIONS_FFIEC" hidden="1">"c12859"</definedName>
    <definedName name="IQ_SHORT_TERM_INVEST" hidden="1">"c1425"</definedName>
    <definedName name="IQ_SMALL_INT_BEAR_CD" hidden="1">"c11748"</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NSR_ACTION_LT" hidden="1">"c13616"</definedName>
    <definedName name="IQ_SP_ISSUE_NSR_ACTION_ST" hidden="1">"c13622"</definedName>
    <definedName name="IQ_SP_ISSUE_NSR_DATE_LT" hidden="1">"c13615"</definedName>
    <definedName name="IQ_SP_ISSUE_NSR_DATE_ST" hidden="1">"c13621"</definedName>
    <definedName name="IQ_SP_ISSUE_NSR_LT" hidden="1">"c13614"</definedName>
    <definedName name="IQ_SP_ISSUE_NSR_ST" hidden="1">"c13620"</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NSR_ACTION_LT" hidden="1">"c13613"</definedName>
    <definedName name="IQ_SP_NSR_ACTION_ST" hidden="1">"c13619"</definedName>
    <definedName name="IQ_SP_NSR_DATE_LT" hidden="1">"c13612"</definedName>
    <definedName name="IQ_SP_NSR_DATE_ST" hidden="1">"c13618"</definedName>
    <definedName name="IQ_SP_NSR_LT" hidden="1">"c13611"</definedName>
    <definedName name="IQ_SP_NSR_ST" hidden="1">"c13617"</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ASSETS_TOT_FFIEC" hidden="1">"c13438"</definedName>
    <definedName name="IQ_ST_INVEST_ST_NONCORE_FUNDING_FFIEC" hidden="1">"c13338"</definedName>
    <definedName name="IQ_ST_INVEST_UTI" hidden="1">"c1198"</definedName>
    <definedName name="IQ_ST_NOTE_RECEIV" hidden="1">"c1199"</definedName>
    <definedName name="IQ_STAND_REC_DET_EST" hidden="1">"c12069"</definedName>
    <definedName name="IQ_STAND_REC_DET_EST_DATE" hidden="1">"c12222"</definedName>
    <definedName name="IQ_STAND_REC_DET_EST_DATE_THOM" hidden="1">"c12250"</definedName>
    <definedName name="IQ_STAND_REC_DET_EST_ORIGIN" hidden="1">"c12594"</definedName>
    <definedName name="IQ_STAND_REC_DET_EST_ORIGIN_THOM" hidden="1">"c12620"</definedName>
    <definedName name="IQ_STAND_REC_DET_EST_THOM" hidden="1">"c12100"</definedName>
    <definedName name="IQ_STAND_REC_NUM_DET_EST" hidden="1">"c12068"</definedName>
    <definedName name="IQ_STAND_REC_NUM_DET_EST_DATE" hidden="1">"c12221"</definedName>
    <definedName name="IQ_STAND_REC_NUM_DET_EST_DATE_THOM" hidden="1">"c12249"</definedName>
    <definedName name="IQ_STAND_REC_NUM_DET_EST_ORIGIN" hidden="1">"c12593"</definedName>
    <definedName name="IQ_STAND_REC_NUM_DET_EST_ORIGIN_THOM" hidden="1">"c12619"</definedName>
    <definedName name="IQ_STAND_REC_NUM_DET_EST_THOM" hidden="1">"c12099"</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EST" hidden="1">"c4520"</definedName>
    <definedName name="IQ_STOCK_BASED_GA" hidden="1">"c2993"</definedName>
    <definedName name="IQ_STOCK_BASED_HIGH_EST" hidden="1">"c4521"</definedName>
    <definedName name="IQ_STOCK_BASED_LOW_EST" hidden="1">"c4522"</definedName>
    <definedName name="IQ_STOCK_BASED_MEDIAN_EST" hidden="1">"c4523"</definedName>
    <definedName name="IQ_STOCK_BASED_NUM_EST" hidden="1">"c4524"</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 hidden="1">"c4525"</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TEGY_NOTE" hidden="1">"c6791"</definedName>
    <definedName name="IQ_STRIKE_PRICE_ISSUED" hidden="1">"c1645"</definedName>
    <definedName name="IQ_STRIKE_PRICE_OS" hidden="1">"c1646"</definedName>
    <definedName name="IQ_STRIPS_RECEIVABLE_MORTGAGE_LOANS_FFIEC" hidden="1">"c12844"</definedName>
    <definedName name="IQ_STRIPS_RECEIVABLE_OTHER_FFIEC" hidden="1">"c12845"</definedName>
    <definedName name="IQ_STRUCT_FIN_CLASS" hidden="1">"c8950"</definedName>
    <definedName name="IQ_STRUCT_FIN_SERIES" hidden="1">"c8956"</definedName>
    <definedName name="IQ_STRUCTURED_NOTES_INVEST_SECURITIES_FFIEC" hidden="1">"c13468"</definedName>
    <definedName name="IQ_STRUCTURING_NOTES_TIER_1_FFIEC" hidden="1">"c13344"</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B_NOTES_DEBENTURES_FFIEC" hidden="1">"c12867"</definedName>
    <definedName name="IQ_SUB_NOTES_PAYABLE_UNCONSOLIDATED_TRUSTS_FFIEC" hidden="1">"c12868"</definedName>
    <definedName name="IQ_SUPPLIES_FFIEC" hidden="1">"c13050"</definedName>
    <definedName name="IQ_SURPLUS_FDIC" hidden="1">"c6351"</definedName>
    <definedName name="IQ_SURPLUS_FFIEC" hidden="1">"c12877"</definedName>
    <definedName name="IQ_SVA" hidden="1">"c1214"</definedName>
    <definedName name="IQ_TANGIBLE_EQUITY_ASSETS_FFIEC" hidden="1">"c13346"</definedName>
    <definedName name="IQ_TANGIBLE_TIER_1_LEVERAGE_FFIEC" hidden="1">"c13345"</definedName>
    <definedName name="IQ_TARGET_PRICE_DET_EST" hidden="1">"c12070"</definedName>
    <definedName name="IQ_TARGET_PRICE_DET_EST_CURRENCY" hidden="1">"c12475"</definedName>
    <definedName name="IQ_TARGET_PRICE_DET_EST_CURRENCY_THOM" hidden="1">"c12498"</definedName>
    <definedName name="IQ_TARGET_PRICE_DET_EST_DATE" hidden="1">"c12223"</definedName>
    <definedName name="IQ_TARGET_PRICE_DET_EST_DATE_THOM" hidden="1">"c12251"</definedName>
    <definedName name="IQ_TARGET_PRICE_DET_EST_INCL" hidden="1">"c12358"</definedName>
    <definedName name="IQ_TARGET_PRICE_DET_EST_INCL_THOM" hidden="1">"c12381"</definedName>
    <definedName name="IQ_TARGET_PRICE_DET_EST_ORIGIN" hidden="1">"c12729"</definedName>
    <definedName name="IQ_TARGET_PRICE_DET_EST_ORIGIN_THOM" hidden="1">"c12621"</definedName>
    <definedName name="IQ_TARGET_PRICE_DET_EST_THOM" hidden="1">"c12101"</definedName>
    <definedName name="IQ_TARGET_PRICE_NUM" hidden="1">"c1653"</definedName>
    <definedName name="IQ_TARGET_PRICE_NUM_CIQ" hidden="1">"c4661"</definedName>
    <definedName name="IQ_TARGET_PRICE_NUM_REUT" hidden="1">"c5319"</definedName>
    <definedName name="IQ_TARGET_PRICE_NUM_THOM" hidden="1">"c5098"</definedName>
    <definedName name="IQ_TARGET_PRICE_STDDEV" hidden="1">"c1654"</definedName>
    <definedName name="IQ_TARGET_PRICE_STDDEV_CIQ" hidden="1">"c4662"</definedName>
    <definedName name="IQ_TARGET_PRICE_STDDEV_REUT" hidden="1">"c5320"</definedName>
    <definedName name="IQ_TARGET_PRICE_STDDEV_THOM" hidden="1">"c5099"</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AXES_ADJ_NOI_FFIEC" hidden="1">"c13395"</definedName>
    <definedName name="IQ_TAXES_NOI_FFIEC" hidden="1">"c13394"</definedName>
    <definedName name="IQ_TAXES_TE_AVG_ASSETS_FFIEC" hidden="1">"c13366"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EXCL_FFIEC" hidden="1">"c13516"</definedName>
    <definedName name="IQ_TBV_SHARE" hidden="1">"c1217"</definedName>
    <definedName name="IQ_TELECOM_FFIEC" hidden="1">"c13057"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DET_EST_CURRENCY_THOM" hidden="1">"c12499"</definedName>
    <definedName name="IQ_TEV_DET_EST_DATE_THOM" hidden="1">"c12252"</definedName>
    <definedName name="IQ_TEV_DET_EST_INCL_THOM" hidden="1">"c12382"</definedName>
    <definedName name="IQ_TEV_DET_EST_ORIGIN_THOM" hidden="1">"c12709"</definedName>
    <definedName name="IQ_TEV_DET_EST_THOM" hidden="1">"c12102"</definedName>
    <definedName name="IQ_TEV_EBIT" hidden="1">"c1220"</definedName>
    <definedName name="IQ_TEV_EBIT_AVG" hidden="1">"c1221"</definedName>
    <definedName name="IQ_TEV_EBIT_FWD" hidden="1">"c2238"</definedName>
    <definedName name="IQ_TEV_EBIT_FWD_THOM" hidden="1">"c4061"</definedName>
    <definedName name="IQ_TEV_EBITDA" hidden="1">"c1222"</definedName>
    <definedName name="IQ_TEV_EBITDA_AVG" hidden="1">"c1223"</definedName>
    <definedName name="IQ_TEV_EBITDA_FWD" hidden="1">"c1224"</definedName>
    <definedName name="IQ_TEV_EBITDA_FWD_CIQ" hidden="1">"c4043"</definedName>
    <definedName name="IQ_TEV_EBITDA_FWD_REUT" hidden="1">"c4050"</definedName>
    <definedName name="IQ_TEV_EBITDA_FWD_THOM" hidden="1">"c4057"</definedName>
    <definedName name="IQ_TEV_EMPLOYEE_AVG" hidden="1">"c1225"</definedName>
    <definedName name="IQ_TEV_EST" hidden="1">"c4526"</definedName>
    <definedName name="IQ_TEV_EST_THOM" hidden="1">"c5529"</definedName>
    <definedName name="IQ_TEV_HIGH_EST" hidden="1">"c4527"</definedName>
    <definedName name="IQ_TEV_HIGH_EST_THOM" hidden="1">"c5530"</definedName>
    <definedName name="IQ_TEV_LOW_EST" hidden="1">"c4528"</definedName>
    <definedName name="IQ_TEV_LOW_EST_THOM" hidden="1">"c5531"</definedName>
    <definedName name="IQ_TEV_MEDIAN_EST" hidden="1">"c4529"</definedName>
    <definedName name="IQ_TEV_MEDIAN_EST_THOM" hidden="1">"c5532"</definedName>
    <definedName name="IQ_TEV_NUM_EST" hidden="1">"c4530"</definedName>
    <definedName name="IQ_TEV_NUM_EST_THOM" hidden="1">"c5533"</definedName>
    <definedName name="IQ_TEV_STDDEV_EST" hidden="1">"c4531"</definedName>
    <definedName name="IQ_TEV_STDDEV_EST_THOM" hidden="1">"c5534"</definedName>
    <definedName name="IQ_TEV_TOTAL_REV" hidden="1">"c1226"</definedName>
    <definedName name="IQ_TEV_TOTAL_REV_AVG" hidden="1">"c1227"</definedName>
    <definedName name="IQ_TEV_TOTAL_REV_FWD" hidden="1">"c1228"</definedName>
    <definedName name="IQ_TEV_TOTAL_REV_FWD_CIQ" hidden="1">"c4044"</definedName>
    <definedName name="IQ_TEV_TOTAL_REV_FWD_REUT" hidden="1">"c4051"</definedName>
    <definedName name="IQ_TEV_TOTAL_REV_FWD_THOM" hidden="1">"c4058"</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CAPITAL_BEFORE_CHARGES_T1_FFIEC" hidden="1">"c13139"</definedName>
    <definedName name="IQ_TIER_1_CAPITAL_FFIEC" hidden="1">"c13143"</definedName>
    <definedName name="IQ_TIER_1_LEVERAGE_RATIO_FFIEC" hidden="1">"c13160"</definedName>
    <definedName name="IQ_TIER_1_RISK_BASED_CAPITAL_RATIO_FDIC" hidden="1">"c6746"</definedName>
    <definedName name="IQ_TIER_1_RISK_BASED_CAPITAL_RATIO_FFIEC" hidden="1">"c13161"</definedName>
    <definedName name="IQ_TIER_2_CAPITAL_FFIEC" hidden="1">"c13149"</definedName>
    <definedName name="IQ_TIER_3_CAPITAL_ALLOCATED_MARKET_RISK_FFIEC" hidden="1">"c13151"</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100K_OTHER_INSTITUTIONS_FFIEC" hidden="1">"c12953"</definedName>
    <definedName name="IQ_TIME_DEPOSITS_LESS_THAN_100K_FDIC" hidden="1">"c6465"</definedName>
    <definedName name="IQ_TIME_DEPOSITS_MORE_100K_OTHER_INSTITUTIONS_FFIEC" hidden="1">"c12954"</definedName>
    <definedName name="IQ_TIME_DEPOSITS_MORE_THAN_100K_FDIC" hidden="1">"c6470"</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BNK_SUBTOTAL_AP" hidden="1">"c13644"</definedName>
    <definedName name="IQ_TOTAL_ASSETS_FDIC" hidden="1">"c6339"</definedName>
    <definedName name="IQ_TOTAL_ASSETS_FFIEC" hidden="1">"c12849"</definedName>
    <definedName name="IQ_TOTAL_ASSETS_LH_FFIEC" hidden="1">"c13106"</definedName>
    <definedName name="IQ_TOTAL_ASSETS_PC_FFIEC" hidden="1">"c13099"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"c1411"</definedName>
    <definedName name="IQ_TOTAL_COMMON_EQUITY" hidden="1">"c1246"</definedName>
    <definedName name="IQ_TOTAL_COMMON_SHARES_OUT_FFIEC" hidden="1">"c12955"</definedName>
    <definedName name="IQ_TOTAL_CONSTRUCTION_LL_REC_DOM_FFIEC" hidden="1">"c13515"</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CURRENT" hidden="1">"c6190"</definedName>
    <definedName name="IQ_TOTAL_DEBT_EBITDA" hidden="1">"c1249"</definedName>
    <definedName name="IQ_TOTAL_DEBT_EBITDA_CAPEX" hidden="1">"c2948"</definedName>
    <definedName name="IQ_TOTAL_DEBT_EQUITY" hidden="1">"c1250"</definedName>
    <definedName name="IQ_TOTAL_DEBT_EST" hidden="1">"c4532"</definedName>
    <definedName name="IQ_TOTAL_DEBT_EXCL_FIN" hidden="1">"c2937"</definedName>
    <definedName name="IQ_TOTAL_DEBT_GUIDANCE" hidden="1">"c4533"</definedName>
    <definedName name="IQ_TOTAL_DEBT_HIGH_EST" hidden="1">"c4534"</definedName>
    <definedName name="IQ_TOTAL_DEBT_HIGH_GUIDANCE" hidden="1">"c4196"</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LOW_EST" hidden="1">"c4535"</definedName>
    <definedName name="IQ_TOTAL_DEBT_LOW_GUIDANCE" hidden="1">"c4236"</definedName>
    <definedName name="IQ_TOTAL_DEBT_MEDIAN_EST" hidden="1">"c4536"</definedName>
    <definedName name="IQ_TOTAL_DEBT_NON_CURRENT" hidden="1">"c6191"</definedName>
    <definedName name="IQ_TOTAL_DEBT_NUM_EST" hidden="1">"c4537"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BT_STDDEV_EST" hidden="1">"c4538"</definedName>
    <definedName name="IQ_TOTAL_DEPOSITS" hidden="1">"c1265"</definedName>
    <definedName name="IQ_TOTAL_DEPOSITS_FDIC" hidden="1">"c6342"</definedName>
    <definedName name="IQ_TOTAL_DEPOSITS_FFIEC" hidden="1">"c13623"</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CAPITAL_T1_FFIEC" hidden="1">"c13130"</definedName>
    <definedName name="IQ_TOTAL_EQUITY_FFIEC" hidden="1">"c12881"</definedName>
    <definedName name="IQ_TOTAL_EQUITY_LH_FFIEC" hidden="1">"c13109"</definedName>
    <definedName name="IQ_TOTAL_EQUITY_PC_FFIEC" hidden="1">"c13102"</definedName>
    <definedName name="IQ_TOTAL_EQUITY_SUBTOTAL_AP" hidden="1">"c8989"</definedName>
    <definedName name="IQ_TOTAL_INT_EXPENSE_FFIEC" hidden="1">"c13000"</definedName>
    <definedName name="IQ_TOTAL_INT_INCOME_FFIEC" hidden="1">"c12989"</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EQUITY_FFIEC" hidden="1">"c12882"</definedName>
    <definedName name="IQ_TOTAL_LIABILITIES_FDIC" hidden="1">"c6348"</definedName>
    <definedName name="IQ_TOTAL_LIABILITIES_FFIEC" hidden="1">"c12873"</definedName>
    <definedName name="IQ_TOTAL_LL_REC_DOM_FFIEC" hidden="1">"c12917"</definedName>
    <definedName name="IQ_TOTAL_LL_REC_FFIEC" hidden="1">"c12898"</definedName>
    <definedName name="IQ_TOTAL_LOANS" hidden="1">"c5653"</definedName>
    <definedName name="IQ_TOTAL_LOANS_LEASES_CHARGE_OFFS_FFIEC" hidden="1">"c13186"</definedName>
    <definedName name="IQ_TOTAL_LOANS_LEASES_DUE_30_89_FFIEC" hidden="1">"c13280"</definedName>
    <definedName name="IQ_TOTAL_LOANS_LEASES_DUE_90_FFIEC" hidden="1">"c13306"</definedName>
    <definedName name="IQ_TOTAL_LOANS_LEASES_RECOV_FFIEC" hidden="1">"c13208"</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TURN_SWAPS_DERIVATIVES_BENEFICIARY_FFIEC" hidden="1">"c13120"</definedName>
    <definedName name="IQ_TOTAL_RETURN_SWAPS_DERIVATIVES_GUARANTOR_FFIEC" hidden="1">"c13113"</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"c1436"</definedName>
    <definedName name="IQ_TOTAL_REVENUE_FFIEC" hidden="1">"c13020"</definedName>
    <definedName name="IQ_TOTAL_RISK_BASED_CAPITAL_FFIEC" hidden="1">"c13153"</definedName>
    <definedName name="IQ_TOTAL_RISK_BASED_CAPITAL_RATIO_FDIC" hidden="1">"c6747"</definedName>
    <definedName name="IQ_TOTAL_RISK_BASED_CAPITAL_RATIO_FFIEC" hidden="1">"c13162"</definedName>
    <definedName name="IQ_TOTAL_ROOMS" hidden="1">"c8789"</definedName>
    <definedName name="IQ_TOTAL_SECURITIES_FDIC" hidden="1">"c6306"</definedName>
    <definedName name="IQ_TOTAL_SPECIAL" hidden="1">"c1618"</definedName>
    <definedName name="IQ_TOTAL_SQ_FT" hidden="1">"c8781"</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TRADING_ASSETS_FFIEC" hidden="1">"c12939"</definedName>
    <definedName name="IQ_TOTAL_TRADING_LIAB_DOM_FFIEC" hidden="1">"c12944"</definedName>
    <definedName name="IQ_TOTAL_UNITS" hidden="1">"c8773"</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_TERM_FEE" hidden="1">"c13638"</definedName>
    <definedName name="IQ_TR_BUY_TERM_FEE_PCT" hidden="1">"c13639"</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PPROACH" hidden="1">"c12706"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GISTRATION_FEES" hidden="1">"c2274"</definedName>
    <definedName name="IQ_TR_RENEWAL_BUYBACK" hidden="1">"c2413"</definedName>
    <definedName name="IQ_TR_ROUND_NUMBER" hidden="1">"c2295"</definedName>
    <definedName name="IQ_TR_SEC_FEES" hidden="1">"c13642"</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_TERM_FEE" hidden="1">"c2298"</definedName>
    <definedName name="IQ_TR_SELL_TERM_FEE_PCT" hidden="1">"c2297"</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"c13640"</definedName>
    <definedName name="IQ_TR_TERM_FEE_PCT" hidden="1">"c13641"</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AIR_VALUE_TOT_FFIEC" hidden="1">"c13210"</definedName>
    <definedName name="IQ_TRADING_ASSETS_FDIC" hidden="1">"c6328"</definedName>
    <definedName name="IQ_TRADING_ASSETS_FFIEC" hidden="1">"c12812"</definedName>
    <definedName name="IQ_TRADING_ASSETS_FOREIGN_FFIEC" hidden="1">"c12940"</definedName>
    <definedName name="IQ_TRADING_ASSETS_LEVEL_1_FFIEC" hidden="1">"c13218"</definedName>
    <definedName name="IQ_TRADING_ASSETS_LEVEL_2_FFIEC" hidden="1">"c13226"</definedName>
    <definedName name="IQ_TRADING_ASSETS_LEVEL_3_FFIEC" hidden="1">"c13234"</definedName>
    <definedName name="IQ_TRADING_ASSETS_QUARTERLY_AVG_FFIEC" hidden="1">"c13085"</definedName>
    <definedName name="IQ_TRADING_CURRENCY" hidden="1">"c2212"</definedName>
    <definedName name="IQ_TRADING_ITEM_CIQID" hidden="1">"c8949"</definedName>
    <definedName name="IQ_TRADING_LIABILITIES_FAIR_VALUE_TOT_FFIEC" hidden="1">"c13214"</definedName>
    <definedName name="IQ_TRADING_LIABILITIES_FDIC" hidden="1">"c6344"</definedName>
    <definedName name="IQ_TRADING_LIABILITIES_FFIEC" hidden="1">"c12858"</definedName>
    <definedName name="IQ_TRADING_LIABILITIES_LEVEL_1_FFIEC" hidden="1">"c13222"</definedName>
    <definedName name="IQ_TRADING_LIABILITIES_LEVEL_2_FFIEC" hidden="1">"c13230"</definedName>
    <definedName name="IQ_TRADING_LIABILITIES_LEVEL_3_FFIEC" hidden="1">"c13238"</definedName>
    <definedName name="IQ_TRADING_REV_OPERATING_INC_FFIEC" hidden="1">"c13385"</definedName>
    <definedName name="IQ_TRADING_REVENUE_FFIEC" hidden="1">"c13004"</definedName>
    <definedName name="IQ_TRANSACTION_ACCOUNTS_FDIC" hidden="1">"c6544"</definedName>
    <definedName name="IQ_TREASURY" hidden="1">"c1311"</definedName>
    <definedName name="IQ_TREASURY_INVEST_SECURITIES_FFIEC" hidden="1">"c13457"</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RUSTEE" hidden="1">"c8959"</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CONSOL_BEDS" hidden="1">"c8783"</definedName>
    <definedName name="IQ_UNCONSOL_PROP" hidden="1">"c8762"</definedName>
    <definedName name="IQ_UNCONSOL_ROOMS" hidden="1">"c8787"</definedName>
    <definedName name="IQ_UNCONSOL_SQ_FT" hidden="1">"c8778"</definedName>
    <definedName name="IQ_UNCONSOL_UNITS" hidden="1">"c8770"</definedName>
    <definedName name="IQ_UNDERWRITER" hidden="1">"c8958"</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ARNED_INCOME_LL_REC_DOM_FFIEC" hidden="1">"c12916"</definedName>
    <definedName name="IQ_UNEARNED_INCOME_LL_REC_FFIEC" hidden="1">"c12897"</definedName>
    <definedName name="IQ_UNEARNED_PREMIUMS_PC_FFIEC" hidden="1">"c13101"</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COMMITMENTS_COMMERCIAL_RE_UNUSED_FFIEC" hidden="1">"c13246"</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ADDRESS_LEASE_FIN_REC_FFIEC" hidden="1">"c13624"</definedName>
    <definedName name="IQ_US_AGENCY_OBLIG_FFIEC" hidden="1">"c12779"</definedName>
    <definedName name="IQ_US_AGENCY_OBLIG_TRADING_DOM_FFIEC" hidden="1">"c12919"</definedName>
    <definedName name="IQ_US_AGENCY_OBLIG_TRADING_FFIEC" hidden="1">"c12814"</definedName>
    <definedName name="IQ_US_AGENCY_OBLIGATIONS_AVAIL_SALE_FFIEC" hidden="1">"c12793"</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INST_DUE_30_89_FFIEC" hidden="1">"c13268"</definedName>
    <definedName name="IQ_US_INST_DUE_90_FFIEC" hidden="1">"c13294"</definedName>
    <definedName name="IQ_US_INST_NON_ACCRUAL_FFIEC" hidden="1">"c13320"</definedName>
    <definedName name="IQ_US_SPONSORED_AGENCY_OBLIG_AVAIL_SALE_FFIEC" hidden="1">"c12794"</definedName>
    <definedName name="IQ_US_SPONSORED_AGENCY_OBLIG_FFIEC" hidden="1">"c12780"</definedName>
    <definedName name="IQ_US_TREASURY_SEC_AVAIL_SALE_FFIEC" hidden="1">"c12792"</definedName>
    <definedName name="IQ_US_TREASURY_SEC_TRADING_DOM_FFIEC" hidden="1">"c12918"</definedName>
    <definedName name="IQ_US_TREASURY_SEC_TRADING_FFIEC" hidden="1">"c12813"</definedName>
    <definedName name="IQ_US_TREASURY_SECURITIES_FDIC" hidden="1">"c6298"</definedName>
    <definedName name="IQ_US_TREASURY_SECURITIES_FFIEC" hidden="1">"c12778"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ARIABLE_RATE_PREFERREDS_INT_SENSITIVITY_FFIEC" hidden="1">"c13096"</definedName>
    <definedName name="IQ_VC_REV_OPERATING_INC_FFIEC" hidden="1">"c13388"</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ENTURE_CAPITAL_REVENUE_FFIEC" hidden="1">"c13010"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VWAP" hidden="1">"c13514"</definedName>
    <definedName name="IQ_WAC_CURRENT" hidden="1">"c8961"</definedName>
    <definedName name="IQ_WAC_ORIGINAL" hidden="1">"c8953"</definedName>
    <definedName name="IQ_WAM_CURRENT" hidden="1">"c8962"</definedName>
    <definedName name="IQ_WAM_ORIGINAL" hidden="1">"c8952"</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"c2104"</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IELD_FED_FUNDS_SOLD_FFIEC" hidden="1">"c13487"</definedName>
    <definedName name="IQ_YIELD_TRADING_ASSETS_FFIEC" hidden="1">"c13488"</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jj" localSheetId="3"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jj" localSheetId="4"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jj" localSheetId="5"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jj"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JK" localSheetId="3" hidden="1">#REF!</definedName>
    <definedName name="JK" localSheetId="4" hidden="1">#REF!</definedName>
    <definedName name="JK" localSheetId="5" hidden="1">#REF!</definedName>
    <definedName name="JK" hidden="1">#REF!</definedName>
    <definedName name="kano" localSheetId="3" hidden="1">#REF!</definedName>
    <definedName name="kano" localSheetId="4" hidden="1">#REF!</definedName>
    <definedName name="kano" localSheetId="5" hidden="1">#REF!</definedName>
    <definedName name="kano" localSheetId="8" hidden="1">#REF!</definedName>
    <definedName name="kano" hidden="1">#REF!</definedName>
    <definedName name="KKH" localSheetId="3">#REF!</definedName>
    <definedName name="KKH" localSheetId="4">#REF!</definedName>
    <definedName name="KKH">#REF!</definedName>
    <definedName name="ko" localSheetId="3" hidden="1">#REF!</definedName>
    <definedName name="ko" localSheetId="4" hidden="1">#REF!</definedName>
    <definedName name="ko" localSheetId="5" hidden="1">#REF!</definedName>
    <definedName name="ko" localSheetId="8" hidden="1">#REF!</definedName>
    <definedName name="ko" hidden="1">#REF!</definedName>
    <definedName name="Last_Row">#N/A</definedName>
    <definedName name="LayoutScenario" localSheetId="3">#REF!</definedName>
    <definedName name="LayoutScenario" localSheetId="4">#REF!</definedName>
    <definedName name="LayoutScenario">#REF!</definedName>
    <definedName name="LEGAL2" localSheetId="3"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LEGAL2" localSheetId="4"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LEGAL2" localSheetId="5"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LEGAL2"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limcount" hidden="1">1</definedName>
    <definedName name="Loan_Amount">#REF!</definedName>
    <definedName name="Loan_Start">#REF!</definedName>
    <definedName name="Loan_Years">#REF!</definedName>
    <definedName name="m." localSheetId="3" hidden="1">{#N/A,#N/A,FALSE,"Maritime";#N/A,#N/A,FALSE,"Transit";#N/A,#N/A,FALSE,"Commercial";#N/A,#N/A,FALSE,"Safi";#N/A,#N/A,FALSE,"JORF LASFAR";#N/A,#N/A,FALSE,"Agadir";#N/A,#N/A,FALSE,"Nador";#N/A,#N/A,FALSE,"Phyto";#N/A,#N/A,FALSE,"TIR Mohammedia";#N/A,#N/A,FALSE,"NOUACEUR"}</definedName>
    <definedName name="m." localSheetId="4" hidden="1">{#N/A,#N/A,FALSE,"Maritime";#N/A,#N/A,FALSE,"Transit";#N/A,#N/A,FALSE,"Commercial";#N/A,#N/A,FALSE,"Safi";#N/A,#N/A,FALSE,"JORF LASFAR";#N/A,#N/A,FALSE,"Agadir";#N/A,#N/A,FALSE,"Nador";#N/A,#N/A,FALSE,"Phyto";#N/A,#N/A,FALSE,"TIR Mohammedia";#N/A,#N/A,FALSE,"NOUACEUR"}</definedName>
    <definedName name="m." localSheetId="5" hidden="1">{#N/A,#N/A,FALSE,"Maritime";#N/A,#N/A,FALSE,"Transit";#N/A,#N/A,FALSE,"Commercial";#N/A,#N/A,FALSE,"Safi";#N/A,#N/A,FALSE,"JORF LASFAR";#N/A,#N/A,FALSE,"Agadir";#N/A,#N/A,FALSE,"Nador";#N/A,#N/A,FALSE,"Phyto";#N/A,#N/A,FALSE,"TIR Mohammedia";#N/A,#N/A,FALSE,"NOUACEUR"}</definedName>
    <definedName name="m." hidden="1">{#N/A,#N/A,FALSE,"Maritime";#N/A,#N/A,FALSE,"Transit";#N/A,#N/A,FALSE,"Commercial";#N/A,#N/A,FALSE,"Safi";#N/A,#N/A,FALSE,"JORF LASFAR";#N/A,#N/A,FALSE,"Agadir";#N/A,#N/A,FALSE,"Nador";#N/A,#N/A,FALSE,"Phyto";#N/A,#N/A,FALSE,"TIR Mohammedia";#N/A,#N/A,FALSE,"NOUACEUR"}</definedName>
    <definedName name="mason?" localSheetId="3" hidden="1">{#N/A,#N/A,FALSE,"Data &amp; Key Results";#N/A,#N/A,FALSE,"Summary Template";#N/A,#N/A,FALSE,"Budget";#N/A,#N/A,FALSE,"Present Value Comparison";#N/A,#N/A,FALSE,"Cashflow";#N/A,#N/A,FALSE,"Income";#N/A,#N/A,FALSE,"Inputs"}</definedName>
    <definedName name="mason?" localSheetId="4" hidden="1">{#N/A,#N/A,FALSE,"Data &amp; Key Results";#N/A,#N/A,FALSE,"Summary Template";#N/A,#N/A,FALSE,"Budget";#N/A,#N/A,FALSE,"Present Value Comparison";#N/A,#N/A,FALSE,"Cashflow";#N/A,#N/A,FALSE,"Income";#N/A,#N/A,FALSE,"Inputs"}</definedName>
    <definedName name="mason?" localSheetId="5" hidden="1">{#N/A,#N/A,FALSE,"Data &amp; Key Results";#N/A,#N/A,FALSE,"Summary Template";#N/A,#N/A,FALSE,"Budget";#N/A,#N/A,FALSE,"Present Value Comparison";#N/A,#N/A,FALSE,"Cashflow";#N/A,#N/A,FALSE,"Income";#N/A,#N/A,FALSE,"Inputs"}</definedName>
    <definedName name="mason?" hidden="1">{#N/A,#N/A,FALSE,"Data &amp; Key Results";#N/A,#N/A,FALSE,"Summary Template";#N/A,#N/A,FALSE,"Budget";#N/A,#N/A,FALSE,"Present Value Comparison";#N/A,#N/A,FALSE,"Cashflow";#N/A,#N/A,FALSE,"Income";#N/A,#N/A,FALSE,"Inputs"}</definedName>
    <definedName name="mason2" localSheetId="3" hidden="1">{#N/A,#N/A,FALSE,"Data &amp; Key Results";#N/A,#N/A,FALSE,"Summary Template";#N/A,#N/A,FALSE,"Budget";#N/A,#N/A,FALSE,"Present Value Comparison";#N/A,#N/A,FALSE,"Cashflow";#N/A,#N/A,FALSE,"Income";#N/A,#N/A,FALSE,"Inputs"}</definedName>
    <definedName name="mason2" localSheetId="4" hidden="1">{#N/A,#N/A,FALSE,"Data &amp; Key Results";#N/A,#N/A,FALSE,"Summary Template";#N/A,#N/A,FALSE,"Budget";#N/A,#N/A,FALSE,"Present Value Comparison";#N/A,#N/A,FALSE,"Cashflow";#N/A,#N/A,FALSE,"Income";#N/A,#N/A,FALSE,"Inputs"}</definedName>
    <definedName name="mason2" localSheetId="5" hidden="1">{#N/A,#N/A,FALSE,"Data &amp; Key Results";#N/A,#N/A,FALSE,"Summary Template";#N/A,#N/A,FALSE,"Budget";#N/A,#N/A,FALSE,"Present Value Comparison";#N/A,#N/A,FALSE,"Cashflow";#N/A,#N/A,FALSE,"Income";#N/A,#N/A,FALSE,"Inputs"}</definedName>
    <definedName name="mason2" hidden="1">{#N/A,#N/A,FALSE,"Data &amp; Key Results";#N/A,#N/A,FALSE,"Summary Template";#N/A,#N/A,FALSE,"Budget";#N/A,#N/A,FALSE,"Present Value Comparison";#N/A,#N/A,FALSE,"Cashflow";#N/A,#N/A,FALSE,"Income";#N/A,#N/A,FALSE,"Inputs"}</definedName>
    <definedName name="mason3" localSheetId="3" hidden="1">{#N/A,#N/A,FALSE,"Data &amp; Key Results";#N/A,#N/A,FALSE,"Summary Template";#N/A,#N/A,FALSE,"Budget";#N/A,#N/A,FALSE,"Present Value Comparison";#N/A,#N/A,FALSE,"Cashflow";#N/A,#N/A,FALSE,"Income";#N/A,#N/A,FALSE,"Inputs"}</definedName>
    <definedName name="mason3" localSheetId="4" hidden="1">{#N/A,#N/A,FALSE,"Data &amp; Key Results";#N/A,#N/A,FALSE,"Summary Template";#N/A,#N/A,FALSE,"Budget";#N/A,#N/A,FALSE,"Present Value Comparison";#N/A,#N/A,FALSE,"Cashflow";#N/A,#N/A,FALSE,"Income";#N/A,#N/A,FALSE,"Inputs"}</definedName>
    <definedName name="mason3" localSheetId="5" hidden="1">{#N/A,#N/A,FALSE,"Data &amp; Key Results";#N/A,#N/A,FALSE,"Summary Template";#N/A,#N/A,FALSE,"Budget";#N/A,#N/A,FALSE,"Present Value Comparison";#N/A,#N/A,FALSE,"Cashflow";#N/A,#N/A,FALSE,"Income";#N/A,#N/A,FALSE,"Inputs"}</definedName>
    <definedName name="mason3" hidden="1">{#N/A,#N/A,FALSE,"Data &amp; Key Results";#N/A,#N/A,FALSE,"Summary Template";#N/A,#N/A,FALSE,"Budget";#N/A,#N/A,FALSE,"Present Value Comparison";#N/A,#N/A,FALSE,"Cashflow";#N/A,#N/A,FALSE,"Income";#N/A,#N/A,FALSE,"Inputs"}</definedName>
    <definedName name="mason4" localSheetId="3" hidden="1">{#N/A,#N/A,FALSE,"Data &amp; Key Results";#N/A,#N/A,FALSE,"Summary Template";#N/A,#N/A,FALSE,"Budget";#N/A,#N/A,FALSE,"Present Value Comparison";#N/A,#N/A,FALSE,"Cashflow";#N/A,#N/A,FALSE,"Income";#N/A,#N/A,FALSE,"Inputs"}</definedName>
    <definedName name="mason4" localSheetId="4" hidden="1">{#N/A,#N/A,FALSE,"Data &amp; Key Results";#N/A,#N/A,FALSE,"Summary Template";#N/A,#N/A,FALSE,"Budget";#N/A,#N/A,FALSE,"Present Value Comparison";#N/A,#N/A,FALSE,"Cashflow";#N/A,#N/A,FALSE,"Income";#N/A,#N/A,FALSE,"Inputs"}</definedName>
    <definedName name="mason4" localSheetId="5" hidden="1">{#N/A,#N/A,FALSE,"Data &amp; Key Results";#N/A,#N/A,FALSE,"Summary Template";#N/A,#N/A,FALSE,"Budget";#N/A,#N/A,FALSE,"Present Value Comparison";#N/A,#N/A,FALSE,"Cashflow";#N/A,#N/A,FALSE,"Income";#N/A,#N/A,FALSE,"Inputs"}</definedName>
    <definedName name="mason4" hidden="1">{#N/A,#N/A,FALSE,"Data &amp; Key Results";#N/A,#N/A,FALSE,"Summary Template";#N/A,#N/A,FALSE,"Budget";#N/A,#N/A,FALSE,"Present Value Comparison";#N/A,#N/A,FALSE,"Cashflow";#N/A,#N/A,FALSE,"Income";#N/A,#N/A,FALSE,"Inputs"}</definedName>
    <definedName name="mason5" localSheetId="3" hidden="1">{#N/A,#N/A,FALSE,"Data &amp; Key Results";#N/A,#N/A,FALSE,"Summary Template";#N/A,#N/A,FALSE,"Budget";#N/A,#N/A,FALSE,"Present Value Comparison";#N/A,#N/A,FALSE,"Cashflow";#N/A,#N/A,FALSE,"Income";#N/A,#N/A,FALSE,"Inputs"}</definedName>
    <definedName name="mason5" localSheetId="4" hidden="1">{#N/A,#N/A,FALSE,"Data &amp; Key Results";#N/A,#N/A,FALSE,"Summary Template";#N/A,#N/A,FALSE,"Budget";#N/A,#N/A,FALSE,"Present Value Comparison";#N/A,#N/A,FALSE,"Cashflow";#N/A,#N/A,FALSE,"Income";#N/A,#N/A,FALSE,"Inputs"}</definedName>
    <definedName name="mason5" localSheetId="5" hidden="1">{#N/A,#N/A,FALSE,"Data &amp; Key Results";#N/A,#N/A,FALSE,"Summary Template";#N/A,#N/A,FALSE,"Budget";#N/A,#N/A,FALSE,"Present Value Comparison";#N/A,#N/A,FALSE,"Cashflow";#N/A,#N/A,FALSE,"Income";#N/A,#N/A,FALSE,"Inputs"}</definedName>
    <definedName name="mason5" hidden="1">{#N/A,#N/A,FALSE,"Data &amp; Key Results";#N/A,#N/A,FALSE,"Summary Template";#N/A,#N/A,FALSE,"Budget";#N/A,#N/A,FALSE,"Present Value Comparison";#N/A,#N/A,FALSE,"Cashflow";#N/A,#N/A,FALSE,"Income";#N/A,#N/A,FALSE,"Inputs"}</definedName>
    <definedName name="masonII" localSheetId="3" hidden="1">{#N/A,#N/A,FALSE,"Data &amp; Key Results";#N/A,#N/A,FALSE,"Summary Template";#N/A,#N/A,FALSE,"Budget";#N/A,#N/A,FALSE,"Present Value Comparison";#N/A,#N/A,FALSE,"Cashflow";#N/A,#N/A,FALSE,"Income";#N/A,#N/A,FALSE,"Inputs"}</definedName>
    <definedName name="masonII" localSheetId="4" hidden="1">{#N/A,#N/A,FALSE,"Data &amp; Key Results";#N/A,#N/A,FALSE,"Summary Template";#N/A,#N/A,FALSE,"Budget";#N/A,#N/A,FALSE,"Present Value Comparison";#N/A,#N/A,FALSE,"Cashflow";#N/A,#N/A,FALSE,"Income";#N/A,#N/A,FALSE,"Inputs"}</definedName>
    <definedName name="masonII" localSheetId="5" hidden="1">{#N/A,#N/A,FALSE,"Data &amp; Key Results";#N/A,#N/A,FALSE,"Summary Template";#N/A,#N/A,FALSE,"Budget";#N/A,#N/A,FALSE,"Present Value Comparison";#N/A,#N/A,FALSE,"Cashflow";#N/A,#N/A,FALSE,"Income";#N/A,#N/A,FALSE,"Inputs"}</definedName>
    <definedName name="masonII" hidden="1">{#N/A,#N/A,FALSE,"Data &amp; Key Results";#N/A,#N/A,FALSE,"Summary Template";#N/A,#N/A,FALSE,"Budget";#N/A,#N/A,FALSE,"Present Value Comparison";#N/A,#N/A,FALSE,"Cashflow";#N/A,#N/A,FALSE,"Income";#N/A,#N/A,FALSE,"Inputs"}</definedName>
    <definedName name="Mode_paiement_données" localSheetId="3">#REF!</definedName>
    <definedName name="Mode_paiement_données" localSheetId="4">#REF!</definedName>
    <definedName name="Mode_paiement_données" localSheetId="5">#REF!</definedName>
    <definedName name="Mode_paiement_données">#REF!</definedName>
    <definedName name="Montant_suivi_créance" localSheetId="3">#REF!</definedName>
    <definedName name="Montant_suivi_créance" localSheetId="4">#REF!</definedName>
    <definedName name="Montant_suivi_créance" localSheetId="5">#REF!</definedName>
    <definedName name="Montant_suivi_créance">#REF!</definedName>
    <definedName name="Montant_suivi_subv" localSheetId="3">#REF!</definedName>
    <definedName name="Montant_suivi_subv" localSheetId="4">#REF!</definedName>
    <definedName name="Montant_suivi_subv" localSheetId="5">#REF!</definedName>
    <definedName name="Montant_suivi_subv">#REF!</definedName>
    <definedName name="n" localSheetId="3">#REF!</definedName>
    <definedName name="n" localSheetId="4">#REF!</definedName>
    <definedName name="n" localSheetId="5">#REF!</definedName>
    <definedName name="n">#REF!</definedName>
    <definedName name="nathan" localSheetId="3">#REF!</definedName>
    <definedName name="nathan" localSheetId="4">#REF!</definedName>
    <definedName name="nathan" localSheetId="5">#REF!</definedName>
    <definedName name="nathan">#REF!</definedName>
    <definedName name="nb" localSheetId="3">#REF!</definedName>
    <definedName name="nb" localSheetId="4">#REF!</definedName>
    <definedName name="nb" localSheetId="5">#REF!</definedName>
    <definedName name="nb">#REF!</definedName>
    <definedName name="newbel" localSheetId="3" hidden="1">{"IS",#N/A,FALSE,"IS";"RPTIS",#N/A,FALSE,"RPTIS";"STATS",#N/A,FALSE,"STATS";"CELL",#N/A,FALSE,"CELL";"BS",#N/A,FALSE,"BS"}</definedName>
    <definedName name="newbel" localSheetId="4" hidden="1">{"IS",#N/A,FALSE,"IS";"RPTIS",#N/A,FALSE,"RPTIS";"STATS",#N/A,FALSE,"STATS";"CELL",#N/A,FALSE,"CELL";"BS",#N/A,FALSE,"BS"}</definedName>
    <definedName name="newbel" localSheetId="5" hidden="1">{"IS",#N/A,FALSE,"IS";"RPTIS",#N/A,FALSE,"RPTIS";"STATS",#N/A,FALSE,"STATS";"CELL",#N/A,FALSE,"CELL";"BS",#N/A,FALSE,"BS"}</definedName>
    <definedName name="newbel" hidden="1">{"IS",#N/A,FALSE,"IS";"RPTIS",#N/A,FALSE,"RPTIS";"STATS",#N/A,FALSE,"STATS";"CELL",#N/A,FALSE,"CELL";"BS",#N/A,FALSE,"BS"}</definedName>
    <definedName name="Number_of_Payments" localSheetId="3">MATCH(0.01,[0]!Last_Row,-1)+1</definedName>
    <definedName name="Number_of_Payments" localSheetId="4">MATCH(0.01,Last_Row,-1)+1</definedName>
    <definedName name="Number_of_Payments" localSheetId="5">MATCH(0.01,Last_Row,-1)+1</definedName>
    <definedName name="Number_of_Payments">MATCH(0.01,Last_Row,-1)+1</definedName>
    <definedName name="nv" localSheetId="3" hidden="1">#REF!</definedName>
    <definedName name="nv" localSheetId="4" hidden="1">#REF!</definedName>
    <definedName name="nv" localSheetId="5" hidden="1">#REF!</definedName>
    <definedName name="nv" localSheetId="8" hidden="1">#REF!</definedName>
    <definedName name="nv" localSheetId="7" hidden="1">#REF!</definedName>
    <definedName name="nv" localSheetId="6" hidden="1">#REF!</definedName>
    <definedName name="nv" hidden="1">#REF!</definedName>
    <definedName name="P" localSheetId="3">#REF!</definedName>
    <definedName name="P" localSheetId="4">#REF!</definedName>
    <definedName name="P" localSheetId="5">#REF!</definedName>
    <definedName name="P">#REF!</definedName>
    <definedName name="panther_wrn.test1." localSheetId="3" hidden="1">{"Income Statement",#N/A,FALSE,"CFMODEL";"Balance Sheet",#N/A,FALSE,"CFMODEL"}</definedName>
    <definedName name="panther_wrn.test1." localSheetId="4" hidden="1">{"Income Statement",#N/A,FALSE,"CFMODEL";"Balance Sheet",#N/A,FALSE,"CFMODEL"}</definedName>
    <definedName name="panther_wrn.test1." localSheetId="5" hidden="1">{"Income Statement",#N/A,FALSE,"CFMODEL";"Balance Sheet",#N/A,FALSE,"CFMODEL"}</definedName>
    <definedName name="panther_wrn.test1." hidden="1">{"Income Statement",#N/A,FALSE,"CFMODEL";"Balance Sheet",#N/A,FALSE,"CFMODEL"}</definedName>
    <definedName name="panther_wrn.test2." localSheetId="3" hidden="1">{"SourcesUses",#N/A,TRUE,"CFMODEL";"TransOverview",#N/A,TRUE,"CFMODEL"}</definedName>
    <definedName name="panther_wrn.test2." localSheetId="4" hidden="1">{"SourcesUses",#N/A,TRUE,"CFMODEL";"TransOverview",#N/A,TRUE,"CFMODEL"}</definedName>
    <definedName name="panther_wrn.test2." localSheetId="5" hidden="1">{"SourcesUses",#N/A,TRUE,"CFMODEL";"TransOverview",#N/A,TRUE,"CFMODEL"}</definedName>
    <definedName name="panther_wrn.test2." hidden="1">{"SourcesUses",#N/A,TRUE,"CFMODEL";"TransOverview",#N/A,TRUE,"CFMODEL"}</definedName>
    <definedName name="panther_wrn.test3." localSheetId="3" hidden="1">{"SourcesUses",#N/A,TRUE,#N/A;"TransOverview",#N/A,TRUE,"CFMODEL"}</definedName>
    <definedName name="panther_wrn.test3." localSheetId="4" hidden="1">{"SourcesUses",#N/A,TRUE,#N/A;"TransOverview",#N/A,TRUE,"CFMODEL"}</definedName>
    <definedName name="panther_wrn.test3." localSheetId="5" hidden="1">{"SourcesUses",#N/A,TRUE,#N/A;"TransOverview",#N/A,TRUE,"CFMODEL"}</definedName>
    <definedName name="panther_wrn.test3." hidden="1">{"SourcesUses",#N/A,TRUE,#N/A;"TransOverview",#N/A,TRUE,"CFMODEL"}</definedName>
    <definedName name="panther_wrn.test4." localSheetId="3" hidden="1">{"SourcesUses",#N/A,TRUE,"FundsFlow";"TransOverview",#N/A,TRUE,"FundsFlow"}</definedName>
    <definedName name="panther_wrn.test4." localSheetId="4" hidden="1">{"SourcesUses",#N/A,TRUE,"FundsFlow";"TransOverview",#N/A,TRUE,"FundsFlow"}</definedName>
    <definedName name="panther_wrn.test4." localSheetId="5" hidden="1">{"SourcesUses",#N/A,TRUE,"FundsFlow";"TransOverview",#N/A,TRUE,"FundsFlow"}</definedName>
    <definedName name="panther_wrn.test4." hidden="1">{"SourcesUses",#N/A,TRUE,"FundsFlow";"TransOverview",#N/A,TRUE,"FundsFlow"}</definedName>
    <definedName name="PatenteCA">#REF!</definedName>
    <definedName name="PatenteImmo">#REF!</definedName>
    <definedName name="Payment_Date">#N/A</definedName>
    <definedName name="poso_wrn.test1." localSheetId="3" hidden="1">{"Income Statement",#N/A,FALSE,"CFMODEL";"Balance Sheet",#N/A,FALSE,"CFMODEL"}</definedName>
    <definedName name="poso_wrn.test1." localSheetId="4" hidden="1">{"Income Statement",#N/A,FALSE,"CFMODEL";"Balance Sheet",#N/A,FALSE,"CFMODEL"}</definedName>
    <definedName name="poso_wrn.test1." localSheetId="5" hidden="1">{"Income Statement",#N/A,FALSE,"CFMODEL";"Balance Sheet",#N/A,FALSE,"CFMODEL"}</definedName>
    <definedName name="poso_wrn.test1." hidden="1">{"Income Statement",#N/A,FALSE,"CFMODEL";"Balance Sheet",#N/A,FALSE,"CFMODEL"}</definedName>
    <definedName name="poso_wrn.test2." localSheetId="3" hidden="1">{"SourcesUses",#N/A,TRUE,"CFMODEL";"TransOverview",#N/A,TRUE,"CFMODEL"}</definedName>
    <definedName name="poso_wrn.test2." localSheetId="4" hidden="1">{"SourcesUses",#N/A,TRUE,"CFMODEL";"TransOverview",#N/A,TRUE,"CFMODEL"}</definedName>
    <definedName name="poso_wrn.test2." localSheetId="5" hidden="1">{"SourcesUses",#N/A,TRUE,"CFMODEL";"TransOverview",#N/A,TRUE,"CFMODEL"}</definedName>
    <definedName name="poso_wrn.test2." hidden="1">{"SourcesUses",#N/A,TRUE,"CFMODEL";"TransOverview",#N/A,TRUE,"CFMODEL"}</definedName>
    <definedName name="poso_wrn.test3." localSheetId="3" hidden="1">{"SourcesUses",#N/A,TRUE,#N/A;"TransOverview",#N/A,TRUE,"CFMODEL"}</definedName>
    <definedName name="poso_wrn.test3." localSheetId="4" hidden="1">{"SourcesUses",#N/A,TRUE,#N/A;"TransOverview",#N/A,TRUE,"CFMODEL"}</definedName>
    <definedName name="poso_wrn.test3." localSheetId="5" hidden="1">{"SourcesUses",#N/A,TRUE,#N/A;"TransOverview",#N/A,TRUE,"CFMODEL"}</definedName>
    <definedName name="poso_wrn.test3." hidden="1">{"SourcesUses",#N/A,TRUE,#N/A;"TransOverview",#N/A,TRUE,"CFMODEL"}</definedName>
    <definedName name="poso_wrn.test4." localSheetId="3" hidden="1">{"SourcesUses",#N/A,TRUE,"FundsFlow";"TransOverview",#N/A,TRUE,"FundsFlow"}</definedName>
    <definedName name="poso_wrn.test4." localSheetId="4" hidden="1">{"SourcesUses",#N/A,TRUE,"FundsFlow";"TransOverview",#N/A,TRUE,"FundsFlow"}</definedName>
    <definedName name="poso_wrn.test4." localSheetId="5" hidden="1">{"SourcesUses",#N/A,TRUE,"FundsFlow";"TransOverview",#N/A,TRUE,"FundsFlow"}</definedName>
    <definedName name="poso_wrn.test4." hidden="1">{"SourcesUses",#N/A,TRUE,"FundsFlow";"TransOverview",#N/A,TRUE,"FundsFlow"}</definedName>
    <definedName name="ppp" hidden="1">#REF!</definedName>
    <definedName name="Print_Area_Reset" localSheetId="3">OFFSET([0]!Loan_Start,0,0,[0]!Payment_Date)</definedName>
    <definedName name="Print_Area_Reset" localSheetId="4">OFFSET(Loan_Start,0,0,Payment_Date)</definedName>
    <definedName name="Print_Area_Reset" localSheetId="5">OFFSET(Loan_Start,0,0,Payment_Date)</definedName>
    <definedName name="Print_Area_Reset">OFFSET(Loan_Start,0,0,Payment_Date)</definedName>
    <definedName name="ProjAnnee">#REF!</definedName>
    <definedName name="ProjMask">#REF!</definedName>
    <definedName name="PUB_FileID" hidden="1">"L10003649.xls"</definedName>
    <definedName name="PUB_UserID" hidden="1">"MAYERX"</definedName>
    <definedName name="q" localSheetId="3" hidden="1">{"Qtr Op Mgd Q2",#N/A,FALSE,"Qtr-Op (Mng)";"Qtr Op Rpt Q2",#N/A,FALSE,"Qtr-Op (Rpt)";"Operating Vs Reported",#N/A,FALSE,"Rpt-Op Inc"}</definedName>
    <definedName name="q" localSheetId="4" hidden="1">{"Qtr Op Mgd Q2",#N/A,FALSE,"Qtr-Op (Mng)";"Qtr Op Rpt Q2",#N/A,FALSE,"Qtr-Op (Rpt)";"Operating Vs Reported",#N/A,FALSE,"Rpt-Op Inc"}</definedName>
    <definedName name="q" localSheetId="5" hidden="1">{"Qtr Op Mgd Q2",#N/A,FALSE,"Qtr-Op (Mng)";"Qtr Op Rpt Q2",#N/A,FALSE,"Qtr-Op (Rpt)";"Operating Vs Reported",#N/A,FALSE,"Rpt-Op Inc"}</definedName>
    <definedName name="q" hidden="1">{"Qtr Op Mgd Q2",#N/A,FALSE,"Qtr-Op (Mng)";"Qtr Op Rpt Q2",#N/A,FALSE,"Qtr-Op (Rpt)";"Operating Vs Reported",#N/A,FALSE,"Rpt-Op Inc"}</definedName>
    <definedName name="qqq" localSheetId="3" hidden="1">{#N/A,#N/A,FALSE,"EXTRABUDGT"}</definedName>
    <definedName name="qqq" localSheetId="4" hidden="1">{#N/A,#N/A,FALSE,"EXTRABUDGT"}</definedName>
    <definedName name="qqq" localSheetId="5" hidden="1">{#N/A,#N/A,FALSE,"EXTRABUDGT"}</definedName>
    <definedName name="qqq" hidden="1">{#N/A,#N/A,FALSE,"EXTRABUDGT"}</definedName>
    <definedName name="qwer" localSheetId="3" hidden="1">{0,#N/A,FALSE,0;0,#N/A,FALSE,0;0,#N/A,FALSE,0;0,#N/A,FALSE,0;0,#N/A,FALSE,0}</definedName>
    <definedName name="qwer" localSheetId="4" hidden="1">{0,#N/A,FALSE,0;0,#N/A,FALSE,0;0,#N/A,FALSE,0;0,#N/A,FALSE,0;0,#N/A,FALSE,0}</definedName>
    <definedName name="qwer" localSheetId="5" hidden="1">{0,#N/A,FALSE,0;0,#N/A,FALSE,0;0,#N/A,FALSE,0;0,#N/A,FALSE,0;0,#N/A,FALSE,0}</definedName>
    <definedName name="qwer" hidden="1">{0,#N/A,FALSE,0;0,#N/A,FALSE,0;0,#N/A,FALSE,0;0,#N/A,FALSE,0;0,#N/A,FALSE,0}</definedName>
    <definedName name="rapprochement_bancaire_cm" localSheetId="3">#REF!</definedName>
    <definedName name="rapprochement_bancaire_cm" localSheetId="4">#REF!</definedName>
    <definedName name="rapprochement_bancaire_cm" localSheetId="5">#REF!</definedName>
    <definedName name="rapprochement_bancaire_cm">#REF!</definedName>
    <definedName name="RbtCCA">#REF!</definedName>
    <definedName name="Recettes_cm" localSheetId="3">#REF!</definedName>
    <definedName name="Recettes_cm" localSheetId="4">#REF!</definedName>
    <definedName name="Recettes_cm" localSheetId="5">#REF!</definedName>
    <definedName name="Recettes_cm">#REF!</definedName>
    <definedName name="redo" localSheetId="3" hidden="1">{#N/A,#N/A,FALSE,"ACQ_GRAPHS";#N/A,#N/A,FALSE,"T_1 GRAPHS";#N/A,#N/A,FALSE,"T_2 GRAPHS";#N/A,#N/A,FALSE,"COMB_GRAPHS"}</definedName>
    <definedName name="redo" localSheetId="4" hidden="1">{#N/A,#N/A,FALSE,"ACQ_GRAPHS";#N/A,#N/A,FALSE,"T_1 GRAPHS";#N/A,#N/A,FALSE,"T_2 GRAPHS";#N/A,#N/A,FALSE,"COMB_GRAPHS"}</definedName>
    <definedName name="redo" localSheetId="5" hidden="1">{#N/A,#N/A,FALSE,"ACQ_GRAPHS";#N/A,#N/A,FALSE,"T_1 GRAPHS";#N/A,#N/A,FALSE,"T_2 GRAPHS";#N/A,#N/A,FALSE,"COMB_GRAPHS"}</definedName>
    <definedName name="redo" hidden="1">{#N/A,#N/A,FALSE,"ACQ_GRAPHS";#N/A,#N/A,FALSE,"T_1 GRAPHS";#N/A,#N/A,FALSE,"T_2 GRAPHS";#N/A,#N/A,FALSE,"COMB_GRAPHS"}</definedName>
    <definedName name="reiofgoophg" localSheetId="3" hidden="1">#REF!</definedName>
    <definedName name="reiofgoophg" localSheetId="4" hidden="1">#REF!</definedName>
    <definedName name="reiofgoophg" localSheetId="5" hidden="1">#REF!</definedName>
    <definedName name="reiofgoophg" hidden="1">#REF!</definedName>
    <definedName name="rep" localSheetId="3" hidden="1">{#N/A,#N/A,FALSE,"COVER";#N/A,#N/A,FALSE,"VALUATION";#N/A,#N/A,FALSE,"FORECAST";#N/A,#N/A,FALSE,"FY ANALYSIS ";#N/A,#N/A,FALSE," HY ANALYSIS"}</definedName>
    <definedName name="rep" localSheetId="4" hidden="1">{#N/A,#N/A,FALSE,"COVER";#N/A,#N/A,FALSE,"VALUATION";#N/A,#N/A,FALSE,"FORECAST";#N/A,#N/A,FALSE,"FY ANALYSIS ";#N/A,#N/A,FALSE," HY ANALYSIS"}</definedName>
    <definedName name="rep" localSheetId="5" hidden="1">{#N/A,#N/A,FALSE,"COVER";#N/A,#N/A,FALSE,"VALUATION";#N/A,#N/A,FALSE,"FORECAST";#N/A,#N/A,FALSE,"FY ANALYSIS ";#N/A,#N/A,FALSE," HY ANALYSIS"}</definedName>
    <definedName name="rep" hidden="1">{#N/A,#N/A,FALSE,"COVER";#N/A,#N/A,FALSE,"VALUATION";#N/A,#N/A,FALSE,"FORECAST";#N/A,#N/A,FALSE,"FY ANALYSIS ";#N/A,#N/A,FALSE," HY ANALYSIS"}</definedName>
    <definedName name="result" localSheetId="3">#REF!</definedName>
    <definedName name="result" localSheetId="4">#REF!</definedName>
    <definedName name="result">#REF!</definedName>
    <definedName name="RESULTATS" localSheetId="3">#REF!</definedName>
    <definedName name="RESULTATS" localSheetId="4">#REF!</definedName>
    <definedName name="RESULTATS">#REF!</definedName>
    <definedName name="rhjaethyer" localSheetId="5" hidden="1">#REF!</definedName>
    <definedName name="rhjaethyer" hidden="1">#REF!</definedName>
    <definedName name="rrrrrr" localSheetId="3" hidden="1">{"cash plan",#N/A,FALSE,"fccashflow"}</definedName>
    <definedName name="rrrrrr" localSheetId="4" hidden="1">{"cash plan",#N/A,FALSE,"fccashflow"}</definedName>
    <definedName name="rrrrrr" localSheetId="5" hidden="1">{"cash plan",#N/A,FALSE,"fccashflow"}</definedName>
    <definedName name="rrrrrr" hidden="1">{"cash plan",#N/A,FALSE,"fccashflow"}</definedName>
    <definedName name="RubriqueComptes_10_A6" localSheetId="3">#REF!</definedName>
    <definedName name="RubriqueComptes_10_A6" localSheetId="4">#REF!</definedName>
    <definedName name="RubriqueComptes_10_A6">#REF!</definedName>
    <definedName name="RubriqueComptes_6_A6" localSheetId="3">#REF!</definedName>
    <definedName name="RubriqueComptes_6_A6" localSheetId="4">#REF!</definedName>
    <definedName name="RubriqueComptes_6_A6">#REF!</definedName>
    <definedName name="RubriqueComptes_8_A6" localSheetId="3">#REF!</definedName>
    <definedName name="RubriqueComptes_8_A6" localSheetId="4">#REF!</definedName>
    <definedName name="RubriqueComptes_8_A6">#REF!</definedName>
    <definedName name="RubriqueComptes_9_A6" localSheetId="3">#REF!</definedName>
    <definedName name="RubriqueComptes_9_A6" localSheetId="4">#REF!</definedName>
    <definedName name="RubriqueComptes_9_A6">#REF!</definedName>
    <definedName name="S" localSheetId="3" hidden="1">#REF!</definedName>
    <definedName name="S" localSheetId="4" hidden="1">#REF!</definedName>
    <definedName name="S" localSheetId="5" hidden="1">#REF!</definedName>
    <definedName name="S" hidden="1">#REF!</definedName>
    <definedName name="S1100000" localSheetId="3">#REF!</definedName>
    <definedName name="S1100000" localSheetId="4">#REF!</definedName>
    <definedName name="S1100000">#REF!</definedName>
    <definedName name="S1200000" localSheetId="3">#REF!</definedName>
    <definedName name="S1200000" localSheetId="4">#REF!</definedName>
    <definedName name="S1200000">#REF!</definedName>
    <definedName name="S1500000" localSheetId="3">#REF!</definedName>
    <definedName name="S1500000" localSheetId="4">#REF!</definedName>
    <definedName name="S1500000">#REF!</definedName>
    <definedName name="SalairesData">#REF!</definedName>
    <definedName name="SAPBEXhrIndnt" hidden="1">1</definedName>
    <definedName name="SAPBEXrevision" hidden="1">1</definedName>
    <definedName name="SAPBEXsysID" hidden="1">"HSP"</definedName>
    <definedName name="SAPBEXwbID" hidden="1">"69MQ1FSC8GF2EKDSUF2AD3KRW"</definedName>
    <definedName name="sdfhs" localSheetId="3" hidden="1">#REF!</definedName>
    <definedName name="sdfhs" localSheetId="4" hidden="1">#REF!</definedName>
    <definedName name="sdfhs" localSheetId="5" hidden="1">#REF!</definedName>
    <definedName name="sdfhs" hidden="1">#REF!</definedName>
    <definedName name="sencount" hidden="1">2</definedName>
    <definedName name="SensEquipmt">#REF!</definedName>
    <definedName name="SensInfra">#REF!</definedName>
    <definedName name="SensOpex">#REF!</definedName>
    <definedName name="SensSuper">#REF!</definedName>
    <definedName name="SensTarif">#REF!</definedName>
    <definedName name="SensTrafic">#REF!</definedName>
    <definedName name="SimulIndexees">#REF!</definedName>
    <definedName name="solver_adj" localSheetId="3" hidden="1">#REF!,#REF!,#REF!,#REF!,#REF!,#REF!,#REF!,#REF!</definedName>
    <definedName name="solver_adj" localSheetId="4" hidden="1">#REF!,#REF!,#REF!,#REF!,#REF!,#REF!,#REF!,#REF!</definedName>
    <definedName name="solver_adj" localSheetId="5" hidden="1">#REF!,#REF!,#REF!,#REF!,#REF!,#REF!,#REF!,#REF!</definedName>
    <definedName name="solver_adj" hidden="1">#REF!,#REF!,#REF!,#REF!,#REF!,#REF!,#REF!,#REF!</definedName>
    <definedName name="solver_cvg" hidden="1">0.001</definedName>
    <definedName name="solver_drv" hidden="1">1</definedName>
    <definedName name="solver_est" hidden="1">1</definedName>
    <definedName name="solver_itr" hidden="1">100</definedName>
    <definedName name="solver_lhs1" localSheetId="3" hidden="1">#REF!</definedName>
    <definedName name="solver_lhs1" localSheetId="4" hidden="1">#REF!</definedName>
    <definedName name="solver_lhs1" hidden="1">#REF!</definedName>
    <definedName name="solver_lhs2" localSheetId="3" hidden="1">#REF!</definedName>
    <definedName name="solver_lhs2" localSheetId="4" hidden="1">#REF!</definedName>
    <definedName name="solver_lhs2" hidden="1">#REF!</definedName>
    <definedName name="solver_lhs3" localSheetId="3" hidden="1">#REF!</definedName>
    <definedName name="solver_lhs3" localSheetId="4" hidden="1">#REF!</definedName>
    <definedName name="solver_lhs3" hidden="1">#REF!</definedName>
    <definedName name="solver_lhs4" localSheetId="3" hidden="1">#REF!</definedName>
    <definedName name="solver_lhs4" localSheetId="4" hidden="1">#REF!</definedName>
    <definedName name="solver_lhs4" hidden="1">#REF!</definedName>
    <definedName name="solver_lhs5" localSheetId="3" hidden="1">#REF!</definedName>
    <definedName name="solver_lhs5" localSheetId="4" hidden="1">#REF!</definedName>
    <definedName name="solver_lhs5" hidden="1">#REF!</definedName>
    <definedName name="solver_lin" hidden="1">0</definedName>
    <definedName name="solver_neg" hidden="1">2</definedName>
    <definedName name="solver_num" hidden="1">0</definedName>
    <definedName name="solver_nwt" hidden="1">1</definedName>
    <definedName name="solver_opt" localSheetId="3" hidden="1">#REF!</definedName>
    <definedName name="solver_opt" localSheetId="4" hidden="1">#REF!</definedName>
    <definedName name="solver_opt" hidden="1">#REF!</definedName>
    <definedName name="solver_pre" hidden="1">0.000001</definedName>
    <definedName name="solver_rel1" hidden="1">1</definedName>
    <definedName name="solver_rel2" hidden="1">3</definedName>
    <definedName name="solver_rel3" hidden="1">1</definedName>
    <definedName name="solver_rel4" hidden="1">3</definedName>
    <definedName name="solver_rel5" hidden="1">1</definedName>
    <definedName name="solver_rhs1" localSheetId="3" hidden="1">#REF!</definedName>
    <definedName name="solver_rhs1" localSheetId="4" hidden="1">#REF!</definedName>
    <definedName name="solver_rhs1" hidden="1">#REF!</definedName>
    <definedName name="solver_rhs2" localSheetId="3" hidden="1">#REF!</definedName>
    <definedName name="solver_rhs2" localSheetId="4" hidden="1">#REF!</definedName>
    <definedName name="solver_rhs2" hidden="1">#REF!</definedName>
    <definedName name="solver_rhs3" localSheetId="3" hidden="1">#REF!</definedName>
    <definedName name="solver_rhs3" localSheetId="4" hidden="1">#REF!</definedName>
    <definedName name="solver_rhs3" hidden="1">#REF!</definedName>
    <definedName name="solver_rhs4" localSheetId="3" hidden="1">#REF!</definedName>
    <definedName name="solver_rhs4" localSheetId="4" hidden="1">#REF!</definedName>
    <definedName name="solver_rhs4" hidden="1">#REF!</definedName>
    <definedName name="solver_rhs5" localSheetId="3" hidden="1">#REF!</definedName>
    <definedName name="solver_rhs5" localSheetId="4" hidden="1">#REF!</definedName>
    <definedName name="solver_rhs5" hidden="1">#REF!</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0.6</definedName>
    <definedName name="StatJan" localSheetId="3" hidden="1">#REF!</definedName>
    <definedName name="StatJan" localSheetId="4" hidden="1">#REF!</definedName>
    <definedName name="StatJan" localSheetId="5" hidden="1">#REF!</definedName>
    <definedName name="StatJan" localSheetId="8" hidden="1">#REF!</definedName>
    <definedName name="StatJan" localSheetId="7" hidden="1">#REF!</definedName>
    <definedName name="StatJan" localSheetId="6" hidden="1">#REF!</definedName>
    <definedName name="StatJan" hidden="1">#REF!</definedName>
    <definedName name="t" localSheetId="3">#REF!</definedName>
    <definedName name="t" localSheetId="4">#REF!</definedName>
    <definedName name="t" localSheetId="5">#REF!</definedName>
    <definedName name="t">#REF!</definedName>
    <definedName name="T1300000" localSheetId="3">#REF!</definedName>
    <definedName name="T1300000" localSheetId="4">#REF!</definedName>
    <definedName name="T1300000" localSheetId="5">#REF!</definedName>
    <definedName name="T1300000">#REF!</definedName>
    <definedName name="taux" localSheetId="3">#REF!</definedName>
    <definedName name="taux" localSheetId="4">#REF!</definedName>
    <definedName name="taux" localSheetId="5">#REF!</definedName>
    <definedName name="taux">#REF!</definedName>
    <definedName name="TaxCorp">#REF!</definedName>
    <definedName name="TaxeTSE">#REF!</definedName>
    <definedName name="TaxSalaires">#REF!</definedName>
    <definedName name="Test" localSheetId="3"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Test" localSheetId="4"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Test" localSheetId="5"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Test"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TextRefCopyRangeCount" hidden="1">41</definedName>
    <definedName name="Total_Payment">#N/A</definedName>
    <definedName name="TrafficScenario" localSheetId="3">#REF!</definedName>
    <definedName name="TrafficScenario" localSheetId="4">#REF!</definedName>
    <definedName name="TrafficScenario">#REF!</definedName>
    <definedName name="Trafic" localSheetId="3" hidden="1">#REF!</definedName>
    <definedName name="Trafic" localSheetId="4" hidden="1">#REF!</definedName>
    <definedName name="Trafic" localSheetId="5" hidden="1">#REF!</definedName>
    <definedName name="Trafic" localSheetId="8" hidden="1">#REF!</definedName>
    <definedName name="Trafic" localSheetId="7" hidden="1">#REF!</definedName>
    <definedName name="Trafic" localSheetId="6" hidden="1">#REF!</definedName>
    <definedName name="Trafic" hidden="1">#REF!</definedName>
    <definedName name="trsdtststsrudt" localSheetId="3" hidden="1">#REF!</definedName>
    <definedName name="trsdtststsrudt" localSheetId="4" hidden="1">#REF!</definedName>
    <definedName name="trsdtststsrudt" localSheetId="5" hidden="1">#REF!</definedName>
    <definedName name="trsdtststsrudt" hidden="1">#REF!</definedName>
    <definedName name="TxCons">#REF!</definedName>
    <definedName name="TxCPI">#REF!</definedName>
    <definedName name="TxDividend">#REF!</definedName>
    <definedName name="TxEnergy">#REF!</definedName>
    <definedName name="TxEquipmt">#REF!</definedName>
    <definedName name="TxRedevFixe">#REF!</definedName>
    <definedName name="TxRedevFixe2">#REF!</definedName>
    <definedName name="TxRedevVar">#REF!</definedName>
    <definedName name="TxSalary">#REF!</definedName>
    <definedName name="TxTarif">#REF!</definedName>
    <definedName name="uuu" localSheetId="3" hidden="1">#REF!</definedName>
    <definedName name="uuu" localSheetId="4" hidden="1">#REF!</definedName>
    <definedName name="uuu" localSheetId="5" hidden="1">#REF!</definedName>
    <definedName name="uuu" hidden="1">#REF!</definedName>
    <definedName name="V" localSheetId="3">#REF!</definedName>
    <definedName name="V" localSheetId="4">#REF!</definedName>
    <definedName name="V" localSheetId="5">#REF!</definedName>
    <definedName name="V">#REF!</definedName>
    <definedName name="Valos" localSheetId="3" hidden="1">{#N/A,#N/A,FALSE,"Maritime";#N/A,#N/A,FALSE,"Transit";#N/A,#N/A,FALSE,"Commercial";#N/A,#N/A,FALSE,"Safi";#N/A,#N/A,FALSE,"JORF LASFAR";#N/A,#N/A,FALSE,"Agadir";#N/A,#N/A,FALSE,"Nador";#N/A,#N/A,FALSE,"Phyto";#N/A,#N/A,FALSE,"TIR Mohammedia";#N/A,#N/A,FALSE,"NOUACEUR"}</definedName>
    <definedName name="Valos" localSheetId="4" hidden="1">{#N/A,#N/A,FALSE,"Maritime";#N/A,#N/A,FALSE,"Transit";#N/A,#N/A,FALSE,"Commercial";#N/A,#N/A,FALSE,"Safi";#N/A,#N/A,FALSE,"JORF LASFAR";#N/A,#N/A,FALSE,"Agadir";#N/A,#N/A,FALSE,"Nador";#N/A,#N/A,FALSE,"Phyto";#N/A,#N/A,FALSE,"TIR Mohammedia";#N/A,#N/A,FALSE,"NOUACEUR"}</definedName>
    <definedName name="Valos" localSheetId="5" hidden="1">{#N/A,#N/A,FALSE,"Maritime";#N/A,#N/A,FALSE,"Transit";#N/A,#N/A,FALSE,"Commercial";#N/A,#N/A,FALSE,"Safi";#N/A,#N/A,FALSE,"JORF LASFAR";#N/A,#N/A,FALSE,"Agadir";#N/A,#N/A,FALSE,"Nador";#N/A,#N/A,FALSE,"Phyto";#N/A,#N/A,FALSE,"TIR Mohammedia";#N/A,#N/A,FALSE,"NOUACEUR"}</definedName>
    <definedName name="Valos" hidden="1">{#N/A,#N/A,FALSE,"Maritime";#N/A,#N/A,FALSE,"Transit";#N/A,#N/A,FALSE,"Commercial";#N/A,#N/A,FALSE,"Safi";#N/A,#N/A,FALSE,"JORF LASFAR";#N/A,#N/A,FALSE,"Agadir";#N/A,#N/A,FALSE,"Nador";#N/A,#N/A,FALSE,"Phyto";#N/A,#N/A,FALSE,"TIR Mohammedia";#N/A,#N/A,FALSE,"NOUACEUR"}</definedName>
    <definedName name="Values_Entered" localSheetId="3">IF(Payment_Number*ANNUEL!Number_of_Payments*ANNUEL!RESULTATS*ANNUEL!Print_Area_Reset&gt;0,1,0)</definedName>
    <definedName name="Values_Entered" localSheetId="0">IF(Payment_Number*[0]!Number_of_Payments*[0]!RESULTATS*[0]!Print_Area_Reset&gt;0,1,0)</definedName>
    <definedName name="Values_Entered" localSheetId="4">IF(Payment_Number*'CALC. PREV'!Number_of_Payments*'CALC. PREV'!RESULTATS*'CALC. PREV'!Print_Area_Reset&gt;0,1,0)</definedName>
    <definedName name="Values_Entered" localSheetId="5">IF(Payment_Number*COEFFICIENTS_SAISONNIERS_2026!Number_of_Payments*RESULTATS*COEFFICIENTS_SAISONNIERS_2026!Print_Area_Reset&gt;0,1,0)</definedName>
    <definedName name="Values_Entered">IF(Payment_Number*Number_of_Payments*RESULTATS*Print_Area_Reset&gt;0,1,0)</definedName>
    <definedName name="Vo" localSheetId="3">#REF!</definedName>
    <definedName name="Vo" localSheetId="4">#REF!</definedName>
    <definedName name="Vo" localSheetId="5">#REF!</definedName>
    <definedName name="Vo">#REF!</definedName>
    <definedName name="w" localSheetId="3" hidden="1">{"IS",#N/A,FALSE,"IS";"RPTIS",#N/A,FALSE,"RPTIS";"STATS",#N/A,FALSE,"STATS";"CELL",#N/A,FALSE,"CELL";"BS",#N/A,FALSE,"BS"}</definedName>
    <definedName name="w" localSheetId="4" hidden="1">{"IS",#N/A,FALSE,"IS";"RPTIS",#N/A,FALSE,"RPTIS";"STATS",#N/A,FALSE,"STATS";"CELL",#N/A,FALSE,"CELL";"BS",#N/A,FALSE,"BS"}</definedName>
    <definedName name="w" localSheetId="5" hidden="1">{"IS",#N/A,FALSE,"IS";"RPTIS",#N/A,FALSE,"RPTIS";"STATS",#N/A,FALSE,"STATS";"CELL",#N/A,FALSE,"CELL";"BS",#N/A,FALSE,"BS"}</definedName>
    <definedName name="w" hidden="1">{"IS",#N/A,FALSE,"IS";"RPTIS",#N/A,FALSE,"RPTIS";"STATS",#N/A,FALSE,"STATS";"CELL",#N/A,FALSE,"CELL";"BS",#N/A,FALSE,"BS"}</definedName>
    <definedName name="wcom" localSheetId="3" hidden="1">{"IS",#N/A,FALSE,"IS";"RPTIS",#N/A,FALSE,"RPTIS";"STATS",#N/A,FALSE,"STATS";"BS",#N/A,FALSE,"BS"}</definedName>
    <definedName name="wcom" localSheetId="4" hidden="1">{"IS",#N/A,FALSE,"IS";"RPTIS",#N/A,FALSE,"RPTIS";"STATS",#N/A,FALSE,"STATS";"BS",#N/A,FALSE,"BS"}</definedName>
    <definedName name="wcom" localSheetId="5" hidden="1">{"IS",#N/A,FALSE,"IS";"RPTIS",#N/A,FALSE,"RPTIS";"STATS",#N/A,FALSE,"STATS";"BS",#N/A,FALSE,"BS"}</definedName>
    <definedName name="wcom" hidden="1">{"IS",#N/A,FALSE,"IS";"RPTIS",#N/A,FALSE,"RPTIS";"STATS",#N/A,FALSE,"STATS";"BS",#N/A,FALSE,"BS"}</definedName>
    <definedName name="werqwe" localSheetId="3" hidden="1">{0,#N/A,FALSE,0;0,#N/A,FALSE,0;0,#N/A,FALSE,0;0,#N/A,FALSE,0;0,#N/A,FALSE,0}</definedName>
    <definedName name="werqwe" localSheetId="4" hidden="1">{0,#N/A,FALSE,0;0,#N/A,FALSE,0;0,#N/A,FALSE,0;0,#N/A,FALSE,0;0,#N/A,FALSE,0}</definedName>
    <definedName name="werqwe" localSheetId="5" hidden="1">{0,#N/A,FALSE,0;0,#N/A,FALSE,0;0,#N/A,FALSE,0;0,#N/A,FALSE,0;0,#N/A,FALSE,0}</definedName>
    <definedName name="werqwe" hidden="1">{0,#N/A,FALSE,0;0,#N/A,FALSE,0;0,#N/A,FALSE,0;0,#N/A,FALSE,0;0,#N/A,FALSE,0}</definedName>
    <definedName name="wrn.10yp._.balance._.sheet." localSheetId="3" hidden="1">{"10yp balance sheet",#N/A,FALSE,"Celtel alternative 6"}</definedName>
    <definedName name="wrn.10yp._.balance._.sheet." localSheetId="4" hidden="1">{"10yp balance sheet",#N/A,FALSE,"Celtel alternative 6"}</definedName>
    <definedName name="wrn.10yp._.balance._.sheet." localSheetId="5" hidden="1">{"10yp balance sheet",#N/A,FALSE,"Celtel alternative 6"}</definedName>
    <definedName name="wrn.10yp._.balance._.sheet." hidden="1">{"10yp balance sheet",#N/A,FALSE,"Celtel alternative 6"}</definedName>
    <definedName name="wrn.10yp._.capex." localSheetId="3" hidden="1">{"10yp capex",#N/A,FALSE,"Celtel alternative 6"}</definedName>
    <definedName name="wrn.10yp._.capex." localSheetId="4" hidden="1">{"10yp capex",#N/A,FALSE,"Celtel alternative 6"}</definedName>
    <definedName name="wrn.10yp._.capex." localSheetId="5" hidden="1">{"10yp capex",#N/A,FALSE,"Celtel alternative 6"}</definedName>
    <definedName name="wrn.10yp._.capex." hidden="1">{"10yp capex",#N/A,FALSE,"Celtel alternative 6"}</definedName>
    <definedName name="wrn.10yp._.customers." localSheetId="3" hidden="1">{"10yp customers",#N/A,FALSE,"Celtel alternative 6"}</definedName>
    <definedName name="wrn.10yp._.customers." localSheetId="4" hidden="1">{"10yp customers",#N/A,FALSE,"Celtel alternative 6"}</definedName>
    <definedName name="wrn.10yp._.customers." localSheetId="5" hidden="1">{"10yp customers",#N/A,FALSE,"Celtel alternative 6"}</definedName>
    <definedName name="wrn.10yp._.customers." hidden="1">{"10yp customers",#N/A,FALSE,"Celtel alternative 6"}</definedName>
    <definedName name="wrn.10yp._.graphs." localSheetId="3" hidden="1">{"10yp graphs",#N/A,FALSE,"Market Data"}</definedName>
    <definedName name="wrn.10yp._.graphs." localSheetId="4" hidden="1">{"10yp graphs",#N/A,FALSE,"Market Data"}</definedName>
    <definedName name="wrn.10yp._.graphs." localSheetId="5" hidden="1">{"10yp graphs",#N/A,FALSE,"Market Data"}</definedName>
    <definedName name="wrn.10yp._.graphs." hidden="1">{"10yp graphs",#N/A,FALSE,"Market Data"}</definedName>
    <definedName name="wrn.10yp._.key._.data." localSheetId="3" hidden="1">{"10yp key data",#N/A,FALSE,"Market Data"}</definedName>
    <definedName name="wrn.10yp._.key._.data." localSheetId="4" hidden="1">{"10yp key data",#N/A,FALSE,"Market Data"}</definedName>
    <definedName name="wrn.10yp._.key._.data." localSheetId="5" hidden="1">{"10yp key data",#N/A,FALSE,"Market Data"}</definedName>
    <definedName name="wrn.10yp._.key._.data." hidden="1">{"10yp key data",#N/A,FALSE,"Market Data"}</definedName>
    <definedName name="wrn.10yp._.profit._.and._.loss." localSheetId="3" hidden="1">{"10yp profit and loss",#N/A,FALSE,"Celtel alternative 6"}</definedName>
    <definedName name="wrn.10yp._.profit._.and._.loss." localSheetId="4" hidden="1">{"10yp profit and loss",#N/A,FALSE,"Celtel alternative 6"}</definedName>
    <definedName name="wrn.10yp._.profit._.and._.loss." localSheetId="5" hidden="1">{"10yp profit and loss",#N/A,FALSE,"Celtel alternative 6"}</definedName>
    <definedName name="wrn.10yp._.profit._.and._.loss." hidden="1">{"10yp profit and loss",#N/A,FALSE,"Celtel alternative 6"}</definedName>
    <definedName name="wrn.10yp._.tariffs." localSheetId="3" hidden="1">{"10yp tariffs",#N/A,FALSE,"Celtel alternative 6"}</definedName>
    <definedName name="wrn.10yp._.tariffs." localSheetId="4" hidden="1">{"10yp tariffs",#N/A,FALSE,"Celtel alternative 6"}</definedName>
    <definedName name="wrn.10yp._.tariffs." localSheetId="5" hidden="1">{"10yp tariffs",#N/A,FALSE,"Celtel alternative 6"}</definedName>
    <definedName name="wrn.10yp._.tariffs." hidden="1">{"10yp tariffs",#N/A,FALSE,"Celtel alternative 6"}</definedName>
    <definedName name="wrn.Aging._.and._.Trend._.Analysis." localSheetId="3" hidden="1">{#N/A,#N/A,FALSE,"Aging Summary";#N/A,#N/A,FALSE,"Ratio Analysis";#N/A,#N/A,FALSE,"Test 120 Day Accts";#N/A,#N/A,FALSE,"Tickmarks"}</definedName>
    <definedName name="wrn.Aging._.and._.Trend._.Analysis." localSheetId="4" hidden="1">{#N/A,#N/A,FALSE,"Aging Summary";#N/A,#N/A,FALSE,"Ratio Analysis";#N/A,#N/A,FALSE,"Test 120 Day Accts";#N/A,#N/A,FALSE,"Tickmarks"}</definedName>
    <definedName name="wrn.Aging._.and._.Trend._.Analysis." localSheetId="5"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localSheetId="3" hidden="1">{#N/A,#N/A,FALSE,"INPUTS";#N/A,#N/A,FALSE,"PROFORMA BSHEET";#N/A,#N/A,FALSE,"COMBINED";#N/A,#N/A,FALSE,"ACQUIROR";#N/A,#N/A,FALSE,"TARGET 1";#N/A,#N/A,FALSE,"TARGET 2";#N/A,#N/A,FALSE,"HIGH YIELD";#N/A,#N/A,FALSE,"OVERFUND"}</definedName>
    <definedName name="wrn.ALL." localSheetId="4" hidden="1">{#N/A,#N/A,FALSE,"INPUTS";#N/A,#N/A,FALSE,"PROFORMA BSHEET";#N/A,#N/A,FALSE,"COMBINED";#N/A,#N/A,FALSE,"ACQUIROR";#N/A,#N/A,FALSE,"TARGET 1";#N/A,#N/A,FALSE,"TARGET 2";#N/A,#N/A,FALSE,"HIGH YIELD";#N/A,#N/A,FALSE,"OVERFUND"}</definedName>
    <definedName name="wrn.ALL." localSheetId="5" hidden="1">{#N/A,#N/A,FALSE,"INPUTS";#N/A,#N/A,FALSE,"PROFORMA BSHEET";#N/A,#N/A,FALSE,"COMBINED";#N/A,#N/A,FALSE,"ACQUIROR";#N/A,#N/A,FALSE,"TARGET 1";#N/A,#N/A,FALSE,"TARGET 2";#N/A,#N/A,FALSE,"HIGH YIELD";#N/A,#N/A,FALSE,"OVERFUND"}</definedName>
    <definedName name="wrn.ALL." hidden="1">{#N/A,#N/A,FALSE,"INPUTS";#N/A,#N/A,FALSE,"PROFORMA BSHEET";#N/A,#N/A,FALSE,"COMBINED";#N/A,#N/A,FALSE,"ACQUIROR";#N/A,#N/A,FALSE,"TARGET 1";#N/A,#N/A,FALSE,"TARGET 2";#N/A,#N/A,FALSE,"HIGH YIELD";#N/A,#N/A,FALSE,"OVERFUND"}</definedName>
    <definedName name="wrn.All._.Company._.Analyses." localSheetId="3" hidden="1">{"Methodology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name="wrn.All._.Company._.Analyses." localSheetId="4" hidden="1">{"Methodology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name="wrn.All._.Company._.Analyses." localSheetId="5" hidden="1">{"Methodology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name="wrn.All._.Company._.Analyses." hidden="1">{"Methodology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name="wrn.All._.Pages." localSheetId="3"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5"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STATEMENTS." localSheetId="3" hidden="1">{"BALANCE SHEET",#N/A,FALSE,"Balance Sheet";"INCOME STATEMENT",#N/A,FALSE,"Income Statement";"STMT OF CASH FLOWS",#N/A,FALSE,"Cash Flows Indirect";"PARTNERS CAPITAL STMT",#N/A,FALSE,"Partners Capital"}</definedName>
    <definedName name="wrn.ALL._.STATEMENTS." localSheetId="4" hidden="1">{"BALANCE SHEET",#N/A,FALSE,"Balance Sheet";"INCOME STATEMENT",#N/A,FALSE,"Income Statement";"STMT OF CASH FLOWS",#N/A,FALSE,"Cash Flows Indirect";"PARTNERS CAPITAL STMT",#N/A,FALSE,"Partners Capital"}</definedName>
    <definedName name="wrn.ALL._.STATEMENTS." localSheetId="5" hidden="1">{"BALANCE SHEET",#N/A,FALSE,"Balance Sheet";"INCOME STATEMENT",#N/A,FALSE,"Income Statement";"STMT OF CASH FLOWS",#N/A,FALSE,"Cash Flows Indirect";"PARTNERS CAPITAL STMT",#N/A,FALSE,"Partners Capital"}</definedName>
    <definedName name="wrn.ALL._.STATEMENTS." hidden="1">{"BALANCE SHEET",#N/A,FALSE,"Balance Sheet";"INCOME STATEMENT",#N/A,FALSE,"Income Statement";"STMT OF CASH FLOWS",#N/A,FALSE,"Cash Flows Indirect";"PARTNERS CAPITAL STMT",#N/A,FALSE,"Partners Capital"}</definedName>
    <definedName name="wrn.All._.Worksheets." localSheetId="3"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wrn.All._.Worksheets." localSheetId="4"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wrn.All._.Worksheets." localSheetId="5"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wrn.All._.Worksheets."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wrn.allpages." localSheetId="3" hidden="1">{#N/A,#N/A,TRUE,"Historicals";#N/A,#N/A,TRUE,"Charts";#N/A,#N/A,TRUE,"Forecasts"}</definedName>
    <definedName name="wrn.allpages." localSheetId="4" hidden="1">{#N/A,#N/A,TRUE,"Historicals";#N/A,#N/A,TRUE,"Charts";#N/A,#N/A,TRUE,"Forecasts"}</definedName>
    <definedName name="wrn.allpages." localSheetId="5" hidden="1">{#N/A,#N/A,TRUE,"Historicals";#N/A,#N/A,TRUE,"Charts";#N/A,#N/A,TRUE,"Forecasts"}</definedName>
    <definedName name="wrn.allpages." hidden="1">{#N/A,#N/A,TRUE,"Historicals";#N/A,#N/A,TRUE,"Charts";#N/A,#N/A,TRUE,"Forecasts"}</definedName>
    <definedName name="wrn.Annual." localSheetId="3" hidden="1">{#N/A,#N/A,FALSE,"YPF"}</definedName>
    <definedName name="wrn.Annual." localSheetId="4" hidden="1">{#N/A,#N/A,FALSE,"YPF"}</definedName>
    <definedName name="wrn.Annual." localSheetId="5" hidden="1">{#N/A,#N/A,FALSE,"YPF"}</definedName>
    <definedName name="wrn.Annual." hidden="1">{#N/A,#N/A,FALSE,"YPF"}</definedName>
    <definedName name="wrn.Annual._.Operating._.Earnings." localSheetId="3" hidden="1">{"Annual 1996",#N/A,FALSE,"Ann-Op (Mng)";"Annual 1996",#N/A,FALSE,"Ann-Op (Rep)";"Operating Vs. Reported Earnings",#N/A,FALSE,"Rpt-Op Inc"}</definedName>
    <definedName name="wrn.Annual._.Operating._.Earnings." localSheetId="4" hidden="1">{"Annual 1996",#N/A,FALSE,"Ann-Op (Mng)";"Annual 1996",#N/A,FALSE,"Ann-Op (Rep)";"Operating Vs. Reported Earnings",#N/A,FALSE,"Rpt-Op Inc"}</definedName>
    <definedName name="wrn.Annual._.Operating._.Earnings." localSheetId="5" hidden="1">{"Annual 1996",#N/A,FALSE,"Ann-Op (Mng)";"Annual 1996",#N/A,FALSE,"Ann-Op (Rep)";"Operating Vs. Reported Earnings",#N/A,FALSE,"Rpt-Op Inc"}</definedName>
    <definedName name="wrn.Annual._.Operating._.Earnings." hidden="1">{"Annual 1996",#N/A,FALSE,"Ann-Op (Mng)";"Annual 1996",#N/A,FALSE,"Ann-Op (Rep)";"Operating Vs. Reported Earnings",#N/A,FALSE,"Rpt-Op Inc"}</definedName>
    <definedName name="wrn.Annual._.Operating._.Earnings1." localSheetId="3" hidden="1">{"Annual 1996",#N/A,FALSE,"Ann-Op (Mng)";"Annual 1996",#N/A,FALSE,"Ann-Op (Rep)";"Operating Vs. Reported Earnings",#N/A,FALSE,"Rpt-Op Inc"}</definedName>
    <definedName name="wrn.Annual._.Operating._.Earnings1." localSheetId="4" hidden="1">{"Annual 1996",#N/A,FALSE,"Ann-Op (Mng)";"Annual 1996",#N/A,FALSE,"Ann-Op (Rep)";"Operating Vs. Reported Earnings",#N/A,FALSE,"Rpt-Op Inc"}</definedName>
    <definedName name="wrn.Annual._.Operating._.Earnings1." localSheetId="5" hidden="1">{"Annual 1996",#N/A,FALSE,"Ann-Op (Mng)";"Annual 1996",#N/A,FALSE,"Ann-Op (Rep)";"Operating Vs. Reported Earnings",#N/A,FALSE,"Rpt-Op Inc"}</definedName>
    <definedName name="wrn.Annual._.Operating._.Earnings1." hidden="1">{"Annual 1996",#N/A,FALSE,"Ann-Op (Mng)";"Annual 1996",#N/A,FALSE,"Ann-Op (Rep)";"Operating Vs. Reported Earnings",#N/A,FALSE,"Rpt-Op Inc"}</definedName>
    <definedName name="wrn.Asia." localSheetId="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5"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uto._.Comp." localSheetId="3" hidden="1">{#N/A,#N/A,FALSE,"Sheet1"}</definedName>
    <definedName name="wrn.Auto._.Comp." localSheetId="4" hidden="1">{#N/A,#N/A,FALSE,"Sheet1"}</definedName>
    <definedName name="wrn.Auto._.Comp." localSheetId="5" hidden="1">{#N/A,#N/A,FALSE,"Sheet1"}</definedName>
    <definedName name="wrn.Auto._.Comp." hidden="1">{#N/A,#N/A,FALSE,"Sheet1"}</definedName>
    <definedName name="wrn.BALANCE._.SHEET." localSheetId="3" hidden="1">{"BALANCE SHEET",#N/A,FALSE,"Balance Sheet"}</definedName>
    <definedName name="wrn.BALANCE._.SHEET." localSheetId="4" hidden="1">{"BALANCE SHEET",#N/A,FALSE,"Balance Sheet"}</definedName>
    <definedName name="wrn.BALANCE._.SHEET." localSheetId="5" hidden="1">{"BALANCE SHEET",#N/A,FALSE,"Balance Sheet"}</definedName>
    <definedName name="wrn.BALANCE._.SHEET." hidden="1">{"BALANCE SHEET",#N/A,FALSE,"Balance Sheet"}</definedName>
    <definedName name="wrn.BANKS." localSheetId="3" hidden="1">{#N/A,#N/A,FALSE,"BANKS"}</definedName>
    <definedName name="wrn.BANKS." localSheetId="4" hidden="1">{#N/A,#N/A,FALSE,"BANKS"}</definedName>
    <definedName name="wrn.BANKS." localSheetId="5" hidden="1">{#N/A,#N/A,FALSE,"BANKS"}</definedName>
    <definedName name="wrn.BANKS." hidden="1">{#N/A,#N/A,FALSE,"BANKS"}</definedName>
    <definedName name="wrn.BEL." localSheetId="3" hidden="1">{"IS",#N/A,FALSE,"IS";"RPTIS",#N/A,FALSE,"RPTIS";"STATS",#N/A,FALSE,"STATS";"CELL",#N/A,FALSE,"CELL";"BS",#N/A,FALSE,"BS"}</definedName>
    <definedName name="wrn.BEL." localSheetId="4" hidden="1">{"IS",#N/A,FALSE,"IS";"RPTIS",#N/A,FALSE,"RPTIS";"STATS",#N/A,FALSE,"STATS";"CELL",#N/A,FALSE,"CELL";"BS",#N/A,FALSE,"BS"}</definedName>
    <definedName name="wrn.BEL." localSheetId="5" hidden="1">{"IS",#N/A,FALSE,"IS";"RPTIS",#N/A,FALSE,"RPTIS";"STATS",#N/A,FALSE,"STATS";"CELL",#N/A,FALSE,"CELL";"BS",#N/A,FALSE,"BS"}</definedName>
    <definedName name="wrn.BEL." hidden="1">{"IS",#N/A,FALSE,"IS";"RPTIS",#N/A,FALSE,"RPTIS";"STATS",#N/A,FALSE,"STATS";"CELL",#N/A,FALSE,"CELL";"BS",#N/A,FALSE,"BS"}</definedName>
    <definedName name="wrn.BidCo." localSheetId="3" hidden="1">{#N/A,#N/A,FALSE,"BidCo Assumptions";#N/A,#N/A,FALSE,"Credit Stats";#N/A,#N/A,FALSE,"Bidco Summary";#N/A,#N/A,FALSE,"BIDCO Consolidated"}</definedName>
    <definedName name="wrn.BidCo." localSheetId="4" hidden="1">{#N/A,#N/A,FALSE,"BidCo Assumptions";#N/A,#N/A,FALSE,"Credit Stats";#N/A,#N/A,FALSE,"Bidco Summary";#N/A,#N/A,FALSE,"BIDCO Consolidated"}</definedName>
    <definedName name="wrn.BidCo." localSheetId="5" hidden="1">{#N/A,#N/A,FALSE,"BidCo Assumptions";#N/A,#N/A,FALSE,"Credit Stats";#N/A,#N/A,FALSE,"Bidco Summary";#N/A,#N/A,FALSE,"BIDCO Consolidated"}</definedName>
    <definedName name="wrn.BidCo." hidden="1">{#N/A,#N/A,FALSE,"BidCo Assumptions";#N/A,#N/A,FALSE,"Credit Stats";#N/A,#N/A,FALSE,"Bidco Summary";#N/A,#N/A,FALSE,"BIDCO Consolidated"}</definedName>
    <definedName name="wrn.BOP." localSheetId="3" hidden="1">{#N/A,#N/A,FALSE,"BOP"}</definedName>
    <definedName name="wrn.BOP." localSheetId="4" hidden="1">{#N/A,#N/A,FALSE,"BOP"}</definedName>
    <definedName name="wrn.BOP." localSheetId="5" hidden="1">{#N/A,#N/A,FALSE,"BOP"}</definedName>
    <definedName name="wrn.BOP." hidden="1">{#N/A,#N/A,FALSE,"BOP"}</definedName>
    <definedName name="wrn.BOP_MIDTERM." localSheetId="3" hidden="1">{"BOP_TAB",#N/A,FALSE,"N";"MIDTERM_TAB",#N/A,FALSE,"O"}</definedName>
    <definedName name="wrn.BOP_MIDTERM." localSheetId="4" hidden="1">{"BOP_TAB",#N/A,FALSE,"N";"MIDTERM_TAB",#N/A,FALSE,"O"}</definedName>
    <definedName name="wrn.BOP_MIDTERM." localSheetId="5" hidden="1">{"BOP_TAB",#N/A,FALSE,"N";"MIDTERM_TAB",#N/A,FALSE,"O"}</definedName>
    <definedName name="wrn.BOP_MIDTERM." hidden="1">{"BOP_TAB",#N/A,FALSE,"N";"MIDTERM_TAB",#N/A,FALSE,"O"}</definedName>
    <definedName name="wrn.budget._.balance._.sheet." localSheetId="3" hidden="1">{"bugdet992000 balance sheet",#N/A,FALSE,"Celtel alternative 6"}</definedName>
    <definedName name="wrn.budget._.balance._.sheet." localSheetId="4" hidden="1">{"bugdet992000 balance sheet",#N/A,FALSE,"Celtel alternative 6"}</definedName>
    <definedName name="wrn.budget._.balance._.sheet." localSheetId="5" hidden="1">{"bugdet992000 balance sheet",#N/A,FALSE,"Celtel alternative 6"}</definedName>
    <definedName name="wrn.budget._.balance._.sheet." hidden="1">{"bugdet992000 balance sheet",#N/A,FALSE,"Celtel alternative 6"}</definedName>
    <definedName name="wrn.budget._.capex." localSheetId="3" hidden="1">{"budget992000 capex",#N/A,FALSE,"Celtel alternative 6"}</definedName>
    <definedName name="wrn.budget._.capex." localSheetId="4" hidden="1">{"budget992000 capex",#N/A,FALSE,"Celtel alternative 6"}</definedName>
    <definedName name="wrn.budget._.capex." localSheetId="5" hidden="1">{"budget992000 capex",#N/A,FALSE,"Celtel alternative 6"}</definedName>
    <definedName name="wrn.budget._.capex." hidden="1">{"budget992000 capex",#N/A,FALSE,"Celtel alternative 6"}</definedName>
    <definedName name="wrn.budget._.customers." localSheetId="3" hidden="1">{"budget992000_customers",#N/A,FALSE,"Celtel alternative 6"}</definedName>
    <definedName name="wrn.budget._.customers." localSheetId="4" hidden="1">{"budget992000_customers",#N/A,FALSE,"Celtel alternative 6"}</definedName>
    <definedName name="wrn.budget._.customers." localSheetId="5" hidden="1">{"budget992000_customers",#N/A,FALSE,"Celtel alternative 6"}</definedName>
    <definedName name="wrn.budget._.customers." hidden="1">{"budget992000_customers",#N/A,FALSE,"Celtel alternative 6"}</definedName>
    <definedName name="wrn.budget._.profit._.and._.loss." localSheetId="3" hidden="1">{"budget992000 profit and loss",#N/A,FALSE,"Celtel alternative 6"}</definedName>
    <definedName name="wrn.budget._.profit._.and._.loss." localSheetId="4" hidden="1">{"budget992000 profit and loss",#N/A,FALSE,"Celtel alternative 6"}</definedName>
    <definedName name="wrn.budget._.profit._.and._.loss." localSheetId="5" hidden="1">{"budget992000 profit and loss",#N/A,FALSE,"Celtel alternative 6"}</definedName>
    <definedName name="wrn.budget._.profit._.and._.loss." hidden="1">{"budget992000 profit and loss",#N/A,FALSE,"Celtel alternative 6"}</definedName>
    <definedName name="wrn.budget._.tariffs._.and._.usage." localSheetId="3" hidden="1">{"budget992000 tariff and usage",#N/A,FALSE,"Celtel alternative 6"}</definedName>
    <definedName name="wrn.budget._.tariffs._.and._.usage." localSheetId="4" hidden="1">{"budget992000 tariff and usage",#N/A,FALSE,"Celtel alternative 6"}</definedName>
    <definedName name="wrn.budget._.tariffs._.and._.usage." localSheetId="5" hidden="1">{"budget992000 tariff and usage",#N/A,FALSE,"Celtel alternative 6"}</definedName>
    <definedName name="wrn.budget._.tariffs._.and._.usage." hidden="1">{"budget992000 tariff and usage",#N/A,FALSE,"Celtel alternative 6"}</definedName>
    <definedName name="wrn.calc_all." localSheetId="3" hidden="1">{"calc_hours",#N/A,FALSE,"calculations";"calc_kwh",#N/A,FALSE,"calculations";"calc_energy_rates",#N/A,FALSE,"calculations";"calc_cp1",#N/A,FALSE,"calculations";"calc_cp2",#N/A,FALSE,"calculations";"calc_coal",#N/A,FALSE,"calculations";"calc_pet_coke",#N/A,FALSE,"calculations";"calc_var1",#N/A,FALSE,"calculations";"calc_var2",#N/A,FALSE,"calculations";"calc_bank",#N/A,FALSE,"calculations"}</definedName>
    <definedName name="wrn.calc_all." localSheetId="4" hidden="1">{"calc_hours",#N/A,FALSE,"calculations";"calc_kwh",#N/A,FALSE,"calculations";"calc_energy_rates",#N/A,FALSE,"calculations";"calc_cp1",#N/A,FALSE,"calculations";"calc_cp2",#N/A,FALSE,"calculations";"calc_coal",#N/A,FALSE,"calculations";"calc_pet_coke",#N/A,FALSE,"calculations";"calc_var1",#N/A,FALSE,"calculations";"calc_var2",#N/A,FALSE,"calculations";"calc_bank",#N/A,FALSE,"calculations"}</definedName>
    <definedName name="wrn.calc_all." localSheetId="5" hidden="1">{"calc_hours",#N/A,FALSE,"calculations";"calc_kwh",#N/A,FALSE,"calculations";"calc_energy_rates",#N/A,FALSE,"calculations";"calc_cp1",#N/A,FALSE,"calculations";"calc_cp2",#N/A,FALSE,"calculations";"calc_coal",#N/A,FALSE,"calculations";"calc_pet_coke",#N/A,FALSE,"calculations";"calc_var1",#N/A,FALSE,"calculations";"calc_var2",#N/A,FALSE,"calculations";"calc_bank",#N/A,FALSE,"calculations"}</definedName>
    <definedName name="wrn.calc_all." hidden="1">{"calc_hours",#N/A,FALSE,"calculations";"calc_kwh",#N/A,FALSE,"calculations";"calc_energy_rates",#N/A,FALSE,"calculations";"calc_cp1",#N/A,FALSE,"calculations";"calc_cp2",#N/A,FALSE,"calculations";"calc_coal",#N/A,FALSE,"calculations";"calc_pet_coke",#N/A,FALSE,"calculations";"calc_var1",#N/A,FALSE,"calculations";"calc_var2",#N/A,FALSE,"calculations";"calc_bank",#N/A,FALSE,"calculations"}</definedName>
    <definedName name="wrn.Cash._.Flow._.Statement." localSheetId="3" hidden="1">{"CashPrintArea",#N/A,FALSE,"Cash (c)"}</definedName>
    <definedName name="wrn.Cash._.Flow._.Statement." localSheetId="4" hidden="1">{"CashPrintArea",#N/A,FALSE,"Cash (c)"}</definedName>
    <definedName name="wrn.Cash._.Flow._.Statement." localSheetId="5" hidden="1">{"CashPrintArea",#N/A,FALSE,"Cash (c)"}</definedName>
    <definedName name="wrn.Cash._.Flow._.Statement." hidden="1">{"CashPrintArea",#N/A,FALSE,"Cash (c)"}</definedName>
    <definedName name="wrn.Cash._.Plan." localSheetId="3" hidden="1">{"cash plan",#N/A,FALSE,"fccashflow"}</definedName>
    <definedName name="wrn.Cash._.Plan." localSheetId="4" hidden="1">{"cash plan",#N/A,FALSE,"fccashflow"}</definedName>
    <definedName name="wrn.Cash._.Plan." localSheetId="5" hidden="1">{"cash plan",#N/A,FALSE,"fccashflow"}</definedName>
    <definedName name="wrn.Cash._.Plan." hidden="1">{"cash plan",#N/A,FALSE,"fccashflow"}</definedName>
    <definedName name="wrn.CF._.Statement." localSheetId="3" hidden="1">{"CashPrintArea",#N/A,FALSE,"Cash (c)"}</definedName>
    <definedName name="wrn.CF._.Statement." localSheetId="4" hidden="1">{"CashPrintArea",#N/A,FALSE,"Cash (c)"}</definedName>
    <definedName name="wrn.CF._.Statement." localSheetId="5" hidden="1">{"CashPrintArea",#N/A,FALSE,"Cash (c)"}</definedName>
    <definedName name="wrn.CF._.Statement." hidden="1">{"CashPrintArea",#N/A,FALSE,"Cash (c)"}</definedName>
    <definedName name="wrn.COMBINED." localSheetId="3" hidden="1">{#N/A,#N/A,FALSE,"INPUTS";#N/A,#N/A,FALSE,"PROFORMA BSHEET";#N/A,#N/A,FALSE,"COMBINED";#N/A,#N/A,FALSE,"HIGH YIELD";#N/A,#N/A,FALSE,"COMB_GRAPHS"}</definedName>
    <definedName name="wrn.COMBINED." localSheetId="4" hidden="1">{#N/A,#N/A,FALSE,"INPUTS";#N/A,#N/A,FALSE,"PROFORMA BSHEET";#N/A,#N/A,FALSE,"COMBINED";#N/A,#N/A,FALSE,"HIGH YIELD";#N/A,#N/A,FALSE,"COMB_GRAPHS"}</definedName>
    <definedName name="wrn.COMBINED." localSheetId="5" hidden="1">{#N/A,#N/A,FALSE,"INPUTS";#N/A,#N/A,FALSE,"PROFORMA BSHEET";#N/A,#N/A,FALSE,"COMBINED";#N/A,#N/A,FALSE,"HIGH YIELD";#N/A,#N/A,FALSE,"COMB_GRAPHS"}</definedName>
    <definedName name="wrn.COMBINED." hidden="1">{#N/A,#N/A,FALSE,"INPUTS";#N/A,#N/A,FALSE,"PROFORMA BSHEET";#N/A,#N/A,FALSE,"COMBINED";#N/A,#N/A,FALSE,"HIGH YIELD";#N/A,#N/A,FALSE,"COMB_GRAPHS"}</definedName>
    <definedName name="wrn.Cover." localSheetId="3" hidden="1">{"coverall",#N/A,FALSE,"Definitions";"cover1",#N/A,FALSE,"Definitions";"cover2",#N/A,FALSE,"Definitions";"cover3",#N/A,FALSE,"Definitions";"cover4",#N/A,FALSE,"Definitions";"cover5",#N/A,FALSE,"Definitions";"blank",#N/A,FALSE,"Definitions"}</definedName>
    <definedName name="wrn.Cover." localSheetId="4" hidden="1">{"coverall",#N/A,FALSE,"Definitions";"cover1",#N/A,FALSE,"Definitions";"cover2",#N/A,FALSE,"Definitions";"cover3",#N/A,FALSE,"Definitions";"cover4",#N/A,FALSE,"Definitions";"cover5",#N/A,FALSE,"Definitions";"blank",#N/A,FALSE,"Definitions"}</definedName>
    <definedName name="wrn.Cover." localSheetId="5" hidden="1">{"coverall",#N/A,FALSE,"Definitions";"cover1",#N/A,FALSE,"Definitions";"cover2",#N/A,FALSE,"Definitions";"cover3",#N/A,FALSE,"Definitions";"cover4",#N/A,FALSE,"Definitions";"cover5",#N/A,FALSE,"Definitions";"blank",#N/A,FALSE,"Definitions"}</definedName>
    <definedName name="wrn.Cover." hidden="1">{"coverall",#N/A,FALSE,"Definitions";"cover1",#N/A,FALSE,"Definitions";"cover2",#N/A,FALSE,"Definitions";"cover3",#N/A,FALSE,"Definitions";"cover4",#N/A,FALSE,"Definitions";"cover5",#N/A,FALSE,"Definitions";"blank",#N/A,FALSE,"Definitions"}</definedName>
    <definedName name="wrn.CREDIT." localSheetId="3" hidden="1">{#N/A,#N/A,FALSE,"CREDIT"}</definedName>
    <definedName name="wrn.CREDIT." localSheetId="4" hidden="1">{#N/A,#N/A,FALSE,"CREDIT"}</definedName>
    <definedName name="wrn.CREDIT." localSheetId="5" hidden="1">{#N/A,#N/A,FALSE,"CREDIT"}</definedName>
    <definedName name="wrn.CREDIT." hidden="1">{#N/A,#N/A,FALSE,"CREDIT"}</definedName>
    <definedName name="wrn.database." localSheetId="3" hidden="1">{"subs",#N/A,FALSE,"database ";"proportional",#N/A,FALSE,"database "}</definedName>
    <definedName name="wrn.database." localSheetId="4" hidden="1">{"subs",#N/A,FALSE,"database ";"proportional",#N/A,FALSE,"database "}</definedName>
    <definedName name="wrn.database." localSheetId="5" hidden="1">{"subs",#N/A,FALSE,"database ";"proportional",#N/A,FALSE,"database "}</definedName>
    <definedName name="wrn.database." hidden="1">{"subs",#N/A,FALSE,"database ";"proportional",#N/A,FALSE,"database "}</definedName>
    <definedName name="wrn.dcf." localSheetId="3" hidden="1">{"mgmt forecast",#N/A,FALSE,"Mgmt Forecast";"dcf table",#N/A,FALSE,"Mgmt Forecast";"sensitivity",#N/A,FALSE,"Mgmt Forecast";"table inputs",#N/A,FALSE,"Mgmt Forecast";"calculations",#N/A,FALSE,"Mgmt Forecast"}</definedName>
    <definedName name="wrn.dcf." localSheetId="4" hidden="1">{"mgmt forecast",#N/A,FALSE,"Mgmt Forecast";"dcf table",#N/A,FALSE,"Mgmt Forecast";"sensitivity",#N/A,FALSE,"Mgmt Forecast";"table inputs",#N/A,FALSE,"Mgmt Forecast";"calculations",#N/A,FALSE,"Mgmt Forecast"}</definedName>
    <definedName name="wrn.dcf." localSheetId="5" hidden="1">{"mgmt forecast",#N/A,FALSE,"Mgmt Forecast";"dcf table",#N/A,FALSE,"Mgmt Forecast";"sensitivity",#N/A,FALSE,"Mgmt Forecast";"table inputs",#N/A,FALSE,"Mgmt Forecast";"calculations",#N/A,FALSE,"Mgmt Forecast"}</definedName>
    <definedName name="wrn.dcf." hidden="1">{"mgmt forecast",#N/A,FALSE,"Mgmt Forecast";"dcf table",#N/A,FALSE,"Mgmt Forecast";"sensitivity",#N/A,FALSE,"Mgmt Forecast";"table inputs",#N/A,FALSE,"Mgmt Forecast";"calculations",#N/A,FALSE,"Mgmt Forecast"}</definedName>
    <definedName name="wrn.DCF._.Valuation." localSheetId="3" hidden="1">{"value box",#N/A,TRUE,"DPL Inc. Fin Statements";"unlevered free cash flows",#N/A,TRUE,"DPL Inc. Fin Statements"}</definedName>
    <definedName name="wrn.DCF._.Valuation." localSheetId="4" hidden="1">{"value box",#N/A,TRUE,"DPL Inc. Fin Statements";"unlevered free cash flows",#N/A,TRUE,"DPL Inc. Fin Statements"}</definedName>
    <definedName name="wrn.DCF._.Valuation." localSheetId="5" hidden="1">{"value box",#N/A,TRUE,"DPL Inc. Fin Statements";"unlevered free cash flows",#N/A,TRUE,"DPL Inc. Fin Statements"}</definedName>
    <definedName name="wrn.DCF._.Valuation." hidden="1">{"value box",#N/A,TRUE,"DPL Inc. Fin Statements";"unlevered free cash flows",#N/A,TRUE,"DPL Inc. Fin Statements"}</definedName>
    <definedName name="wrn.Debt." localSheetId="3" hidden="1">{"debt summary",#N/A,FALSE,"Debt";"loan details",#N/A,FALSE,"Debt"}</definedName>
    <definedName name="wrn.Debt." localSheetId="4" hidden="1">{"debt summary",#N/A,FALSE,"Debt";"loan details",#N/A,FALSE,"Debt"}</definedName>
    <definedName name="wrn.Debt." localSheetId="5" hidden="1">{"debt summary",#N/A,FALSE,"Debt";"loan details",#N/A,FALSE,"Debt"}</definedName>
    <definedName name="wrn.Debt." hidden="1">{"debt summary",#N/A,FALSE,"Debt";"loan details",#N/A,FALSE,"Debt"}</definedName>
    <definedName name="wrn.DEBTSVC." localSheetId="3" hidden="1">{#N/A,#N/A,FALSE,"DEBTSVC"}</definedName>
    <definedName name="wrn.DEBTSVC." localSheetId="4" hidden="1">{#N/A,#N/A,FALSE,"DEBTSVC"}</definedName>
    <definedName name="wrn.DEBTSVC." localSheetId="5" hidden="1">{#N/A,#N/A,FALSE,"DEBTSVC"}</definedName>
    <definedName name="wrn.DEBTSVC." hidden="1">{#N/A,#N/A,FALSE,"DEBTSVC"}</definedName>
    <definedName name="wrn.DEPO." localSheetId="3" hidden="1">{#N/A,#N/A,FALSE,"DEPO"}</definedName>
    <definedName name="wrn.DEPO." localSheetId="4" hidden="1">{#N/A,#N/A,FALSE,"DEPO"}</definedName>
    <definedName name="wrn.DEPO." localSheetId="5" hidden="1">{#N/A,#N/A,FALSE,"DEPO"}</definedName>
    <definedName name="wrn.DEPO." hidden="1">{#N/A,#N/A,FALSE,"DEPO"}</definedName>
    <definedName name="wrn.DetailThru2007." localSheetId="3" hidden="1">{"SummThru2007",#N/A,TRUE,"NetIncome";"DetailThru2007",#N/A,TRUE,"Cashflow";"DetailThru2007",#N/A,TRUE,"Reserves";"PPAThru2007",#N/A,TRUE,"Assumptions";"DowAndOtherThru2007",#N/A,TRUE,"Assumptions";"FuelThru2007",#N/A,TRUE,"Assumptions";"DetailThru2007",#N/A,TRUE,"NetIncome";"DetailThru2007",#N/A,TRUE,"PPARevenue";"RevenueThru2007",#N/A,TRUE,"DowRevenue";"RatesThru2007",#N/A,TRUE,"DowRevenue";"DetailThru2007",#N/A,TRUE,"HeatRate";"DetailThru2007",#N/A,TRUE,"PlantO&amp;M";"DetailThru2007",#N/A,TRUE,"WACOG";"DetailThru2007",#N/A,TRUE,"Transportation";"DetailThru2007",#N/A,TRUE,"GasOptimizer";"Detailthru2007",#N/A,TRUE,"SpareParts";"DetailThru2007",#N/A,TRUE,"Depreciation"}</definedName>
    <definedName name="wrn.DetailThru2007." localSheetId="4" hidden="1">{"SummThru2007",#N/A,TRUE,"NetIncome";"DetailThru2007",#N/A,TRUE,"Cashflow";"DetailThru2007",#N/A,TRUE,"Reserves";"PPAThru2007",#N/A,TRUE,"Assumptions";"DowAndOtherThru2007",#N/A,TRUE,"Assumptions";"FuelThru2007",#N/A,TRUE,"Assumptions";"DetailThru2007",#N/A,TRUE,"NetIncome";"DetailThru2007",#N/A,TRUE,"PPARevenue";"RevenueThru2007",#N/A,TRUE,"DowRevenue";"RatesThru2007",#N/A,TRUE,"DowRevenue";"DetailThru2007",#N/A,TRUE,"HeatRate";"DetailThru2007",#N/A,TRUE,"PlantO&amp;M";"DetailThru2007",#N/A,TRUE,"WACOG";"DetailThru2007",#N/A,TRUE,"Transportation";"DetailThru2007",#N/A,TRUE,"GasOptimizer";"Detailthru2007",#N/A,TRUE,"SpareParts";"DetailThru2007",#N/A,TRUE,"Depreciation"}</definedName>
    <definedName name="wrn.DetailThru2007." localSheetId="5" hidden="1">{"SummThru2007",#N/A,TRUE,"NetIncome";"DetailThru2007",#N/A,TRUE,"Cashflow";"DetailThru2007",#N/A,TRUE,"Reserves";"PPAThru2007",#N/A,TRUE,"Assumptions";"DowAndOtherThru2007",#N/A,TRUE,"Assumptions";"FuelThru2007",#N/A,TRUE,"Assumptions";"DetailThru2007",#N/A,TRUE,"NetIncome";"DetailThru2007",#N/A,TRUE,"PPARevenue";"RevenueThru2007",#N/A,TRUE,"DowRevenue";"RatesThru2007",#N/A,TRUE,"DowRevenue";"DetailThru2007",#N/A,TRUE,"HeatRate";"DetailThru2007",#N/A,TRUE,"PlantO&amp;M";"DetailThru2007",#N/A,TRUE,"WACOG";"DetailThru2007",#N/A,TRUE,"Transportation";"DetailThru2007",#N/A,TRUE,"GasOptimizer";"Detailthru2007",#N/A,TRUE,"SpareParts";"DetailThru2007",#N/A,TRUE,"Depreciation"}</definedName>
    <definedName name="wrn.DetailThru2007." hidden="1">{"SummThru2007",#N/A,TRUE,"NetIncome";"DetailThru2007",#N/A,TRUE,"Cashflow";"DetailThru2007",#N/A,TRUE,"Reserves";"PPAThru2007",#N/A,TRUE,"Assumptions";"DowAndOtherThru2007",#N/A,TRUE,"Assumptions";"FuelThru2007",#N/A,TRUE,"Assumptions";"DetailThru2007",#N/A,TRUE,"NetIncome";"DetailThru2007",#N/A,TRUE,"PPARevenue";"RevenueThru2007",#N/A,TRUE,"DowRevenue";"RatesThru2007",#N/A,TRUE,"DowRevenue";"DetailThru2007",#N/A,TRUE,"HeatRate";"DetailThru2007",#N/A,TRUE,"PlantO&amp;M";"DetailThru2007",#N/A,TRUE,"WACOG";"DetailThru2007",#N/A,TRUE,"Transportation";"DetailThru2007",#N/A,TRUE,"GasOptimizer";"Detailthru2007",#N/A,TRUE,"SpareParts";"DetailThru2007",#N/A,TRUE,"Depreciation"}</definedName>
    <definedName name="wrn.DetailThru2015." localSheetId="3" hidden="1">{"PPAThru2015",#N/A,TRUE,"Assumptions";"DowAndOtherThru2015",#N/A,TRUE,"Assumptions";"FuelThru2015",#N/A,TRUE,"Assumptions";"Detailthru2015",#N/A,TRUE,"Cashflow";"DetailThru2015",#N/A,TRUE,"Reserves";"DetailThru2015",#N/A,TRUE,"NetIncome";"PartnerEconThru2015",#N/A,TRUE,"NetIncome";"DetailThru2015",#N/A,TRUE,"PPARevenue";"RevenueThru2015",#N/A,TRUE,"DowRevenue";"RatesThru2015",#N/A,TRUE,"DowRevenue";"DetailThru2015",#N/A,TRUE,"HeatRate";"DetailThru2015",#N/A,TRUE,"PlantO&amp;M";"DetailThru2015",#N/A,TRUE,"Taxes";"DetailThru2015",#N/A,TRUE,"WACOG";"DetailThru2015",#N/A,TRUE,"GasOptimizer";"DetailThru2015",#N/A,TRUE,"SpareParts";"DetailThru2015",#N/A,TRUE,"Depreciation";"DetailThru2015",#N/A,TRUE,"Transportation"}</definedName>
    <definedName name="wrn.DetailThru2015." localSheetId="4" hidden="1">{"PPAThru2015",#N/A,TRUE,"Assumptions";"DowAndOtherThru2015",#N/A,TRUE,"Assumptions";"FuelThru2015",#N/A,TRUE,"Assumptions";"Detailthru2015",#N/A,TRUE,"Cashflow";"DetailThru2015",#N/A,TRUE,"Reserves";"DetailThru2015",#N/A,TRUE,"NetIncome";"PartnerEconThru2015",#N/A,TRUE,"NetIncome";"DetailThru2015",#N/A,TRUE,"PPARevenue";"RevenueThru2015",#N/A,TRUE,"DowRevenue";"RatesThru2015",#N/A,TRUE,"DowRevenue";"DetailThru2015",#N/A,TRUE,"HeatRate";"DetailThru2015",#N/A,TRUE,"PlantO&amp;M";"DetailThru2015",#N/A,TRUE,"Taxes";"DetailThru2015",#N/A,TRUE,"WACOG";"DetailThru2015",#N/A,TRUE,"GasOptimizer";"DetailThru2015",#N/A,TRUE,"SpareParts";"DetailThru2015",#N/A,TRUE,"Depreciation";"DetailThru2015",#N/A,TRUE,"Transportation"}</definedName>
    <definedName name="wrn.DetailThru2015." localSheetId="5" hidden="1">{"PPAThru2015",#N/A,TRUE,"Assumptions";"DowAndOtherThru2015",#N/A,TRUE,"Assumptions";"FuelThru2015",#N/A,TRUE,"Assumptions";"Detailthru2015",#N/A,TRUE,"Cashflow";"DetailThru2015",#N/A,TRUE,"Reserves";"DetailThru2015",#N/A,TRUE,"NetIncome";"PartnerEconThru2015",#N/A,TRUE,"NetIncome";"DetailThru2015",#N/A,TRUE,"PPARevenue";"RevenueThru2015",#N/A,TRUE,"DowRevenue";"RatesThru2015",#N/A,TRUE,"DowRevenue";"DetailThru2015",#N/A,TRUE,"HeatRate";"DetailThru2015",#N/A,TRUE,"PlantO&amp;M";"DetailThru2015",#N/A,TRUE,"Taxes";"DetailThru2015",#N/A,TRUE,"WACOG";"DetailThru2015",#N/A,TRUE,"GasOptimizer";"DetailThru2015",#N/A,TRUE,"SpareParts";"DetailThru2015",#N/A,TRUE,"Depreciation";"DetailThru2015",#N/A,TRUE,"Transportation"}</definedName>
    <definedName name="wrn.DetailThru2015." hidden="1">{"PPAThru2015",#N/A,TRUE,"Assumptions";"DowAndOtherThru2015",#N/A,TRUE,"Assumptions";"FuelThru2015",#N/A,TRUE,"Assumptions";"Detailthru2015",#N/A,TRUE,"Cashflow";"DetailThru2015",#N/A,TRUE,"Reserves";"DetailThru2015",#N/A,TRUE,"NetIncome";"PartnerEconThru2015",#N/A,TRUE,"NetIncome";"DetailThru2015",#N/A,TRUE,"PPARevenue";"RevenueThru2015",#N/A,TRUE,"DowRevenue";"RatesThru2015",#N/A,TRUE,"DowRevenue";"DetailThru2015",#N/A,TRUE,"HeatRate";"DetailThru2015",#N/A,TRUE,"PlantO&amp;M";"DetailThru2015",#N/A,TRUE,"Taxes";"DetailThru2015",#N/A,TRUE,"WACOG";"DetailThru2015",#N/A,TRUE,"GasOptimizer";"DetailThru2015",#N/A,TRUE,"SpareParts";"DetailThru2015",#N/A,TRUE,"Depreciation";"DetailThru2015",#N/A,TRUE,"Transportation"}</definedName>
    <definedName name="wrn.Employee._.Efficiency." localSheetId="3" hidden="1">{"Employee Efficiency",#N/A,FALSE,"Benchmarking"}</definedName>
    <definedName name="wrn.Employee._.Efficiency." localSheetId="4" hidden="1">{"Employee Efficiency",#N/A,FALSE,"Benchmarking"}</definedName>
    <definedName name="wrn.Employee._.Efficiency." localSheetId="5" hidden="1">{"Employee Efficiency",#N/A,FALSE,"Benchmarking"}</definedName>
    <definedName name="wrn.Employee._.Efficiency." hidden="1">{"Employee Efficiency",#N/A,FALSE,"Benchmarking"}</definedName>
    <definedName name="wrn.EXCISE." localSheetId="3" hidden="1">{#N/A,#N/A,FALSE,"EXCISE"}</definedName>
    <definedName name="wrn.EXCISE." localSheetId="4" hidden="1">{#N/A,#N/A,FALSE,"EXCISE"}</definedName>
    <definedName name="wrn.EXCISE." localSheetId="5" hidden="1">{#N/A,#N/A,FALSE,"EXCISE"}</definedName>
    <definedName name="wrn.EXCISE." hidden="1">{#N/A,#N/A,FALSE,"EXCISE"}</definedName>
    <definedName name="wrn.EXRATE." localSheetId="3" hidden="1">{#N/A,#N/A,FALSE,"EXRATE"}</definedName>
    <definedName name="wrn.EXRATE." localSheetId="4" hidden="1">{#N/A,#N/A,FALSE,"EXRATE"}</definedName>
    <definedName name="wrn.EXRATE." localSheetId="5" hidden="1">{#N/A,#N/A,FALSE,"EXRATE"}</definedName>
    <definedName name="wrn.EXRATE." hidden="1">{#N/A,#N/A,FALSE,"EXRATE"}</definedName>
    <definedName name="wrn.EXTDEBT." localSheetId="3" hidden="1">{#N/A,#N/A,FALSE,"EXTDEBT"}</definedName>
    <definedName name="wrn.EXTDEBT." localSheetId="4" hidden="1">{#N/A,#N/A,FALSE,"EXTDEBT"}</definedName>
    <definedName name="wrn.EXTDEBT." localSheetId="5" hidden="1">{#N/A,#N/A,FALSE,"EXTDEBT"}</definedName>
    <definedName name="wrn.EXTDEBT." hidden="1">{#N/A,#N/A,FALSE,"EXTDEBT"}</definedName>
    <definedName name="wrn.EXTRABUDGT." localSheetId="3" hidden="1">{#N/A,#N/A,FALSE,"EXTRABUDGT"}</definedName>
    <definedName name="wrn.EXTRABUDGT." localSheetId="4" hidden="1">{#N/A,#N/A,FALSE,"EXTRABUDGT"}</definedName>
    <definedName name="wrn.EXTRABUDGT." localSheetId="5" hidden="1">{#N/A,#N/A,FALSE,"EXTRABUDGT"}</definedName>
    <definedName name="wrn.EXTRABUDGT." hidden="1">{#N/A,#N/A,FALSE,"EXTRABUDGT"}</definedName>
    <definedName name="wrn.EXTRABUDGT2." localSheetId="3" hidden="1">{#N/A,#N/A,FALSE,"EXTRABUDGT2"}</definedName>
    <definedName name="wrn.EXTRABUDGT2." localSheetId="4" hidden="1">{#N/A,#N/A,FALSE,"EXTRABUDGT2"}</definedName>
    <definedName name="wrn.EXTRABUDGT2." localSheetId="5" hidden="1">{#N/A,#N/A,FALSE,"EXTRABUDGT2"}</definedName>
    <definedName name="wrn.EXTRABUDGT2." hidden="1">{#N/A,#N/A,FALSE,"EXTRABUDGT2"}</definedName>
    <definedName name="wrn.Financials." localSheetId="3" hidden="1">{#N/A,#N/A,TRUE,"Income Statement";#N/A,#N/A,TRUE,"Balance Sheet";#N/A,#N/A,TRUE,"Cash Flow"}</definedName>
    <definedName name="wrn.Financials." localSheetId="4" hidden="1">{#N/A,#N/A,TRUE,"Income Statement";#N/A,#N/A,TRUE,"Balance Sheet";#N/A,#N/A,TRUE,"Cash Flow"}</definedName>
    <definedName name="wrn.Financials." localSheetId="5" hidden="1">{#N/A,#N/A,TRUE,"Income Statement";#N/A,#N/A,TRUE,"Balance Sheet";#N/A,#N/A,TRUE,"Cash Flow"}</definedName>
    <definedName name="wrn.Financials." hidden="1">{#N/A,#N/A,TRUE,"Income Statement";#N/A,#N/A,TRUE,"Balance Sheet";#N/A,#N/A,TRUE,"Cash Flow"}</definedName>
    <definedName name="wrn.Forecast._.Q1." localSheetId="3" hidden="1">{"cover a","1q",FALSE,"Cover";"Op Earn Mgd Q1",#N/A,FALSE,"Op-Earn (Mng)";"Op Earn Rpt Q1",#N/A,FALSE,"Op-Earn (Rpt)";"Loans",#N/A,FALSE,"Loans";"Credit Costs",#N/A,FALSE,"CCosts";"Net Interest Margin",#N/A,FALSE,"Margin";"Nonint Income",#N/A,FALSE,"NonII";"Nonint Exp",#N/A,FALSE,"NonIE";"Valuation",#N/A,FALSE,"Valuation"}</definedName>
    <definedName name="wrn.Forecast._.Q1." localSheetId="4" hidden="1">{"cover a","1q",FALSE,"Cover";"Op Earn Mgd Q1",#N/A,FALSE,"Op-Earn (Mng)";"Op Earn Rpt Q1",#N/A,FALSE,"Op-Earn (Rpt)";"Loans",#N/A,FALSE,"Loans";"Credit Costs",#N/A,FALSE,"CCosts";"Net Interest Margin",#N/A,FALSE,"Margin";"Nonint Income",#N/A,FALSE,"NonII";"Nonint Exp",#N/A,FALSE,"NonIE";"Valuation",#N/A,FALSE,"Valuation"}</definedName>
    <definedName name="wrn.Forecast._.Q1." localSheetId="5" hidden="1">{"cover a","1q",FALSE,"Cover";"Op Earn Mgd Q1",#N/A,FALSE,"Op-Earn (Mng)";"Op Earn Rpt Q1",#N/A,FALSE,"Op-Earn (Rpt)";"Loans",#N/A,FALSE,"Loans";"Credit Costs",#N/A,FALSE,"CCosts";"Net Interest Margin",#N/A,FALSE,"Margin";"Nonint Income",#N/A,FALSE,"NonII";"Nonint Exp",#N/A,FALSE,"NonIE";"Valuation",#N/A,FALSE,"Valuation"}</definedName>
    <definedName name="wrn.Forecast._.Q1." hidden="1">{"cover a","1q",FALSE,"Cover";"Op Earn Mgd Q1",#N/A,FALSE,"Op-Earn (Mng)";"Op Earn Rpt Q1",#N/A,FALSE,"Op-Earn (Rpt)";"Loans",#N/A,FALSE,"Loans";"Credit Costs",#N/A,FALSE,"CCosts";"Net Interest Margin",#N/A,FALSE,"Margin";"Nonint Income",#N/A,FALSE,"NonII";"Nonint Exp",#N/A,FALSE,"NonIE";"Valuation",#N/A,FALSE,"Valuation"}</definedName>
    <definedName name="wrn.Forecast._.Q2." localSheetId="3" hidden="1">{"cover a","2q",FALSE,"Cover";"Op Earn Mgd Q2",#N/A,FALSE,"Op-Earn (Mng)";"Op Earn Rpt Q2",#N/A,FALSE,"Op-Earn (Rpt)";"Loans",#N/A,FALSE,"Loans";"Credit Costs",#N/A,FALSE,"CCosts";"Net Interest Margin",#N/A,FALSE,"Margin";"Nonint Income",#N/A,FALSE,"NonII";"Nonint Exp",#N/A,FALSE,"NonIE";"Valuation",#N/A,FALSE,"Valuation"}</definedName>
    <definedName name="wrn.Forecast._.Q2." localSheetId="4" hidden="1">{"cover a","2q",FALSE,"Cover";"Op Earn Mgd Q2",#N/A,FALSE,"Op-Earn (Mng)";"Op Earn Rpt Q2",#N/A,FALSE,"Op-Earn (Rpt)";"Loans",#N/A,FALSE,"Loans";"Credit Costs",#N/A,FALSE,"CCosts";"Net Interest Margin",#N/A,FALSE,"Margin";"Nonint Income",#N/A,FALSE,"NonII";"Nonint Exp",#N/A,FALSE,"NonIE";"Valuation",#N/A,FALSE,"Valuation"}</definedName>
    <definedName name="wrn.Forecast._.Q2." localSheetId="5" hidden="1">{"cover a","2q",FALSE,"Cover";"Op Earn Mgd Q2",#N/A,FALSE,"Op-Earn (Mng)";"Op Earn Rpt Q2",#N/A,FALSE,"Op-Earn (Rpt)";"Loans",#N/A,FALSE,"Loans";"Credit Costs",#N/A,FALSE,"CCosts";"Net Interest Margin",#N/A,FALSE,"Margin";"Nonint Income",#N/A,FALSE,"NonII";"Nonint Exp",#N/A,FALSE,"NonIE";"Valuation",#N/A,FALSE,"Valuation"}</definedName>
    <definedName name="wrn.Forecast._.Q2." hidden="1">{"cover a","2q",FALSE,"Cover";"Op Earn Mgd Q2",#N/A,FALSE,"Op-Earn (Mng)";"Op Earn Rpt Q2",#N/A,FALSE,"Op-Earn (Rpt)";"Loans",#N/A,FALSE,"Loans";"Credit Costs",#N/A,FALSE,"CCosts";"Net Interest Margin",#N/A,FALSE,"Margin";"Nonint Income",#N/A,FALSE,"NonII";"Nonint Exp",#N/A,FALSE,"NonIE";"Valuation",#N/A,FALSE,"Valuation"}</definedName>
    <definedName name="wrn.Forecast._.Q2a." localSheetId="3" hidden="1">{"cover a","2q",FALSE,"Cover";"Op Earn Mgd Q2",#N/A,FALSE,"Op-Earn (Mng)";"Op Earn Rpt Q2",#N/A,FALSE,"Op-Earn (Rpt)";"Loans",#N/A,FALSE,"Loans";"Credit Costs",#N/A,FALSE,"CCosts";"Net Interest Margin",#N/A,FALSE,"Margin";"Nonint Income",#N/A,FALSE,"NonII";"Nonint Exp",#N/A,FALSE,"NonIE";"Valuation",#N/A,FALSE,"Valuation"}</definedName>
    <definedName name="wrn.Forecast._.Q2a." localSheetId="4" hidden="1">{"cover a","2q",FALSE,"Cover";"Op Earn Mgd Q2",#N/A,FALSE,"Op-Earn (Mng)";"Op Earn Rpt Q2",#N/A,FALSE,"Op-Earn (Rpt)";"Loans",#N/A,FALSE,"Loans";"Credit Costs",#N/A,FALSE,"CCosts";"Net Interest Margin",#N/A,FALSE,"Margin";"Nonint Income",#N/A,FALSE,"NonII";"Nonint Exp",#N/A,FALSE,"NonIE";"Valuation",#N/A,FALSE,"Valuation"}</definedName>
    <definedName name="wrn.Forecast._.Q2a." localSheetId="5" hidden="1">{"cover a","2q",FALSE,"Cover";"Op Earn Mgd Q2",#N/A,FALSE,"Op-Earn (Mng)";"Op Earn Rpt Q2",#N/A,FALSE,"Op-Earn (Rpt)";"Loans",#N/A,FALSE,"Loans";"Credit Costs",#N/A,FALSE,"CCosts";"Net Interest Margin",#N/A,FALSE,"Margin";"Nonint Income",#N/A,FALSE,"NonII";"Nonint Exp",#N/A,FALSE,"NonIE";"Valuation",#N/A,FALSE,"Valuation"}</definedName>
    <definedName name="wrn.Forecast._.Q2a." hidden="1">{"cover a","2q",FALSE,"Cover";"Op Earn Mgd Q2",#N/A,FALSE,"Op-Earn (Mng)";"Op Earn Rpt Q2",#N/A,FALSE,"Op-Earn (Rpt)";"Loans",#N/A,FALSE,"Loans";"Credit Costs",#N/A,FALSE,"CCosts";"Net Interest Margin",#N/A,FALSE,"Margin";"Nonint Income",#N/A,FALSE,"NonII";"Nonint Exp",#N/A,FALSE,"NonIE";"Valuation",#N/A,FALSE,"Valuation"}</definedName>
    <definedName name="wrn.Forecast._.Q3." localSheetId="3" hidden="1">{"cover a","3q",FALSE,"Cover";"Op Earn Mgd Q3",#N/A,FALSE,"Op-Earn (Mng)";"Op Earn Rpt Q3",#N/A,FALSE,"Op-Earn (Rpt)";"Loans",#N/A,FALSE,"Loans";"Credit Costs",#N/A,FALSE,"CCosts";"Net Interest Margin",#N/A,FALSE,"Margin";"Nonint Income",#N/A,FALSE,"NonII";"Nonint Exp",#N/A,FALSE,"NonIE";"Valuation",#N/A,FALSE,"Valuation"}</definedName>
    <definedName name="wrn.Forecast._.Q3." localSheetId="4" hidden="1">{"cover a","3q",FALSE,"Cover";"Op Earn Mgd Q3",#N/A,FALSE,"Op-Earn (Mng)";"Op Earn Rpt Q3",#N/A,FALSE,"Op-Earn (Rpt)";"Loans",#N/A,FALSE,"Loans";"Credit Costs",#N/A,FALSE,"CCosts";"Net Interest Margin",#N/A,FALSE,"Margin";"Nonint Income",#N/A,FALSE,"NonII";"Nonint Exp",#N/A,FALSE,"NonIE";"Valuation",#N/A,FALSE,"Valuation"}</definedName>
    <definedName name="wrn.Forecast._.Q3." localSheetId="5" hidden="1">{"cover a","3q",FALSE,"Cover";"Op Earn Mgd Q3",#N/A,FALSE,"Op-Earn (Mng)";"Op Earn Rpt Q3",#N/A,FALSE,"Op-Earn (Rpt)";"Loans",#N/A,FALSE,"Loans";"Credit Costs",#N/A,FALSE,"CCosts";"Net Interest Margin",#N/A,FALSE,"Margin";"Nonint Income",#N/A,FALSE,"NonII";"Nonint Exp",#N/A,FALSE,"NonIE";"Valuation",#N/A,FALSE,"Valuation"}</definedName>
    <definedName name="wrn.Forecast._.Q3." hidden="1">{"cover a","3q",FALSE,"Cover";"Op Earn Mgd Q3",#N/A,FALSE,"Op-Earn (Mng)";"Op Earn Rpt Q3",#N/A,FALSE,"Op-Earn (Rpt)";"Loans",#N/A,FALSE,"Loans";"Credit Costs",#N/A,FALSE,"CCosts";"Net Interest Margin",#N/A,FALSE,"Margin";"Nonint Income",#N/A,FALSE,"NonII";"Nonint Exp",#N/A,FALSE,"NonIE";"Valuation",#N/A,FALSE,"Valuation"}</definedName>
    <definedName name="wrn.Forecast._.Q4." localSheetId="3" hidden="1">{"cover a","4q",FALSE,"Cover";"Op Earn Mgd Q4",#N/A,FALSE,"Op-Earn (Mng)";"Op Earn Rpt Q4",#N/A,FALSE,"Op-Earn (Rpt)";"Loans",#N/A,FALSE,"Loans";"Credit Costs",#N/A,FALSE,"CCosts";"Net Interest Margin",#N/A,FALSE,"Margin";"Nonint Income",#N/A,FALSE,"NonII";"Nonint Exp",#N/A,FALSE,"NonIE";"Valuation",#N/A,FALSE,"Valuation"}</definedName>
    <definedName name="wrn.Forecast._.Q4." localSheetId="4" hidden="1">{"cover a","4q",FALSE,"Cover";"Op Earn Mgd Q4",#N/A,FALSE,"Op-Earn (Mng)";"Op Earn Rpt Q4",#N/A,FALSE,"Op-Earn (Rpt)";"Loans",#N/A,FALSE,"Loans";"Credit Costs",#N/A,FALSE,"CCosts";"Net Interest Margin",#N/A,FALSE,"Margin";"Nonint Income",#N/A,FALSE,"NonII";"Nonint Exp",#N/A,FALSE,"NonIE";"Valuation",#N/A,FALSE,"Valuation"}</definedName>
    <definedName name="wrn.Forecast._.Q4." localSheetId="5" hidden="1">{"cover a","4q",FALSE,"Cover";"Op Earn Mgd Q4",#N/A,FALSE,"Op-Earn (Mng)";"Op Earn Rpt Q4",#N/A,FALSE,"Op-Earn (Rpt)";"Loans",#N/A,FALSE,"Loans";"Credit Costs",#N/A,FALSE,"CCosts";"Net Interest Margin",#N/A,FALSE,"Margin";"Nonint Income",#N/A,FALSE,"NonII";"Nonint Exp",#N/A,FALSE,"NonIE";"Valuation",#N/A,FALSE,"Valuation"}</definedName>
    <definedName name="wrn.Forecast._.Q4." hidden="1">{"cover a","4q",FALSE,"Cover";"Op Earn Mgd Q4",#N/A,FALSE,"Op-Earn (Mng)";"Op Earn Rpt Q4",#N/A,FALSE,"Op-Earn (Rpt)";"Loans",#N/A,FALSE,"Loans";"Credit Costs",#N/A,FALSE,"CCosts";"Net Interest Margin",#N/A,FALSE,"Margin";"Nonint Income",#N/A,FALSE,"NonII";"Nonint Exp",#N/A,FALSE,"NonIE";"Valuation",#N/A,FALSE,"Valuation"}</definedName>
    <definedName name="wrn.Forecast._.Q4a" localSheetId="3" hidden="1">{"cover a","4q",FALSE,"Cover";"Op Earn Mgd Q4",#N/A,FALSE,"Op-Earn (Mng)";"Op Earn Rpt Q4",#N/A,FALSE,"Op-Earn (Rpt)";"Loans",#N/A,FALSE,"Loans";"Credit Costs",#N/A,FALSE,"CCosts";"Net Interest Margin",#N/A,FALSE,"Margin";"Nonint Income",#N/A,FALSE,"NonII";"Nonint Exp",#N/A,FALSE,"NonIE";"Valuation",#N/A,FALSE,"Valuation"}</definedName>
    <definedName name="wrn.Forecast._.Q4a" localSheetId="4" hidden="1">{"cover a","4q",FALSE,"Cover";"Op Earn Mgd Q4",#N/A,FALSE,"Op-Earn (Mng)";"Op Earn Rpt Q4",#N/A,FALSE,"Op-Earn (Rpt)";"Loans",#N/A,FALSE,"Loans";"Credit Costs",#N/A,FALSE,"CCosts";"Net Interest Margin",#N/A,FALSE,"Margin";"Nonint Income",#N/A,FALSE,"NonII";"Nonint Exp",#N/A,FALSE,"NonIE";"Valuation",#N/A,FALSE,"Valuation"}</definedName>
    <definedName name="wrn.Forecast._.Q4a" localSheetId="5" hidden="1">{"cover a","4q",FALSE,"Cover";"Op Earn Mgd Q4",#N/A,FALSE,"Op-Earn (Mng)";"Op Earn Rpt Q4",#N/A,FALSE,"Op-Earn (Rpt)";"Loans",#N/A,FALSE,"Loans";"Credit Costs",#N/A,FALSE,"CCosts";"Net Interest Margin",#N/A,FALSE,"Margin";"Nonint Income",#N/A,FALSE,"NonII";"Nonint Exp",#N/A,FALSE,"NonIE";"Valuation",#N/A,FALSE,"Valuation"}</definedName>
    <definedName name="wrn.Forecast._.Q4a" hidden="1">{"cover a","4q",FALSE,"Cover";"Op Earn Mgd Q4",#N/A,FALSE,"Op-Earn (Mng)";"Op Earn Rpt Q4",#N/A,FALSE,"Op-Earn (Rpt)";"Loans",#N/A,FALSE,"Loans";"Credit Costs",#N/A,FALSE,"CCosts";"Net Interest Margin",#N/A,FALSE,"Margin";"Nonint Income",#N/A,FALSE,"NonII";"Nonint Exp",#N/A,FALSE,"NonIE";"Valuation",#N/A,FALSE,"Valuation"}</definedName>
    <definedName name="wrn.Full._.Report." localSheetId="3" hidden="1">{#N/A,#N/A,FALSE,"COVER";#N/A,#N/A,FALSE,"VALUATION";#N/A,#N/A,FALSE,"FORECAST";#N/A,#N/A,FALSE,"FY ANALYSIS ";#N/A,#N/A,FALSE," HY ANALYSIS"}</definedName>
    <definedName name="wrn.Full._.Report." localSheetId="4" hidden="1">{#N/A,#N/A,FALSE,"COVER";#N/A,#N/A,FALSE,"VALUATION";#N/A,#N/A,FALSE,"FORECAST";#N/A,#N/A,FALSE,"FY ANALYSIS ";#N/A,#N/A,FALSE," HY ANALYSIS"}</definedName>
    <definedName name="wrn.Full._.Report." localSheetId="5" hidden="1">{#N/A,#N/A,FALSE,"COVER";#N/A,#N/A,FALSE,"VALUATION";#N/A,#N/A,FALSE,"FORECAST";#N/A,#N/A,FALSE,"FY ANALYSIS ";#N/A,#N/A,FALSE," HY ANALYSIS"}</definedName>
    <definedName name="wrn.Full._.Report." hidden="1">{#N/A,#N/A,FALSE,"COVER";#N/A,#N/A,FALSE,"VALUATION";#N/A,#N/A,FALSE,"FORECAST";#N/A,#N/A,FALSE,"FY ANALYSIS ";#N/A,#N/A,FALSE," HY ANALYSIS"}</definedName>
    <definedName name="wrn.Full._.without._.data." localSheetId="3"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_.without._.data." localSheetId="4"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_.without._.data." localSheetId="5"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_.without._.data."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Y97SBP." localSheetId="3" hidden="1">{#N/A,#N/A,FALSE,"FY97";#N/A,#N/A,FALSE,"FY98";#N/A,#N/A,FALSE,"FY99";#N/A,#N/A,FALSE,"FY00";#N/A,#N/A,FALSE,"FY01"}</definedName>
    <definedName name="wrn.FY97SBP." localSheetId="4" hidden="1">{#N/A,#N/A,FALSE,"FY97";#N/A,#N/A,FALSE,"FY98";#N/A,#N/A,FALSE,"FY99";#N/A,#N/A,FALSE,"FY00";#N/A,#N/A,FALSE,"FY01"}</definedName>
    <definedName name="wrn.FY97SBP." localSheetId="5" hidden="1">{#N/A,#N/A,FALSE,"FY97";#N/A,#N/A,FALSE,"FY98";#N/A,#N/A,FALSE,"FY99";#N/A,#N/A,FALSE,"FY00";#N/A,#N/A,FALSE,"FY01"}</definedName>
    <definedName name="wrn.FY97SBP." hidden="1">{#N/A,#N/A,FALSE,"FY97";#N/A,#N/A,FALSE,"FY98";#N/A,#N/A,FALSE,"FY99";#N/A,#N/A,FALSE,"FY00";#N/A,#N/A,FALSE,"FY01"}</definedName>
    <definedName name="wrn.GDP." localSheetId="3" hidden="1">{#N/A,#N/A,FALSE,"GDP_ORIGIN";#N/A,#N/A,FALSE,"EMP_POP"}</definedName>
    <definedName name="wrn.GDP." localSheetId="4" hidden="1">{#N/A,#N/A,FALSE,"GDP_ORIGIN";#N/A,#N/A,FALSE,"EMP_POP"}</definedName>
    <definedName name="wrn.GDP." localSheetId="5" hidden="1">{#N/A,#N/A,FALSE,"GDP_ORIGIN";#N/A,#N/A,FALSE,"EMP_POP"}</definedName>
    <definedName name="wrn.GDP." hidden="1">{#N/A,#N/A,FALSE,"GDP_ORIGIN";#N/A,#N/A,FALSE,"EMP_POP"}</definedName>
    <definedName name="wrn.GGOVT." localSheetId="3" hidden="1">{#N/A,#N/A,FALSE,"GGOVT"}</definedName>
    <definedName name="wrn.GGOVT." localSheetId="4" hidden="1">{#N/A,#N/A,FALSE,"GGOVT"}</definedName>
    <definedName name="wrn.GGOVT." localSheetId="5" hidden="1">{#N/A,#N/A,FALSE,"GGOVT"}</definedName>
    <definedName name="wrn.GGOVT." hidden="1">{#N/A,#N/A,FALSE,"GGOVT"}</definedName>
    <definedName name="wrn.GGOVT2." localSheetId="3" hidden="1">{#N/A,#N/A,FALSE,"GGOVT2"}</definedName>
    <definedName name="wrn.GGOVT2." localSheetId="4" hidden="1">{#N/A,#N/A,FALSE,"GGOVT2"}</definedName>
    <definedName name="wrn.GGOVT2." localSheetId="5" hidden="1">{#N/A,#N/A,FALSE,"GGOVT2"}</definedName>
    <definedName name="wrn.GGOVT2." hidden="1">{#N/A,#N/A,FALSE,"GGOVT2"}</definedName>
    <definedName name="wrn.GGOVTPC." localSheetId="3" hidden="1">{#N/A,#N/A,FALSE,"GGOVT%"}</definedName>
    <definedName name="wrn.GGOVTPC." localSheetId="4" hidden="1">{#N/A,#N/A,FALSE,"GGOVT%"}</definedName>
    <definedName name="wrn.GGOVTPC." localSheetId="5" hidden="1">{#N/A,#N/A,FALSE,"GGOVT%"}</definedName>
    <definedName name="wrn.GGOVTPC." hidden="1">{#N/A,#N/A,FALSE,"GGOVT%"}</definedName>
    <definedName name="wrn.GRAPHS." localSheetId="3" hidden="1">{#N/A,#N/A,FALSE,"ACQ_GRAPHS";#N/A,#N/A,FALSE,"T_1 GRAPHS";#N/A,#N/A,FALSE,"T_2 GRAPHS";#N/A,#N/A,FALSE,"COMB_GRAPHS"}</definedName>
    <definedName name="wrn.GRAPHS." localSheetId="4" hidden="1">{#N/A,#N/A,FALSE,"ACQ_GRAPHS";#N/A,#N/A,FALSE,"T_1 GRAPHS";#N/A,#N/A,FALSE,"T_2 GRAPHS";#N/A,#N/A,FALSE,"COMB_GRAPHS"}</definedName>
    <definedName name="wrn.GRAPHS." localSheetId="5" hidden="1">{#N/A,#N/A,FALSE,"ACQ_GRAPHS";#N/A,#N/A,FALSE,"T_1 GRAPHS";#N/A,#N/A,FALSE,"T_2 GRAPHS";#N/A,#N/A,FALSE,"COMB_GRAPHS"}</definedName>
    <definedName name="wrn.GRAPHS." hidden="1">{#N/A,#N/A,FALSE,"ACQ_GRAPHS";#N/A,#N/A,FALSE,"T_1 GRAPHS";#N/A,#N/A,FALSE,"T_2 GRAPHS";#N/A,#N/A,FALSE,"COMB_GRAPHS"}</definedName>
    <definedName name="wrn.Ilijan._.Print." localSheetId="3"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lijan._.Print." localSheetId="4"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lijan._.Print." localSheetId="5"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lijan._.Print."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MMOBILISATIONS." localSheetId="3" hidden="1">{#N/A,#N/A,FALSE,"Maritime";#N/A,#N/A,FALSE,"Transit";#N/A,#N/A,FALSE,"Commercial";#N/A,#N/A,FALSE,"Safi";#N/A,#N/A,FALSE,"JORF LASFAR";#N/A,#N/A,FALSE,"Agadir";#N/A,#N/A,FALSE,"Nador";#N/A,#N/A,FALSE,"Phyto";#N/A,#N/A,FALSE,"TIR Mohammedia";#N/A,#N/A,FALSE,"NOUACEUR"}</definedName>
    <definedName name="wrn.IMMOBILISATIONS." localSheetId="4" hidden="1">{#N/A,#N/A,FALSE,"Maritime";#N/A,#N/A,FALSE,"Transit";#N/A,#N/A,FALSE,"Commercial";#N/A,#N/A,FALSE,"Safi";#N/A,#N/A,FALSE,"JORF LASFAR";#N/A,#N/A,FALSE,"Agadir";#N/A,#N/A,FALSE,"Nador";#N/A,#N/A,FALSE,"Phyto";#N/A,#N/A,FALSE,"TIR Mohammedia";#N/A,#N/A,FALSE,"NOUACEUR"}</definedName>
    <definedName name="wrn.IMMOBILISATIONS." localSheetId="5" hidden="1">{#N/A,#N/A,FALSE,"Maritime";#N/A,#N/A,FALSE,"Transit";#N/A,#N/A,FALSE,"Commercial";#N/A,#N/A,FALSE,"Safi";#N/A,#N/A,FALSE,"JORF LASFAR";#N/A,#N/A,FALSE,"Agadir";#N/A,#N/A,FALSE,"Nador";#N/A,#N/A,FALSE,"Phyto";#N/A,#N/A,FALSE,"TIR Mohammedia";#N/A,#N/A,FALSE,"NOUACEUR"}</definedName>
    <definedName name="wrn.IMMOBILISATIONS." hidden="1">{#N/A,#N/A,FALSE,"Maritime";#N/A,#N/A,FALSE,"Transit";#N/A,#N/A,FALSE,"Commercial";#N/A,#N/A,FALSE,"Safi";#N/A,#N/A,FALSE,"JORF LASFAR";#N/A,#N/A,FALSE,"Agadir";#N/A,#N/A,FALSE,"Nador";#N/A,#N/A,FALSE,"Phyto";#N/A,#N/A,FALSE,"TIR Mohammedia";#N/A,#N/A,FALSE,"NOUACEUR"}</definedName>
    <definedName name="wrn.INCOME._.STATEMENT." localSheetId="3" hidden="1">{"INCOME STATEMENT",#N/A,FALSE,"Income Statement"}</definedName>
    <definedName name="wrn.INCOME._.STATEMENT." localSheetId="4" hidden="1">{"INCOME STATEMENT",#N/A,FALSE,"Income Statement"}</definedName>
    <definedName name="wrn.INCOME._.STATEMENT." localSheetId="5" hidden="1">{"INCOME STATEMENT",#N/A,FALSE,"Income Statement"}</definedName>
    <definedName name="wrn.INCOME._.STATEMENT." hidden="1">{"INCOME STATEMENT",#N/A,FALSE,"Income Statement"}</definedName>
    <definedName name="wrn.INCOMETX." localSheetId="3" hidden="1">{#N/A,#N/A,FALSE,"INCOMETX"}</definedName>
    <definedName name="wrn.INCOMETX." localSheetId="4" hidden="1">{#N/A,#N/A,FALSE,"INCOMETX"}</definedName>
    <definedName name="wrn.INCOMETX." localSheetId="5" hidden="1">{#N/A,#N/A,FALSE,"INCOMETX"}</definedName>
    <definedName name="wrn.INCOMETX." hidden="1">{#N/A,#N/A,FALSE,"INCOMETX"}</definedName>
    <definedName name="wrn.Input._.and._.output._.tables." localSheetId="3" hidden="1">{#N/A,#N/A,FALSE,"SimInp1";#N/A,#N/A,FALSE,"SimInp2";#N/A,#N/A,FALSE,"SimOut1";#N/A,#N/A,FALSE,"SimOut2";#N/A,#N/A,FALSE,"SimOut3";#N/A,#N/A,FALSE,"SimOut4";#N/A,#N/A,FALSE,"SimOut5"}</definedName>
    <definedName name="wrn.Input._.and._.output._.tables." localSheetId="4" hidden="1">{#N/A,#N/A,FALSE,"SimInp1";#N/A,#N/A,FALSE,"SimInp2";#N/A,#N/A,FALSE,"SimOut1";#N/A,#N/A,FALSE,"SimOut2";#N/A,#N/A,FALSE,"SimOut3";#N/A,#N/A,FALSE,"SimOut4";#N/A,#N/A,FALSE,"SimOut5"}</definedName>
    <definedName name="wrn.Input._.and._.output._.tables." localSheetId="5" hidden="1">{#N/A,#N/A,FALSE,"SimInp1";#N/A,#N/A,FALSE,"SimInp2";#N/A,#N/A,FALSE,"SimOut1";#N/A,#N/A,FALSE,"SimOut2";#N/A,#N/A,FALSE,"SimOut3";#N/A,#N/A,FALSE,"SimOut4";#N/A,#N/A,FALSE,"SimOut5"}</definedName>
    <definedName name="wrn.Input._.and._.output._.tables." hidden="1">{#N/A,#N/A,FALSE,"SimInp1";#N/A,#N/A,FALSE,"SimInp2";#N/A,#N/A,FALSE,"SimOut1";#N/A,#N/A,FALSE,"SimOut2";#N/A,#N/A,FALSE,"SimOut3";#N/A,#N/A,FALSE,"SimOut4";#N/A,#N/A,FALSE,"SimOut5"}</definedName>
    <definedName name="wrn.international." localSheetId="3" hidden="1">{"sweden",#N/A,FALSE,"Sweden";"germany",#N/A,FALSE,"Germany";"portugal",#N/A,FALSE,"Portugal";"belgium",#N/A,FALSE,"Belgium";"japan",#N/A,FALSE,"Japan ";"italy",#N/A,FALSE,"Italy";"spain",#N/A,FALSE,"Spain";"korea",#N/A,FALSE,"Korea"}</definedName>
    <definedName name="wrn.international." localSheetId="4" hidden="1">{"sweden",#N/A,FALSE,"Sweden";"germany",#N/A,FALSE,"Germany";"portugal",#N/A,FALSE,"Portugal";"belgium",#N/A,FALSE,"Belgium";"japan",#N/A,FALSE,"Japan ";"italy",#N/A,FALSE,"Italy";"spain",#N/A,FALSE,"Spain";"korea",#N/A,FALSE,"Korea"}</definedName>
    <definedName name="wrn.international." localSheetId="5" hidden="1">{"sweden",#N/A,FALSE,"Sweden";"germany",#N/A,FALSE,"Germany";"portugal",#N/A,FALSE,"Portugal";"belgium",#N/A,FALSE,"Belgium";"japan",#N/A,FALSE,"Japan ";"italy",#N/A,FALSE,"Italy";"spain",#N/A,FALSE,"Spain";"korea",#N/A,FALSE,"Korea"}</definedName>
    <definedName name="wrn.international." hidden="1">{"sweden",#N/A,FALSE,"Sweden";"germany",#N/A,FALSE,"Germany";"portugal",#N/A,FALSE,"Portugal";"belgium",#N/A,FALSE,"Belgium";"japan",#N/A,FALSE,"Japan ";"italy",#N/A,FALSE,"Italy";"spain",#N/A,FALSE,"Spain";"korea",#N/A,FALSE,"Korea"}</definedName>
    <definedName name="wrn.INTERST." localSheetId="3" hidden="1">{#N/A,#N/A,FALSE,"INTERST"}</definedName>
    <definedName name="wrn.INTERST." localSheetId="4" hidden="1">{#N/A,#N/A,FALSE,"INTERST"}</definedName>
    <definedName name="wrn.INTERST." localSheetId="5" hidden="1">{#N/A,#N/A,FALSE,"INTERST"}</definedName>
    <definedName name="wrn.INTERST." hidden="1">{#N/A,#N/A,FALSE,"INTERST"}</definedName>
    <definedName name="wrn.Line._.Efficiency." localSheetId="3" hidden="1">{"Line Efficiency",#N/A,FALSE,"Benchmarking"}</definedName>
    <definedName name="wrn.Line._.Efficiency." localSheetId="4" hidden="1">{"Line Efficiency",#N/A,FALSE,"Benchmarking"}</definedName>
    <definedName name="wrn.Line._.Efficiency." localSheetId="5" hidden="1">{"Line Efficiency",#N/A,FALSE,"Benchmarking"}</definedName>
    <definedName name="wrn.Line._.Efficiency." hidden="1">{"Line Efficiency",#N/A,FALSE,"Benchmarking"}</definedName>
    <definedName name="wrn.Mason._.Deliverables." localSheetId="3" hidden="1">{#N/A,#N/A,FALSE,"Data &amp; Key Results";#N/A,#N/A,FALSE,"Summary Template";#N/A,#N/A,FALSE,"Budget";#N/A,#N/A,FALSE,"Present Value Comparison";#N/A,#N/A,FALSE,"Cashflow";#N/A,#N/A,FALSE,"Income";#N/A,#N/A,FALSE,"Inputs"}</definedName>
    <definedName name="wrn.Mason._.Deliverables." localSheetId="4" hidden="1">{#N/A,#N/A,FALSE,"Data &amp; Key Results";#N/A,#N/A,FALSE,"Summary Template";#N/A,#N/A,FALSE,"Budget";#N/A,#N/A,FALSE,"Present Value Comparison";#N/A,#N/A,FALSE,"Cashflow";#N/A,#N/A,FALSE,"Income";#N/A,#N/A,FALSE,"Inputs"}</definedName>
    <definedName name="wrn.Mason._.Deliverables." localSheetId="5" hidden="1">{#N/A,#N/A,FALSE,"Data &amp; Key Results";#N/A,#N/A,FALSE,"Summary Template";#N/A,#N/A,FALSE,"Budget";#N/A,#N/A,FALSE,"Present Value Comparison";#N/A,#N/A,FALSE,"Cashflow";#N/A,#N/A,FALSE,"Income";#N/A,#N/A,FALSE,"Inputs"}</definedName>
    <definedName name="wrn.Mason._.Deliverables." hidden="1">{#N/A,#N/A,FALSE,"Data &amp; Key Results";#N/A,#N/A,FALSE,"Summary Template";#N/A,#N/A,FALSE,"Budget";#N/A,#N/A,FALSE,"Present Value Comparison";#N/A,#N/A,FALSE,"Cashflow";#N/A,#N/A,FALSE,"Income";#N/A,#N/A,FALSE,"Inputs"}</definedName>
    <definedName name="wrn.MDABOP." localSheetId="3" hidden="1">{"BOP_TAB",#N/A,FALSE,"N";"MIDTERM_TAB",#N/A,FALSE,"O";"FUND_CRED",#N/A,FALSE,"P";"DEBT_TAB1",#N/A,FALSE,"Q";"DEBT_TAB2",#N/A,FALSE,"Q";"FORFIN_TAB1",#N/A,FALSE,"R";"FORFIN_TAB2",#N/A,FALSE,"R";"BOP_ANALY",#N/A,FALSE,"U"}</definedName>
    <definedName name="wrn.MDABOP." localSheetId="4" hidden="1">{"BOP_TAB",#N/A,FALSE,"N";"MIDTERM_TAB",#N/A,FALSE,"O";"FUND_CRED",#N/A,FALSE,"P";"DEBT_TAB1",#N/A,FALSE,"Q";"DEBT_TAB2",#N/A,FALSE,"Q";"FORFIN_TAB1",#N/A,FALSE,"R";"FORFIN_TAB2",#N/A,FALSE,"R";"BOP_ANALY",#N/A,FALSE,"U"}</definedName>
    <definedName name="wrn.MDABOP." localSheetId="5" hidden="1">{"BOP_TAB",#N/A,FALSE,"N";"MIDTERM_TAB",#N/A,FALSE,"O";"FUND_CRED",#N/A,FALSE,"P";"DEBT_TAB1",#N/A,FALSE,"Q";"DEBT_TAB2",#N/A,FALSE,"Q";"FORFIN_TAB1",#N/A,FALSE,"R";"FORFIN_TAB2",#N/A,FALSE,"R";"BOP_ANALY",#N/A,FALSE,"U"}</definedName>
    <definedName name="wrn.MDABOP." hidden="1">{"BOP_TAB",#N/A,FALSE,"N";"MIDTERM_TAB",#N/A,FALSE,"O";"FUND_CRED",#N/A,FALSE,"P";"DEBT_TAB1",#N/A,FALSE,"Q";"DEBT_TAB2",#N/A,FALSE,"Q";"FORFIN_TAB1",#N/A,FALSE,"R";"FORFIN_TAB2",#N/A,FALSE,"R";"BOP_ANALY",#N/A,FALSE,"U"}</definedName>
    <definedName name="wrn.MOBIL." localSheetId="3" hidden="1">{"quarter",#N/A,FALSE,"MOB"}</definedName>
    <definedName name="wrn.MOBIL." localSheetId="4" hidden="1">{"quarter",#N/A,FALSE,"MOB"}</definedName>
    <definedName name="wrn.MOBIL." localSheetId="5" hidden="1">{"quarter",#N/A,FALSE,"MOB"}</definedName>
    <definedName name="wrn.MOBIL." hidden="1">{"quarter",#N/A,FALSE,"MOB"}</definedName>
    <definedName name="wrn.MONA." localSheetId="3" hidden="1">{"MONA",#N/A,FALSE,"S"}</definedName>
    <definedName name="wrn.MONA." localSheetId="4" hidden="1">{"MONA",#N/A,FALSE,"S"}</definedName>
    <definedName name="wrn.MONA." localSheetId="5" hidden="1">{"MONA",#N/A,FALSE,"S"}</definedName>
    <definedName name="wrn.MONA." hidden="1">{"MONA",#N/A,FALSE,"S"}</definedName>
    <definedName name="wrn.MS." localSheetId="3" hidden="1">{#N/A,#N/A,FALSE,"MS"}</definedName>
    <definedName name="wrn.MS." localSheetId="4" hidden="1">{#N/A,#N/A,FALSE,"MS"}</definedName>
    <definedName name="wrn.MS." localSheetId="5" hidden="1">{#N/A,#N/A,FALSE,"MS"}</definedName>
    <definedName name="wrn.MS." hidden="1">{#N/A,#N/A,FALSE,"MS"}</definedName>
    <definedName name="wrn.mupdate." localSheetId="3" hidden="1">{#N/A,#N/A,FALSE,"16";#N/A,#N/A,FALSE,"17";#N/A,#N/A,FALSE,"18";#N/A,#N/A,FALSE,"19";#N/A,#N/A,FALSE,"20";#N/A,#N/A,FALSE,"21";#N/A,#N/A,FALSE,"22";#N/A,#N/A,FALSE,"23";#N/A,#N/A,FALSE,"24";#N/A,#N/A,FALSE,"25"}</definedName>
    <definedName name="wrn.mupdate." localSheetId="4" hidden="1">{#N/A,#N/A,FALSE,"16";#N/A,#N/A,FALSE,"17";#N/A,#N/A,FALSE,"18";#N/A,#N/A,FALSE,"19";#N/A,#N/A,FALSE,"20";#N/A,#N/A,FALSE,"21";#N/A,#N/A,FALSE,"22";#N/A,#N/A,FALSE,"23";#N/A,#N/A,FALSE,"24";#N/A,#N/A,FALSE,"25"}</definedName>
    <definedName name="wrn.mupdate." localSheetId="5" hidden="1">{#N/A,#N/A,FALSE,"16";#N/A,#N/A,FALSE,"17";#N/A,#N/A,FALSE,"18";#N/A,#N/A,FALSE,"19";#N/A,#N/A,FALSE,"20";#N/A,#N/A,FALSE,"21";#N/A,#N/A,FALSE,"22";#N/A,#N/A,FALSE,"23";#N/A,#N/A,FALSE,"24";#N/A,#N/A,FALSE,"25"}</definedName>
    <definedName name="wrn.mupdate." hidden="1">{#N/A,#N/A,FALSE,"16";#N/A,#N/A,FALSE,"17";#N/A,#N/A,FALSE,"18";#N/A,#N/A,FALSE,"19";#N/A,#N/A,FALSE,"20";#N/A,#N/A,FALSE,"21";#N/A,#N/A,FALSE,"22";#N/A,#N/A,FALSE,"23";#N/A,#N/A,FALSE,"24";#N/A,#N/A,FALSE,"25"}</definedName>
    <definedName name="wrn.NBG." localSheetId="3" hidden="1">{#N/A,#N/A,FALSE,"NBG"}</definedName>
    <definedName name="wrn.NBG." localSheetId="4" hidden="1">{#N/A,#N/A,FALSE,"NBG"}</definedName>
    <definedName name="wrn.NBG." localSheetId="5" hidden="1">{#N/A,#N/A,FALSE,"NBG"}</definedName>
    <definedName name="wrn.NBG." hidden="1">{#N/A,#N/A,FALSE,"NBG"}</definedName>
    <definedName name="wrn.ops._.costs." localSheetId="3" hidden="1">{"page1",#N/A,FALSE,"APCI Operations Detail  ";"page2",#N/A,FALSE,"APCI Operations Detail  ";"page3",#N/A,FALSE,"APCI Operations Detail  ";"page4",#N/A,FALSE,"APCI Operations Detail  "}</definedName>
    <definedName name="wrn.ops._.costs." localSheetId="4" hidden="1">{"page1",#N/A,FALSE,"APCI Operations Detail  ";"page2",#N/A,FALSE,"APCI Operations Detail  ";"page3",#N/A,FALSE,"APCI Operations Detail  ";"page4",#N/A,FALSE,"APCI Operations Detail  "}</definedName>
    <definedName name="wrn.ops._.costs." localSheetId="5" hidden="1">{"page1",#N/A,FALSE,"APCI Operations Detail  ";"page2",#N/A,FALSE,"APCI Operations Detail  ";"page3",#N/A,FALSE,"APCI Operations Detail  ";"page4",#N/A,FALSE,"APCI Operations Detail  "}</definedName>
    <definedName name="wrn.ops._.costs." hidden="1">{"page1",#N/A,FALSE,"APCI Operations Detail  ";"page2",#N/A,FALSE,"APCI Operations Detail  ";"page3",#N/A,FALSE,"APCI Operations Detail  ";"page4",#N/A,FALSE,"APCI Operations Detail  "}</definedName>
    <definedName name="wrn.Output." localSheetId="3"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localSheetId="4"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localSheetId="5"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tables." localSheetId="3" hidden="1">{#N/A,#N/A,FALSE,"I";#N/A,#N/A,FALSE,"J";#N/A,#N/A,FALSE,"K";#N/A,#N/A,FALSE,"L";#N/A,#N/A,FALSE,"M";#N/A,#N/A,FALSE,"N";#N/A,#N/A,FALSE,"O"}</definedName>
    <definedName name="wrn.Output._.tables." localSheetId="4" hidden="1">{#N/A,#N/A,FALSE,"I";#N/A,#N/A,FALSE,"J";#N/A,#N/A,FALSE,"K";#N/A,#N/A,FALSE,"L";#N/A,#N/A,FALSE,"M";#N/A,#N/A,FALSE,"N";#N/A,#N/A,FALSE,"O"}</definedName>
    <definedName name="wrn.Output._.tables." localSheetId="5" hidden="1">{#N/A,#N/A,FALSE,"I";#N/A,#N/A,FALSE,"J";#N/A,#N/A,FALSE,"K";#N/A,#N/A,FALSE,"L";#N/A,#N/A,FALSE,"M";#N/A,#N/A,FALSE,"N";#N/A,#N/A,FALSE,"O"}</definedName>
    <definedName name="wrn.Output._.tables." hidden="1">{#N/A,#N/A,FALSE,"I";#N/A,#N/A,FALSE,"J";#N/A,#N/A,FALSE,"K";#N/A,#N/A,FALSE,"L";#N/A,#N/A,FALSE,"M";#N/A,#N/A,FALSE,"N";#N/A,#N/A,FALSE,"O"}</definedName>
    <definedName name="wrn.PARTNERS._.CAPITAL._.STMT." localSheetId="3" hidden="1">{"PARTNERS CAPITAL STMT",#N/A,FALSE,"Partners Capital"}</definedName>
    <definedName name="wrn.PARTNERS._.CAPITAL._.STMT." localSheetId="4" hidden="1">{"PARTNERS CAPITAL STMT",#N/A,FALSE,"Partners Capital"}</definedName>
    <definedName name="wrn.PARTNERS._.CAPITAL._.STMT." localSheetId="5" hidden="1">{"PARTNERS CAPITAL STMT",#N/A,FALSE,"Partners Capital"}</definedName>
    <definedName name="wrn.PARTNERS._.CAPITAL._.STMT." hidden="1">{"PARTNERS CAPITAL STMT",#N/A,FALSE,"Partners Capital"}</definedName>
    <definedName name="wrn.PCPI." localSheetId="3" hidden="1">{#N/A,#N/A,FALSE,"PCPI"}</definedName>
    <definedName name="wrn.PCPI." localSheetId="4" hidden="1">{#N/A,#N/A,FALSE,"PCPI"}</definedName>
    <definedName name="wrn.PCPI." localSheetId="5" hidden="1">{#N/A,#N/A,FALSE,"PCPI"}</definedName>
    <definedName name="wrn.PCPI." hidden="1">{#N/A,#N/A,FALSE,"PCPI"}</definedName>
    <definedName name="wrn.PENSION." localSheetId="3" hidden="1">{#N/A,#N/A,FALSE,"PENSION"}</definedName>
    <definedName name="wrn.PENSION." localSheetId="4" hidden="1">{#N/A,#N/A,FALSE,"PENSION"}</definedName>
    <definedName name="wrn.PENSION." localSheetId="5" hidden="1">{#N/A,#N/A,FALSE,"PENSION"}</definedName>
    <definedName name="wrn.PENSION." hidden="1">{#N/A,#N/A,FALSE,"PENSION"}</definedName>
    <definedName name="wrn.plbscf." localSheetId="3" hidden="1">{"p_l",#N/A,FALSE,"Summary Accounts"}</definedName>
    <definedName name="wrn.plbscf." localSheetId="4" hidden="1">{"p_l",#N/A,FALSE,"Summary Accounts"}</definedName>
    <definedName name="wrn.plbscf." localSheetId="5" hidden="1">{"p_l",#N/A,FALSE,"Summary Accounts"}</definedName>
    <definedName name="wrn.plbscf." hidden="1">{"p_l",#N/A,FALSE,"Summary Accounts"}</definedName>
    <definedName name="wrn.PrimeCo." localSheetId="3" hidden="1">{"print 1",#N/A,FALSE,"PrimeCo PCS";"print 2",#N/A,FALSE,"PrimeCo PCS";"valuation",#N/A,FALSE,"PrimeCo PCS"}</definedName>
    <definedName name="wrn.PrimeCo." localSheetId="4" hidden="1">{"print 1",#N/A,FALSE,"PrimeCo PCS";"print 2",#N/A,FALSE,"PrimeCo PCS";"valuation",#N/A,FALSE,"PrimeCo PCS"}</definedName>
    <definedName name="wrn.PrimeCo." localSheetId="5" hidden="1">{"print 1",#N/A,FALSE,"PrimeCo PCS";"print 2",#N/A,FALSE,"PrimeCo PCS";"valuation",#N/A,FALSE,"PrimeCo PCS"}</definedName>
    <definedName name="wrn.PrimeCo." hidden="1">{"print 1",#N/A,FALSE,"PrimeCo PCS";"print 2",#N/A,FALSE,"PrimeCo PCS";"valuation",#N/A,FALSE,"PrimeCo PCS"}</definedName>
    <definedName name="wrn.Print." localSheetId="3" hidden="1">{"vi1",#N/A,FALSE,"Financial Statements";"vi2",#N/A,FALSE,"Financial Statements";#N/A,#N/A,FALSE,"DCF"}</definedName>
    <definedName name="wrn.Print." localSheetId="4" hidden="1">{"vi1",#N/A,FALSE,"Financial Statements";"vi2",#N/A,FALSE,"Financial Statements";#N/A,#N/A,FALSE,"DCF"}</definedName>
    <definedName name="wrn.Print." localSheetId="5" hidden="1">{"vi1",#N/A,FALSE,"Financial Statements";"vi2",#N/A,FALSE,"Financial Statements";#N/A,#N/A,FALSE,"DCF"}</definedName>
    <definedName name="wrn.Print." hidden="1">{"vi1",#N/A,FALSE,"Financial Statements";"vi2",#N/A,FALSE,"Financial Statements";#N/A,#N/A,FALSE,"DCF"}</definedName>
    <definedName name="wrn.print._.all." localSheetId="3" hidden="1">{"sum of the parts",#N/A,FALSE,"Sum-of-the-Parts";"LBO analysis",#N/A,FALSE,"LBO P&amp;L";"p&amp;L",#N/A,FALSE,"LBO P&amp;L";"cash flow",#N/A,FALSE,"CF";"cap struct",#N/A,FALSE,"LBO P&amp;L";"equity return",#N/A,FALSE,"return"}</definedName>
    <definedName name="wrn.print._.all." localSheetId="4" hidden="1">{"sum of the parts",#N/A,FALSE,"Sum-of-the-Parts";"LBO analysis",#N/A,FALSE,"LBO P&amp;L";"p&amp;L",#N/A,FALSE,"LBO P&amp;L";"cash flow",#N/A,FALSE,"CF";"cap struct",#N/A,FALSE,"LBO P&amp;L";"equity return",#N/A,FALSE,"return"}</definedName>
    <definedName name="wrn.print._.all." localSheetId="5" hidden="1">{"sum of the parts",#N/A,FALSE,"Sum-of-the-Parts";"LBO analysis",#N/A,FALSE,"LBO P&amp;L";"p&amp;L",#N/A,FALSE,"LBO P&amp;L";"cash flow",#N/A,FALSE,"CF";"cap struct",#N/A,FALSE,"LBO P&amp;L";"equity return",#N/A,FALSE,"return"}</definedName>
    <definedName name="wrn.print._.all." hidden="1">{"sum of the parts",#N/A,FALSE,"Sum-of-the-Parts";"LBO analysis",#N/A,FALSE,"LBO P&amp;L";"p&amp;L",#N/A,FALSE,"LBO P&amp;L";"cash flow",#N/A,FALSE,"CF";"cap struct",#N/A,FALSE,"LBO P&amp;L";"equity return",#N/A,FALSE,"return"}</definedName>
    <definedName name="wrn.print._.pages." localSheetId="3" hidden="1">{#N/A,#N/A,FALSE,"Spain MKT";#N/A,#N/A,FALSE,"Assumptions";#N/A,#N/A,FALSE,"Adve";#N/A,#N/A,FALSE,"E-Commerce";#N/A,#N/A,FALSE,"Opex";#N/A,#N/A,FALSE,"P&amp;L";#N/A,#N/A,FALSE,"FCF &amp; DCF"}</definedName>
    <definedName name="wrn.print._.pages." localSheetId="4" hidden="1">{#N/A,#N/A,FALSE,"Spain MKT";#N/A,#N/A,FALSE,"Assumptions";#N/A,#N/A,FALSE,"Adve";#N/A,#N/A,FALSE,"E-Commerce";#N/A,#N/A,FALSE,"Opex";#N/A,#N/A,FALSE,"P&amp;L";#N/A,#N/A,FALSE,"FCF &amp; DCF"}</definedName>
    <definedName name="wrn.print._.pages." localSheetId="5" hidden="1">{#N/A,#N/A,FALSE,"Spain MKT";#N/A,#N/A,FALSE,"Assumptions";#N/A,#N/A,FALSE,"Adve";#N/A,#N/A,FALSE,"E-Commerce";#N/A,#N/A,FALSE,"Opex";#N/A,#N/A,FALSE,"P&amp;L";#N/A,#N/A,FALSE,"FCF &amp; DCF"}</definedName>
    <definedName name="wrn.print._.pages." hidden="1">{#N/A,#N/A,FALSE,"Spain MKT";#N/A,#N/A,FALSE,"Assumptions";#N/A,#N/A,FALSE,"Adve";#N/A,#N/A,FALSE,"E-Commerce";#N/A,#N/A,FALSE,"Opex";#N/A,#N/A,FALSE,"P&amp;L";#N/A,#N/A,FALSE,"FCF &amp; DCF"}</definedName>
    <definedName name="wrn.Print._.PNL._.Download." localSheetId="3" hidden="1">{"PNLProjDL",#N/A,FALSE,"PROJCO";"PNLParDL",#N/A,FALSE,"Parent"}</definedName>
    <definedName name="wrn.Print._.PNL._.Download." localSheetId="4" hidden="1">{"PNLProjDL",#N/A,FALSE,"PROJCO";"PNLParDL",#N/A,FALSE,"Parent"}</definedName>
    <definedName name="wrn.Print._.PNL._.Download." localSheetId="5" hidden="1">{"PNLProjDL",#N/A,FALSE,"PROJCO";"PNLParDL",#N/A,FALSE,"Parent"}</definedName>
    <definedName name="wrn.Print._.PNL._.Download." hidden="1">{"PNLProjDL",#N/A,FALSE,"PROJCO";"PNLParDL",#N/A,FALSE,"Parent"}</definedName>
    <definedName name="wrn.Print_Earnings_template." localSheetId="3" hidden="1">{"by_month",#N/A,TRUE,"template";"destec_month",#N/A,TRUE,"template";"by_quarter",#N/A,TRUE,"template";"destec_quarter",#N/A,TRUE,"template";"by_year",#N/A,TRUE,"template";"destec_annual",#N/A,TRUE,"template"}</definedName>
    <definedName name="wrn.Print_Earnings_template." localSheetId="4" hidden="1">{"by_month",#N/A,TRUE,"template";"destec_month",#N/A,TRUE,"template";"by_quarter",#N/A,TRUE,"template";"destec_quarter",#N/A,TRUE,"template";"by_year",#N/A,TRUE,"template";"destec_annual",#N/A,TRUE,"template"}</definedName>
    <definedName name="wrn.Print_Earnings_template." localSheetId="5" hidden="1">{"by_month",#N/A,TRUE,"template";"destec_month",#N/A,TRUE,"template";"by_quarter",#N/A,TRUE,"template";"destec_quarter",#N/A,TRUE,"template";"by_year",#N/A,TRUE,"template";"destec_annual",#N/A,TRUE,"template"}</definedName>
    <definedName name="wrn.Print_Earnings_template." hidden="1">{"by_month",#N/A,TRUE,"template";"destec_month",#N/A,TRUE,"template";"by_quarter",#N/A,TRUE,"template";"destec_quarter",#N/A,TRUE,"template";"by_year",#N/A,TRUE,"template";"destec_annual",#N/A,TRUE,"template"}</definedName>
    <definedName name="wrn.Print_Var_page." localSheetId="3" hidden="1">{"var_page",#N/A,FALSE,"template"}</definedName>
    <definedName name="wrn.Print_Var_page." localSheetId="4" hidden="1">{"var_page",#N/A,FALSE,"template"}</definedName>
    <definedName name="wrn.Print_Var_page." localSheetId="5" hidden="1">{"var_page",#N/A,FALSE,"template"}</definedName>
    <definedName name="wrn.Print_Var_page." hidden="1">{"var_page",#N/A,FALSE,"template"}</definedName>
    <definedName name="wrn.print_variance." localSheetId="3" hidden="1">{"var_report",#N/A,FALSE,"template"}</definedName>
    <definedName name="wrn.print_variance." localSheetId="4" hidden="1">{"var_report",#N/A,FALSE,"template"}</definedName>
    <definedName name="wrn.print_variance." localSheetId="5" hidden="1">{"var_report",#N/A,FALSE,"template"}</definedName>
    <definedName name="wrn.print_variance." hidden="1">{"var_report",#N/A,FALSE,"template"}</definedName>
    <definedName name="wrn.Print_Variance_Page." localSheetId="3" hidden="1">{"variance_page",#N/A,FALSE,"template"}</definedName>
    <definedName name="wrn.Print_Variance_Page." localSheetId="4" hidden="1">{"variance_page",#N/A,FALSE,"template"}</definedName>
    <definedName name="wrn.Print_Variance_Page." localSheetId="5" hidden="1">{"variance_page",#N/A,FALSE,"template"}</definedName>
    <definedName name="wrn.Print_Variance_Page." hidden="1">{"variance_page",#N/A,FALSE,"template"}</definedName>
    <definedName name="wrn.PrintAll." localSheetId="3" hidden="1">{"PA1",#N/A,TRUE,"BORDMW";"pa2",#N/A,TRUE,"BORDMW";"PA3",#N/A,TRUE,"BORDMW";"PA4",#N/A,TRUE,"BORDMW"}</definedName>
    <definedName name="wrn.PrintAll." localSheetId="4" hidden="1">{"PA1",#N/A,TRUE,"BORDMW";"pa2",#N/A,TRUE,"BORDMW";"PA3",#N/A,TRUE,"BORDMW";"PA4",#N/A,TRUE,"BORDMW"}</definedName>
    <definedName name="wrn.PrintAll." localSheetId="5" hidden="1">{"PA1",#N/A,TRUE,"BORDMW";"pa2",#N/A,TRUE,"BORDMW";"PA3",#N/A,TRUE,"BORDMW";"PA4",#N/A,TRUE,"BORDMW"}</definedName>
    <definedName name="wrn.PrintAll." hidden="1">{"PA1",#N/A,TRUE,"BORDMW";"pa2",#N/A,TRUE,"BORDMW";"PA3",#N/A,TRUE,"BORDMW";"PA4",#N/A,TRUE,"BORDMW"}</definedName>
    <definedName name="wrn.Profitability._.Indicators." localSheetId="3" hidden="1">{"ProfPrintArea",#N/A,FALSE,"Prof (c)"}</definedName>
    <definedName name="wrn.Profitability._.Indicators." localSheetId="4" hidden="1">{"ProfPrintArea",#N/A,FALSE,"Prof (c)"}</definedName>
    <definedName name="wrn.Profitability._.Indicators." localSheetId="5" hidden="1">{"ProfPrintArea",#N/A,FALSE,"Prof (c)"}</definedName>
    <definedName name="wrn.Profitability._.Indicators." hidden="1">{"ProfPrintArea",#N/A,FALSE,"Prof (c)"}</definedName>
    <definedName name="wrn.Project._.Summary." localSheetId="3" hidden="1">{"Summary",#N/A,FALSE,"MICMULT";"Income Statement",#N/A,FALSE,"MICMULT";"Cash Flows",#N/A,FALSE,"MICMULT"}</definedName>
    <definedName name="wrn.Project._.Summary." localSheetId="4" hidden="1">{"Summary",#N/A,FALSE,"MICMULT";"Income Statement",#N/A,FALSE,"MICMULT";"Cash Flows",#N/A,FALSE,"MICMULT"}</definedName>
    <definedName name="wrn.Project._.Summary." localSheetId="5" hidden="1">{"Summary",#N/A,FALSE,"MICMULT";"Income Statement",#N/A,FALSE,"MICMULT";"Cash Flows",#N/A,FALSE,"MICMULT"}</definedName>
    <definedName name="wrn.Project._.Summary." hidden="1">{"Summary",#N/A,FALSE,"MICMULT";"Income Statement",#N/A,FALSE,"MICMULT";"Cash Flows",#N/A,FALSE,"MICMULT"}</definedName>
    <definedName name="wrn.PRUDENT." localSheetId="3" hidden="1">{#N/A,#N/A,FALSE,"PRUDENT"}</definedName>
    <definedName name="wrn.PRUDENT." localSheetId="4" hidden="1">{#N/A,#N/A,FALSE,"PRUDENT"}</definedName>
    <definedName name="wrn.PRUDENT." localSheetId="5" hidden="1">{#N/A,#N/A,FALSE,"PRUDENT"}</definedName>
    <definedName name="wrn.PRUDENT." hidden="1">{#N/A,#N/A,FALSE,"PRUDENT"}</definedName>
    <definedName name="wrn.PUBLEXP." localSheetId="3" hidden="1">{#N/A,#N/A,FALSE,"PUBLEXP"}</definedName>
    <definedName name="wrn.PUBLEXP." localSheetId="4" hidden="1">{#N/A,#N/A,FALSE,"PUBLEXP"}</definedName>
    <definedName name="wrn.PUBLEXP." localSheetId="5" hidden="1">{#N/A,#N/A,FALSE,"PUBLEXP"}</definedName>
    <definedName name="wrn.PUBLEXP." hidden="1">{#N/A,#N/A,FALSE,"PUBLEXP"}</definedName>
    <definedName name="wrn.Qtr._.Op._.Q1." localSheetId="3" hidden="1">{"Qtr Op Mgd Q1",#N/A,FALSE,"Qtr-Op (Mng)";"Qtr Op Rpt Q1",#N/A,FALSE,"Qtr-Op (Rpt)";"Operating Vs Reported",#N/A,FALSE,"Rpt-Op Inc"}</definedName>
    <definedName name="wrn.Qtr._.Op._.Q1." localSheetId="4" hidden="1">{"Qtr Op Mgd Q1",#N/A,FALSE,"Qtr-Op (Mng)";"Qtr Op Rpt Q1",#N/A,FALSE,"Qtr-Op (Rpt)";"Operating Vs Reported",#N/A,FALSE,"Rpt-Op Inc"}</definedName>
    <definedName name="wrn.Qtr._.Op._.Q1." localSheetId="5" hidden="1">{"Qtr Op Mgd Q1",#N/A,FALSE,"Qtr-Op (Mng)";"Qtr Op Rpt Q1",#N/A,FALSE,"Qtr-Op (Rpt)";"Operating Vs Reported",#N/A,FALSE,"Rpt-Op Inc"}</definedName>
    <definedName name="wrn.Qtr._.Op._.Q1." hidden="1">{"Qtr Op Mgd Q1",#N/A,FALSE,"Qtr-Op (Mng)";"Qtr Op Rpt Q1",#N/A,FALSE,"Qtr-Op (Rpt)";"Operating Vs Reported",#N/A,FALSE,"Rpt-Op Inc"}</definedName>
    <definedName name="wrn.Qtr._.Op._.Q2." localSheetId="3" hidden="1">{"Qtr Op Mgd Q2",#N/A,FALSE,"Qtr-Op (Mng)";"Qtr Op Rpt Q2",#N/A,FALSE,"Qtr-Op (Rpt)";"Operating Vs Reported",#N/A,FALSE,"Rpt-Op Inc"}</definedName>
    <definedName name="wrn.Qtr._.Op._.Q2." localSheetId="4" hidden="1">{"Qtr Op Mgd Q2",#N/A,FALSE,"Qtr-Op (Mng)";"Qtr Op Rpt Q2",#N/A,FALSE,"Qtr-Op (Rpt)";"Operating Vs Reported",#N/A,FALSE,"Rpt-Op Inc"}</definedName>
    <definedName name="wrn.Qtr._.Op._.Q2." localSheetId="5" hidden="1">{"Qtr Op Mgd Q2",#N/A,FALSE,"Qtr-Op (Mng)";"Qtr Op Rpt Q2",#N/A,FALSE,"Qtr-Op (Rpt)";"Operating Vs Reported",#N/A,FALSE,"Rpt-Op Inc"}</definedName>
    <definedName name="wrn.Qtr._.Op._.Q2." hidden="1">{"Qtr Op Mgd Q2",#N/A,FALSE,"Qtr-Op (Mng)";"Qtr Op Rpt Q2",#N/A,FALSE,"Qtr-Op (Rpt)";"Operating Vs Reported",#N/A,FALSE,"Rpt-Op Inc"}</definedName>
    <definedName name="wrn.Qtr._.Op._.Q3." localSheetId="3" hidden="1">{"Qtr Op Mgd Q3",#N/A,FALSE,"Qtr-Op (Mng)";"Qtr Op Rpt Q3",#N/A,FALSE,"Qtr-Op (Rpt)";"Operating Vs Reported",#N/A,FALSE,"Rpt-Op Inc"}</definedName>
    <definedName name="wrn.Qtr._.Op._.Q3." localSheetId="4" hidden="1">{"Qtr Op Mgd Q3",#N/A,FALSE,"Qtr-Op (Mng)";"Qtr Op Rpt Q3",#N/A,FALSE,"Qtr-Op (Rpt)";"Operating Vs Reported",#N/A,FALSE,"Rpt-Op Inc"}</definedName>
    <definedName name="wrn.Qtr._.Op._.Q3." localSheetId="5" hidden="1">{"Qtr Op Mgd Q3",#N/A,FALSE,"Qtr-Op (Mng)";"Qtr Op Rpt Q3",#N/A,FALSE,"Qtr-Op (Rpt)";"Operating Vs Reported",#N/A,FALSE,"Rpt-Op Inc"}</definedName>
    <definedName name="wrn.Qtr._.Op._.Q3." hidden="1">{"Qtr Op Mgd Q3",#N/A,FALSE,"Qtr-Op (Mng)";"Qtr Op Rpt Q3",#N/A,FALSE,"Qtr-Op (Rpt)";"Operating Vs Reported",#N/A,FALSE,"Rpt-Op Inc"}</definedName>
    <definedName name="wrn.Qtr._.Op._.Q4." localSheetId="3" hidden="1">{"Qtr Op Mgd Q3",#N/A,FALSE,"Qtr-Op (Mng)";"Qtr Op Rpt Q4",#N/A,FALSE,"Qtr-Op (Rpt)";"Operating Vs Reported",#N/A,FALSE,"Rpt-Op Inc"}</definedName>
    <definedName name="wrn.Qtr._.Op._.Q4." localSheetId="4" hidden="1">{"Qtr Op Mgd Q3",#N/A,FALSE,"Qtr-Op (Mng)";"Qtr Op Rpt Q4",#N/A,FALSE,"Qtr-Op (Rpt)";"Operating Vs Reported",#N/A,FALSE,"Rpt-Op Inc"}</definedName>
    <definedName name="wrn.Qtr._.Op._.Q4." localSheetId="5" hidden="1">{"Qtr Op Mgd Q3",#N/A,FALSE,"Qtr-Op (Mng)";"Qtr Op Rpt Q4",#N/A,FALSE,"Qtr-Op (Rpt)";"Operating Vs Reported",#N/A,FALSE,"Rpt-Op Inc"}</definedName>
    <definedName name="wrn.Qtr._.Op._.Q4." hidden="1">{"Qtr Op Mgd Q3",#N/A,FALSE,"Qtr-Op (Mng)";"Qtr Op Rpt Q4",#N/A,FALSE,"Qtr-Op (Rpt)";"Operating Vs Reported",#N/A,FALSE,"Rpt-Op Inc"}</definedName>
    <definedName name="wrn.Qtr._.Op._Q2a." localSheetId="3" hidden="1">{"Qtr Op Mgd Q2",#N/A,FALSE,"Qtr-Op (Mng)";"Qtr Op Rpt Q2",#N/A,FALSE,"Qtr-Op (Rpt)";"Operating Vs Reported",#N/A,FALSE,"Rpt-Op Inc"}</definedName>
    <definedName name="wrn.Qtr._.Op._Q2a." localSheetId="4" hidden="1">{"Qtr Op Mgd Q2",#N/A,FALSE,"Qtr-Op (Mng)";"Qtr Op Rpt Q2",#N/A,FALSE,"Qtr-Op (Rpt)";"Operating Vs Reported",#N/A,FALSE,"Rpt-Op Inc"}</definedName>
    <definedName name="wrn.Qtr._.Op._Q2a." localSheetId="5" hidden="1">{"Qtr Op Mgd Q2",#N/A,FALSE,"Qtr-Op (Mng)";"Qtr Op Rpt Q2",#N/A,FALSE,"Qtr-Op (Rpt)";"Operating Vs Reported",#N/A,FALSE,"Rpt-Op Inc"}</definedName>
    <definedName name="wrn.Qtr._.Op._Q2a." hidden="1">{"Qtr Op Mgd Q2",#N/A,FALSE,"Qtr-Op (Mng)";"Qtr Op Rpt Q2",#N/A,FALSE,"Qtr-Op (Rpt)";"Operating Vs Reported",#N/A,FALSE,"Rpt-Op Inc"}</definedName>
    <definedName name="wrn.Qtr_.Op._.Q4." localSheetId="3" hidden="1">{"Qtr Op Mgd Q3",#N/A,FALSE,"Qtr-Op (Mng)";"Qtr Op Rpt Q4",#N/A,FALSE,"Qtr-Op (Rpt)";"Operating Vs Reported",#N/A,FALSE,"Rpt-Op Inc"}</definedName>
    <definedName name="wrn.Qtr_.Op._.Q4." localSheetId="4" hidden="1">{"Qtr Op Mgd Q3",#N/A,FALSE,"Qtr-Op (Mng)";"Qtr Op Rpt Q4",#N/A,FALSE,"Qtr-Op (Rpt)";"Operating Vs Reported",#N/A,FALSE,"Rpt-Op Inc"}</definedName>
    <definedName name="wrn.Qtr_.Op._.Q4." localSheetId="5" hidden="1">{"Qtr Op Mgd Q3",#N/A,FALSE,"Qtr-Op (Mng)";"Qtr Op Rpt Q4",#N/A,FALSE,"Qtr-Op (Rpt)";"Operating Vs Reported",#N/A,FALSE,"Rpt-Op Inc"}</definedName>
    <definedName name="wrn.Qtr_.Op._.Q4." hidden="1">{"Qtr Op Mgd Q3",#N/A,FALSE,"Qtr-Op (Mng)";"Qtr Op Rpt Q4",#N/A,FALSE,"Qtr-Op (Rpt)";"Operating Vs Reported",#N/A,FALSE,"Rpt-Op Inc"}</definedName>
    <definedName name="wrn.rapport._.1." localSheetId="3" hidden="1">{#N/A,#N/A,TRUE,"Forecast &amp; Analysis";#N/A,#N/A,TRUE,"Market Values";#N/A,#N/A,TRUE,"Ratios";#N/A,#N/A,TRUE,"Regressions";#N/A,#N/A,TRUE,"Market Values";#N/A,#N/A,TRUE,"Parameters &amp; Results"}</definedName>
    <definedName name="wrn.rapport._.1." localSheetId="4" hidden="1">{#N/A,#N/A,TRUE,"Forecast &amp; Analysis";#N/A,#N/A,TRUE,"Market Values";#N/A,#N/A,TRUE,"Ratios";#N/A,#N/A,TRUE,"Regressions";#N/A,#N/A,TRUE,"Market Values";#N/A,#N/A,TRUE,"Parameters &amp; Results"}</definedName>
    <definedName name="wrn.rapport._.1." localSheetId="5" hidden="1">{#N/A,#N/A,TRUE,"Forecast &amp; Analysis";#N/A,#N/A,TRUE,"Market Values";#N/A,#N/A,TRUE,"Ratios";#N/A,#N/A,TRUE,"Regressions";#N/A,#N/A,TRUE,"Market Values";#N/A,#N/A,TRUE,"Parameters &amp; Results"}</definedName>
    <definedName name="wrn.rapport._.1." hidden="1">{#N/A,#N/A,TRUE,"Forecast &amp; Analysis";#N/A,#N/A,TRUE,"Market Values";#N/A,#N/A,TRUE,"Ratios";#N/A,#N/A,TRUE,"Regressions";#N/A,#N/A,TRUE,"Market Values";#N/A,#N/A,TRUE,"Parameters &amp; Results"}</definedName>
    <definedName name="wrn.ratios." localSheetId="3" hidden="1">{"ratios",#N/A,FALSE,"Summary Accounts"}</definedName>
    <definedName name="wrn.ratios." localSheetId="4" hidden="1">{"ratios",#N/A,FALSE,"Summary Accounts"}</definedName>
    <definedName name="wrn.ratios." localSheetId="5" hidden="1">{"ratios",#N/A,FALSE,"Summary Accounts"}</definedName>
    <definedName name="wrn.ratios." hidden="1">{"ratios",#N/A,FALSE,"Summary Accounts"}</definedName>
    <definedName name="wrn.red_take." localSheetId="3" hidden="1">{"red_take_pg1",#N/A,FALSE,"reduced_take";"red_take_pg2",#N/A,FALSE,"reduced_take";"red_take_pg3",#N/A,FALSE,"reduced_take";"red_take_pg4",#N/A,FALSE,"reduced_take";"red_take_pg5",#N/A,FALSE,"reduced_take";"red_take_pg6",#N/A,FALSE,"reduced_take"}</definedName>
    <definedName name="wrn.red_take." localSheetId="4" hidden="1">{"red_take_pg1",#N/A,FALSE,"reduced_take";"red_take_pg2",#N/A,FALSE,"reduced_take";"red_take_pg3",#N/A,FALSE,"reduced_take";"red_take_pg4",#N/A,FALSE,"reduced_take";"red_take_pg5",#N/A,FALSE,"reduced_take";"red_take_pg6",#N/A,FALSE,"reduced_take"}</definedName>
    <definedName name="wrn.red_take." localSheetId="5" hidden="1">{"red_take_pg1",#N/A,FALSE,"reduced_take";"red_take_pg2",#N/A,FALSE,"reduced_take";"red_take_pg3",#N/A,FALSE,"reduced_take";"red_take_pg4",#N/A,FALSE,"reduced_take";"red_take_pg5",#N/A,FALSE,"reduced_take";"red_take_pg6",#N/A,FALSE,"reduced_take"}</definedName>
    <definedName name="wrn.red_take." hidden="1">{"red_take_pg1",#N/A,FALSE,"reduced_take";"red_take_pg2",#N/A,FALSE,"reduced_take";"red_take_pg3",#N/A,FALSE,"reduced_take";"red_take_pg4",#N/A,FALSE,"reduced_take";"red_take_pg5",#N/A,FALSE,"reduced_take";"red_take_pg6",#N/A,FALSE,"reduced_take"}</definedName>
    <definedName name="wrn.REDTABS." localSheetId="3"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4"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localSheetId="5"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p." localSheetId="3" hidden="1">{"test",#N/A,FALSE,"Y";"test2",#N/A,FALSE,"Y"}</definedName>
    <definedName name="wrn.rep." localSheetId="4" hidden="1">{"test",#N/A,FALSE,"Y";"test2",#N/A,FALSE,"Y"}</definedName>
    <definedName name="wrn.rep." localSheetId="5" hidden="1">{"test",#N/A,FALSE,"Y";"test2",#N/A,FALSE,"Y"}</definedName>
    <definedName name="wrn.rep." hidden="1">{"test",#N/A,FALSE,"Y";"test2",#N/A,FALSE,"Y"}</definedName>
    <definedName name="wrn.report." localSheetId="3" hidden="1">{"a",#N/A,FALSE,"Fact Sheet";"a",#N/A,FALSE,"DCFEVA";"a",#N/A,FALSE,"Statements";"a",#N/A,FALSE,"Quarterly";"a",#N/A,FALSE,"Q Grid";"a",#N/A,FALSE,"Stockval";"a",#N/A,FALSE,"DDM"}</definedName>
    <definedName name="wrn.report." localSheetId="4" hidden="1">{"a",#N/A,FALSE,"Fact Sheet";"a",#N/A,FALSE,"DCFEVA";"a",#N/A,FALSE,"Statements";"a",#N/A,FALSE,"Quarterly";"a",#N/A,FALSE,"Q Grid";"a",#N/A,FALSE,"Stockval";"a",#N/A,FALSE,"DDM"}</definedName>
    <definedName name="wrn.report." localSheetId="5" hidden="1">{"a",#N/A,FALSE,"Fact Sheet";"a",#N/A,FALSE,"DCFEVA";"a",#N/A,FALSE,"Statements";"a",#N/A,FALSE,"Quarterly";"a",#N/A,FALSE,"Q Grid";"a",#N/A,FALSE,"Stockval";"a",#N/A,FALSE,"DDM"}</definedName>
    <definedName name="wrn.report." hidden="1">{"a",#N/A,FALSE,"Fact Sheet";"a",#N/A,FALSE,"DCFEVA";"a",#N/A,FALSE,"Statements";"a",#N/A,FALSE,"Quarterly";"a",#N/A,FALSE,"Q Grid";"a",#N/A,FALSE,"Stockval";"a",#N/A,FALSE,"DDM"}</definedName>
    <definedName name="wrn.REVSHARE." localSheetId="3" hidden="1">{#N/A,#N/A,FALSE,"REVSHARE"}</definedName>
    <definedName name="wrn.REVSHARE." localSheetId="4" hidden="1">{#N/A,#N/A,FALSE,"REVSHARE"}</definedName>
    <definedName name="wrn.REVSHARE." localSheetId="5" hidden="1">{#N/A,#N/A,FALSE,"REVSHARE"}</definedName>
    <definedName name="wrn.REVSHARE." hidden="1">{#N/A,#N/A,FALSE,"REVSHARE"}</definedName>
    <definedName name="wrn.sales." localSheetId="3" hidden="1">{"sales",#N/A,FALSE,"Sales";"sales existing",#N/A,FALSE,"Sales";"sales rd1",#N/A,FALSE,"Sales";"sales rd2",#N/A,FALSE,"Sales"}</definedName>
    <definedName name="wrn.sales." localSheetId="4" hidden="1">{"sales",#N/A,FALSE,"Sales";"sales existing",#N/A,FALSE,"Sales";"sales rd1",#N/A,FALSE,"Sales";"sales rd2",#N/A,FALSE,"Sales"}</definedName>
    <definedName name="wrn.sales." localSheetId="5" hidden="1">{"sales",#N/A,FALSE,"Sales";"sales existing",#N/A,FALSE,"Sales";"sales rd1",#N/A,FALSE,"Sales";"sales rd2",#N/A,FALSE,"Sales"}</definedName>
    <definedName name="wrn.sales." hidden="1">{"sales",#N/A,FALSE,"Sales";"sales existing",#N/A,FALSE,"Sales";"sales rd1",#N/A,FALSE,"Sales";"sales rd2",#N/A,FALSE,"Sales"}</definedName>
    <definedName name="wrn.sensitivity." localSheetId="3" hidden="1">{"sensitivity",#N/A,FALSE,"Sensitivity"}</definedName>
    <definedName name="wrn.sensitivity." localSheetId="4" hidden="1">{"sensitivity",#N/A,FALSE,"Sensitivity"}</definedName>
    <definedName name="wrn.sensitivity." localSheetId="5" hidden="1">{"sensitivity",#N/A,FALSE,"Sensitivity"}</definedName>
    <definedName name="wrn.sensitivity." hidden="1">{"sensitivity",#N/A,FALSE,"Sensitivity"}</definedName>
    <definedName name="wrn.STATE." localSheetId="3" hidden="1">{#N/A,#N/A,FALSE,"STATE"}</definedName>
    <definedName name="wrn.STATE." localSheetId="4" hidden="1">{#N/A,#N/A,FALSE,"STATE"}</definedName>
    <definedName name="wrn.STATE." localSheetId="5" hidden="1">{#N/A,#N/A,FALSE,"STATE"}</definedName>
    <definedName name="wrn.STATE." hidden="1">{#N/A,#N/A,FALSE,"STATE"}</definedName>
    <definedName name="wrn.STMT._.OF._.CASH._.FLOWS." localSheetId="3" hidden="1">{"STMT OF CASH FLOWS",#N/A,FALSE,"Cash Flows Indirect"}</definedName>
    <definedName name="wrn.STMT._.OF._.CASH._.FLOWS." localSheetId="4" hidden="1">{"STMT OF CASH FLOWS",#N/A,FALSE,"Cash Flows Indirect"}</definedName>
    <definedName name="wrn.STMT._.OF._.CASH._.FLOWS." localSheetId="5" hidden="1">{"STMT OF CASH FLOWS",#N/A,FALSE,"Cash Flows Indirect"}</definedName>
    <definedName name="wrn.STMT._.OF._.CASH._.FLOWS." hidden="1">{"STMT OF CASH FLOWS",#N/A,FALSE,"Cash Flows Indirect"}</definedName>
    <definedName name="wrn.Tariff._.Analysis." localSheetId="3" hidden="1">{"Tarifica91",#N/A,FALSE,"Tariffs";"Tarifica92",#N/A,FALSE,"Tariffs";"Tarifica93",#N/A,FALSE,"Tariffs";"Tarifica94",#N/A,FALSE,"Tariffs";"Tarifica95",#N/A,FALSE,"Tariffs";"Tarifica96",#N/A,FALSE,"Tariffs"}</definedName>
    <definedName name="wrn.Tariff._.Analysis." localSheetId="4" hidden="1">{"Tarifica91",#N/A,FALSE,"Tariffs";"Tarifica92",#N/A,FALSE,"Tariffs";"Tarifica93",#N/A,FALSE,"Tariffs";"Tarifica94",#N/A,FALSE,"Tariffs";"Tarifica95",#N/A,FALSE,"Tariffs";"Tarifica96",#N/A,FALSE,"Tariffs"}</definedName>
    <definedName name="wrn.Tariff._.Analysis." localSheetId="5" hidden="1">{"Tarifica91",#N/A,FALSE,"Tariffs";"Tarifica92",#N/A,FALSE,"Tariffs";"Tarifica93",#N/A,FALSE,"Tariffs";"Tarifica94",#N/A,FALSE,"Tariffs";"Tarifica95",#N/A,FALSE,"Tariffs";"Tarifica96",#N/A,FALSE,"Tariffs"}</definedName>
    <definedName name="wrn.Tariff._.Analysis." hidden="1">{"Tarifica91",#N/A,FALSE,"Tariffs";"Tarifica92",#N/A,FALSE,"Tariffs";"Tarifica93",#N/A,FALSE,"Tariffs";"Tarifica94",#N/A,FALSE,"Tariffs";"Tarifica95",#N/A,FALSE,"Tariffs";"Tarifica96",#N/A,FALSE,"Tariffs"}</definedName>
    <definedName name="wrn.Tariff._.Comaprison." localSheetId="3" hidden="1">{"Tariff Comparison",#N/A,FALSE,"Benchmarking";"Tariff Comparison 2",#N/A,FALSE,"Benchmarking";"Tariff Comparison 3",#N/A,FALSE,"Benchmarking"}</definedName>
    <definedName name="wrn.Tariff._.Comaprison." localSheetId="4" hidden="1">{"Tariff Comparison",#N/A,FALSE,"Benchmarking";"Tariff Comparison 2",#N/A,FALSE,"Benchmarking";"Tariff Comparison 3",#N/A,FALSE,"Benchmarking"}</definedName>
    <definedName name="wrn.Tariff._.Comaprison." localSheetId="5" hidden="1">{"Tariff Comparison",#N/A,FALSE,"Benchmarking";"Tariff Comparison 2",#N/A,FALSE,"Benchmarking";"Tariff Comparison 3",#N/A,FALSE,"Benchmarking"}</definedName>
    <definedName name="wrn.Tariff._.Comaprison." hidden="1">{"Tariff Comparison",#N/A,FALSE,"Benchmarking";"Tariff Comparison 2",#N/A,FALSE,"Benchmarking";"Tariff Comparison 3",#N/A,FALSE,"Benchmarking"}</definedName>
    <definedName name="wrn.TAXARREARS." localSheetId="3" hidden="1">{#N/A,#N/A,FALSE,"TAXARREARS"}</definedName>
    <definedName name="wrn.TAXARREARS." localSheetId="4" hidden="1">{#N/A,#N/A,FALSE,"TAXARREARS"}</definedName>
    <definedName name="wrn.TAXARREARS." localSheetId="5" hidden="1">{#N/A,#N/A,FALSE,"TAXARREARS"}</definedName>
    <definedName name="wrn.TAXARREARS." hidden="1">{#N/A,#N/A,FALSE,"TAXARREARS"}</definedName>
    <definedName name="wrn.TAXPAYRS." localSheetId="3" hidden="1">{#N/A,#N/A,FALSE,"TAXPAYRS"}</definedName>
    <definedName name="wrn.TAXPAYRS." localSheetId="4" hidden="1">{#N/A,#N/A,FALSE,"TAXPAYRS"}</definedName>
    <definedName name="wrn.TAXPAYRS." localSheetId="5" hidden="1">{#N/A,#N/A,FALSE,"TAXPAYRS"}</definedName>
    <definedName name="wrn.TAXPAYRS." hidden="1">{#N/A,#N/A,FALSE,"TAXPAYRS"}</definedName>
    <definedName name="wrn.TB._.ALL._.ACCTS." localSheetId="3" hidden="1">{"BALANCE SHEET ACCTS",#N/A,TRUE,"Working Trial Balance";"INCOME STMT ACCTS",#N/A,TRUE,"Working Trial Balance"}</definedName>
    <definedName name="wrn.TB._.ALL._.ACCTS." localSheetId="4" hidden="1">{"BALANCE SHEET ACCTS",#N/A,TRUE,"Working Trial Balance";"INCOME STMT ACCTS",#N/A,TRUE,"Working Trial Balance"}</definedName>
    <definedName name="wrn.TB._.ALL._.ACCTS." localSheetId="5" hidden="1">{"BALANCE SHEET ACCTS",#N/A,TRUE,"Working Trial Balance";"INCOME STMT ACCTS",#N/A,TRUE,"Working Trial Balance"}</definedName>
    <definedName name="wrn.TB._.ALL._.ACCTS." hidden="1">{"BALANCE SHEET ACCTS",#N/A,TRUE,"Working Trial Balance";"INCOME STMT ACCTS",#N/A,TRUE,"Working Trial Balance"}</definedName>
    <definedName name="wrn.TB._.BALANCE._.SHEET." localSheetId="3" hidden="1">{"BALANCE SHEET ACCTS",#N/A,FALSE,"Working Trial Balance"}</definedName>
    <definedName name="wrn.TB._.BALANCE._.SHEET." localSheetId="4" hidden="1">{"BALANCE SHEET ACCTS",#N/A,FALSE,"Working Trial Balance"}</definedName>
    <definedName name="wrn.TB._.BALANCE._.SHEET." localSheetId="5" hidden="1">{"BALANCE SHEET ACCTS",#N/A,FALSE,"Working Trial Balance"}</definedName>
    <definedName name="wrn.TB._.BALANCE._.SHEET." hidden="1">{"BALANCE SHEET ACCTS",#N/A,FALSE,"Working Trial Balance"}</definedName>
    <definedName name="wrn.TB._.EXPLANATIONS." localSheetId="3" hidden="1">{"EXPLANATIONS",#N/A,FALSE,"Working Trial Balance"}</definedName>
    <definedName name="wrn.TB._.EXPLANATIONS." localSheetId="4" hidden="1">{"EXPLANATIONS",#N/A,FALSE,"Working Trial Balance"}</definedName>
    <definedName name="wrn.TB._.EXPLANATIONS." localSheetId="5" hidden="1">{"EXPLANATIONS",#N/A,FALSE,"Working Trial Balance"}</definedName>
    <definedName name="wrn.TB._.EXPLANATIONS." hidden="1">{"EXPLANATIONS",#N/A,FALSE,"Working Trial Balance"}</definedName>
    <definedName name="wrn.TB._.INCOME._.STMT." localSheetId="3" hidden="1">{"INCOME STMT ACCTS",#N/A,FALSE,"Working Trial Balance"}</definedName>
    <definedName name="wrn.TB._.INCOME._.STMT." localSheetId="4" hidden="1">{"INCOME STMT ACCTS",#N/A,FALSE,"Working Trial Balance"}</definedName>
    <definedName name="wrn.TB._.INCOME._.STMT." localSheetId="5" hidden="1">{"INCOME STMT ACCTS",#N/A,FALSE,"Working Trial Balance"}</definedName>
    <definedName name="wrn.TB._.INCOME._.STMT." hidden="1">{"INCOME STMT ACCTS",#N/A,FALSE,"Working Trial Balance"}</definedName>
    <definedName name="wrn.test." localSheetId="3" hidden="1">{"test2",#N/A,TRUE,"Prices"}</definedName>
    <definedName name="wrn.test." localSheetId="4" hidden="1">{"test2",#N/A,TRUE,"Prices"}</definedName>
    <definedName name="wrn.test." localSheetId="5" hidden="1">{"test2",#N/A,TRUE,"Prices"}</definedName>
    <definedName name="wrn.test." hidden="1">{"test2",#N/A,TRUE,"Prices"}</definedName>
    <definedName name="wrn.test1." localSheetId="3" hidden="1">{"Income Statement",#N/A,FALSE,"CFMODEL";"Balance Sheet",#N/A,FALSE,"CFMODEL"}</definedName>
    <definedName name="wrn.test1." localSheetId="4" hidden="1">{"Income Statement",#N/A,FALSE,"CFMODEL";"Balance Sheet",#N/A,FALSE,"CFMODEL"}</definedName>
    <definedName name="wrn.test1." localSheetId="5" hidden="1">{"Income Statement",#N/A,FALSE,"CFMODEL";"Balance Sheet",#N/A,FALSE,"CFMODEL"}</definedName>
    <definedName name="wrn.test1." hidden="1">{"Income Statement",#N/A,FALSE,"CFMODEL";"Balance Sheet",#N/A,FALSE,"CFMODEL"}</definedName>
    <definedName name="wrn.test2." localSheetId="3" hidden="1">{"SourcesUses",#N/A,TRUE,"CFMODEL";"TransOverview",#N/A,TRUE,"CFMODEL"}</definedName>
    <definedName name="wrn.test2." localSheetId="4" hidden="1">{"SourcesUses",#N/A,TRUE,"CFMODEL";"TransOverview",#N/A,TRUE,"CFMODEL"}</definedName>
    <definedName name="wrn.test2." localSheetId="5" hidden="1">{"SourcesUses",#N/A,TRUE,"CFMODEL";"TransOverview",#N/A,TRUE,"CFMODEL"}</definedName>
    <definedName name="wrn.test2." hidden="1">{"SourcesUses",#N/A,TRUE,"CFMODEL";"TransOverview",#N/A,TRUE,"CFMODEL"}</definedName>
    <definedName name="wrn.test3." localSheetId="3" hidden="1">{"SourcesUses",#N/A,TRUE,#N/A;"TransOverview",#N/A,TRUE,"CFMODEL"}</definedName>
    <definedName name="wrn.test3." localSheetId="4" hidden="1">{"SourcesUses",#N/A,TRUE,#N/A;"TransOverview",#N/A,TRUE,"CFMODEL"}</definedName>
    <definedName name="wrn.test3." localSheetId="5" hidden="1">{"SourcesUses",#N/A,TRUE,#N/A;"TransOverview",#N/A,TRUE,"CFMODEL"}</definedName>
    <definedName name="wrn.test3." hidden="1">{"SourcesUses",#N/A,TRUE,#N/A;"TransOverview",#N/A,TRUE,"CFMODEL"}</definedName>
    <definedName name="wrn.test4." localSheetId="3" hidden="1">{"SourcesUses",#N/A,TRUE,"FundsFlow";"TransOverview",#N/A,TRUE,"FundsFlow"}</definedName>
    <definedName name="wrn.test4." localSheetId="4" hidden="1">{"SourcesUses",#N/A,TRUE,"FundsFlow";"TransOverview",#N/A,TRUE,"FundsFlow"}</definedName>
    <definedName name="wrn.test4." localSheetId="5" hidden="1">{"SourcesUses",#N/A,TRUE,"FundsFlow";"TransOverview",#N/A,TRUE,"FundsFlow"}</definedName>
    <definedName name="wrn.test4." hidden="1">{"SourcesUses",#N/A,TRUE,"FundsFlow";"TransOverview",#N/A,TRUE,"FundsFlow"}</definedName>
    <definedName name="wrn.TRADE." localSheetId="3" hidden="1">{#N/A,#N/A,FALSE,"TRADE"}</definedName>
    <definedName name="wrn.TRADE." localSheetId="4" hidden="1">{#N/A,#N/A,FALSE,"TRADE"}</definedName>
    <definedName name="wrn.TRADE." localSheetId="5" hidden="1">{#N/A,#N/A,FALSE,"TRADE"}</definedName>
    <definedName name="wrn.TRADE." hidden="1">{#N/A,#N/A,FALSE,"TRADE"}</definedName>
    <definedName name="wrn.TRANSPORT." localSheetId="3" hidden="1">{#N/A,#N/A,FALSE,"TRANPORT"}</definedName>
    <definedName name="wrn.TRANSPORT." localSheetId="4" hidden="1">{#N/A,#N/A,FALSE,"TRANPORT"}</definedName>
    <definedName name="wrn.TRANSPORT." localSheetId="5" hidden="1">{#N/A,#N/A,FALSE,"TRANPORT"}</definedName>
    <definedName name="wrn.TRANSPORT." hidden="1">{#N/A,#N/A,FALSE,"TRANPORT"}</definedName>
    <definedName name="wrn.UNEMPL." localSheetId="3" hidden="1">{#N/A,#N/A,FALSE,"EMP_POP";#N/A,#N/A,FALSE,"UNEMPL"}</definedName>
    <definedName name="wrn.UNEMPL." localSheetId="4" hidden="1">{#N/A,#N/A,FALSE,"EMP_POP";#N/A,#N/A,FALSE,"UNEMPL"}</definedName>
    <definedName name="wrn.UNEMPL." localSheetId="5" hidden="1">{#N/A,#N/A,FALSE,"EMP_POP";#N/A,#N/A,FALSE,"UNEMPL"}</definedName>
    <definedName name="wrn.UNEMPL." hidden="1">{#N/A,#N/A,FALSE,"EMP_POP";#N/A,#N/A,FALSE,"UNEMPL"}</definedName>
    <definedName name="wrn.USW." localSheetId="3" hidden="1">{"IS",#N/A,FALSE,"IS";"RPTIS",#N/A,FALSE,"RPTIS";"STATS",#N/A,FALSE,"STATS";"BS",#N/A,FALSE,"BS"}</definedName>
    <definedName name="wrn.USW." localSheetId="4" hidden="1">{"IS",#N/A,FALSE,"IS";"RPTIS",#N/A,FALSE,"RPTIS";"STATS",#N/A,FALSE,"STATS";"BS",#N/A,FALSE,"BS"}</definedName>
    <definedName name="wrn.USW." localSheetId="5" hidden="1">{"IS",#N/A,FALSE,"IS";"RPTIS",#N/A,FALSE,"RPTIS";"STATS",#N/A,FALSE,"STATS";"BS",#N/A,FALSE,"BS"}</definedName>
    <definedName name="wrn.USW." hidden="1">{"IS",#N/A,FALSE,"IS";"RPTIS",#N/A,FALSE,"RPTIS";"STATS",#N/A,FALSE,"STATS";"BS",#N/A,FALSE,"BS"}</definedName>
    <definedName name="wrn.UTL._.Position." localSheetId="3" hidden="1">{"UTL effect",#N/A,FALSE,"Sensitivity"}</definedName>
    <definedName name="wrn.UTL._.Position." localSheetId="4" hidden="1">{"UTL effect",#N/A,FALSE,"Sensitivity"}</definedName>
    <definedName name="wrn.UTL._.Position." localSheetId="5" hidden="1">{"UTL effect",#N/A,FALSE,"Sensitivity"}</definedName>
    <definedName name="wrn.UTL._.Position." hidden="1">{"UTL effect",#N/A,FALSE,"Sensitivity"}</definedName>
    <definedName name="wrn.VALUATION." localSheetId="3" hidden="1">{#N/A,#N/A,FALSE,"Valuation Assumptions";#N/A,#N/A,FALSE,"Summary";#N/A,#N/A,FALSE,"DCF";#N/A,#N/A,FALSE,"Valuation";#N/A,#N/A,FALSE,"WACC";#N/A,#N/A,FALSE,"UBVH";#N/A,#N/A,FALSE,"Free Cash Flow"}</definedName>
    <definedName name="wrn.VALUATION." localSheetId="4" hidden="1">{#N/A,#N/A,FALSE,"Valuation Assumptions";#N/A,#N/A,FALSE,"Summary";#N/A,#N/A,FALSE,"DCF";#N/A,#N/A,FALSE,"Valuation";#N/A,#N/A,FALSE,"WACC";#N/A,#N/A,FALSE,"UBVH";#N/A,#N/A,FALSE,"Free Cash Flow"}</definedName>
    <definedName name="wrn.VALUATION." localSheetId="5" hidden="1">{#N/A,#N/A,FALSE,"Valuation Assumptions";#N/A,#N/A,FALSE,"Summary";#N/A,#N/A,FALSE,"DCF";#N/A,#N/A,FALSE,"Valuation";#N/A,#N/A,FALSE,"WACC";#N/A,#N/A,FALSE,"UBVH";#N/A,#N/A,FALSE,"Free Cash Flow"}</definedName>
    <definedName name="wrn.VALUATION." hidden="1">{#N/A,#N/A,FALSE,"Valuation Assumptions";#N/A,#N/A,FALSE,"Summary";#N/A,#N/A,FALSE,"DCF";#N/A,#N/A,FALSE,"Valuation";#N/A,#N/A,FALSE,"WACC";#N/A,#N/A,FALSE,"UBVH";#N/A,#N/A,FALSE,"Free Cash Flow"}</definedName>
    <definedName name="wrn.Variance._.3." localSheetId="3" hidden="1">{"Variance Q3",#N/A,FALSE,"Var"}</definedName>
    <definedName name="wrn.Variance._.3." localSheetId="4" hidden="1">{"Variance Q3",#N/A,FALSE,"Var"}</definedName>
    <definedName name="wrn.Variance._.3." localSheetId="5" hidden="1">{"Variance Q3",#N/A,FALSE,"Var"}</definedName>
    <definedName name="wrn.Variance._.3." hidden="1">{"Variance Q3",#N/A,FALSE,"Var"}</definedName>
    <definedName name="wrn.Variance._.Q1." localSheetId="3" hidden="1">{"Variance Q1",#N/A,FALSE,"Var"}</definedName>
    <definedName name="wrn.Variance._.Q1." localSheetId="4" hidden="1">{"Variance Q1",#N/A,FALSE,"Var"}</definedName>
    <definedName name="wrn.Variance._.Q1." localSheetId="5" hidden="1">{"Variance Q1",#N/A,FALSE,"Var"}</definedName>
    <definedName name="wrn.Variance._.Q1." hidden="1">{"Variance Q1",#N/A,FALSE,"Var"}</definedName>
    <definedName name="wrn.Variance._.Q2." localSheetId="3" hidden="1">{"Variance Q2",#N/A,FALSE,"Var"}</definedName>
    <definedName name="wrn.Variance._.Q2." localSheetId="4" hidden="1">{"Variance Q2",#N/A,FALSE,"Var"}</definedName>
    <definedName name="wrn.Variance._.Q2." localSheetId="5" hidden="1">{"Variance Q2",#N/A,FALSE,"Var"}</definedName>
    <definedName name="wrn.Variance._.Q2." hidden="1">{"Variance Q2",#N/A,FALSE,"Var"}</definedName>
    <definedName name="wrn.Variance._.Q3." localSheetId="3" hidden="1">{"Variance Q3",#N/A,FALSE,"Var"}</definedName>
    <definedName name="wrn.Variance._.Q3." localSheetId="4" hidden="1">{"Variance Q3",#N/A,FALSE,"Var"}</definedName>
    <definedName name="wrn.Variance._.Q3." localSheetId="5" hidden="1">{"Variance Q3",#N/A,FALSE,"Var"}</definedName>
    <definedName name="wrn.Variance._.Q3." hidden="1">{"Variance Q3",#N/A,FALSE,"Var"}</definedName>
    <definedName name="wrn.Variance._.Q4" localSheetId="3" hidden="1">{"Variance Q4",#N/A,FALSE,"Var"}</definedName>
    <definedName name="wrn.Variance._.Q4" localSheetId="4" hidden="1">{"Variance Q4",#N/A,FALSE,"Var"}</definedName>
    <definedName name="wrn.Variance._.Q4" localSheetId="5" hidden="1">{"Variance Q4",#N/A,FALSE,"Var"}</definedName>
    <definedName name="wrn.Variance._.Q4" hidden="1">{"Variance Q4",#N/A,FALSE,"Var"}</definedName>
    <definedName name="wrn.Variance._.Q4." localSheetId="3" hidden="1">{"Variance Q4",#N/A,FALSE,"Var"}</definedName>
    <definedName name="wrn.Variance._.Q4." localSheetId="4" hidden="1">{"Variance Q4",#N/A,FALSE,"Var"}</definedName>
    <definedName name="wrn.Variance._.Q4." localSheetId="5" hidden="1">{"Variance Q4",#N/A,FALSE,"Var"}</definedName>
    <definedName name="wrn.Variance._.Q4." hidden="1">{"Variance Q4",#N/A,FALSE,"Var"}</definedName>
    <definedName name="wrn.Wacc." localSheetId="3" hidden="1">{"Area1",#N/A,FALSE,"OREWACC";"Area2",#N/A,FALSE,"OREWACC"}</definedName>
    <definedName name="wrn.Wacc." localSheetId="4" hidden="1">{"Area1",#N/A,FALSE,"OREWACC";"Area2",#N/A,FALSE,"OREWACC"}</definedName>
    <definedName name="wrn.Wacc." localSheetId="5" hidden="1">{"Area1",#N/A,FALSE,"OREWACC";"Area2",#N/A,FALSE,"OREWACC"}</definedName>
    <definedName name="wrn.Wacc." hidden="1">{"Area1",#N/A,FALSE,"OREWACC";"Area2",#N/A,FALSE,"OREWACC"}</definedName>
    <definedName name="wrn.WAGES." localSheetId="3" hidden="1">{#N/A,#N/A,FALSE,"WAGES"}</definedName>
    <definedName name="wrn.WAGES." localSheetId="4" hidden="1">{#N/A,#N/A,FALSE,"WAGES"}</definedName>
    <definedName name="wrn.WAGES." localSheetId="5" hidden="1">{#N/A,#N/A,FALSE,"WAGES"}</definedName>
    <definedName name="wrn.WAGES." hidden="1">{#N/A,#N/A,FALSE,"WAGES"}</definedName>
    <definedName name="wrn.WEO." localSheetId="3" hidden="1">{"WEO",#N/A,FALSE,"T"}</definedName>
    <definedName name="wrn.WEO." localSheetId="4" hidden="1">{"WEO",#N/A,FALSE,"T"}</definedName>
    <definedName name="wrn.WEO." localSheetId="5" hidden="1">{"WEO",#N/A,FALSE,"T"}</definedName>
    <definedName name="wrn.WEO." hidden="1">{"WEO",#N/A,FALSE,"T"}</definedName>
    <definedName name="xxxxx" localSheetId="3" hidden="1">{"10yp capex",#N/A,FALSE,"Celtel alternative 6"}</definedName>
    <definedName name="xxxxx" localSheetId="4" hidden="1">{"10yp capex",#N/A,FALSE,"Celtel alternative 6"}</definedName>
    <definedName name="xxxxx" localSheetId="5" hidden="1">{"10yp capex",#N/A,FALSE,"Celtel alternative 6"}</definedName>
    <definedName name="xxxxx" hidden="1">{"10yp capex",#N/A,FALSE,"Celtel alternative 6"}</definedName>
    <definedName name="xxxxxx" localSheetId="3" hidden="1">{"10yp graphs",#N/A,FALSE,"Market Data"}</definedName>
    <definedName name="xxxxxx" localSheetId="4" hidden="1">{"10yp graphs",#N/A,FALSE,"Market Data"}</definedName>
    <definedName name="xxxxxx" localSheetId="5" hidden="1">{"10yp graphs",#N/A,FALSE,"Market Data"}</definedName>
    <definedName name="xxxxxx" hidden="1">{"10yp graphs",#N/A,FALSE,"Market Data"}</definedName>
    <definedName name="yuuuuuuu" localSheetId="3" hidden="1">{"ratios",#N/A,FALSE,"Summary Accounts"}</definedName>
    <definedName name="yuuuuuuu" localSheetId="4" hidden="1">{"ratios",#N/A,FALSE,"Summary Accounts"}</definedName>
    <definedName name="yuuuuuuu" localSheetId="5" hidden="1">{"ratios",#N/A,FALSE,"Summary Accounts"}</definedName>
    <definedName name="yuuuuuuu" hidden="1">{"ratios",#N/A,FALSE,"Summary Accounts"}</definedName>
    <definedName name="yyyyyy" localSheetId="3" hidden="1">{"p_l",#N/A,FALSE,"Summary Accounts"}</definedName>
    <definedName name="yyyyyy" localSheetId="4" hidden="1">{"p_l",#N/A,FALSE,"Summary Accounts"}</definedName>
    <definedName name="yyyyyy" localSheetId="5" hidden="1">{"p_l",#N/A,FALSE,"Summary Accounts"}</definedName>
    <definedName name="yyyyyy" hidden="1">{"p_l",#N/A,FALSE,"Summary Accounts"}</definedName>
    <definedName name="z" localSheetId="5" hidden="1">#REF!</definedName>
    <definedName name="z" hidden="1">#REF!</definedName>
    <definedName name="Z_60FA13F0_C7AB_11D5_82BE_0060B0F04987_.wvu.Rows" hidden="1">#N/A</definedName>
    <definedName name="_xlnm.Print_Area" localSheetId="5">COEFFICIENTS_SAISONNIERS_2026!$B$2:$P$207,COEFFICIENTS_SAISONNIERS_2026!$B$210:$P$235</definedName>
    <definedName name="_xlnm.Print_Area" localSheetId="8">'Stats exo 2025brute'!$B$2:$G$19,'Stats exo 2025brute'!$B$21:$G$43,'Stats exo 2025brute'!$B$45:$G$134,'Stats exo 2025brute'!$B$136:$G$230,'Stats exo 2025brute'!$B$232:$G$309,'Stats exo 2025brute'!$B$311:$G$350,'Stats exo 2025brute'!$B$352:$G$397,'Stats exo 2025brute'!$B$399:$G$435,'Stats exo 2025brute'!$B$437:$G$510,'Stats exo 2025brute'!$B$512:$G$585,'Stats exo 2025brute'!$B$587:$G$660,'Stats exo 2025brute'!$B$662:$G$693,'Stats exo 2025brute'!$B$695:$G$728,'Stats exo 2025brute'!$B$730:$G$785,'Stats exo 2025brute'!$B$787:$G$816,'Stats exo 2025brute'!$B$818:$G$867,'Stats exo 2025brute'!$B$869:$G$995,'Stats exo 2025brute'!$B$997:$G$1039,'Stats exo 2025brute'!$B$1041:$G$1082,'Stats exo 2025brute'!$B$1084:$G$1112,'Stats exo 2025brute'!$B$1114:$G$1197,'Stats exo 2025brute'!$B$1199:$G$1220,'Stats exo 2025brute'!$B$1222:$G$1304,'Stats exo 2025brute'!$B$1305:$H$1328,'Stats exo 2025brute'!$B$1330:$H$1370,'Stats exo 2025brute'!$B$1372:$G$1448</definedName>
    <definedName name="_xlnm.Print_Area" localSheetId="7">'Trafic mens2025'!$B$1:$O$52,'Trafic mens2025'!$B$54:$O$77,'Trafic mens2025'!$B$79:$O$109,'Trafic mens2025'!$B$111:$O$193,'Trafic mens2025'!$B$195:$O$276,'Trafic mens2025'!$B$278:$O$317,'Trafic mens2025'!$B$319:$O$402,'Trafic mens2025'!$B$404:$O$477,'Trafic mens2025'!$B$479:$O$609,'Trafic mens2025'!$B$611:$O$717,'Trafic mens2025'!$B$719:$O$752,'Trafic mens2025'!$B$754:$O$809,'Trafic mens2025'!$B$811:$O$840,'Trafic mens2025'!$B$842:$O$864,'Trafic mens2025'!$B$866:$O$891,'Trafic mens2025'!$B$893:$O$956,'Trafic mens2025'!$B$958:$O$1051,'Trafic mens2025'!$B$1053:$O$1104,'Trafic mens2025'!$B$1106:$O$1134,'Trafic mens2025'!$B$1136:$O$1234,'Trafic mens2025'!#REF!</definedName>
    <definedName name="_xlnm.Print_Area" localSheetId="6">'Trafic mens2026'!$T$1326:$V$1329</definedName>
    <definedName name="Zone_impres_MI" localSheetId="3">#REF!</definedName>
    <definedName name="Zone_impres_MI" localSheetId="4">#REF!</definedName>
    <definedName name="Zone_impres_MI" localSheetId="5">#REF!</definedName>
    <definedName name="Zone_impres_MI">#REF!</definedName>
    <definedName name="ZONE44" localSheetId="3">#REF!</definedName>
    <definedName name="ZONE44" localSheetId="4">#REF!</definedName>
    <definedName name="ZONE44" localSheetId="5">#REF!</definedName>
    <definedName name="ZONE44">#REF!</definedName>
    <definedName name="zz" localSheetId="3" hidden="1">{#N/A,#N/A,FALSE,"GGOVT2"}</definedName>
    <definedName name="zz" localSheetId="4" hidden="1">{#N/A,#N/A,FALSE,"GGOVT2"}</definedName>
    <definedName name="zz" localSheetId="5" hidden="1">{#N/A,#N/A,FALSE,"GGOVT2"}</definedName>
    <definedName name="zz" hidden="1">{#N/A,#N/A,FALSE,"GGOVT2"}</definedName>
    <definedName name="zzzerff" localSheetId="3" hidden="1">{#N/A,#N/A,FALSE,"WAGES"}</definedName>
    <definedName name="zzzerff" localSheetId="4" hidden="1">{#N/A,#N/A,FALSE,"WAGES"}</definedName>
    <definedName name="zzzerff" localSheetId="5" hidden="1">{#N/A,#N/A,FALSE,"WAGES"}</definedName>
    <definedName name="zzzerff" hidden="1">{#N/A,#N/A,FALSE,"WAGES"}</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10" i="71" l="1"/>
  <c r="L9" i="71"/>
  <c r="K9" i="71"/>
  <c r="J9" i="71"/>
  <c r="I9" i="71"/>
  <c r="G28" i="72"/>
  <c r="Z1069" i="81"/>
  <c r="Y1069" i="81"/>
  <c r="P1069" i="81"/>
  <c r="Z26" i="81"/>
  <c r="AA1069" i="81" l="1"/>
  <c r="N1325" i="81" l="1"/>
  <c r="M1325" i="81"/>
  <c r="L1325" i="81"/>
  <c r="K1325" i="81"/>
  <c r="J1325" i="81"/>
  <c r="I1325" i="81"/>
  <c r="H1325" i="81"/>
  <c r="G1325" i="81"/>
  <c r="F1325" i="81"/>
  <c r="E1325" i="81"/>
  <c r="D1325" i="81"/>
  <c r="C1325" i="81"/>
  <c r="N1324" i="81"/>
  <c r="N1321" i="81" s="1"/>
  <c r="N1319" i="81" s="1"/>
  <c r="M1324" i="81"/>
  <c r="M1321" i="81" s="1"/>
  <c r="M1319" i="81" s="1"/>
  <c r="L1324" i="81"/>
  <c r="K1324" i="81"/>
  <c r="J1324" i="81"/>
  <c r="I1324" i="81"/>
  <c r="H1324" i="81"/>
  <c r="G1324" i="81"/>
  <c r="F1324" i="81"/>
  <c r="E1324" i="81"/>
  <c r="O1324" i="81" s="1"/>
  <c r="D1324" i="81"/>
  <c r="C1324" i="81"/>
  <c r="N1323" i="81"/>
  <c r="M1323" i="81"/>
  <c r="L1323" i="81"/>
  <c r="L1321" i="81" s="1"/>
  <c r="L1319" i="81" s="1"/>
  <c r="K1323" i="81"/>
  <c r="J1323" i="81"/>
  <c r="J1321" i="81" s="1"/>
  <c r="I1323" i="81"/>
  <c r="H1323" i="81"/>
  <c r="G1323" i="81"/>
  <c r="F1323" i="81"/>
  <c r="E1323" i="81"/>
  <c r="D1323" i="81"/>
  <c r="D1321" i="81" s="1"/>
  <c r="D1319" i="81" s="1"/>
  <c r="C1323" i="81"/>
  <c r="N1322" i="81"/>
  <c r="M1322" i="81"/>
  <c r="L1322" i="81"/>
  <c r="K1322" i="81"/>
  <c r="J1322" i="81"/>
  <c r="I1322" i="81"/>
  <c r="I1321" i="81" s="1"/>
  <c r="H1322" i="81"/>
  <c r="H1321" i="81" s="1"/>
  <c r="G1322" i="81"/>
  <c r="G1321" i="81" s="1"/>
  <c r="G1319" i="81" s="1"/>
  <c r="F1322" i="81"/>
  <c r="E1322" i="81"/>
  <c r="D1322" i="81"/>
  <c r="C1322" i="81"/>
  <c r="F1321" i="81"/>
  <c r="F1319" i="81" s="1"/>
  <c r="O1320" i="81"/>
  <c r="J1319" i="81"/>
  <c r="J1316" i="81" s="1"/>
  <c r="N1318" i="81"/>
  <c r="M1318" i="81"/>
  <c r="L1318" i="81"/>
  <c r="K1318" i="81"/>
  <c r="J1318" i="81"/>
  <c r="I1318" i="81"/>
  <c r="H1318" i="81"/>
  <c r="G1318" i="81"/>
  <c r="F1318" i="81"/>
  <c r="E1318" i="81"/>
  <c r="D1318" i="81"/>
  <c r="C1318" i="81"/>
  <c r="N1317" i="81"/>
  <c r="N1316" i="81" s="1"/>
  <c r="M1317" i="81"/>
  <c r="L1317" i="81"/>
  <c r="L1316" i="81" s="1"/>
  <c r="K1317" i="81"/>
  <c r="J1317" i="81"/>
  <c r="I1317" i="81"/>
  <c r="H1317" i="81"/>
  <c r="G1317" i="81"/>
  <c r="F1317" i="81"/>
  <c r="F1316" i="81" s="1"/>
  <c r="E1317" i="81"/>
  <c r="D1317" i="81"/>
  <c r="C1317" i="81"/>
  <c r="N1314" i="81"/>
  <c r="M1314" i="81"/>
  <c r="L1314" i="81"/>
  <c r="K1314" i="81"/>
  <c r="J1314" i="81"/>
  <c r="I1314" i="81"/>
  <c r="H1314" i="81"/>
  <c r="G1314" i="81"/>
  <c r="G1308" i="81" s="1"/>
  <c r="G1305" i="81" s="1"/>
  <c r="F1314" i="81"/>
  <c r="E1314" i="81"/>
  <c r="D1314" i="81"/>
  <c r="C1314" i="81"/>
  <c r="N1313" i="81"/>
  <c r="M1313" i="81"/>
  <c r="L1313" i="81"/>
  <c r="K1313" i="81"/>
  <c r="K1310" i="81" s="1"/>
  <c r="K1308" i="81" s="1"/>
  <c r="J1313" i="81"/>
  <c r="I1313" i="81"/>
  <c r="H1313" i="81"/>
  <c r="G1313" i="81"/>
  <c r="F1313" i="81"/>
  <c r="E1313" i="81"/>
  <c r="D1313" i="81"/>
  <c r="D1310" i="81" s="1"/>
  <c r="D1308" i="81" s="1"/>
  <c r="C1313" i="81"/>
  <c r="N1312" i="81"/>
  <c r="M1312" i="81"/>
  <c r="L1312" i="81"/>
  <c r="K1312" i="81"/>
  <c r="J1312" i="81"/>
  <c r="I1312" i="81"/>
  <c r="H1312" i="81"/>
  <c r="H1310" i="81" s="1"/>
  <c r="G1312" i="81"/>
  <c r="F1312" i="81"/>
  <c r="E1312" i="81"/>
  <c r="D1312" i="81"/>
  <c r="C1312" i="81"/>
  <c r="O1312" i="81" s="1"/>
  <c r="N1311" i="81"/>
  <c r="N1310" i="81" s="1"/>
  <c r="M1311" i="81"/>
  <c r="M1310" i="81" s="1"/>
  <c r="M1308" i="81" s="1"/>
  <c r="L1311" i="81"/>
  <c r="K1311" i="81"/>
  <c r="J1311" i="81"/>
  <c r="I1311" i="81"/>
  <c r="I1310" i="81" s="1"/>
  <c r="H1311" i="81"/>
  <c r="G1311" i="81"/>
  <c r="G1310" i="81" s="1"/>
  <c r="F1311" i="81"/>
  <c r="F1310" i="81" s="1"/>
  <c r="E1311" i="81"/>
  <c r="E1310" i="81" s="1"/>
  <c r="E1308" i="81" s="1"/>
  <c r="D1311" i="81"/>
  <c r="C1311" i="81"/>
  <c r="L1310" i="81"/>
  <c r="L1308" i="81" s="1"/>
  <c r="J1310" i="81"/>
  <c r="J1308" i="81" s="1"/>
  <c r="I1308" i="81"/>
  <c r="H1308" i="81"/>
  <c r="H1305" i="81" s="1"/>
  <c r="N1307" i="81"/>
  <c r="M1307" i="81"/>
  <c r="L1307" i="81"/>
  <c r="K1307" i="81"/>
  <c r="J1307" i="81"/>
  <c r="I1307" i="81"/>
  <c r="H1307" i="81"/>
  <c r="G1307" i="81"/>
  <c r="F1307" i="81"/>
  <c r="E1307" i="81"/>
  <c r="D1307" i="81"/>
  <c r="C1307" i="81"/>
  <c r="N1306" i="81"/>
  <c r="M1306" i="81"/>
  <c r="M1305" i="81" s="1"/>
  <c r="L1306" i="81"/>
  <c r="K1306" i="81"/>
  <c r="J1306" i="81"/>
  <c r="I1306" i="81"/>
  <c r="H1306" i="81"/>
  <c r="G1306" i="81"/>
  <c r="F1306" i="81"/>
  <c r="E1306" i="81"/>
  <c r="E1305" i="81" s="1"/>
  <c r="D1306" i="81"/>
  <c r="C1306" i="81"/>
  <c r="O1301" i="81"/>
  <c r="O1300" i="81"/>
  <c r="O1299" i="81"/>
  <c r="O1298" i="81"/>
  <c r="N1297" i="81"/>
  <c r="N1295" i="81" s="1"/>
  <c r="N1292" i="81" s="1"/>
  <c r="M1297" i="81"/>
  <c r="M1295" i="81" s="1"/>
  <c r="M1292" i="81" s="1"/>
  <c r="L1297" i="81"/>
  <c r="L1295" i="81" s="1"/>
  <c r="L1292" i="81" s="1"/>
  <c r="K1297" i="81"/>
  <c r="J1297" i="81"/>
  <c r="I1297" i="81"/>
  <c r="H1297" i="81"/>
  <c r="G1297" i="81"/>
  <c r="G1295" i="81" s="1"/>
  <c r="G1292" i="81" s="1"/>
  <c r="F1297" i="81"/>
  <c r="F1295" i="81" s="1"/>
  <c r="F1292" i="81" s="1"/>
  <c r="E1297" i="81"/>
  <c r="E1295" i="81" s="1"/>
  <c r="E1292" i="81" s="1"/>
  <c r="D1297" i="81"/>
  <c r="C1297" i="81"/>
  <c r="O1296" i="81"/>
  <c r="K1295" i="81"/>
  <c r="J1295" i="81"/>
  <c r="I1295" i="81"/>
  <c r="H1295" i="81"/>
  <c r="H1292" i="81" s="1"/>
  <c r="C1295" i="81"/>
  <c r="O1294" i="81"/>
  <c r="O1293" i="81"/>
  <c r="K1292" i="81"/>
  <c r="J1292" i="81"/>
  <c r="I1292" i="81"/>
  <c r="C1292" i="81"/>
  <c r="O1291" i="81"/>
  <c r="O1290" i="81"/>
  <c r="O1289" i="81"/>
  <c r="O1288" i="81"/>
  <c r="O1287" i="81"/>
  <c r="N1286" i="81"/>
  <c r="N1284" i="81" s="1"/>
  <c r="N1281" i="81" s="1"/>
  <c r="M1286" i="81"/>
  <c r="M1284" i="81" s="1"/>
  <c r="M1281" i="81" s="1"/>
  <c r="L1286" i="81"/>
  <c r="L1284" i="81" s="1"/>
  <c r="L1281" i="81" s="1"/>
  <c r="L1279" i="81" s="1"/>
  <c r="K1286" i="81"/>
  <c r="K1284" i="81" s="1"/>
  <c r="K1281" i="81" s="1"/>
  <c r="K1279" i="81" s="1"/>
  <c r="K1303" i="81" s="1"/>
  <c r="J1286" i="81"/>
  <c r="I1286" i="81"/>
  <c r="H1286" i="81"/>
  <c r="G1286" i="81"/>
  <c r="F1286" i="81"/>
  <c r="F1284" i="81" s="1"/>
  <c r="F1281" i="81" s="1"/>
  <c r="E1286" i="81"/>
  <c r="E1284" i="81" s="1"/>
  <c r="E1281" i="81" s="1"/>
  <c r="E1279" i="81" s="1"/>
  <c r="D1286" i="81"/>
  <c r="D1284" i="81" s="1"/>
  <c r="D1281" i="81" s="1"/>
  <c r="C1286" i="81"/>
  <c r="O1285" i="81"/>
  <c r="J1284" i="81"/>
  <c r="J1281" i="81" s="1"/>
  <c r="J1279" i="81" s="1"/>
  <c r="I1284" i="81"/>
  <c r="I1281" i="81" s="1"/>
  <c r="I1279" i="81" s="1"/>
  <c r="H1284" i="81"/>
  <c r="G1284" i="81"/>
  <c r="G1281" i="81" s="1"/>
  <c r="G1279" i="81" s="1"/>
  <c r="C1284" i="81"/>
  <c r="O1283" i="81"/>
  <c r="O1282" i="81"/>
  <c r="H1281" i="81"/>
  <c r="H1279" i="81" s="1"/>
  <c r="N1279" i="81"/>
  <c r="M1279" i="81"/>
  <c r="O1277" i="81"/>
  <c r="O1276" i="81"/>
  <c r="O1275" i="81"/>
  <c r="O1274" i="81"/>
  <c r="N1273" i="81"/>
  <c r="N1271" i="81" s="1"/>
  <c r="N1268" i="81" s="1"/>
  <c r="M1273" i="81"/>
  <c r="L1273" i="81"/>
  <c r="K1273" i="81"/>
  <c r="J1273" i="81"/>
  <c r="J1271" i="81" s="1"/>
  <c r="I1273" i="81"/>
  <c r="H1273" i="81"/>
  <c r="H1271" i="81" s="1"/>
  <c r="H1268" i="81" s="1"/>
  <c r="H1255" i="81" s="1"/>
  <c r="G1273" i="81"/>
  <c r="G1271" i="81" s="1"/>
  <c r="G1268" i="81" s="1"/>
  <c r="F1273" i="81"/>
  <c r="F1271" i="81" s="1"/>
  <c r="F1268" i="81" s="1"/>
  <c r="E1273" i="81"/>
  <c r="D1273" i="81"/>
  <c r="C1273" i="81"/>
  <c r="M1271" i="81"/>
  <c r="M1268" i="81" s="1"/>
  <c r="L1271" i="81"/>
  <c r="K1271" i="81"/>
  <c r="I1271" i="81"/>
  <c r="I1268" i="81" s="1"/>
  <c r="E1271" i="81"/>
  <c r="E1268" i="81" s="1"/>
  <c r="D1271" i="81"/>
  <c r="C1271" i="81"/>
  <c r="O1270" i="81"/>
  <c r="O1269" i="81"/>
  <c r="L1268" i="81"/>
  <c r="K1268" i="81"/>
  <c r="J1268" i="81"/>
  <c r="D1268" i="81"/>
  <c r="N1262" i="81"/>
  <c r="M1262" i="81"/>
  <c r="L1262" i="81"/>
  <c r="K1262" i="81"/>
  <c r="K1260" i="81" s="1"/>
  <c r="K1257" i="81" s="1"/>
  <c r="K1255" i="81" s="1"/>
  <c r="J1262" i="81"/>
  <c r="I1262" i="81"/>
  <c r="I1260" i="81" s="1"/>
  <c r="I1257" i="81" s="1"/>
  <c r="I1255" i="81" s="1"/>
  <c r="H1262" i="81"/>
  <c r="H1260" i="81" s="1"/>
  <c r="H1257" i="81" s="1"/>
  <c r="G1262" i="81"/>
  <c r="G1260" i="81" s="1"/>
  <c r="G1257" i="81" s="1"/>
  <c r="F1262" i="81"/>
  <c r="E1262" i="81"/>
  <c r="D1262" i="81"/>
  <c r="C1262" i="81"/>
  <c r="C1260" i="81" s="1"/>
  <c r="N1260" i="81"/>
  <c r="N1257" i="81" s="1"/>
  <c r="N1255" i="81" s="1"/>
  <c r="M1260" i="81"/>
  <c r="L1260" i="81"/>
  <c r="J1260" i="81"/>
  <c r="J1257" i="81" s="1"/>
  <c r="F1260" i="81"/>
  <c r="F1257" i="81" s="1"/>
  <c r="E1260" i="81"/>
  <c r="E1257" i="81" s="1"/>
  <c r="D1260" i="81"/>
  <c r="O1259" i="81"/>
  <c r="O1258" i="81"/>
  <c r="M1257" i="81"/>
  <c r="L1257" i="81"/>
  <c r="D1257" i="81"/>
  <c r="D1255" i="81" s="1"/>
  <c r="J1255" i="81"/>
  <c r="N1247" i="81"/>
  <c r="M1247" i="81"/>
  <c r="L1247" i="81"/>
  <c r="K1247" i="81"/>
  <c r="J1247" i="81"/>
  <c r="I1247" i="81"/>
  <c r="H1247" i="81"/>
  <c r="G1247" i="81"/>
  <c r="F1247" i="81"/>
  <c r="E1247" i="81"/>
  <c r="O1247" i="81" s="1"/>
  <c r="D1247" i="81"/>
  <c r="C1247" i="81"/>
  <c r="N1246" i="81"/>
  <c r="M1246" i="81"/>
  <c r="L1246" i="81"/>
  <c r="K1246" i="81"/>
  <c r="J1246" i="81"/>
  <c r="I1246" i="81"/>
  <c r="H1246" i="81"/>
  <c r="G1246" i="81"/>
  <c r="F1246" i="81"/>
  <c r="E1246" i="81"/>
  <c r="D1246" i="81"/>
  <c r="C1246" i="81"/>
  <c r="N1245" i="81"/>
  <c r="M1245" i="81"/>
  <c r="L1245" i="81"/>
  <c r="K1245" i="81"/>
  <c r="J1245" i="81"/>
  <c r="I1245" i="81"/>
  <c r="H1245" i="81"/>
  <c r="G1245" i="81"/>
  <c r="F1245" i="81"/>
  <c r="E1245" i="81"/>
  <c r="D1245" i="81"/>
  <c r="C1245" i="81"/>
  <c r="N1244" i="81"/>
  <c r="M1244" i="81"/>
  <c r="L1244" i="81"/>
  <c r="K1244" i="81"/>
  <c r="J1244" i="81"/>
  <c r="I1244" i="81"/>
  <c r="H1244" i="81"/>
  <c r="G1244" i="81"/>
  <c r="F1244" i="81"/>
  <c r="E1244" i="81"/>
  <c r="D1244" i="81"/>
  <c r="C1244" i="81"/>
  <c r="J1243" i="81"/>
  <c r="I1243" i="81"/>
  <c r="C1243" i="81"/>
  <c r="N1240" i="81"/>
  <c r="M1240" i="81"/>
  <c r="L1240" i="81"/>
  <c r="K1240" i="81"/>
  <c r="J1240" i="81"/>
  <c r="I1240" i="81"/>
  <c r="H1240" i="81"/>
  <c r="G1240" i="81"/>
  <c r="F1240" i="81"/>
  <c r="E1240" i="81"/>
  <c r="D1240" i="81"/>
  <c r="C1240" i="81"/>
  <c r="O1240" i="81" s="1"/>
  <c r="N1239" i="81"/>
  <c r="M1239" i="81"/>
  <c r="L1239" i="81"/>
  <c r="K1239" i="81"/>
  <c r="J1239" i="81"/>
  <c r="I1239" i="81"/>
  <c r="H1239" i="81"/>
  <c r="G1239" i="81"/>
  <c r="F1239" i="81"/>
  <c r="E1239" i="81"/>
  <c r="D1239" i="81"/>
  <c r="C1239" i="81"/>
  <c r="O1235" i="81"/>
  <c r="O1234" i="81"/>
  <c r="O1233" i="81"/>
  <c r="O1232" i="81"/>
  <c r="N1231" i="81"/>
  <c r="M1231" i="81"/>
  <c r="L1231" i="81"/>
  <c r="K1231" i="81"/>
  <c r="J1231" i="81"/>
  <c r="J1229" i="81" s="1"/>
  <c r="J1241" i="81" s="1"/>
  <c r="I1231" i="81"/>
  <c r="H1231" i="81"/>
  <c r="G1231" i="81"/>
  <c r="F1231" i="81"/>
  <c r="E1231" i="81"/>
  <c r="D1231" i="81"/>
  <c r="C1231" i="81"/>
  <c r="M1229" i="81"/>
  <c r="L1229" i="81"/>
  <c r="L1241" i="81" s="1"/>
  <c r="K1229" i="81"/>
  <c r="I1229" i="81"/>
  <c r="I1225" i="81" s="1"/>
  <c r="E1229" i="81"/>
  <c r="D1229" i="81"/>
  <c r="D1241" i="81" s="1"/>
  <c r="C1229" i="81"/>
  <c r="O1228" i="81"/>
  <c r="O1227" i="81"/>
  <c r="L1225" i="81"/>
  <c r="K1225" i="81"/>
  <c r="J1225" i="81"/>
  <c r="C1225" i="81"/>
  <c r="O1223" i="81"/>
  <c r="O1222" i="81"/>
  <c r="O1221" i="81"/>
  <c r="O1220" i="81"/>
  <c r="N1219" i="81"/>
  <c r="M1219" i="81"/>
  <c r="M1217" i="81" s="1"/>
  <c r="M1213" i="81" s="1"/>
  <c r="L1219" i="81"/>
  <c r="L1217" i="81" s="1"/>
  <c r="L1213" i="81" s="1"/>
  <c r="K1219" i="81"/>
  <c r="J1219" i="81"/>
  <c r="I1219" i="81"/>
  <c r="H1219" i="81"/>
  <c r="G1219" i="81"/>
  <c r="G1217" i="81" s="1"/>
  <c r="G1213" i="81" s="1"/>
  <c r="F1219" i="81"/>
  <c r="E1219" i="81"/>
  <c r="E1217" i="81" s="1"/>
  <c r="E1213" i="81" s="1"/>
  <c r="D1219" i="81"/>
  <c r="D1217" i="81" s="1"/>
  <c r="D1213" i="81" s="1"/>
  <c r="C1219" i="81"/>
  <c r="N1217" i="81"/>
  <c r="N1213" i="81" s="1"/>
  <c r="J1217" i="81"/>
  <c r="J1213" i="81" s="1"/>
  <c r="I1217" i="81"/>
  <c r="I1213" i="81" s="1"/>
  <c r="H1217" i="81"/>
  <c r="H1213" i="81" s="1"/>
  <c r="F1217" i="81"/>
  <c r="F1213" i="81" s="1"/>
  <c r="O1216" i="81"/>
  <c r="O1215" i="81"/>
  <c r="N1205" i="81"/>
  <c r="M1205" i="81"/>
  <c r="L1205" i="81"/>
  <c r="K1205" i="81"/>
  <c r="J1205" i="81"/>
  <c r="I1205" i="81"/>
  <c r="H1205" i="81"/>
  <c r="G1205" i="81"/>
  <c r="F1205" i="81"/>
  <c r="E1205" i="81"/>
  <c r="D1205" i="81"/>
  <c r="C1205" i="81"/>
  <c r="N1204" i="81"/>
  <c r="M1204" i="81"/>
  <c r="L1204" i="81"/>
  <c r="K1204" i="81"/>
  <c r="J1204" i="81"/>
  <c r="I1204" i="81"/>
  <c r="H1204" i="81"/>
  <c r="G1204" i="81"/>
  <c r="F1204" i="81"/>
  <c r="E1204" i="81"/>
  <c r="D1204" i="81"/>
  <c r="C1204" i="81"/>
  <c r="N1203" i="81"/>
  <c r="M1203" i="81"/>
  <c r="L1203" i="81"/>
  <c r="K1203" i="81"/>
  <c r="J1203" i="81"/>
  <c r="I1203" i="81"/>
  <c r="H1203" i="81"/>
  <c r="G1203" i="81"/>
  <c r="O1203" i="81" s="1"/>
  <c r="F1203" i="81"/>
  <c r="E1203" i="81"/>
  <c r="D1203" i="81"/>
  <c r="C1203" i="81"/>
  <c r="E1201" i="81"/>
  <c r="O1199" i="81"/>
  <c r="O1198" i="81"/>
  <c r="O1197" i="81"/>
  <c r="N1195" i="81"/>
  <c r="M1195" i="81"/>
  <c r="M1201" i="81" s="1"/>
  <c r="L1195" i="81"/>
  <c r="K1195" i="81"/>
  <c r="J1195" i="81"/>
  <c r="I1195" i="81"/>
  <c r="H1195" i="81"/>
  <c r="G1195" i="81"/>
  <c r="F1195" i="81"/>
  <c r="E1195" i="81"/>
  <c r="D1195" i="81"/>
  <c r="D1201" i="81" s="1"/>
  <c r="C1195" i="81"/>
  <c r="O1193" i="81"/>
  <c r="O1192" i="81"/>
  <c r="O1191" i="81"/>
  <c r="N1189" i="81"/>
  <c r="N1201" i="81" s="1"/>
  <c r="M1189" i="81"/>
  <c r="L1189" i="81"/>
  <c r="L1201" i="81" s="1"/>
  <c r="K1189" i="81"/>
  <c r="K1201" i="81" s="1"/>
  <c r="J1189" i="81"/>
  <c r="J1201" i="81" s="1"/>
  <c r="I1189" i="81"/>
  <c r="I1201" i="81" s="1"/>
  <c r="H1189" i="81"/>
  <c r="H1201" i="81" s="1"/>
  <c r="G1189" i="81"/>
  <c r="G1201" i="81" s="1"/>
  <c r="F1189" i="81"/>
  <c r="F1201" i="81" s="1"/>
  <c r="E1189" i="81"/>
  <c r="D1189" i="81"/>
  <c r="C1189" i="81"/>
  <c r="N1181" i="81"/>
  <c r="M1181" i="81"/>
  <c r="L1181" i="81"/>
  <c r="K1181" i="81"/>
  <c r="J1181" i="81"/>
  <c r="I1181" i="81"/>
  <c r="H1181" i="81"/>
  <c r="G1181" i="81"/>
  <c r="F1181" i="81"/>
  <c r="E1181" i="81"/>
  <c r="D1181" i="81"/>
  <c r="C1181" i="81"/>
  <c r="O1181" i="81" s="1"/>
  <c r="N1180" i="81"/>
  <c r="M1180" i="81"/>
  <c r="L1180" i="81"/>
  <c r="K1180" i="81"/>
  <c r="J1180" i="81"/>
  <c r="I1180" i="81"/>
  <c r="H1180" i="81"/>
  <c r="G1180" i="81"/>
  <c r="F1180" i="81"/>
  <c r="E1180" i="81"/>
  <c r="O1180" i="81" s="1"/>
  <c r="D1180" i="81"/>
  <c r="C1180" i="81"/>
  <c r="N1179" i="81"/>
  <c r="M1179" i="81"/>
  <c r="L1179" i="81"/>
  <c r="K1179" i="81"/>
  <c r="J1179" i="81"/>
  <c r="I1179" i="81"/>
  <c r="H1179" i="81"/>
  <c r="G1179" i="81"/>
  <c r="F1179" i="81"/>
  <c r="E1179" i="81"/>
  <c r="D1179" i="81"/>
  <c r="C1179" i="81"/>
  <c r="N1178" i="81"/>
  <c r="M1178" i="81"/>
  <c r="L1178" i="81"/>
  <c r="K1178" i="81"/>
  <c r="J1178" i="81"/>
  <c r="I1178" i="81"/>
  <c r="H1178" i="81"/>
  <c r="G1178" i="81"/>
  <c r="O1178" i="81" s="1"/>
  <c r="F1178" i="81"/>
  <c r="E1178" i="81"/>
  <c r="D1178" i="81"/>
  <c r="C1178" i="81"/>
  <c r="M1177" i="81"/>
  <c r="L1177" i="81"/>
  <c r="E1177" i="81"/>
  <c r="D1177" i="81"/>
  <c r="N1175" i="81"/>
  <c r="M1175" i="81"/>
  <c r="L1175" i="81"/>
  <c r="K1175" i="81"/>
  <c r="J1175" i="81"/>
  <c r="I1175" i="81"/>
  <c r="H1175" i="81"/>
  <c r="G1175" i="81"/>
  <c r="F1175" i="81"/>
  <c r="E1175" i="81"/>
  <c r="D1175" i="81"/>
  <c r="C1175" i="81"/>
  <c r="O1175" i="81" s="1"/>
  <c r="N1174" i="81"/>
  <c r="M1174" i="81"/>
  <c r="L1174" i="81"/>
  <c r="K1174" i="81"/>
  <c r="J1174" i="81"/>
  <c r="I1174" i="81"/>
  <c r="H1174" i="81"/>
  <c r="G1174" i="81"/>
  <c r="O1174" i="81" s="1"/>
  <c r="F1174" i="81"/>
  <c r="E1174" i="81"/>
  <c r="D1174" i="81"/>
  <c r="C1174" i="81"/>
  <c r="N1173" i="81"/>
  <c r="M1173" i="81"/>
  <c r="L1173" i="81"/>
  <c r="K1173" i="81"/>
  <c r="J1173" i="81"/>
  <c r="I1173" i="81"/>
  <c r="H1173" i="81"/>
  <c r="G1173" i="81"/>
  <c r="F1173" i="81"/>
  <c r="E1173" i="81"/>
  <c r="D1173" i="81"/>
  <c r="C1173" i="81"/>
  <c r="J1171" i="81"/>
  <c r="I1171" i="81"/>
  <c r="N1169" i="81"/>
  <c r="M1169" i="81"/>
  <c r="L1169" i="81"/>
  <c r="K1169" i="81"/>
  <c r="J1169" i="81"/>
  <c r="I1169" i="81"/>
  <c r="H1169" i="81"/>
  <c r="G1169" i="81"/>
  <c r="F1169" i="81"/>
  <c r="E1169" i="81"/>
  <c r="D1169" i="81"/>
  <c r="C1169" i="81"/>
  <c r="N1167" i="81"/>
  <c r="M1167" i="81"/>
  <c r="L1167" i="81"/>
  <c r="K1167" i="81"/>
  <c r="J1167" i="81"/>
  <c r="I1167" i="81"/>
  <c r="H1167" i="81"/>
  <c r="G1167" i="81"/>
  <c r="F1167" i="81"/>
  <c r="E1167" i="81"/>
  <c r="D1167" i="81"/>
  <c r="C1167" i="81"/>
  <c r="N1166" i="81"/>
  <c r="M1166" i="81"/>
  <c r="L1166" i="81"/>
  <c r="K1166" i="81"/>
  <c r="J1166" i="81"/>
  <c r="I1166" i="81"/>
  <c r="H1166" i="81"/>
  <c r="G1166" i="81"/>
  <c r="O1166" i="81" s="1"/>
  <c r="F1166" i="81"/>
  <c r="E1166" i="81"/>
  <c r="D1166" i="81"/>
  <c r="C1166" i="81"/>
  <c r="N1165" i="81"/>
  <c r="M1165" i="81"/>
  <c r="L1165" i="81"/>
  <c r="K1165" i="81"/>
  <c r="J1165" i="81"/>
  <c r="I1165" i="81"/>
  <c r="H1165" i="81"/>
  <c r="G1165" i="81"/>
  <c r="F1165" i="81"/>
  <c r="E1165" i="81"/>
  <c r="D1165" i="81"/>
  <c r="C1165" i="81"/>
  <c r="K1163" i="81"/>
  <c r="J1163" i="81"/>
  <c r="C1163" i="81"/>
  <c r="O1159" i="81"/>
  <c r="O1158" i="81"/>
  <c r="O1157" i="81"/>
  <c r="O1156" i="81"/>
  <c r="N1155" i="81"/>
  <c r="M1155" i="81"/>
  <c r="L1155" i="81"/>
  <c r="K1155" i="81"/>
  <c r="J1155" i="81"/>
  <c r="I1155" i="81"/>
  <c r="H1155" i="81"/>
  <c r="G1155" i="81"/>
  <c r="O1155" i="81" s="1"/>
  <c r="F1155" i="81"/>
  <c r="E1155" i="81"/>
  <c r="D1155" i="81"/>
  <c r="C1155" i="81"/>
  <c r="O1153" i="81"/>
  <c r="O1152" i="81"/>
  <c r="O1151" i="81"/>
  <c r="N1149" i="81"/>
  <c r="M1149" i="81"/>
  <c r="L1149" i="81"/>
  <c r="K1149" i="81"/>
  <c r="J1149" i="81"/>
  <c r="I1149" i="81"/>
  <c r="H1149" i="81"/>
  <c r="G1149" i="81"/>
  <c r="F1149" i="81"/>
  <c r="E1149" i="81"/>
  <c r="D1149" i="81"/>
  <c r="C1149" i="81"/>
  <c r="O1147" i="81"/>
  <c r="O1145" i="81"/>
  <c r="O1144" i="81"/>
  <c r="O1143" i="81"/>
  <c r="N1141" i="81"/>
  <c r="M1141" i="81"/>
  <c r="L1141" i="81"/>
  <c r="L1139" i="81" s="1"/>
  <c r="K1141" i="81"/>
  <c r="J1141" i="81"/>
  <c r="J1139" i="81" s="1"/>
  <c r="I1141" i="81"/>
  <c r="I1139" i="81" s="1"/>
  <c r="H1141" i="81"/>
  <c r="H1139" i="81" s="1"/>
  <c r="G1141" i="81"/>
  <c r="F1141" i="81"/>
  <c r="E1141" i="81"/>
  <c r="D1141" i="81"/>
  <c r="D1139" i="81" s="1"/>
  <c r="C1141" i="81"/>
  <c r="O1141" i="81" s="1"/>
  <c r="N1139" i="81"/>
  <c r="M1139" i="81"/>
  <c r="K1139" i="81"/>
  <c r="F1139" i="81"/>
  <c r="E1139" i="81"/>
  <c r="C1139" i="81"/>
  <c r="O1137" i="81"/>
  <c r="O1136" i="81"/>
  <c r="O1135" i="81"/>
  <c r="O1134" i="81"/>
  <c r="N1133" i="81"/>
  <c r="N1177" i="81" s="1"/>
  <c r="M1133" i="81"/>
  <c r="L1133" i="81"/>
  <c r="K1133" i="81"/>
  <c r="K1177" i="81" s="1"/>
  <c r="J1133" i="81"/>
  <c r="J1177" i="81" s="1"/>
  <c r="I1133" i="81"/>
  <c r="I1177" i="81" s="1"/>
  <c r="H1133" i="81"/>
  <c r="H1177" i="81" s="1"/>
  <c r="G1133" i="81"/>
  <c r="F1133" i="81"/>
  <c r="E1133" i="81"/>
  <c r="D1133" i="81"/>
  <c r="C1133" i="81"/>
  <c r="C1177" i="81" s="1"/>
  <c r="O1131" i="81"/>
  <c r="O1130" i="81"/>
  <c r="O1129" i="81"/>
  <c r="N1127" i="81"/>
  <c r="M1127" i="81"/>
  <c r="M1171" i="81" s="1"/>
  <c r="L1127" i="81"/>
  <c r="L1171" i="81" s="1"/>
  <c r="K1127" i="81"/>
  <c r="K1171" i="81" s="1"/>
  <c r="J1127" i="81"/>
  <c r="I1127" i="81"/>
  <c r="H1127" i="81"/>
  <c r="H1171" i="81" s="1"/>
  <c r="G1127" i="81"/>
  <c r="F1127" i="81"/>
  <c r="E1127" i="81"/>
  <c r="E1171" i="81" s="1"/>
  <c r="D1127" i="81"/>
  <c r="D1171" i="81" s="1"/>
  <c r="C1127" i="81"/>
  <c r="C1171" i="81" s="1"/>
  <c r="O1125" i="81"/>
  <c r="O1123" i="81"/>
  <c r="O1122" i="81"/>
  <c r="O1121" i="81"/>
  <c r="N1119" i="81"/>
  <c r="N1163" i="81" s="1"/>
  <c r="M1119" i="81"/>
  <c r="M1163" i="81" s="1"/>
  <c r="L1119" i="81"/>
  <c r="L1163" i="81" s="1"/>
  <c r="K1119" i="81"/>
  <c r="K1117" i="81" s="1"/>
  <c r="K1161" i="81" s="1"/>
  <c r="J1119" i="81"/>
  <c r="I1119" i="81"/>
  <c r="H1119" i="81"/>
  <c r="G1119" i="81"/>
  <c r="F1119" i="81"/>
  <c r="F1163" i="81" s="1"/>
  <c r="E1119" i="81"/>
  <c r="E1163" i="81" s="1"/>
  <c r="D1119" i="81"/>
  <c r="D1163" i="81" s="1"/>
  <c r="C1119" i="81"/>
  <c r="C1117" i="81" s="1"/>
  <c r="M1117" i="81"/>
  <c r="M1161" i="81" s="1"/>
  <c r="L1117" i="81"/>
  <c r="J1117" i="81"/>
  <c r="J1161" i="81" s="1"/>
  <c r="F1117" i="81"/>
  <c r="E1117" i="81"/>
  <c r="D1117" i="81"/>
  <c r="N1109" i="81"/>
  <c r="M1109" i="81"/>
  <c r="L1109" i="81"/>
  <c r="K1109" i="81"/>
  <c r="J1109" i="81"/>
  <c r="I1109" i="81"/>
  <c r="H1109" i="81"/>
  <c r="G1109" i="81"/>
  <c r="F1109" i="81"/>
  <c r="E1109" i="81"/>
  <c r="D1109" i="81"/>
  <c r="C1109" i="81"/>
  <c r="N1108" i="81"/>
  <c r="M1108" i="81"/>
  <c r="L1108" i="81"/>
  <c r="K1108" i="81"/>
  <c r="J1108" i="81"/>
  <c r="I1108" i="81"/>
  <c r="H1108" i="81"/>
  <c r="G1108" i="81"/>
  <c r="O1108" i="81" s="1"/>
  <c r="F1108" i="81"/>
  <c r="E1108" i="81"/>
  <c r="D1108" i="81"/>
  <c r="C1108" i="81"/>
  <c r="M1106" i="81"/>
  <c r="E1106" i="81"/>
  <c r="O1104" i="81"/>
  <c r="O1103" i="81"/>
  <c r="N1101" i="81"/>
  <c r="N1106" i="81" s="1"/>
  <c r="M1101" i="81"/>
  <c r="L1101" i="81"/>
  <c r="L1106" i="81" s="1"/>
  <c r="K1101" i="81"/>
  <c r="K1106" i="81" s="1"/>
  <c r="J1101" i="81"/>
  <c r="I1101" i="81"/>
  <c r="H1101" i="81"/>
  <c r="H1106" i="81" s="1"/>
  <c r="G1101" i="81"/>
  <c r="G1106" i="81" s="1"/>
  <c r="F1101" i="81"/>
  <c r="F1106" i="81" s="1"/>
  <c r="E1101" i="81"/>
  <c r="D1101" i="81"/>
  <c r="D1106" i="81" s="1"/>
  <c r="C1101" i="81"/>
  <c r="O1099" i="81"/>
  <c r="O1098" i="81"/>
  <c r="N1096" i="81"/>
  <c r="M1096" i="81"/>
  <c r="L1096" i="81"/>
  <c r="K1096" i="81"/>
  <c r="J1096" i="81"/>
  <c r="I1096" i="81"/>
  <c r="H1096" i="81"/>
  <c r="G1096" i="81"/>
  <c r="F1096" i="81"/>
  <c r="E1096" i="81"/>
  <c r="D1096" i="81"/>
  <c r="C1096" i="81"/>
  <c r="H1087" i="81"/>
  <c r="G1087" i="81"/>
  <c r="E1086" i="81"/>
  <c r="J1085" i="81"/>
  <c r="N1084" i="81"/>
  <c r="G1084" i="81"/>
  <c r="F1084" i="81"/>
  <c r="N1065" i="81"/>
  <c r="M1065" i="81"/>
  <c r="L1065" i="81"/>
  <c r="K1065" i="81"/>
  <c r="J1065" i="81"/>
  <c r="I1065" i="81"/>
  <c r="H1065" i="81"/>
  <c r="G1065" i="81"/>
  <c r="F1065" i="81"/>
  <c r="E1065" i="81"/>
  <c r="D1065" i="81"/>
  <c r="C1065" i="81"/>
  <c r="N1064" i="81"/>
  <c r="M1064" i="81"/>
  <c r="L1064" i="81"/>
  <c r="K1064" i="81"/>
  <c r="J1064" i="81"/>
  <c r="I1064" i="81"/>
  <c r="H1064" i="81"/>
  <c r="G1064" i="81"/>
  <c r="G1061" i="81" s="1"/>
  <c r="F1064" i="81"/>
  <c r="E1064" i="81"/>
  <c r="D1064" i="81"/>
  <c r="D1086" i="81" s="1"/>
  <c r="C1064" i="81"/>
  <c r="N1063" i="81"/>
  <c r="M1063" i="81"/>
  <c r="L1063" i="81"/>
  <c r="L1061" i="81" s="1"/>
  <c r="K1063" i="81"/>
  <c r="K1061" i="81" s="1"/>
  <c r="J1063" i="81"/>
  <c r="I1063" i="81"/>
  <c r="H1063" i="81"/>
  <c r="G1063" i="81"/>
  <c r="F1063" i="81"/>
  <c r="E1063" i="81"/>
  <c r="E1061" i="81" s="1"/>
  <c r="D1063" i="81"/>
  <c r="C1063" i="81"/>
  <c r="O1063" i="81" s="1"/>
  <c r="N1062" i="81"/>
  <c r="M1062" i="81"/>
  <c r="L1062" i="81"/>
  <c r="K1062" i="81"/>
  <c r="J1062" i="81"/>
  <c r="J1061" i="81" s="1"/>
  <c r="I1062" i="81"/>
  <c r="I1061" i="81" s="1"/>
  <c r="H1062" i="81"/>
  <c r="H1061" i="81" s="1"/>
  <c r="G1062" i="81"/>
  <c r="F1062" i="81"/>
  <c r="O1062" i="81" s="1"/>
  <c r="E1062" i="81"/>
  <c r="D1062" i="81"/>
  <c r="C1062" i="81"/>
  <c r="N1061" i="81"/>
  <c r="M1061" i="81"/>
  <c r="F1061" i="81"/>
  <c r="D1061" i="81"/>
  <c r="H1059" i="81"/>
  <c r="M1057" i="81"/>
  <c r="G1053" i="81"/>
  <c r="G1049" i="81"/>
  <c r="C1049" i="81"/>
  <c r="N1043" i="81"/>
  <c r="N1087" i="81" s="1"/>
  <c r="M1043" i="81"/>
  <c r="M1087" i="81" s="1"/>
  <c r="L1043" i="81"/>
  <c r="L1087" i="81" s="1"/>
  <c r="K1043" i="81"/>
  <c r="J1043" i="81"/>
  <c r="I1043" i="81"/>
  <c r="H1043" i="81"/>
  <c r="G1043" i="81"/>
  <c r="F1043" i="81"/>
  <c r="F1087" i="81" s="1"/>
  <c r="E1043" i="81"/>
  <c r="E1087" i="81" s="1"/>
  <c r="D1043" i="81"/>
  <c r="D1087" i="81" s="1"/>
  <c r="C1043" i="81"/>
  <c r="N1042" i="81"/>
  <c r="M1042" i="81"/>
  <c r="M1086" i="81" s="1"/>
  <c r="L1042" i="81"/>
  <c r="L1086" i="81" s="1"/>
  <c r="K1042" i="81"/>
  <c r="K1086" i="81" s="1"/>
  <c r="J1042" i="81"/>
  <c r="J1086" i="81" s="1"/>
  <c r="I1042" i="81"/>
  <c r="I1086" i="81" s="1"/>
  <c r="H1042" i="81"/>
  <c r="G1042" i="81"/>
  <c r="F1042" i="81"/>
  <c r="E1042" i="81"/>
  <c r="D1042" i="81"/>
  <c r="C1042" i="81"/>
  <c r="N1041" i="81"/>
  <c r="N1085" i="81" s="1"/>
  <c r="M1041" i="81"/>
  <c r="L1041" i="81"/>
  <c r="K1041" i="81"/>
  <c r="J1041" i="81"/>
  <c r="I1041" i="81"/>
  <c r="I1085" i="81" s="1"/>
  <c r="H1041" i="81"/>
  <c r="G1041" i="81"/>
  <c r="G1085" i="81" s="1"/>
  <c r="F1041" i="81"/>
  <c r="F1085" i="81" s="1"/>
  <c r="E1041" i="81"/>
  <c r="D1041" i="81"/>
  <c r="C1041" i="81"/>
  <c r="N1040" i="81"/>
  <c r="M1040" i="81"/>
  <c r="L1040" i="81"/>
  <c r="K1040" i="81"/>
  <c r="J1040" i="81"/>
  <c r="I1040" i="81"/>
  <c r="I1039" i="81" s="1"/>
  <c r="H1040" i="81"/>
  <c r="G1040" i="81"/>
  <c r="F1040" i="81"/>
  <c r="E1040" i="81"/>
  <c r="E1039" i="81" s="1"/>
  <c r="E1083" i="81" s="1"/>
  <c r="D1040" i="81"/>
  <c r="C1040" i="81"/>
  <c r="N1039" i="81"/>
  <c r="J1039" i="81"/>
  <c r="J1083" i="81" s="1"/>
  <c r="G1039" i="81"/>
  <c r="F1039" i="81"/>
  <c r="F1083" i="81" s="1"/>
  <c r="L1037" i="81"/>
  <c r="H1035" i="81"/>
  <c r="G1035" i="81"/>
  <c r="L1028" i="81"/>
  <c r="L1072" i="81" s="1"/>
  <c r="J1028" i="81"/>
  <c r="J1072" i="81" s="1"/>
  <c r="I1028" i="81"/>
  <c r="I1072" i="81" s="1"/>
  <c r="N1027" i="81"/>
  <c r="G1027" i="81"/>
  <c r="G1071" i="81" s="1"/>
  <c r="G1013" i="81"/>
  <c r="L1012" i="81"/>
  <c r="J1012" i="81"/>
  <c r="D1012" i="81"/>
  <c r="F1010" i="81"/>
  <c r="N1005" i="81"/>
  <c r="N1013" i="81" s="1"/>
  <c r="M1005" i="81"/>
  <c r="L1005" i="81"/>
  <c r="K1005" i="81"/>
  <c r="J1005" i="81"/>
  <c r="I1005" i="81"/>
  <c r="H1005" i="81"/>
  <c r="G1005" i="81"/>
  <c r="F1005" i="81"/>
  <c r="F1003" i="81" s="1"/>
  <c r="F1059" i="81" s="1"/>
  <c r="E1005" i="81"/>
  <c r="D1005" i="81"/>
  <c r="C1005" i="81"/>
  <c r="N1004" i="81"/>
  <c r="M1004" i="81"/>
  <c r="L1004" i="81"/>
  <c r="K1004" i="81"/>
  <c r="J1004" i="81"/>
  <c r="J1003" i="81" s="1"/>
  <c r="J1059" i="81" s="1"/>
  <c r="I1004" i="81"/>
  <c r="I1003" i="81" s="1"/>
  <c r="I1059" i="81" s="1"/>
  <c r="H1004" i="81"/>
  <c r="H1003" i="81" s="1"/>
  <c r="G1004" i="81"/>
  <c r="G1003" i="81" s="1"/>
  <c r="G1059" i="81" s="1"/>
  <c r="F1004" i="81"/>
  <c r="E1004" i="81"/>
  <c r="D1004" i="81"/>
  <c r="C1004" i="81"/>
  <c r="N1003" i="81"/>
  <c r="N1059" i="81" s="1"/>
  <c r="M1003" i="81"/>
  <c r="M1059" i="81" s="1"/>
  <c r="L1003" i="81"/>
  <c r="L1059" i="81" s="1"/>
  <c r="E1003" i="81"/>
  <c r="E1059" i="81" s="1"/>
  <c r="D1003" i="81"/>
  <c r="D1059" i="81" s="1"/>
  <c r="J1002" i="81"/>
  <c r="J1058" i="81" s="1"/>
  <c r="I1002" i="81"/>
  <c r="I1058" i="81" s="1"/>
  <c r="N1001" i="81"/>
  <c r="F1001" i="81"/>
  <c r="N997" i="81"/>
  <c r="M997" i="81"/>
  <c r="M1013" i="81" s="1"/>
  <c r="L997" i="81"/>
  <c r="K997" i="81"/>
  <c r="J997" i="81"/>
  <c r="I997" i="81"/>
  <c r="I1013" i="81" s="1"/>
  <c r="H997" i="81"/>
  <c r="H1013" i="81" s="1"/>
  <c r="G997" i="81"/>
  <c r="F997" i="81"/>
  <c r="E997" i="81"/>
  <c r="E1013" i="81" s="1"/>
  <c r="D997" i="81"/>
  <c r="C997" i="81"/>
  <c r="N996" i="81"/>
  <c r="M996" i="81"/>
  <c r="L996" i="81"/>
  <c r="K996" i="81"/>
  <c r="J996" i="81"/>
  <c r="I996" i="81"/>
  <c r="H996" i="81"/>
  <c r="G996" i="81"/>
  <c r="F996" i="81"/>
  <c r="F1012" i="81" s="1"/>
  <c r="E996" i="81"/>
  <c r="D996" i="81"/>
  <c r="C996" i="81"/>
  <c r="L995" i="81"/>
  <c r="K995" i="81"/>
  <c r="K1037" i="81" s="1"/>
  <c r="F995" i="81"/>
  <c r="F1037" i="81" s="1"/>
  <c r="D995" i="81"/>
  <c r="D1037" i="81" s="1"/>
  <c r="D1081" i="81" s="1"/>
  <c r="C995" i="81"/>
  <c r="M993" i="81"/>
  <c r="M1009" i="81" s="1"/>
  <c r="E993" i="81"/>
  <c r="D993" i="81"/>
  <c r="N984" i="81"/>
  <c r="J984" i="81"/>
  <c r="H984" i="81"/>
  <c r="G984" i="81"/>
  <c r="O982" i="81"/>
  <c r="O981" i="81"/>
  <c r="O980" i="81"/>
  <c r="O978" i="81"/>
  <c r="N976" i="81"/>
  <c r="M976" i="81"/>
  <c r="M984" i="81" s="1"/>
  <c r="L976" i="81"/>
  <c r="L984" i="81" s="1"/>
  <c r="K976" i="81"/>
  <c r="K984" i="81" s="1"/>
  <c r="J976" i="81"/>
  <c r="I976" i="81"/>
  <c r="I984" i="81" s="1"/>
  <c r="H976" i="81"/>
  <c r="G976" i="81"/>
  <c r="O976" i="81" s="1"/>
  <c r="F976" i="81"/>
  <c r="E976" i="81"/>
  <c r="E984" i="81" s="1"/>
  <c r="D976" i="81"/>
  <c r="D984" i="81" s="1"/>
  <c r="C976" i="81"/>
  <c r="C984" i="81" s="1"/>
  <c r="O974" i="81"/>
  <c r="O973" i="81"/>
  <c r="O972" i="81"/>
  <c r="O971" i="81"/>
  <c r="O970" i="81"/>
  <c r="O969" i="81"/>
  <c r="O968" i="81"/>
  <c r="O967" i="81"/>
  <c r="O966" i="81"/>
  <c r="O965" i="81"/>
  <c r="O964" i="81"/>
  <c r="O963" i="81"/>
  <c r="O962" i="81"/>
  <c r="O961" i="81"/>
  <c r="O960" i="81"/>
  <c r="O959" i="81"/>
  <c r="O958" i="81"/>
  <c r="O957" i="81"/>
  <c r="O956" i="81"/>
  <c r="O955" i="81"/>
  <c r="O954" i="81"/>
  <c r="O953" i="81"/>
  <c r="O952" i="81"/>
  <c r="O951" i="81"/>
  <c r="O950" i="81"/>
  <c r="N948" i="81"/>
  <c r="M948" i="81"/>
  <c r="L948" i="81"/>
  <c r="K948" i="81"/>
  <c r="J948" i="81"/>
  <c r="I948" i="81"/>
  <c r="H948" i="81"/>
  <c r="G948" i="81"/>
  <c r="F948" i="81"/>
  <c r="F984" i="81" s="1"/>
  <c r="E948" i="81"/>
  <c r="O948" i="81" s="1"/>
  <c r="D948" i="81"/>
  <c r="C948" i="81"/>
  <c r="J941" i="81"/>
  <c r="F941" i="81"/>
  <c r="O939" i="81"/>
  <c r="O938" i="81"/>
  <c r="O937" i="81"/>
  <c r="O935" i="81"/>
  <c r="O934" i="81"/>
  <c r="N932" i="81"/>
  <c r="N941" i="81" s="1"/>
  <c r="M932" i="81"/>
  <c r="L932" i="81"/>
  <c r="K932" i="81"/>
  <c r="J932" i="81"/>
  <c r="I932" i="81"/>
  <c r="H932" i="81"/>
  <c r="G932" i="81"/>
  <c r="F932" i="81"/>
  <c r="E932" i="81"/>
  <c r="D932" i="81"/>
  <c r="C932" i="81"/>
  <c r="O930" i="81"/>
  <c r="O929" i="81"/>
  <c r="O928" i="81"/>
  <c r="O927" i="81"/>
  <c r="O926" i="81"/>
  <c r="O925" i="81"/>
  <c r="O924" i="81"/>
  <c r="O923" i="81"/>
  <c r="O922" i="81"/>
  <c r="O921" i="81"/>
  <c r="O920" i="81"/>
  <c r="O919" i="81"/>
  <c r="O918" i="81"/>
  <c r="O917" i="81"/>
  <c r="O916" i="81"/>
  <c r="O915" i="81"/>
  <c r="O914" i="81"/>
  <c r="O913" i="81"/>
  <c r="O912" i="81"/>
  <c r="O911" i="81"/>
  <c r="O910" i="81"/>
  <c r="O909" i="81"/>
  <c r="O908" i="81"/>
  <c r="O907" i="81"/>
  <c r="O906" i="81"/>
  <c r="O905" i="81"/>
  <c r="N904" i="81"/>
  <c r="M904" i="81"/>
  <c r="M941" i="81" s="1"/>
  <c r="L904" i="81"/>
  <c r="L941" i="81" s="1"/>
  <c r="K904" i="81"/>
  <c r="K941" i="81" s="1"/>
  <c r="J904" i="81"/>
  <c r="I904" i="81"/>
  <c r="I941" i="81" s="1"/>
  <c r="H904" i="81"/>
  <c r="G904" i="81"/>
  <c r="G941" i="81" s="1"/>
  <c r="F904" i="81"/>
  <c r="E904" i="81"/>
  <c r="E941" i="81" s="1"/>
  <c r="D904" i="81"/>
  <c r="D941" i="81" s="1"/>
  <c r="C904" i="81"/>
  <c r="C941" i="81" s="1"/>
  <c r="J897" i="81"/>
  <c r="H897" i="81"/>
  <c r="O895" i="81"/>
  <c r="O894" i="81"/>
  <c r="O893" i="81"/>
  <c r="O891" i="81"/>
  <c r="O890" i="81"/>
  <c r="O889" i="81"/>
  <c r="O888" i="81"/>
  <c r="O887" i="81"/>
  <c r="O886" i="81"/>
  <c r="O885" i="81"/>
  <c r="O884" i="81"/>
  <c r="O883" i="81"/>
  <c r="O882" i="81"/>
  <c r="O881" i="81"/>
  <c r="O880" i="81"/>
  <c r="O879" i="81"/>
  <c r="O878" i="81"/>
  <c r="O877" i="81"/>
  <c r="O876" i="81"/>
  <c r="O875" i="81"/>
  <c r="O874" i="81"/>
  <c r="O873" i="81"/>
  <c r="O872" i="81"/>
  <c r="O871" i="81"/>
  <c r="N869" i="81"/>
  <c r="N897" i="81" s="1"/>
  <c r="M869" i="81"/>
  <c r="M897" i="81" s="1"/>
  <c r="L869" i="81"/>
  <c r="K869" i="81"/>
  <c r="J869" i="81"/>
  <c r="I869" i="81"/>
  <c r="I897" i="81" s="1"/>
  <c r="H869" i="81"/>
  <c r="G869" i="81"/>
  <c r="G897" i="81" s="1"/>
  <c r="F869" i="81"/>
  <c r="F897" i="81" s="1"/>
  <c r="E869" i="81"/>
  <c r="E897" i="81" s="1"/>
  <c r="D869" i="81"/>
  <c r="C869" i="81"/>
  <c r="O867" i="81"/>
  <c r="O866" i="81"/>
  <c r="O865" i="81"/>
  <c r="O864" i="81"/>
  <c r="O863" i="81"/>
  <c r="O862" i="81"/>
  <c r="O861" i="81"/>
  <c r="O860" i="81"/>
  <c r="O859" i="81"/>
  <c r="O858" i="81"/>
  <c r="O857" i="81"/>
  <c r="O856" i="81"/>
  <c r="O855" i="81"/>
  <c r="O854" i="81"/>
  <c r="O853" i="81"/>
  <c r="O852" i="81"/>
  <c r="O851" i="81"/>
  <c r="O850" i="81"/>
  <c r="O849" i="81"/>
  <c r="O848" i="81"/>
  <c r="O847" i="81"/>
  <c r="O846" i="81"/>
  <c r="O845" i="81"/>
  <c r="O844" i="81"/>
  <c r="O843" i="81"/>
  <c r="N841" i="81"/>
  <c r="M841" i="81"/>
  <c r="L841" i="81"/>
  <c r="L897" i="81" s="1"/>
  <c r="K841" i="81"/>
  <c r="K897" i="81" s="1"/>
  <c r="J841" i="81"/>
  <c r="I841" i="81"/>
  <c r="H841" i="81"/>
  <c r="G841" i="81"/>
  <c r="F841" i="81"/>
  <c r="E841" i="81"/>
  <c r="D841" i="81"/>
  <c r="D897" i="81" s="1"/>
  <c r="C841" i="81"/>
  <c r="L834" i="81"/>
  <c r="H834" i="81"/>
  <c r="O832" i="81"/>
  <c r="O831" i="81"/>
  <c r="O830" i="81"/>
  <c r="O828" i="81"/>
  <c r="O827" i="81"/>
  <c r="O826" i="81"/>
  <c r="O825" i="81"/>
  <c r="O824" i="81"/>
  <c r="O823" i="81"/>
  <c r="O822" i="81"/>
  <c r="O821" i="81"/>
  <c r="O820" i="81"/>
  <c r="O819" i="81"/>
  <c r="O818" i="81"/>
  <c r="O817" i="81"/>
  <c r="O816" i="81"/>
  <c r="O815" i="81"/>
  <c r="O814" i="81"/>
  <c r="O813" i="81"/>
  <c r="O812" i="81"/>
  <c r="O811" i="81"/>
  <c r="O810" i="81"/>
  <c r="O809" i="81"/>
  <c r="O808" i="81"/>
  <c r="N806" i="81"/>
  <c r="N834" i="81" s="1"/>
  <c r="M806" i="81"/>
  <c r="M834" i="81" s="1"/>
  <c r="L806" i="81"/>
  <c r="K806" i="81"/>
  <c r="J806" i="81"/>
  <c r="I806" i="81"/>
  <c r="I834" i="81" s="1"/>
  <c r="H806" i="81"/>
  <c r="G806" i="81"/>
  <c r="G834" i="81" s="1"/>
  <c r="F806" i="81"/>
  <c r="F834" i="81" s="1"/>
  <c r="E806" i="81"/>
  <c r="E834" i="81" s="1"/>
  <c r="D806" i="81"/>
  <c r="C806" i="81"/>
  <c r="O804" i="81"/>
  <c r="O803" i="81"/>
  <c r="O802" i="81"/>
  <c r="O800" i="81"/>
  <c r="O799" i="81"/>
  <c r="O798" i="81"/>
  <c r="O797" i="81"/>
  <c r="O796" i="81"/>
  <c r="O795" i="81"/>
  <c r="O794" i="81"/>
  <c r="O793" i="81"/>
  <c r="O792" i="81"/>
  <c r="O791" i="81"/>
  <c r="O790" i="81"/>
  <c r="O789" i="81"/>
  <c r="O788" i="81"/>
  <c r="O787" i="81"/>
  <c r="O786" i="81"/>
  <c r="O785" i="81"/>
  <c r="O784" i="81"/>
  <c r="O783" i="81"/>
  <c r="O782" i="81"/>
  <c r="O781" i="81"/>
  <c r="O780" i="81"/>
  <c r="N778" i="81"/>
  <c r="M778" i="81"/>
  <c r="L778" i="81"/>
  <c r="K778" i="81"/>
  <c r="K834" i="81" s="1"/>
  <c r="J778" i="81"/>
  <c r="J834" i="81" s="1"/>
  <c r="I778" i="81"/>
  <c r="H778" i="81"/>
  <c r="G778" i="81"/>
  <c r="F778" i="81"/>
  <c r="E778" i="81"/>
  <c r="D778" i="81"/>
  <c r="D834" i="81" s="1"/>
  <c r="C778" i="81"/>
  <c r="N768" i="81"/>
  <c r="M768" i="81"/>
  <c r="L768" i="81"/>
  <c r="K768" i="81"/>
  <c r="J768" i="81"/>
  <c r="I768" i="81"/>
  <c r="H768" i="81"/>
  <c r="G768" i="81"/>
  <c r="O768" i="81" s="1"/>
  <c r="F768" i="81"/>
  <c r="E768" i="81"/>
  <c r="D768" i="81"/>
  <c r="C768" i="81"/>
  <c r="N767" i="81"/>
  <c r="M767" i="81"/>
  <c r="L767" i="81"/>
  <c r="K767" i="81"/>
  <c r="J767" i="81"/>
  <c r="I767" i="81"/>
  <c r="H767" i="81"/>
  <c r="G767" i="81"/>
  <c r="F767" i="81"/>
  <c r="E767" i="81"/>
  <c r="D767" i="81"/>
  <c r="O767" i="81" s="1"/>
  <c r="C767" i="81"/>
  <c r="N766" i="81"/>
  <c r="M766" i="81"/>
  <c r="L766" i="81"/>
  <c r="K766" i="81"/>
  <c r="J766" i="81"/>
  <c r="I766" i="81"/>
  <c r="H766" i="81"/>
  <c r="G766" i="81"/>
  <c r="F766" i="81"/>
  <c r="E766" i="81"/>
  <c r="D766" i="81"/>
  <c r="C766" i="81"/>
  <c r="N765" i="81"/>
  <c r="M765" i="81"/>
  <c r="L765" i="81"/>
  <c r="K765" i="81"/>
  <c r="J765" i="81"/>
  <c r="I765" i="81"/>
  <c r="H765" i="81"/>
  <c r="G765" i="81"/>
  <c r="F765" i="81"/>
  <c r="E765" i="81"/>
  <c r="D765" i="81"/>
  <c r="C765" i="81"/>
  <c r="K763" i="81"/>
  <c r="G763" i="81"/>
  <c r="C763" i="81"/>
  <c r="O761" i="81"/>
  <c r="O760" i="81"/>
  <c r="O759" i="81"/>
  <c r="O758" i="81"/>
  <c r="N756" i="81"/>
  <c r="M756" i="81"/>
  <c r="L756" i="81"/>
  <c r="L763" i="81" s="1"/>
  <c r="K756" i="81"/>
  <c r="J756" i="81"/>
  <c r="I756" i="81"/>
  <c r="H756" i="81"/>
  <c r="G756" i="81"/>
  <c r="F756" i="81"/>
  <c r="E756" i="81"/>
  <c r="E763" i="81" s="1"/>
  <c r="D756" i="81"/>
  <c r="C756" i="81"/>
  <c r="O754" i="81"/>
  <c r="O753" i="81"/>
  <c r="O752" i="81"/>
  <c r="O751" i="81"/>
  <c r="N749" i="81"/>
  <c r="M749" i="81"/>
  <c r="L749" i="81"/>
  <c r="K749" i="81"/>
  <c r="J749" i="81"/>
  <c r="J763" i="81" s="1"/>
  <c r="I749" i="81"/>
  <c r="I763" i="81" s="1"/>
  <c r="H749" i="81"/>
  <c r="H763" i="81" s="1"/>
  <c r="G749" i="81"/>
  <c r="O749" i="81" s="1"/>
  <c r="F749" i="81"/>
  <c r="E749" i="81"/>
  <c r="D749" i="81"/>
  <c r="C749" i="81"/>
  <c r="K741" i="81"/>
  <c r="J741" i="81"/>
  <c r="F741" i="81"/>
  <c r="C741" i="81"/>
  <c r="N740" i="81"/>
  <c r="M740" i="81"/>
  <c r="L740" i="81"/>
  <c r="K740" i="81"/>
  <c r="J740" i="81"/>
  <c r="I740" i="81"/>
  <c r="H740" i="81"/>
  <c r="G740" i="81"/>
  <c r="F740" i="81"/>
  <c r="E740" i="81"/>
  <c r="D740" i="81"/>
  <c r="C740" i="81"/>
  <c r="N737" i="81"/>
  <c r="N735" i="81" s="1"/>
  <c r="N1053" i="81" s="1"/>
  <c r="M737" i="81"/>
  <c r="M735" i="81" s="1"/>
  <c r="M1053" i="81" s="1"/>
  <c r="L737" i="81"/>
  <c r="L735" i="81" s="1"/>
  <c r="L1053" i="81" s="1"/>
  <c r="K737" i="81"/>
  <c r="J737" i="81"/>
  <c r="I737" i="81"/>
  <c r="H737" i="81"/>
  <c r="G737" i="81"/>
  <c r="F737" i="81"/>
  <c r="F735" i="81" s="1"/>
  <c r="E737" i="81"/>
  <c r="E735" i="81" s="1"/>
  <c r="E1053" i="81" s="1"/>
  <c r="E1075" i="81" s="1"/>
  <c r="D737" i="81"/>
  <c r="C737" i="81"/>
  <c r="O736" i="81"/>
  <c r="K735" i="81"/>
  <c r="K1053" i="81" s="1"/>
  <c r="J735" i="81"/>
  <c r="J1053" i="81" s="1"/>
  <c r="I735" i="81"/>
  <c r="I1053" i="81" s="1"/>
  <c r="H735" i="81"/>
  <c r="H1053" i="81" s="1"/>
  <c r="G735" i="81"/>
  <c r="C735" i="81"/>
  <c r="C1053" i="81" s="1"/>
  <c r="N733" i="81"/>
  <c r="N741" i="81" s="1"/>
  <c r="M733" i="81"/>
  <c r="L733" i="81"/>
  <c r="K733" i="81"/>
  <c r="J733" i="81"/>
  <c r="I733" i="81"/>
  <c r="I741" i="81" s="1"/>
  <c r="H733" i="81"/>
  <c r="G733" i="81"/>
  <c r="F733" i="81"/>
  <c r="E733" i="81"/>
  <c r="D733" i="81"/>
  <c r="O733" i="81" s="1"/>
  <c r="C733" i="81"/>
  <c r="O732" i="81"/>
  <c r="N731" i="81"/>
  <c r="N1031" i="81" s="1"/>
  <c r="N1075" i="81" s="1"/>
  <c r="K731" i="81"/>
  <c r="J731" i="81"/>
  <c r="F731" i="81"/>
  <c r="F1031" i="81" s="1"/>
  <c r="E731" i="81"/>
  <c r="E1031" i="81" s="1"/>
  <c r="D731" i="81"/>
  <c r="D1031" i="81" s="1"/>
  <c r="C731" i="81"/>
  <c r="J723" i="81"/>
  <c r="I723" i="81"/>
  <c r="H723" i="81"/>
  <c r="G723" i="81"/>
  <c r="J721" i="81"/>
  <c r="I721" i="81"/>
  <c r="N720" i="81"/>
  <c r="L720" i="81"/>
  <c r="I720" i="81"/>
  <c r="N715" i="81"/>
  <c r="M715" i="81"/>
  <c r="L715" i="81"/>
  <c r="K715" i="81"/>
  <c r="J715" i="81"/>
  <c r="I715" i="81"/>
  <c r="H715" i="81"/>
  <c r="G715" i="81"/>
  <c r="F715" i="81"/>
  <c r="E715" i="81"/>
  <c r="D715" i="81"/>
  <c r="D714" i="81" s="1"/>
  <c r="D1051" i="81" s="1"/>
  <c r="C715" i="81"/>
  <c r="O715" i="81" s="1"/>
  <c r="N713" i="81"/>
  <c r="N1050" i="81" s="1"/>
  <c r="M713" i="81"/>
  <c r="M1050" i="81" s="1"/>
  <c r="L713" i="81"/>
  <c r="L1050" i="81" s="1"/>
  <c r="K713" i="81"/>
  <c r="K1050" i="81" s="1"/>
  <c r="J713" i="81"/>
  <c r="J1050" i="81" s="1"/>
  <c r="I713" i="81"/>
  <c r="I1050" i="81" s="1"/>
  <c r="H713" i="81"/>
  <c r="H1050" i="81" s="1"/>
  <c r="G713" i="81"/>
  <c r="G1050" i="81" s="1"/>
  <c r="F713" i="81"/>
  <c r="F1050" i="81" s="1"/>
  <c r="E713" i="81"/>
  <c r="E1050" i="81" s="1"/>
  <c r="D713" i="81"/>
  <c r="D1050" i="81" s="1"/>
  <c r="O1050" i="81" s="1"/>
  <c r="C713" i="81"/>
  <c r="C1050" i="81" s="1"/>
  <c r="N712" i="81"/>
  <c r="N1049" i="81" s="1"/>
  <c r="M712" i="81"/>
  <c r="L712" i="81"/>
  <c r="K712" i="81"/>
  <c r="J712" i="81"/>
  <c r="I712" i="81"/>
  <c r="I1049" i="81" s="1"/>
  <c r="H712" i="81"/>
  <c r="H1049" i="81" s="1"/>
  <c r="G712" i="81"/>
  <c r="F712" i="81"/>
  <c r="F1049" i="81" s="1"/>
  <c r="E712" i="81"/>
  <c r="D712" i="81"/>
  <c r="D1049" i="81" s="1"/>
  <c r="D1047" i="81" s="1"/>
  <c r="C712" i="81"/>
  <c r="H708" i="81"/>
  <c r="H706" i="81" s="1"/>
  <c r="N707" i="81"/>
  <c r="M707" i="81"/>
  <c r="L707" i="81"/>
  <c r="K707" i="81"/>
  <c r="K723" i="81" s="1"/>
  <c r="J707" i="81"/>
  <c r="I707" i="81"/>
  <c r="H707" i="81"/>
  <c r="G707" i="81"/>
  <c r="F707" i="81"/>
  <c r="E707" i="81"/>
  <c r="D707" i="81"/>
  <c r="C707" i="81"/>
  <c r="N705" i="81"/>
  <c r="M705" i="81"/>
  <c r="L705" i="81"/>
  <c r="K705" i="81"/>
  <c r="J705" i="81"/>
  <c r="I705" i="81"/>
  <c r="H705" i="81"/>
  <c r="H1028" i="81" s="1"/>
  <c r="G705" i="81"/>
  <c r="F705" i="81"/>
  <c r="E705" i="81"/>
  <c r="D705" i="81"/>
  <c r="D1028" i="81" s="1"/>
  <c r="C705" i="81"/>
  <c r="N704" i="81"/>
  <c r="M704" i="81"/>
  <c r="M1027" i="81" s="1"/>
  <c r="L704" i="81"/>
  <c r="K704" i="81"/>
  <c r="K720" i="81" s="1"/>
  <c r="J704" i="81"/>
  <c r="I704" i="81"/>
  <c r="H704" i="81"/>
  <c r="H1027" i="81" s="1"/>
  <c r="G704" i="81"/>
  <c r="G720" i="81" s="1"/>
  <c r="F704" i="81"/>
  <c r="F1027" i="81" s="1"/>
  <c r="F1071" i="81" s="1"/>
  <c r="E704" i="81"/>
  <c r="E1027" i="81" s="1"/>
  <c r="D704" i="81"/>
  <c r="D1027" i="81" s="1"/>
  <c r="C704" i="81"/>
  <c r="N692" i="81"/>
  <c r="M692" i="81"/>
  <c r="L692" i="81"/>
  <c r="K692" i="81"/>
  <c r="J692" i="81"/>
  <c r="I692" i="81"/>
  <c r="H692" i="81"/>
  <c r="G692" i="81"/>
  <c r="F692" i="81"/>
  <c r="E692" i="81"/>
  <c r="D692" i="81"/>
  <c r="C692" i="81"/>
  <c r="N691" i="81"/>
  <c r="M691" i="81"/>
  <c r="L691" i="81"/>
  <c r="K691" i="81"/>
  <c r="J691" i="81"/>
  <c r="I691" i="81"/>
  <c r="H691" i="81"/>
  <c r="G691" i="81"/>
  <c r="F691" i="81"/>
  <c r="E691" i="81"/>
  <c r="O691" i="81" s="1"/>
  <c r="D691" i="81"/>
  <c r="C691" i="81"/>
  <c r="N690" i="81"/>
  <c r="M690" i="81"/>
  <c r="L690" i="81"/>
  <c r="K690" i="81"/>
  <c r="J690" i="81"/>
  <c r="I690" i="81"/>
  <c r="H690" i="81"/>
  <c r="G690" i="81"/>
  <c r="F690" i="81"/>
  <c r="E690" i="81"/>
  <c r="D690" i="81"/>
  <c r="C690" i="81"/>
  <c r="N687" i="81"/>
  <c r="M687" i="81"/>
  <c r="L687" i="81"/>
  <c r="K687" i="81"/>
  <c r="J687" i="81"/>
  <c r="I687" i="81"/>
  <c r="H687" i="81"/>
  <c r="G687" i="81"/>
  <c r="F687" i="81"/>
  <c r="O687" i="81" s="1"/>
  <c r="E687" i="81"/>
  <c r="D687" i="81"/>
  <c r="C687" i="81"/>
  <c r="N686" i="81"/>
  <c r="M686" i="81"/>
  <c r="L686" i="81"/>
  <c r="K686" i="81"/>
  <c r="J686" i="81"/>
  <c r="I686" i="81"/>
  <c r="H686" i="81"/>
  <c r="G686" i="81"/>
  <c r="F686" i="81"/>
  <c r="E686" i="81"/>
  <c r="D686" i="81"/>
  <c r="C686" i="81"/>
  <c r="N685" i="81"/>
  <c r="M685" i="81"/>
  <c r="L685" i="81"/>
  <c r="K685" i="81"/>
  <c r="J685" i="81"/>
  <c r="I685" i="81"/>
  <c r="H685" i="81"/>
  <c r="G685" i="81"/>
  <c r="O685" i="81" s="1"/>
  <c r="F685" i="81"/>
  <c r="E685" i="81"/>
  <c r="D685" i="81"/>
  <c r="C685" i="81"/>
  <c r="N684" i="81"/>
  <c r="M684" i="81"/>
  <c r="C684" i="81"/>
  <c r="M682" i="81"/>
  <c r="E682" i="81"/>
  <c r="O680" i="81"/>
  <c r="O679" i="81"/>
  <c r="O678" i="81"/>
  <c r="N677" i="81"/>
  <c r="M677" i="81"/>
  <c r="M689" i="81" s="1"/>
  <c r="L677" i="81"/>
  <c r="L689" i="81" s="1"/>
  <c r="K677" i="81"/>
  <c r="J677" i="81"/>
  <c r="I677" i="81"/>
  <c r="H677" i="81"/>
  <c r="G677" i="81"/>
  <c r="F677" i="81"/>
  <c r="E677" i="81"/>
  <c r="E689" i="81" s="1"/>
  <c r="D677" i="81"/>
  <c r="D689" i="81" s="1"/>
  <c r="C677" i="81"/>
  <c r="O676" i="81"/>
  <c r="O675" i="81"/>
  <c r="O674" i="81"/>
  <c r="O673" i="81"/>
  <c r="N672" i="81"/>
  <c r="N670" i="81" s="1"/>
  <c r="M672" i="81"/>
  <c r="M670" i="81" s="1"/>
  <c r="L672" i="81"/>
  <c r="K672" i="81"/>
  <c r="K670" i="81" s="1"/>
  <c r="J672" i="81"/>
  <c r="J670" i="81" s="1"/>
  <c r="I672" i="81"/>
  <c r="H672" i="81"/>
  <c r="G672" i="81"/>
  <c r="F672" i="81"/>
  <c r="E672" i="81"/>
  <c r="E670" i="81" s="1"/>
  <c r="D672" i="81"/>
  <c r="C672" i="81"/>
  <c r="I670" i="81"/>
  <c r="H670" i="81"/>
  <c r="G670" i="81"/>
  <c r="F670" i="81"/>
  <c r="C670" i="81"/>
  <c r="O668" i="81"/>
  <c r="O667" i="81"/>
  <c r="O666" i="81"/>
  <c r="N665" i="81"/>
  <c r="N689" i="81" s="1"/>
  <c r="M665" i="81"/>
  <c r="L665" i="81"/>
  <c r="K665" i="81"/>
  <c r="K689" i="81" s="1"/>
  <c r="J665" i="81"/>
  <c r="J689" i="81" s="1"/>
  <c r="I665" i="81"/>
  <c r="I689" i="81" s="1"/>
  <c r="H665" i="81"/>
  <c r="H689" i="81" s="1"/>
  <c r="G665" i="81"/>
  <c r="G689" i="81" s="1"/>
  <c r="F665" i="81"/>
  <c r="F689" i="81" s="1"/>
  <c r="E665" i="81"/>
  <c r="D665" i="81"/>
  <c r="C665" i="81"/>
  <c r="O665" i="81" s="1"/>
  <c r="O663" i="81"/>
  <c r="O662" i="81"/>
  <c r="O661" i="81"/>
  <c r="N660" i="81"/>
  <c r="N658" i="81" s="1"/>
  <c r="M660" i="81"/>
  <c r="L660" i="81"/>
  <c r="K660" i="81"/>
  <c r="J660" i="81"/>
  <c r="I660" i="81"/>
  <c r="H660" i="81"/>
  <c r="H684" i="81" s="1"/>
  <c r="G660" i="81"/>
  <c r="G684" i="81" s="1"/>
  <c r="F660" i="81"/>
  <c r="F684" i="81" s="1"/>
  <c r="E660" i="81"/>
  <c r="D660" i="81"/>
  <c r="C660" i="81"/>
  <c r="M658" i="81"/>
  <c r="L658" i="81"/>
  <c r="H658" i="81"/>
  <c r="H682" i="81" s="1"/>
  <c r="G658" i="81"/>
  <c r="F658" i="81"/>
  <c r="E658" i="81"/>
  <c r="D658" i="81"/>
  <c r="N651" i="81"/>
  <c r="M651" i="81"/>
  <c r="L651" i="81"/>
  <c r="K651" i="81"/>
  <c r="J651" i="81"/>
  <c r="I651" i="81"/>
  <c r="H651" i="81"/>
  <c r="G651" i="81"/>
  <c r="F651" i="81"/>
  <c r="E651" i="81"/>
  <c r="D651" i="81"/>
  <c r="C651" i="81"/>
  <c r="O651" i="81" s="1"/>
  <c r="N650" i="81"/>
  <c r="M650" i="81"/>
  <c r="L650" i="81"/>
  <c r="K650" i="81"/>
  <c r="J650" i="81"/>
  <c r="I650" i="81"/>
  <c r="H650" i="81"/>
  <c r="G650" i="81"/>
  <c r="F650" i="81"/>
  <c r="E650" i="81"/>
  <c r="D650" i="81"/>
  <c r="C650" i="81"/>
  <c r="N649" i="81"/>
  <c r="M649" i="81"/>
  <c r="L649" i="81"/>
  <c r="K649" i="81"/>
  <c r="J649" i="81"/>
  <c r="I649" i="81"/>
  <c r="H649" i="81"/>
  <c r="G649" i="81"/>
  <c r="F649" i="81"/>
  <c r="E649" i="81"/>
  <c r="D649" i="81"/>
  <c r="C649" i="81"/>
  <c r="N648" i="81"/>
  <c r="M648" i="81"/>
  <c r="L648" i="81"/>
  <c r="K648" i="81"/>
  <c r="J648" i="81"/>
  <c r="I648" i="81"/>
  <c r="H648" i="81"/>
  <c r="G648" i="81"/>
  <c r="F648" i="81"/>
  <c r="E648" i="81"/>
  <c r="D648" i="81"/>
  <c r="C648" i="81"/>
  <c r="M647" i="81"/>
  <c r="E647" i="81"/>
  <c r="D647" i="81"/>
  <c r="N646" i="81"/>
  <c r="M646" i="81"/>
  <c r="L646" i="81"/>
  <c r="K646" i="81"/>
  <c r="J646" i="81"/>
  <c r="I646" i="81"/>
  <c r="H646" i="81"/>
  <c r="G646" i="81"/>
  <c r="F646" i="81"/>
  <c r="E646" i="81"/>
  <c r="D646" i="81"/>
  <c r="C646" i="81"/>
  <c r="O642" i="81"/>
  <c r="O641" i="81"/>
  <c r="O640" i="81"/>
  <c r="O639" i="81"/>
  <c r="N638" i="81"/>
  <c r="M638" i="81"/>
  <c r="M1001" i="81" s="1"/>
  <c r="L638" i="81"/>
  <c r="K638" i="81"/>
  <c r="J638" i="81"/>
  <c r="I638" i="81"/>
  <c r="H638" i="81"/>
  <c r="H1001" i="81" s="1"/>
  <c r="G638" i="81"/>
  <c r="G1001" i="81" s="1"/>
  <c r="G1057" i="81" s="1"/>
  <c r="G1055" i="81" s="1"/>
  <c r="F638" i="81"/>
  <c r="E638" i="81"/>
  <c r="E1001" i="81" s="1"/>
  <c r="E1057" i="81" s="1"/>
  <c r="D638" i="81"/>
  <c r="C638" i="81"/>
  <c r="O637" i="81"/>
  <c r="N635" i="81"/>
  <c r="M635" i="81"/>
  <c r="H635" i="81"/>
  <c r="G635" i="81"/>
  <c r="F635" i="81"/>
  <c r="E635" i="81"/>
  <c r="O633" i="81"/>
  <c r="O632" i="81"/>
  <c r="O631" i="81"/>
  <c r="O630" i="81"/>
  <c r="N629" i="81"/>
  <c r="M629" i="81"/>
  <c r="L629" i="81"/>
  <c r="L993" i="81" s="1"/>
  <c r="K629" i="81"/>
  <c r="J629" i="81"/>
  <c r="I629" i="81"/>
  <c r="I993" i="81" s="1"/>
  <c r="H629" i="81"/>
  <c r="H993" i="81" s="1"/>
  <c r="G629" i="81"/>
  <c r="G993" i="81" s="1"/>
  <c r="F629" i="81"/>
  <c r="E629" i="81"/>
  <c r="D629" i="81"/>
  <c r="C629" i="81"/>
  <c r="O628" i="81"/>
  <c r="M626" i="81"/>
  <c r="M644" i="81" s="1"/>
  <c r="L626" i="81"/>
  <c r="I626" i="81"/>
  <c r="H626" i="81"/>
  <c r="H644" i="81" s="1"/>
  <c r="G626" i="81"/>
  <c r="G644" i="81" s="1"/>
  <c r="E626" i="81"/>
  <c r="D626" i="81"/>
  <c r="N619" i="81"/>
  <c r="M619" i="81"/>
  <c r="L619" i="81"/>
  <c r="K619" i="81"/>
  <c r="J619" i="81"/>
  <c r="I619" i="81"/>
  <c r="H619" i="81"/>
  <c r="G619" i="81"/>
  <c r="F619" i="81"/>
  <c r="E619" i="81"/>
  <c r="D619" i="81"/>
  <c r="C619" i="81"/>
  <c r="O619" i="81" s="1"/>
  <c r="N618" i="81"/>
  <c r="M618" i="81"/>
  <c r="L618" i="81"/>
  <c r="K618" i="81"/>
  <c r="J618" i="81"/>
  <c r="I618" i="81"/>
  <c r="H618" i="81"/>
  <c r="G618" i="81"/>
  <c r="F618" i="81"/>
  <c r="E618" i="81"/>
  <c r="D618" i="81"/>
  <c r="C618" i="81"/>
  <c r="O618" i="81" s="1"/>
  <c r="N617" i="81"/>
  <c r="M617" i="81"/>
  <c r="E617" i="81"/>
  <c r="D617" i="81"/>
  <c r="C617" i="81"/>
  <c r="N616" i="81"/>
  <c r="M616" i="81"/>
  <c r="L616" i="81"/>
  <c r="K616" i="81"/>
  <c r="J616" i="81"/>
  <c r="I616" i="81"/>
  <c r="H616" i="81"/>
  <c r="G616" i="81"/>
  <c r="F616" i="81"/>
  <c r="E616" i="81"/>
  <c r="D616" i="81"/>
  <c r="C616" i="81"/>
  <c r="N615" i="81"/>
  <c r="M615" i="81"/>
  <c r="K615" i="81"/>
  <c r="J615" i="81"/>
  <c r="E615" i="81"/>
  <c r="C615" i="81"/>
  <c r="N614" i="81"/>
  <c r="M614" i="81"/>
  <c r="L614" i="81"/>
  <c r="K614" i="81"/>
  <c r="J614" i="81"/>
  <c r="I614" i="81"/>
  <c r="H614" i="81"/>
  <c r="G614" i="81"/>
  <c r="O614" i="81" s="1"/>
  <c r="F614" i="81"/>
  <c r="E614" i="81"/>
  <c r="D614" i="81"/>
  <c r="C614" i="81"/>
  <c r="L612" i="81"/>
  <c r="K612" i="81"/>
  <c r="O610" i="81"/>
  <c r="O609" i="81"/>
  <c r="N608" i="81"/>
  <c r="M608" i="81"/>
  <c r="L608" i="81"/>
  <c r="K608" i="81"/>
  <c r="J608" i="81"/>
  <c r="I608" i="81"/>
  <c r="I603" i="81" s="1"/>
  <c r="H608" i="81"/>
  <c r="G608" i="81"/>
  <c r="F608" i="81"/>
  <c r="F603" i="81" s="1"/>
  <c r="E608" i="81"/>
  <c r="D608" i="81"/>
  <c r="C608" i="81"/>
  <c r="O607" i="81"/>
  <c r="N606" i="81"/>
  <c r="M606" i="81"/>
  <c r="L606" i="81"/>
  <c r="L615" i="81" s="1"/>
  <c r="K606" i="81"/>
  <c r="J606" i="81"/>
  <c r="I606" i="81"/>
  <c r="I615" i="81" s="1"/>
  <c r="H606" i="81"/>
  <c r="H615" i="81" s="1"/>
  <c r="G606" i="81"/>
  <c r="G615" i="81" s="1"/>
  <c r="F606" i="81"/>
  <c r="F615" i="81" s="1"/>
  <c r="E606" i="81"/>
  <c r="O606" i="81" s="1"/>
  <c r="D606" i="81"/>
  <c r="D615" i="81" s="1"/>
  <c r="O615" i="81" s="1"/>
  <c r="C606" i="81"/>
  <c r="O605" i="81"/>
  <c r="N603" i="81"/>
  <c r="M603" i="81"/>
  <c r="L603" i="81"/>
  <c r="K603" i="81"/>
  <c r="J603" i="81"/>
  <c r="E603" i="81"/>
  <c r="D603" i="81"/>
  <c r="C603" i="81"/>
  <c r="O601" i="81"/>
  <c r="O600" i="81"/>
  <c r="N599" i="81"/>
  <c r="N595" i="81" s="1"/>
  <c r="N612" i="81" s="1"/>
  <c r="M599" i="81"/>
  <c r="L599" i="81"/>
  <c r="L617" i="81" s="1"/>
  <c r="K599" i="81"/>
  <c r="K617" i="81" s="1"/>
  <c r="J599" i="81"/>
  <c r="J617" i="81" s="1"/>
  <c r="I599" i="81"/>
  <c r="H599" i="81"/>
  <c r="G599" i="81"/>
  <c r="G595" i="81" s="1"/>
  <c r="F599" i="81"/>
  <c r="F595" i="81" s="1"/>
  <c r="E599" i="81"/>
  <c r="D599" i="81"/>
  <c r="C599" i="81"/>
  <c r="O598" i="81"/>
  <c r="O597" i="81"/>
  <c r="M595" i="81"/>
  <c r="M612" i="81" s="1"/>
  <c r="L595" i="81"/>
  <c r="K595" i="81"/>
  <c r="H595" i="81"/>
  <c r="E595" i="81"/>
  <c r="E612" i="81" s="1"/>
  <c r="D595" i="81"/>
  <c r="D612" i="81" s="1"/>
  <c r="C595" i="81"/>
  <c r="H586" i="81"/>
  <c r="O584" i="81"/>
  <c r="O583" i="81"/>
  <c r="O582" i="81"/>
  <c r="O581" i="81"/>
  <c r="O580" i="81"/>
  <c r="O579" i="81"/>
  <c r="O578" i="81"/>
  <c r="O577" i="81"/>
  <c r="O576" i="81"/>
  <c r="O575" i="81"/>
  <c r="O574" i="81"/>
  <c r="O573" i="81"/>
  <c r="O572" i="81"/>
  <c r="O571" i="81"/>
  <c r="O570" i="81"/>
  <c r="O569" i="81"/>
  <c r="O568" i="81"/>
  <c r="O567" i="81"/>
  <c r="O566" i="81"/>
  <c r="O565" i="81"/>
  <c r="O564" i="81"/>
  <c r="O563" i="81"/>
  <c r="O562" i="81"/>
  <c r="O561" i="81"/>
  <c r="O560" i="81"/>
  <c r="O559" i="81"/>
  <c r="O558" i="81"/>
  <c r="O557" i="81"/>
  <c r="O556" i="81"/>
  <c r="O555" i="81"/>
  <c r="O554" i="81"/>
  <c r="N552" i="81"/>
  <c r="M552" i="81"/>
  <c r="L552" i="81"/>
  <c r="K552" i="81"/>
  <c r="K586" i="81" s="1"/>
  <c r="J552" i="81"/>
  <c r="J586" i="81" s="1"/>
  <c r="I552" i="81"/>
  <c r="I586" i="81" s="1"/>
  <c r="H552" i="81"/>
  <c r="G552" i="81"/>
  <c r="F552" i="81"/>
  <c r="E552" i="81"/>
  <c r="D552" i="81"/>
  <c r="C552" i="81"/>
  <c r="O550" i="81"/>
  <c r="O549" i="81"/>
  <c r="O548" i="81"/>
  <c r="O547" i="81"/>
  <c r="O546" i="81"/>
  <c r="O545" i="81"/>
  <c r="O544" i="81"/>
  <c r="O543" i="81"/>
  <c r="O542" i="81"/>
  <c r="O541" i="81"/>
  <c r="O540" i="81"/>
  <c r="O539" i="81"/>
  <c r="O538" i="81"/>
  <c r="O537" i="81"/>
  <c r="O536" i="81"/>
  <c r="O535" i="81"/>
  <c r="O534" i="81"/>
  <c r="O533" i="81"/>
  <c r="O532" i="81"/>
  <c r="O531" i="81"/>
  <c r="O530" i="81"/>
  <c r="O529" i="81"/>
  <c r="O528" i="81"/>
  <c r="O527" i="81"/>
  <c r="O526" i="81"/>
  <c r="O525" i="81"/>
  <c r="O524" i="81"/>
  <c r="O523" i="81"/>
  <c r="O522" i="81"/>
  <c r="O521" i="81"/>
  <c r="O520" i="81"/>
  <c r="N518" i="81"/>
  <c r="N586" i="81" s="1"/>
  <c r="M518" i="81"/>
  <c r="L518" i="81"/>
  <c r="K518" i="81"/>
  <c r="J518" i="81"/>
  <c r="I518" i="81"/>
  <c r="H518" i="81"/>
  <c r="G518" i="81"/>
  <c r="G586" i="81" s="1"/>
  <c r="F518" i="81"/>
  <c r="F586" i="81" s="1"/>
  <c r="E518" i="81"/>
  <c r="D518" i="81"/>
  <c r="C518" i="81"/>
  <c r="D511" i="81"/>
  <c r="C511" i="81"/>
  <c r="O509" i="81"/>
  <c r="O508" i="81"/>
  <c r="O507" i="81"/>
  <c r="O506" i="81"/>
  <c r="O505" i="81"/>
  <c r="O504" i="81"/>
  <c r="O503" i="81"/>
  <c r="O502" i="81"/>
  <c r="O501" i="81"/>
  <c r="O500" i="81"/>
  <c r="O499" i="81"/>
  <c r="O498" i="81"/>
  <c r="O497" i="81"/>
  <c r="O496" i="81"/>
  <c r="O495" i="81"/>
  <c r="O494" i="81"/>
  <c r="O493" i="81"/>
  <c r="O492" i="81"/>
  <c r="O491" i="81"/>
  <c r="O490" i="81"/>
  <c r="O489" i="81"/>
  <c r="O488" i="81"/>
  <c r="O487" i="81"/>
  <c r="O486" i="81"/>
  <c r="O485" i="81"/>
  <c r="O484" i="81"/>
  <c r="O483" i="81"/>
  <c r="O482" i="81"/>
  <c r="O481" i="81"/>
  <c r="O480" i="81"/>
  <c r="O479" i="81"/>
  <c r="N477" i="81"/>
  <c r="N511" i="81" s="1"/>
  <c r="M477" i="81"/>
  <c r="M511" i="81" s="1"/>
  <c r="L477" i="81"/>
  <c r="K477" i="81"/>
  <c r="J477" i="81"/>
  <c r="I477" i="81"/>
  <c r="I511" i="81" s="1"/>
  <c r="H477" i="81"/>
  <c r="H511" i="81" s="1"/>
  <c r="G477" i="81"/>
  <c r="G511" i="81" s="1"/>
  <c r="F477" i="81"/>
  <c r="E477" i="81"/>
  <c r="E511" i="81" s="1"/>
  <c r="D477" i="81"/>
  <c r="C477" i="81"/>
  <c r="O475" i="81"/>
  <c r="O474" i="81"/>
  <c r="O473" i="81"/>
  <c r="O472" i="81"/>
  <c r="O471" i="81"/>
  <c r="O470" i="81"/>
  <c r="O469" i="81"/>
  <c r="O468" i="81"/>
  <c r="O467" i="81"/>
  <c r="O466" i="81"/>
  <c r="O465" i="81"/>
  <c r="O464" i="81"/>
  <c r="O463" i="81"/>
  <c r="O462" i="81"/>
  <c r="O461" i="81"/>
  <c r="O460" i="81"/>
  <c r="O459" i="81"/>
  <c r="O458" i="81"/>
  <c r="O457" i="81"/>
  <c r="O456" i="81"/>
  <c r="O455" i="81"/>
  <c r="O454" i="81"/>
  <c r="O453" i="81"/>
  <c r="O452" i="81"/>
  <c r="O451" i="81"/>
  <c r="O450" i="81"/>
  <c r="O449" i="81"/>
  <c r="O448" i="81"/>
  <c r="O447" i="81"/>
  <c r="O446" i="81"/>
  <c r="O445" i="81"/>
  <c r="N443" i="81"/>
  <c r="M443" i="81"/>
  <c r="L443" i="81"/>
  <c r="L511" i="81" s="1"/>
  <c r="K443" i="81"/>
  <c r="K511" i="81" s="1"/>
  <c r="J443" i="81"/>
  <c r="J511" i="81" s="1"/>
  <c r="I443" i="81"/>
  <c r="H443" i="81"/>
  <c r="G443" i="81"/>
  <c r="F443" i="81"/>
  <c r="E443" i="81"/>
  <c r="D443" i="81"/>
  <c r="C443" i="81"/>
  <c r="I436" i="81"/>
  <c r="H436" i="81"/>
  <c r="G436" i="81"/>
  <c r="O434" i="81"/>
  <c r="O433" i="81"/>
  <c r="O432" i="81"/>
  <c r="O431" i="81"/>
  <c r="O430" i="81"/>
  <c r="O429" i="81"/>
  <c r="O428" i="81"/>
  <c r="O427" i="81"/>
  <c r="O426" i="81"/>
  <c r="O425" i="81"/>
  <c r="O424" i="81"/>
  <c r="O423" i="81"/>
  <c r="O422" i="81"/>
  <c r="O421" i="81"/>
  <c r="O420" i="81"/>
  <c r="O419" i="81"/>
  <c r="O418" i="81"/>
  <c r="O417" i="81"/>
  <c r="O416" i="81"/>
  <c r="O415" i="81"/>
  <c r="O414" i="81"/>
  <c r="O413" i="81"/>
  <c r="O412" i="81"/>
  <c r="O411" i="81"/>
  <c r="O410" i="81"/>
  <c r="O409" i="81"/>
  <c r="O408" i="81"/>
  <c r="O407" i="81"/>
  <c r="O406" i="81"/>
  <c r="O405" i="81"/>
  <c r="O404" i="81"/>
  <c r="N402" i="81"/>
  <c r="N436" i="81" s="1"/>
  <c r="M402" i="81"/>
  <c r="M436" i="81" s="1"/>
  <c r="L402" i="81"/>
  <c r="L436" i="81" s="1"/>
  <c r="K402" i="81"/>
  <c r="K436" i="81" s="1"/>
  <c r="J402" i="81"/>
  <c r="J436" i="81" s="1"/>
  <c r="I402" i="81"/>
  <c r="H402" i="81"/>
  <c r="G402" i="81"/>
  <c r="F402" i="81"/>
  <c r="F436" i="81" s="1"/>
  <c r="E402" i="81"/>
  <c r="E436" i="81" s="1"/>
  <c r="D402" i="81"/>
  <c r="D436" i="81" s="1"/>
  <c r="C402" i="81"/>
  <c r="O400" i="81"/>
  <c r="O399" i="81"/>
  <c r="O398" i="81"/>
  <c r="O397" i="81"/>
  <c r="O396" i="81"/>
  <c r="O395" i="81"/>
  <c r="O394" i="81"/>
  <c r="O393" i="81"/>
  <c r="O392" i="81"/>
  <c r="O391" i="81"/>
  <c r="O390" i="81"/>
  <c r="O389" i="81"/>
  <c r="O388" i="81"/>
  <c r="O387" i="81"/>
  <c r="O386" i="81"/>
  <c r="O385" i="81"/>
  <c r="O384" i="81"/>
  <c r="O383" i="81"/>
  <c r="O382" i="81"/>
  <c r="O381" i="81"/>
  <c r="O380" i="81"/>
  <c r="O379" i="81"/>
  <c r="O378" i="81"/>
  <c r="O377" i="81"/>
  <c r="O376" i="81"/>
  <c r="O375" i="81"/>
  <c r="O374" i="81"/>
  <c r="O373" i="81"/>
  <c r="O372" i="81"/>
  <c r="O371" i="81"/>
  <c r="O370" i="81"/>
  <c r="N368" i="81"/>
  <c r="M368" i="81"/>
  <c r="L368" i="81"/>
  <c r="K368" i="81"/>
  <c r="J368" i="81"/>
  <c r="I368" i="81"/>
  <c r="H368" i="81"/>
  <c r="G368" i="81"/>
  <c r="O368" i="81" s="1"/>
  <c r="F368" i="81"/>
  <c r="E368" i="81"/>
  <c r="D368" i="81"/>
  <c r="C368" i="81"/>
  <c r="N360" i="81"/>
  <c r="M360" i="81"/>
  <c r="L360" i="81"/>
  <c r="K360" i="81"/>
  <c r="J360" i="81"/>
  <c r="I360" i="81"/>
  <c r="H360" i="81"/>
  <c r="G360" i="81"/>
  <c r="F360" i="81"/>
  <c r="E360" i="81"/>
  <c r="D360" i="81"/>
  <c r="C360" i="81"/>
  <c r="N359" i="81"/>
  <c r="M359" i="81"/>
  <c r="L359" i="81"/>
  <c r="K359" i="81"/>
  <c r="J359" i="81"/>
  <c r="I359" i="81"/>
  <c r="H359" i="81"/>
  <c r="G359" i="81"/>
  <c r="F359" i="81"/>
  <c r="E359" i="81"/>
  <c r="D359" i="81"/>
  <c r="C359" i="81"/>
  <c r="O359" i="81" s="1"/>
  <c r="N358" i="81"/>
  <c r="M358" i="81"/>
  <c r="L358" i="81"/>
  <c r="K358" i="81"/>
  <c r="J358" i="81"/>
  <c r="I358" i="81"/>
  <c r="H358" i="81"/>
  <c r="G358" i="81"/>
  <c r="O358" i="81" s="1"/>
  <c r="F358" i="81"/>
  <c r="E358" i="81"/>
  <c r="D358" i="81"/>
  <c r="C358" i="81"/>
  <c r="N357" i="81"/>
  <c r="M357" i="81"/>
  <c r="L357" i="81"/>
  <c r="K357" i="81"/>
  <c r="J357" i="81"/>
  <c r="I357" i="81"/>
  <c r="H357" i="81"/>
  <c r="G357" i="81"/>
  <c r="F357" i="81"/>
  <c r="E357" i="81"/>
  <c r="D357" i="81"/>
  <c r="C357" i="81"/>
  <c r="I356" i="81"/>
  <c r="H356" i="81"/>
  <c r="N355" i="81"/>
  <c r="M355" i="81"/>
  <c r="L355" i="81"/>
  <c r="K355" i="81"/>
  <c r="J355" i="81"/>
  <c r="I355" i="81"/>
  <c r="H355" i="81"/>
  <c r="G355" i="81"/>
  <c r="F355" i="81"/>
  <c r="E355" i="81"/>
  <c r="O355" i="81" s="1"/>
  <c r="D355" i="81"/>
  <c r="C355" i="81"/>
  <c r="O351" i="81"/>
  <c r="O350" i="81"/>
  <c r="O349" i="81"/>
  <c r="O348" i="81"/>
  <c r="N347" i="81"/>
  <c r="N1002" i="81" s="1"/>
  <c r="N1058" i="81" s="1"/>
  <c r="M347" i="81"/>
  <c r="L347" i="81"/>
  <c r="K347" i="81"/>
  <c r="J347" i="81"/>
  <c r="I347" i="81"/>
  <c r="H347" i="81"/>
  <c r="H1002" i="81" s="1"/>
  <c r="H1058" i="81" s="1"/>
  <c r="G347" i="81"/>
  <c r="G1002" i="81" s="1"/>
  <c r="G1058" i="81" s="1"/>
  <c r="F347" i="81"/>
  <c r="F1002" i="81" s="1"/>
  <c r="F1058" i="81" s="1"/>
  <c r="E347" i="81"/>
  <c r="D347" i="81"/>
  <c r="C347" i="81"/>
  <c r="C344" i="81" s="1"/>
  <c r="O346" i="81"/>
  <c r="J344" i="81"/>
  <c r="J353" i="81" s="1"/>
  <c r="I344" i="81"/>
  <c r="H344" i="81"/>
  <c r="O342" i="81"/>
  <c r="O341" i="81"/>
  <c r="O340" i="81"/>
  <c r="O339" i="81"/>
  <c r="N338" i="81"/>
  <c r="N994" i="81" s="1"/>
  <c r="N1036" i="81" s="1"/>
  <c r="M338" i="81"/>
  <c r="M994" i="81" s="1"/>
  <c r="L338" i="81"/>
  <c r="K338" i="81"/>
  <c r="J338" i="81"/>
  <c r="J994" i="81" s="1"/>
  <c r="I338" i="81"/>
  <c r="I994" i="81" s="1"/>
  <c r="I1036" i="81" s="1"/>
  <c r="H338" i="81"/>
  <c r="H994" i="81" s="1"/>
  <c r="G338" i="81"/>
  <c r="G356" i="81" s="1"/>
  <c r="F338" i="81"/>
  <c r="F994" i="81" s="1"/>
  <c r="F1036" i="81" s="1"/>
  <c r="E338" i="81"/>
  <c r="E994" i="81" s="1"/>
  <c r="E1036" i="81" s="1"/>
  <c r="D338" i="81"/>
  <c r="C338" i="81"/>
  <c r="O337" i="81"/>
  <c r="J335" i="81"/>
  <c r="I335" i="81"/>
  <c r="H335" i="81"/>
  <c r="G335" i="81"/>
  <c r="N325" i="81"/>
  <c r="M325" i="81"/>
  <c r="L325" i="81"/>
  <c r="K325" i="81"/>
  <c r="J325" i="81"/>
  <c r="I325" i="81"/>
  <c r="H325" i="81"/>
  <c r="G325" i="81"/>
  <c r="F325" i="81"/>
  <c r="E325" i="81"/>
  <c r="O325" i="81" s="1"/>
  <c r="D325" i="81"/>
  <c r="C325" i="81"/>
  <c r="N324" i="81"/>
  <c r="M324" i="81"/>
  <c r="L324" i="81"/>
  <c r="K324" i="81"/>
  <c r="J324" i="81"/>
  <c r="I324" i="81"/>
  <c r="H324" i="81"/>
  <c r="G324" i="81"/>
  <c r="F324" i="81"/>
  <c r="E324" i="81"/>
  <c r="D324" i="81"/>
  <c r="C324" i="81"/>
  <c r="G323" i="81"/>
  <c r="N321" i="81"/>
  <c r="M321" i="81"/>
  <c r="L321" i="81"/>
  <c r="K321" i="81"/>
  <c r="J321" i="81"/>
  <c r="I321" i="81"/>
  <c r="H321" i="81"/>
  <c r="G321" i="81"/>
  <c r="F321" i="81"/>
  <c r="E321" i="81"/>
  <c r="D321" i="81"/>
  <c r="C321" i="81"/>
  <c r="O321" i="81" s="1"/>
  <c r="O316" i="81"/>
  <c r="O315" i="81"/>
  <c r="N314" i="81"/>
  <c r="M314" i="81"/>
  <c r="L314" i="81"/>
  <c r="K314" i="81"/>
  <c r="J314" i="81"/>
  <c r="I314" i="81"/>
  <c r="H314" i="81"/>
  <c r="G314" i="81"/>
  <c r="F314" i="81"/>
  <c r="E314" i="81"/>
  <c r="D314" i="81"/>
  <c r="C314" i="81"/>
  <c r="J313" i="81"/>
  <c r="I313" i="81"/>
  <c r="O312" i="81"/>
  <c r="D311" i="81"/>
  <c r="D309" i="81" s="1"/>
  <c r="K309" i="81"/>
  <c r="O307" i="81"/>
  <c r="O306" i="81"/>
  <c r="N305" i="81"/>
  <c r="N323" i="81" s="1"/>
  <c r="M305" i="81"/>
  <c r="M323" i="81" s="1"/>
  <c r="L305" i="81"/>
  <c r="L323" i="81" s="1"/>
  <c r="K305" i="81"/>
  <c r="J305" i="81"/>
  <c r="I305" i="81"/>
  <c r="I323" i="81" s="1"/>
  <c r="H305" i="81"/>
  <c r="H323" i="81" s="1"/>
  <c r="G305" i="81"/>
  <c r="F305" i="81"/>
  <c r="F323" i="81" s="1"/>
  <c r="E305" i="81"/>
  <c r="E323" i="81" s="1"/>
  <c r="D305" i="81"/>
  <c r="D323" i="81" s="1"/>
  <c r="C305" i="81"/>
  <c r="N304" i="81"/>
  <c r="N708" i="81" s="1"/>
  <c r="M304" i="81"/>
  <c r="M708" i="81" s="1"/>
  <c r="M706" i="81" s="1"/>
  <c r="I304" i="81"/>
  <c r="H304" i="81"/>
  <c r="H302" i="81" s="1"/>
  <c r="O303" i="81"/>
  <c r="N302" i="81"/>
  <c r="N300" i="81" s="1"/>
  <c r="M302" i="81"/>
  <c r="D302" i="81"/>
  <c r="H300" i="81"/>
  <c r="K293" i="81"/>
  <c r="C293" i="81"/>
  <c r="K291" i="81"/>
  <c r="M289" i="81"/>
  <c r="K283" i="81"/>
  <c r="J283" i="81"/>
  <c r="I283" i="81"/>
  <c r="C283" i="81"/>
  <c r="N282" i="81"/>
  <c r="H282" i="81"/>
  <c r="G282" i="81"/>
  <c r="F282" i="81"/>
  <c r="M281" i="81"/>
  <c r="L281" i="81"/>
  <c r="K281" i="81"/>
  <c r="E281" i="81"/>
  <c r="D281" i="81"/>
  <c r="C281" i="81"/>
  <c r="J280" i="81"/>
  <c r="I280" i="81"/>
  <c r="H280" i="81"/>
  <c r="N279" i="81"/>
  <c r="M279" i="81"/>
  <c r="G279" i="81"/>
  <c r="F279" i="81"/>
  <c r="E279" i="81"/>
  <c r="E289" i="81" s="1"/>
  <c r="L278" i="81"/>
  <c r="K278" i="81"/>
  <c r="J278" i="81"/>
  <c r="D278" i="81"/>
  <c r="C278" i="81"/>
  <c r="I277" i="81"/>
  <c r="H277" i="81"/>
  <c r="G277" i="81"/>
  <c r="K273" i="81"/>
  <c r="J273" i="81"/>
  <c r="J293" i="81" s="1"/>
  <c r="I273" i="81"/>
  <c r="I293" i="81" s="1"/>
  <c r="C273" i="81"/>
  <c r="N272" i="81"/>
  <c r="H272" i="81"/>
  <c r="H292" i="81" s="1"/>
  <c r="G272" i="81"/>
  <c r="G292" i="81" s="1"/>
  <c r="F272" i="81"/>
  <c r="F292" i="81" s="1"/>
  <c r="M271" i="81"/>
  <c r="M291" i="81" s="1"/>
  <c r="L271" i="81"/>
  <c r="L291" i="81" s="1"/>
  <c r="K271" i="81"/>
  <c r="E271" i="81"/>
  <c r="E291" i="81" s="1"/>
  <c r="D271" i="81"/>
  <c r="C271" i="81"/>
  <c r="C291" i="81" s="1"/>
  <c r="J270" i="81"/>
  <c r="J290" i="81" s="1"/>
  <c r="I270" i="81"/>
  <c r="I290" i="81" s="1"/>
  <c r="H270" i="81"/>
  <c r="H290" i="81" s="1"/>
  <c r="N269" i="81"/>
  <c r="N289" i="81" s="1"/>
  <c r="M269" i="81"/>
  <c r="G269" i="81"/>
  <c r="G289" i="81" s="1"/>
  <c r="F269" i="81"/>
  <c r="E269" i="81"/>
  <c r="L268" i="81"/>
  <c r="L288" i="81" s="1"/>
  <c r="K268" i="81"/>
  <c r="K288" i="81" s="1"/>
  <c r="J268" i="81"/>
  <c r="J288" i="81" s="1"/>
  <c r="D268" i="81"/>
  <c r="D288" i="81" s="1"/>
  <c r="C268" i="81"/>
  <c r="I267" i="81"/>
  <c r="H267" i="81"/>
  <c r="G267" i="81"/>
  <c r="K258" i="81"/>
  <c r="J258" i="81"/>
  <c r="I258" i="81"/>
  <c r="C258" i="81"/>
  <c r="N257" i="81"/>
  <c r="H257" i="81"/>
  <c r="G257" i="81"/>
  <c r="F257" i="81"/>
  <c r="M256" i="81"/>
  <c r="L256" i="81"/>
  <c r="K256" i="81"/>
  <c r="E256" i="81"/>
  <c r="D256" i="81"/>
  <c r="C256" i="81"/>
  <c r="J255" i="81"/>
  <c r="I255" i="81"/>
  <c r="H255" i="81"/>
  <c r="N254" i="81"/>
  <c r="M254" i="81"/>
  <c r="G254" i="81"/>
  <c r="F254" i="81"/>
  <c r="E254" i="81"/>
  <c r="L253" i="81"/>
  <c r="K253" i="81"/>
  <c r="J253" i="81"/>
  <c r="D253" i="81"/>
  <c r="C253" i="81"/>
  <c r="I252" i="81"/>
  <c r="H252" i="81"/>
  <c r="G252" i="81"/>
  <c r="N248" i="81"/>
  <c r="M248" i="81"/>
  <c r="L248" i="81"/>
  <c r="K248" i="81"/>
  <c r="J248" i="81"/>
  <c r="I248" i="81"/>
  <c r="H248" i="81"/>
  <c r="G248" i="81"/>
  <c r="F248" i="81"/>
  <c r="E248" i="81"/>
  <c r="D248" i="81"/>
  <c r="C248" i="81"/>
  <c r="N247" i="81"/>
  <c r="M247" i="81"/>
  <c r="L247" i="81"/>
  <c r="K247" i="81"/>
  <c r="J247" i="81"/>
  <c r="I247" i="81"/>
  <c r="H247" i="81"/>
  <c r="G247" i="81"/>
  <c r="F247" i="81"/>
  <c r="O247" i="81" s="1"/>
  <c r="E247" i="81"/>
  <c r="D247" i="81"/>
  <c r="C247" i="81"/>
  <c r="N246" i="81"/>
  <c r="M246" i="81"/>
  <c r="L246" i="81"/>
  <c r="K246" i="81"/>
  <c r="J246" i="81"/>
  <c r="I246" i="81"/>
  <c r="H246" i="81"/>
  <c r="G246" i="81"/>
  <c r="F246" i="81"/>
  <c r="E246" i="81"/>
  <c r="D246" i="81"/>
  <c r="C246" i="81"/>
  <c r="O246" i="81" s="1"/>
  <c r="N245" i="81"/>
  <c r="M245" i="81"/>
  <c r="L245" i="81"/>
  <c r="K245" i="81"/>
  <c r="J245" i="81"/>
  <c r="I245" i="81"/>
  <c r="H245" i="81"/>
  <c r="G245" i="81"/>
  <c r="F245" i="81"/>
  <c r="E245" i="81"/>
  <c r="D245" i="81"/>
  <c r="C245" i="81"/>
  <c r="N244" i="81"/>
  <c r="M244" i="81"/>
  <c r="L244" i="81"/>
  <c r="K244" i="81"/>
  <c r="J244" i="81"/>
  <c r="I244" i="81"/>
  <c r="H244" i="81"/>
  <c r="G244" i="81"/>
  <c r="F244" i="81"/>
  <c r="E244" i="81"/>
  <c r="O244" i="81" s="1"/>
  <c r="D244" i="81"/>
  <c r="C244" i="81"/>
  <c r="N243" i="81"/>
  <c r="M243" i="81"/>
  <c r="L243" i="81"/>
  <c r="K243" i="81"/>
  <c r="J243" i="81"/>
  <c r="I243" i="81"/>
  <c r="H243" i="81"/>
  <c r="G243" i="81"/>
  <c r="F243" i="81"/>
  <c r="E243" i="81"/>
  <c r="D243" i="81"/>
  <c r="C243" i="81"/>
  <c r="N242" i="81"/>
  <c r="M242" i="81"/>
  <c r="L242" i="81"/>
  <c r="K242" i="81"/>
  <c r="J242" i="81"/>
  <c r="I242" i="81"/>
  <c r="H242" i="81"/>
  <c r="G242" i="81"/>
  <c r="O242" i="81" s="1"/>
  <c r="F242" i="81"/>
  <c r="E242" i="81"/>
  <c r="D242" i="81"/>
  <c r="C242" i="81"/>
  <c r="L240" i="81"/>
  <c r="K240" i="81"/>
  <c r="J240" i="81"/>
  <c r="E240" i="81"/>
  <c r="D240" i="81"/>
  <c r="C240" i="81"/>
  <c r="N236" i="81"/>
  <c r="N283" i="81" s="1"/>
  <c r="M236" i="81"/>
  <c r="M283" i="81" s="1"/>
  <c r="L236" i="81"/>
  <c r="L283" i="81" s="1"/>
  <c r="K236" i="81"/>
  <c r="J236" i="81"/>
  <c r="I236" i="81"/>
  <c r="H236" i="81"/>
  <c r="H283" i="81" s="1"/>
  <c r="G236" i="81"/>
  <c r="G283" i="81" s="1"/>
  <c r="F236" i="81"/>
  <c r="F283" i="81" s="1"/>
  <c r="E236" i="81"/>
  <c r="E283" i="81" s="1"/>
  <c r="D236" i="81"/>
  <c r="D283" i="81" s="1"/>
  <c r="C236" i="81"/>
  <c r="N235" i="81"/>
  <c r="M235" i="81"/>
  <c r="M282" i="81" s="1"/>
  <c r="L235" i="81"/>
  <c r="L282" i="81" s="1"/>
  <c r="K235" i="81"/>
  <c r="K282" i="81" s="1"/>
  <c r="J235" i="81"/>
  <c r="J282" i="81" s="1"/>
  <c r="I235" i="81"/>
  <c r="I282" i="81" s="1"/>
  <c r="H235" i="81"/>
  <c r="G235" i="81"/>
  <c r="F235" i="81"/>
  <c r="E235" i="81"/>
  <c r="E282" i="81" s="1"/>
  <c r="D235" i="81"/>
  <c r="D282" i="81" s="1"/>
  <c r="C235" i="81"/>
  <c r="N234" i="81"/>
  <c r="N281" i="81" s="1"/>
  <c r="M234" i="81"/>
  <c r="L234" i="81"/>
  <c r="K234" i="81"/>
  <c r="J234" i="81"/>
  <c r="J281" i="81" s="1"/>
  <c r="I234" i="81"/>
  <c r="I281" i="81" s="1"/>
  <c r="H234" i="81"/>
  <c r="H281" i="81" s="1"/>
  <c r="G234" i="81"/>
  <c r="O234" i="81" s="1"/>
  <c r="F234" i="81"/>
  <c r="F281" i="81" s="1"/>
  <c r="E234" i="81"/>
  <c r="D234" i="81"/>
  <c r="C234" i="81"/>
  <c r="N233" i="81"/>
  <c r="N280" i="81" s="1"/>
  <c r="M233" i="81"/>
  <c r="M280" i="81" s="1"/>
  <c r="L233" i="81"/>
  <c r="L280" i="81" s="1"/>
  <c r="K233" i="81"/>
  <c r="K280" i="81" s="1"/>
  <c r="J233" i="81"/>
  <c r="I233" i="81"/>
  <c r="H233" i="81"/>
  <c r="G233" i="81"/>
  <c r="G280" i="81" s="1"/>
  <c r="F233" i="81"/>
  <c r="F280" i="81" s="1"/>
  <c r="E233" i="81"/>
  <c r="D233" i="81"/>
  <c r="D280" i="81" s="1"/>
  <c r="C233" i="81"/>
  <c r="C280" i="81" s="1"/>
  <c r="N232" i="81"/>
  <c r="M232" i="81"/>
  <c r="L232" i="81"/>
  <c r="L279" i="81" s="1"/>
  <c r="K232" i="81"/>
  <c r="J232" i="81"/>
  <c r="J279" i="81" s="1"/>
  <c r="I232" i="81"/>
  <c r="I279" i="81" s="1"/>
  <c r="H232" i="81"/>
  <c r="H279" i="81" s="1"/>
  <c r="G232" i="81"/>
  <c r="F232" i="81"/>
  <c r="E232" i="81"/>
  <c r="D232" i="81"/>
  <c r="D279" i="81" s="1"/>
  <c r="C232" i="81"/>
  <c r="N231" i="81"/>
  <c r="N278" i="81" s="1"/>
  <c r="M231" i="81"/>
  <c r="M278" i="81" s="1"/>
  <c r="L231" i="81"/>
  <c r="K231" i="81"/>
  <c r="J231" i="81"/>
  <c r="I231" i="81"/>
  <c r="I278" i="81" s="1"/>
  <c r="H231" i="81"/>
  <c r="G231" i="81"/>
  <c r="F231" i="81"/>
  <c r="F278" i="81" s="1"/>
  <c r="E231" i="81"/>
  <c r="E278" i="81" s="1"/>
  <c r="D231" i="81"/>
  <c r="C231" i="81"/>
  <c r="N230" i="81"/>
  <c r="N277" i="81" s="1"/>
  <c r="N275" i="81" s="1"/>
  <c r="M230" i="81"/>
  <c r="L230" i="81"/>
  <c r="K230" i="81"/>
  <c r="K277" i="81" s="1"/>
  <c r="J230" i="81"/>
  <c r="J277" i="81" s="1"/>
  <c r="I230" i="81"/>
  <c r="H230" i="81"/>
  <c r="G230" i="81"/>
  <c r="F230" i="81"/>
  <c r="F277" i="81" s="1"/>
  <c r="F275" i="81" s="1"/>
  <c r="E230" i="81"/>
  <c r="D230" i="81"/>
  <c r="C230" i="81"/>
  <c r="C277" i="81" s="1"/>
  <c r="J228" i="81"/>
  <c r="J216" i="81" s="1"/>
  <c r="I228" i="81"/>
  <c r="O226" i="81"/>
  <c r="O225" i="81"/>
  <c r="O224" i="81"/>
  <c r="O223" i="81"/>
  <c r="O222" i="81"/>
  <c r="O221" i="81"/>
  <c r="O220" i="81"/>
  <c r="N218" i="81"/>
  <c r="M218" i="81"/>
  <c r="L218" i="81"/>
  <c r="K218" i="81"/>
  <c r="J218" i="81"/>
  <c r="I218" i="81"/>
  <c r="H218" i="81"/>
  <c r="G218" i="81"/>
  <c r="F218" i="81"/>
  <c r="E218" i="81"/>
  <c r="D218" i="81"/>
  <c r="C218" i="81"/>
  <c r="N214" i="81"/>
  <c r="N273" i="81" s="1"/>
  <c r="M214" i="81"/>
  <c r="M273" i="81" s="1"/>
  <c r="L214" i="81"/>
  <c r="L273" i="81" s="1"/>
  <c r="K214" i="81"/>
  <c r="J214" i="81"/>
  <c r="I214" i="81"/>
  <c r="H214" i="81"/>
  <c r="G214" i="81"/>
  <c r="F214" i="81"/>
  <c r="F273" i="81" s="1"/>
  <c r="E214" i="81"/>
  <c r="E273" i="81" s="1"/>
  <c r="D214" i="81"/>
  <c r="D273" i="81" s="1"/>
  <c r="C214" i="81"/>
  <c r="N213" i="81"/>
  <c r="M213" i="81"/>
  <c r="L213" i="81"/>
  <c r="K213" i="81"/>
  <c r="K272" i="81" s="1"/>
  <c r="K292" i="81" s="1"/>
  <c r="J213" i="81"/>
  <c r="J272" i="81" s="1"/>
  <c r="I213" i="81"/>
  <c r="I272" i="81" s="1"/>
  <c r="H213" i="81"/>
  <c r="G213" i="81"/>
  <c r="F213" i="81"/>
  <c r="E213" i="81"/>
  <c r="D213" i="81"/>
  <c r="C213" i="81"/>
  <c r="C272" i="81" s="1"/>
  <c r="N212" i="81"/>
  <c r="N271" i="81" s="1"/>
  <c r="M212" i="81"/>
  <c r="L212" i="81"/>
  <c r="K212" i="81"/>
  <c r="J212" i="81"/>
  <c r="I212" i="81"/>
  <c r="H212" i="81"/>
  <c r="H271" i="81" s="1"/>
  <c r="H291" i="81" s="1"/>
  <c r="G212" i="81"/>
  <c r="G271" i="81" s="1"/>
  <c r="F212" i="81"/>
  <c r="F271" i="81" s="1"/>
  <c r="E212" i="81"/>
  <c r="D212" i="81"/>
  <c r="C212" i="81"/>
  <c r="N211" i="81"/>
  <c r="M211" i="81"/>
  <c r="M270" i="81" s="1"/>
  <c r="M290" i="81" s="1"/>
  <c r="L211" i="81"/>
  <c r="L270" i="81" s="1"/>
  <c r="L290" i="81" s="1"/>
  <c r="K211" i="81"/>
  <c r="K270" i="81" s="1"/>
  <c r="K290" i="81" s="1"/>
  <c r="J211" i="81"/>
  <c r="I211" i="81"/>
  <c r="H211" i="81"/>
  <c r="G211" i="81"/>
  <c r="F211" i="81"/>
  <c r="E211" i="81"/>
  <c r="E270" i="81" s="1"/>
  <c r="D211" i="81"/>
  <c r="D270" i="81" s="1"/>
  <c r="D290" i="81" s="1"/>
  <c r="C211" i="81"/>
  <c r="C270" i="81" s="1"/>
  <c r="N210" i="81"/>
  <c r="M210" i="81"/>
  <c r="L210" i="81"/>
  <c r="K210" i="81"/>
  <c r="J210" i="81"/>
  <c r="J269" i="81" s="1"/>
  <c r="I210" i="81"/>
  <c r="I269" i="81" s="1"/>
  <c r="I289" i="81" s="1"/>
  <c r="H210" i="81"/>
  <c r="H269" i="81" s="1"/>
  <c r="H289" i="81" s="1"/>
  <c r="G210" i="81"/>
  <c r="F210" i="81"/>
  <c r="E210" i="81"/>
  <c r="D210" i="81"/>
  <c r="C210" i="81"/>
  <c r="N209" i="81"/>
  <c r="N268" i="81" s="1"/>
  <c r="M209" i="81"/>
  <c r="M268" i="81" s="1"/>
  <c r="M288" i="81" s="1"/>
  <c r="L209" i="81"/>
  <c r="K209" i="81"/>
  <c r="J209" i="81"/>
  <c r="I209" i="81"/>
  <c r="H209" i="81"/>
  <c r="G209" i="81"/>
  <c r="O209" i="81" s="1"/>
  <c r="F209" i="81"/>
  <c r="F268" i="81" s="1"/>
  <c r="E209" i="81"/>
  <c r="E268" i="81" s="1"/>
  <c r="E288" i="81" s="1"/>
  <c r="D209" i="81"/>
  <c r="C209" i="81"/>
  <c r="N208" i="81"/>
  <c r="M208" i="81"/>
  <c r="L208" i="81"/>
  <c r="L267" i="81" s="1"/>
  <c r="K208" i="81"/>
  <c r="K267" i="81" s="1"/>
  <c r="J208" i="81"/>
  <c r="J267" i="81" s="1"/>
  <c r="I208" i="81"/>
  <c r="H208" i="81"/>
  <c r="G208" i="81"/>
  <c r="F208" i="81"/>
  <c r="E208" i="81"/>
  <c r="D208" i="81"/>
  <c r="D267" i="81" s="1"/>
  <c r="C208" i="81"/>
  <c r="C267" i="81" s="1"/>
  <c r="O204" i="81"/>
  <c r="O203" i="81"/>
  <c r="O202" i="81"/>
  <c r="O201" i="81"/>
  <c r="O200" i="81"/>
  <c r="O199" i="81"/>
  <c r="O198" i="81"/>
  <c r="N196" i="81"/>
  <c r="M196" i="81"/>
  <c r="L196" i="81"/>
  <c r="K196" i="81"/>
  <c r="J196" i="81"/>
  <c r="I196" i="81"/>
  <c r="I240" i="81" s="1"/>
  <c r="H196" i="81"/>
  <c r="G196" i="81"/>
  <c r="F196" i="81"/>
  <c r="E196" i="81"/>
  <c r="D196" i="81"/>
  <c r="C196" i="81"/>
  <c r="N187" i="81"/>
  <c r="M187" i="81"/>
  <c r="L187" i="81"/>
  <c r="K187" i="81"/>
  <c r="J187" i="81"/>
  <c r="I187" i="81"/>
  <c r="H187" i="81"/>
  <c r="G187" i="81"/>
  <c r="O187" i="81" s="1"/>
  <c r="F187" i="81"/>
  <c r="E187" i="81"/>
  <c r="D187" i="81"/>
  <c r="C187" i="81"/>
  <c r="N186" i="81"/>
  <c r="M186" i="81"/>
  <c r="L186" i="81"/>
  <c r="K186" i="81"/>
  <c r="J186" i="81"/>
  <c r="I186" i="81"/>
  <c r="H186" i="81"/>
  <c r="G186" i="81"/>
  <c r="F186" i="81"/>
  <c r="E186" i="81"/>
  <c r="D186" i="81"/>
  <c r="C186" i="81"/>
  <c r="N185" i="81"/>
  <c r="M185" i="81"/>
  <c r="L185" i="81"/>
  <c r="K185" i="81"/>
  <c r="J185" i="81"/>
  <c r="I185" i="81"/>
  <c r="H185" i="81"/>
  <c r="G185" i="81"/>
  <c r="F185" i="81"/>
  <c r="E185" i="81"/>
  <c r="D185" i="81"/>
  <c r="C185" i="81"/>
  <c r="N184" i="81"/>
  <c r="M184" i="81"/>
  <c r="L184" i="81"/>
  <c r="K184" i="81"/>
  <c r="J184" i="81"/>
  <c r="I184" i="81"/>
  <c r="H184" i="81"/>
  <c r="G184" i="81"/>
  <c r="O184" i="81" s="1"/>
  <c r="F184" i="81"/>
  <c r="E184" i="81"/>
  <c r="D184" i="81"/>
  <c r="C184" i="81"/>
  <c r="N183" i="81"/>
  <c r="M183" i="81"/>
  <c r="L183" i="81"/>
  <c r="K183" i="81"/>
  <c r="J183" i="81"/>
  <c r="I183" i="81"/>
  <c r="H183" i="81"/>
  <c r="G183" i="81"/>
  <c r="F183" i="81"/>
  <c r="E183" i="81"/>
  <c r="D183" i="81"/>
  <c r="C183" i="81"/>
  <c r="O183" i="81" s="1"/>
  <c r="N182" i="81"/>
  <c r="M182" i="81"/>
  <c r="L182" i="81"/>
  <c r="K182" i="81"/>
  <c r="J182" i="81"/>
  <c r="I182" i="81"/>
  <c r="H182" i="81"/>
  <c r="G182" i="81"/>
  <c r="F182" i="81"/>
  <c r="E182" i="81"/>
  <c r="D182" i="81"/>
  <c r="C182" i="81"/>
  <c r="N181" i="81"/>
  <c r="M181" i="81"/>
  <c r="L181" i="81"/>
  <c r="K181" i="81"/>
  <c r="J181" i="81"/>
  <c r="I181" i="81"/>
  <c r="H181" i="81"/>
  <c r="G181" i="81"/>
  <c r="F181" i="81"/>
  <c r="O181" i="81" s="1"/>
  <c r="E181" i="81"/>
  <c r="D181" i="81"/>
  <c r="C181" i="81"/>
  <c r="E179" i="81"/>
  <c r="D179" i="81"/>
  <c r="C179" i="81"/>
  <c r="O177" i="81"/>
  <c r="O176" i="81"/>
  <c r="O175" i="81"/>
  <c r="O174" i="81"/>
  <c r="O173" i="81"/>
  <c r="O172" i="81"/>
  <c r="O171" i="81"/>
  <c r="N169" i="81"/>
  <c r="N179" i="81" s="1"/>
  <c r="M169" i="81"/>
  <c r="L169" i="81"/>
  <c r="K169" i="81"/>
  <c r="J169" i="81"/>
  <c r="I169" i="81"/>
  <c r="I179" i="81" s="1"/>
  <c r="H169" i="81"/>
  <c r="H179" i="81" s="1"/>
  <c r="G169" i="81"/>
  <c r="G179" i="81" s="1"/>
  <c r="F169" i="81"/>
  <c r="F179" i="81" s="1"/>
  <c r="E169" i="81"/>
  <c r="D169" i="81"/>
  <c r="C169" i="81"/>
  <c r="O167" i="81"/>
  <c r="O166" i="81"/>
  <c r="O165" i="81"/>
  <c r="O164" i="81"/>
  <c r="O163" i="81"/>
  <c r="O162" i="81"/>
  <c r="O161" i="81"/>
  <c r="N159" i="81"/>
  <c r="M159" i="81"/>
  <c r="M179" i="81" s="1"/>
  <c r="L159" i="81"/>
  <c r="L179" i="81" s="1"/>
  <c r="K159" i="81"/>
  <c r="K179" i="81" s="1"/>
  <c r="J159" i="81"/>
  <c r="J179" i="81" s="1"/>
  <c r="I159" i="81"/>
  <c r="H159" i="81"/>
  <c r="G159" i="81"/>
  <c r="F159" i="81"/>
  <c r="E159" i="81"/>
  <c r="D159" i="81"/>
  <c r="C159" i="81"/>
  <c r="O159" i="81" s="1"/>
  <c r="N152" i="81"/>
  <c r="M152" i="81"/>
  <c r="L152" i="81"/>
  <c r="K152" i="81"/>
  <c r="J152" i="81"/>
  <c r="I152" i="81"/>
  <c r="H152" i="81"/>
  <c r="G152" i="81"/>
  <c r="O152" i="81" s="1"/>
  <c r="F152" i="81"/>
  <c r="E152" i="81"/>
  <c r="D152" i="81"/>
  <c r="C152" i="81"/>
  <c r="N151" i="81"/>
  <c r="M151" i="81"/>
  <c r="L151" i="81"/>
  <c r="K151" i="81"/>
  <c r="J151" i="81"/>
  <c r="I151" i="81"/>
  <c r="H151" i="81"/>
  <c r="G151" i="81"/>
  <c r="F151" i="81"/>
  <c r="E151" i="81"/>
  <c r="O151" i="81" s="1"/>
  <c r="D151" i="81"/>
  <c r="C151" i="81"/>
  <c r="N150" i="81"/>
  <c r="M150" i="81"/>
  <c r="L150" i="81"/>
  <c r="K150" i="81"/>
  <c r="J150" i="81"/>
  <c r="I150" i="81"/>
  <c r="H150" i="81"/>
  <c r="G150" i="81"/>
  <c r="F150" i="81"/>
  <c r="E150" i="81"/>
  <c r="D150" i="81"/>
  <c r="C150" i="81"/>
  <c r="N149" i="81"/>
  <c r="M149" i="81"/>
  <c r="L149" i="81"/>
  <c r="K149" i="81"/>
  <c r="J149" i="81"/>
  <c r="I149" i="81"/>
  <c r="H149" i="81"/>
  <c r="G149" i="81"/>
  <c r="O149" i="81" s="1"/>
  <c r="F149" i="81"/>
  <c r="E149" i="81"/>
  <c r="D149" i="81"/>
  <c r="C149" i="81"/>
  <c r="N148" i="81"/>
  <c r="M148" i="81"/>
  <c r="L148" i="81"/>
  <c r="K148" i="81"/>
  <c r="J148" i="81"/>
  <c r="I148" i="81"/>
  <c r="H148" i="81"/>
  <c r="G148" i="81"/>
  <c r="F148" i="81"/>
  <c r="E148" i="81"/>
  <c r="D148" i="81"/>
  <c r="C148" i="81"/>
  <c r="N147" i="81"/>
  <c r="M147" i="81"/>
  <c r="L147" i="81"/>
  <c r="K147" i="81"/>
  <c r="J147" i="81"/>
  <c r="I147" i="81"/>
  <c r="H147" i="81"/>
  <c r="G147" i="81"/>
  <c r="F147" i="81"/>
  <c r="E147" i="81"/>
  <c r="D147" i="81"/>
  <c r="C147" i="81"/>
  <c r="N146" i="81"/>
  <c r="M146" i="81"/>
  <c r="L146" i="81"/>
  <c r="K146" i="81"/>
  <c r="J146" i="81"/>
  <c r="I146" i="81"/>
  <c r="H146" i="81"/>
  <c r="G146" i="81"/>
  <c r="F146" i="81"/>
  <c r="O146" i="81" s="1"/>
  <c r="E146" i="81"/>
  <c r="D146" i="81"/>
  <c r="C146" i="81"/>
  <c r="N144" i="81"/>
  <c r="M144" i="81"/>
  <c r="L144" i="81"/>
  <c r="K144" i="81"/>
  <c r="J144" i="81"/>
  <c r="I144" i="81"/>
  <c r="H144" i="81"/>
  <c r="G144" i="81"/>
  <c r="F144" i="81"/>
  <c r="E144" i="81"/>
  <c r="D144" i="81"/>
  <c r="C144" i="81"/>
  <c r="O144" i="81" s="1"/>
  <c r="I142" i="81"/>
  <c r="H142" i="81"/>
  <c r="O140" i="81"/>
  <c r="O139" i="81"/>
  <c r="O138" i="81"/>
  <c r="O137" i="81"/>
  <c r="O136" i="81"/>
  <c r="O135" i="81"/>
  <c r="O134" i="81"/>
  <c r="O132" i="81"/>
  <c r="N130" i="81"/>
  <c r="M130" i="81"/>
  <c r="L130" i="81"/>
  <c r="L313" i="81" s="1"/>
  <c r="L716" i="81" s="1"/>
  <c r="K130" i="81"/>
  <c r="K313" i="81" s="1"/>
  <c r="K311" i="81" s="1"/>
  <c r="J130" i="81"/>
  <c r="I130" i="81"/>
  <c r="H130" i="81"/>
  <c r="H313" i="81" s="1"/>
  <c r="G130" i="81"/>
  <c r="G142" i="81" s="1"/>
  <c r="F130" i="81"/>
  <c r="E130" i="81"/>
  <c r="D130" i="81"/>
  <c r="D313" i="81" s="1"/>
  <c r="D716" i="81" s="1"/>
  <c r="C130" i="81"/>
  <c r="C313" i="81" s="1"/>
  <c r="O128" i="81"/>
  <c r="O127" i="81"/>
  <c r="O126" i="81"/>
  <c r="O125" i="81"/>
  <c r="O124" i="81"/>
  <c r="O123" i="81"/>
  <c r="O122" i="81"/>
  <c r="O120" i="81"/>
  <c r="N118" i="81"/>
  <c r="M118" i="81"/>
  <c r="L118" i="81"/>
  <c r="L304" i="81" s="1"/>
  <c r="L708" i="81" s="1"/>
  <c r="L724" i="81" s="1"/>
  <c r="K118" i="81"/>
  <c r="J118" i="81"/>
  <c r="I118" i="81"/>
  <c r="I70" i="81" s="1"/>
  <c r="H118" i="81"/>
  <c r="G118" i="81"/>
  <c r="G304" i="81" s="1"/>
  <c r="F118" i="81"/>
  <c r="F304" i="81" s="1"/>
  <c r="E118" i="81"/>
  <c r="E304" i="81" s="1"/>
  <c r="D118" i="81"/>
  <c r="D304" i="81" s="1"/>
  <c r="D708" i="81" s="1"/>
  <c r="D724" i="81" s="1"/>
  <c r="C118" i="81"/>
  <c r="I108" i="81"/>
  <c r="N105" i="81"/>
  <c r="M105" i="81"/>
  <c r="L105" i="81"/>
  <c r="K105" i="81"/>
  <c r="J105" i="81"/>
  <c r="I105" i="81"/>
  <c r="H105" i="81"/>
  <c r="G105" i="81"/>
  <c r="F105" i="81"/>
  <c r="O105" i="81" s="1"/>
  <c r="E105" i="81"/>
  <c r="D105" i="81"/>
  <c r="C105" i="81"/>
  <c r="N104" i="81"/>
  <c r="M104" i="81"/>
  <c r="L104" i="81"/>
  <c r="K104" i="81"/>
  <c r="J104" i="81"/>
  <c r="I104" i="81"/>
  <c r="H104" i="81"/>
  <c r="G104" i="81"/>
  <c r="F104" i="81"/>
  <c r="E104" i="81"/>
  <c r="D104" i="81"/>
  <c r="C104" i="81"/>
  <c r="N100" i="81"/>
  <c r="M100" i="81"/>
  <c r="L100" i="81"/>
  <c r="K100" i="81"/>
  <c r="J100" i="81"/>
  <c r="I100" i="81"/>
  <c r="H100" i="81"/>
  <c r="G100" i="81"/>
  <c r="F100" i="81"/>
  <c r="E100" i="81"/>
  <c r="O100" i="81" s="1"/>
  <c r="D100" i="81"/>
  <c r="C100" i="81"/>
  <c r="J99" i="81"/>
  <c r="J98" i="81" s="1"/>
  <c r="J94" i="81" s="1"/>
  <c r="O97" i="81"/>
  <c r="O96" i="81"/>
  <c r="M92" i="81"/>
  <c r="L92" i="81"/>
  <c r="L108" i="81" s="1"/>
  <c r="K92" i="81"/>
  <c r="K108" i="81" s="1"/>
  <c r="J92" i="81"/>
  <c r="J108" i="81" s="1"/>
  <c r="I92" i="81"/>
  <c r="E92" i="81"/>
  <c r="D92" i="81"/>
  <c r="D108" i="81" s="1"/>
  <c r="C92" i="81"/>
  <c r="O89" i="81"/>
  <c r="O88" i="81"/>
  <c r="K76" i="81"/>
  <c r="J76" i="81"/>
  <c r="I76" i="81"/>
  <c r="C76" i="81"/>
  <c r="N75" i="81"/>
  <c r="H75" i="81"/>
  <c r="G75" i="81"/>
  <c r="F75" i="81"/>
  <c r="K71" i="81"/>
  <c r="J71" i="81"/>
  <c r="I71" i="81"/>
  <c r="H71" i="81"/>
  <c r="C71" i="81"/>
  <c r="N70" i="81"/>
  <c r="M70" i="81"/>
  <c r="H70" i="81"/>
  <c r="G70" i="81"/>
  <c r="F70" i="81"/>
  <c r="E70" i="81"/>
  <c r="O67" i="81"/>
  <c r="N66" i="81"/>
  <c r="M66" i="81"/>
  <c r="L66" i="81"/>
  <c r="K66" i="81"/>
  <c r="J66" i="81"/>
  <c r="I66" i="81"/>
  <c r="H66" i="81"/>
  <c r="G66" i="81"/>
  <c r="O66" i="81" s="1"/>
  <c r="F66" i="81"/>
  <c r="E66" i="81"/>
  <c r="D66" i="81"/>
  <c r="C66" i="81"/>
  <c r="O64" i="81"/>
  <c r="O63" i="81"/>
  <c r="N61" i="81"/>
  <c r="M61" i="81"/>
  <c r="L61" i="81"/>
  <c r="K61" i="81"/>
  <c r="J61" i="81"/>
  <c r="I61" i="81"/>
  <c r="H61" i="81"/>
  <c r="G61" i="81"/>
  <c r="O61" i="81" s="1"/>
  <c r="F61" i="81"/>
  <c r="E61" i="81"/>
  <c r="D61" i="81"/>
  <c r="C61" i="81"/>
  <c r="N52" i="81"/>
  <c r="M52" i="81"/>
  <c r="L52" i="81"/>
  <c r="K52" i="81"/>
  <c r="F52" i="81"/>
  <c r="E52" i="81"/>
  <c r="D52" i="81"/>
  <c r="C52" i="81"/>
  <c r="O50" i="81"/>
  <c r="O49" i="81"/>
  <c r="O48" i="81"/>
  <c r="O47" i="81"/>
  <c r="O46" i="81"/>
  <c r="O45" i="81"/>
  <c r="N43" i="81"/>
  <c r="M43" i="81"/>
  <c r="L43" i="81"/>
  <c r="K43" i="81"/>
  <c r="J43" i="81"/>
  <c r="I43" i="81"/>
  <c r="I52" i="81" s="1"/>
  <c r="H43" i="81"/>
  <c r="G43" i="81"/>
  <c r="O43" i="81" s="1"/>
  <c r="F43" i="81"/>
  <c r="E43" i="81"/>
  <c r="D43" i="81"/>
  <c r="C43" i="81"/>
  <c r="O41" i="81"/>
  <c r="O40" i="81"/>
  <c r="O39" i="81"/>
  <c r="O38" i="81"/>
  <c r="O37" i="81"/>
  <c r="O36" i="81"/>
  <c r="O35" i="81"/>
  <c r="O34" i="81"/>
  <c r="O33" i="81"/>
  <c r="O32" i="81"/>
  <c r="O31" i="81"/>
  <c r="N29" i="81"/>
  <c r="M29" i="81"/>
  <c r="L29" i="81"/>
  <c r="K29" i="81"/>
  <c r="J29" i="81"/>
  <c r="J52" i="81" s="1"/>
  <c r="I29" i="81"/>
  <c r="H29" i="81"/>
  <c r="G29" i="81"/>
  <c r="O29" i="81" s="1"/>
  <c r="F29" i="81"/>
  <c r="E29" i="81"/>
  <c r="D29" i="81"/>
  <c r="C29" i="81"/>
  <c r="N22" i="81"/>
  <c r="M22" i="81"/>
  <c r="L22" i="81"/>
  <c r="K22" i="81"/>
  <c r="J22" i="81"/>
  <c r="I22" i="81"/>
  <c r="H22" i="81"/>
  <c r="G22" i="81"/>
  <c r="F22" i="81"/>
  <c r="E22" i="81"/>
  <c r="D22" i="81"/>
  <c r="O22" i="81" s="1"/>
  <c r="N21" i="81"/>
  <c r="M21" i="81"/>
  <c r="L21" i="81"/>
  <c r="K21" i="81"/>
  <c r="J21" i="81"/>
  <c r="I21" i="81"/>
  <c r="H21" i="81"/>
  <c r="G21" i="81"/>
  <c r="O21" i="81" s="1"/>
  <c r="F21" i="81"/>
  <c r="E21" i="81"/>
  <c r="D21" i="81"/>
  <c r="N19" i="81"/>
  <c r="M19" i="81"/>
  <c r="G19" i="81"/>
  <c r="F19" i="81"/>
  <c r="E19" i="81"/>
  <c r="O17" i="81"/>
  <c r="O16" i="81"/>
  <c r="N14" i="81"/>
  <c r="M14" i="81"/>
  <c r="L14" i="81"/>
  <c r="L19" i="81" s="1"/>
  <c r="K14" i="81"/>
  <c r="J14" i="81"/>
  <c r="I14" i="81"/>
  <c r="H14" i="81"/>
  <c r="G14" i="81"/>
  <c r="F14" i="81"/>
  <c r="E14" i="81"/>
  <c r="D14" i="81"/>
  <c r="D19" i="81" s="1"/>
  <c r="C14" i="81"/>
  <c r="O14" i="81" s="1"/>
  <c r="O12" i="81"/>
  <c r="O11" i="81"/>
  <c r="N9" i="81"/>
  <c r="M9" i="81"/>
  <c r="L9" i="81"/>
  <c r="K9" i="81"/>
  <c r="J9" i="81"/>
  <c r="J19" i="81" s="1"/>
  <c r="I9" i="81"/>
  <c r="I19" i="81" s="1"/>
  <c r="H9" i="81"/>
  <c r="H19" i="81" s="1"/>
  <c r="G9" i="81"/>
  <c r="F9" i="81"/>
  <c r="E9" i="81"/>
  <c r="D9" i="81"/>
  <c r="C9" i="81"/>
  <c r="V1201" i="81"/>
  <c r="W1201" i="81"/>
  <c r="E78" i="71"/>
  <c r="E66" i="71"/>
  <c r="E6" i="71"/>
  <c r="G270" i="81" l="1"/>
  <c r="G290" i="81" s="1"/>
  <c r="G255" i="81"/>
  <c r="E277" i="81"/>
  <c r="E228" i="81"/>
  <c r="E99" i="81" s="1"/>
  <c r="E98" i="81" s="1"/>
  <c r="E94" i="81" s="1"/>
  <c r="D269" i="81"/>
  <c r="D289" i="81" s="1"/>
  <c r="D254" i="81"/>
  <c r="D206" i="81"/>
  <c r="C108" i="81"/>
  <c r="F708" i="81"/>
  <c r="F302" i="81"/>
  <c r="D293" i="81"/>
  <c r="G322" i="81"/>
  <c r="G302" i="81"/>
  <c r="F267" i="81"/>
  <c r="F252" i="81"/>
  <c r="F206" i="81"/>
  <c r="N267" i="81"/>
  <c r="N252" i="81"/>
  <c r="N206" i="81"/>
  <c r="N194" i="81" s="1"/>
  <c r="I292" i="81"/>
  <c r="E293" i="81"/>
  <c r="M293" i="81"/>
  <c r="O218" i="81"/>
  <c r="E216" i="81"/>
  <c r="O280" i="81"/>
  <c r="C282" i="81"/>
  <c r="O282" i="81" s="1"/>
  <c r="O235" i="81"/>
  <c r="O236" i="81"/>
  <c r="O283" i="81"/>
  <c r="G287" i="81"/>
  <c r="M300" i="81"/>
  <c r="I617" i="81"/>
  <c r="I595" i="81"/>
  <c r="I612" i="81" s="1"/>
  <c r="E1049" i="81"/>
  <c r="M1049" i="81"/>
  <c r="H716" i="81"/>
  <c r="H311" i="81"/>
  <c r="H309" i="81" s="1"/>
  <c r="H318" i="81" s="1"/>
  <c r="C269" i="81"/>
  <c r="C254" i="81"/>
  <c r="O210" i="81"/>
  <c r="J271" i="81"/>
  <c r="J291" i="81" s="1"/>
  <c r="J256" i="81"/>
  <c r="O256" i="81"/>
  <c r="M108" i="81"/>
  <c r="O212" i="81"/>
  <c r="I275" i="81"/>
  <c r="M75" i="81"/>
  <c r="O179" i="81"/>
  <c r="L293" i="81"/>
  <c r="D320" i="81"/>
  <c r="D300" i="81"/>
  <c r="D318" i="81" s="1"/>
  <c r="J720" i="81"/>
  <c r="J1027" i="81"/>
  <c r="N1028" i="81"/>
  <c r="N1072" i="81" s="1"/>
  <c r="N721" i="81"/>
  <c r="N702" i="81"/>
  <c r="K19" i="81"/>
  <c r="E108" i="81"/>
  <c r="O104" i="81"/>
  <c r="O182" i="81"/>
  <c r="F194" i="81"/>
  <c r="F92" i="81"/>
  <c r="F108" i="81" s="1"/>
  <c r="F240" i="81"/>
  <c r="N240" i="81"/>
  <c r="N92" i="81"/>
  <c r="N108" i="81" s="1"/>
  <c r="G206" i="81"/>
  <c r="O270" i="81"/>
  <c r="C290" i="81"/>
  <c r="O290" i="81" s="1"/>
  <c r="F291" i="81"/>
  <c r="N291" i="81"/>
  <c r="J292" i="81"/>
  <c r="F293" i="81"/>
  <c r="N293" i="81"/>
  <c r="I216" i="81"/>
  <c r="I99" i="81"/>
  <c r="I98" i="81" s="1"/>
  <c r="I94" i="81" s="1"/>
  <c r="M240" i="81"/>
  <c r="H287" i="81"/>
  <c r="D735" i="81"/>
  <c r="D741" i="81"/>
  <c r="O741" i="81" s="1"/>
  <c r="C265" i="81"/>
  <c r="C287" i="81"/>
  <c r="K269" i="81"/>
  <c r="K254" i="81"/>
  <c r="M277" i="81"/>
  <c r="M275" i="81" s="1"/>
  <c r="M228" i="81"/>
  <c r="M99" i="81" s="1"/>
  <c r="M98" i="81" s="1"/>
  <c r="M94" i="81" s="1"/>
  <c r="H275" i="81"/>
  <c r="D287" i="81"/>
  <c r="E267" i="81"/>
  <c r="E252" i="81"/>
  <c r="O208" i="81"/>
  <c r="E206" i="81"/>
  <c r="N68" i="81"/>
  <c r="N73" i="81" s="1"/>
  <c r="H76" i="81"/>
  <c r="H68" i="81"/>
  <c r="H73" i="81" s="1"/>
  <c r="I68" i="81"/>
  <c r="I73" i="81" s="1"/>
  <c r="I75" i="81"/>
  <c r="E313" i="81"/>
  <c r="E142" i="81"/>
  <c r="E71" i="81"/>
  <c r="E76" i="81" s="1"/>
  <c r="O130" i="81"/>
  <c r="M313" i="81"/>
  <c r="M142" i="81"/>
  <c r="M71" i="81"/>
  <c r="M76" i="81" s="1"/>
  <c r="G92" i="81"/>
  <c r="G108" i="81" s="1"/>
  <c r="G240" i="81"/>
  <c r="O196" i="81"/>
  <c r="C206" i="81"/>
  <c r="G291" i="81"/>
  <c r="G273" i="81"/>
  <c r="G293" i="81" s="1"/>
  <c r="O293" i="81" s="1"/>
  <c r="G258" i="81"/>
  <c r="O214" i="81"/>
  <c r="J275" i="81"/>
  <c r="O233" i="81"/>
  <c r="E280" i="81"/>
  <c r="F289" i="81"/>
  <c r="D291" i="81"/>
  <c r="O291" i="81" s="1"/>
  <c r="N292" i="81"/>
  <c r="C353" i="81"/>
  <c r="G1012" i="81"/>
  <c r="G1011" i="81" s="1"/>
  <c r="G995" i="81"/>
  <c r="G1037" i="81" s="1"/>
  <c r="G1081" i="81" s="1"/>
  <c r="O996" i="81"/>
  <c r="J1013" i="81"/>
  <c r="J1011" i="81" s="1"/>
  <c r="J995" i="81"/>
  <c r="J1037" i="81" s="1"/>
  <c r="J1081" i="81" s="1"/>
  <c r="M1029" i="81"/>
  <c r="E708" i="81"/>
  <c r="E302" i="81"/>
  <c r="E322" i="81"/>
  <c r="L265" i="81"/>
  <c r="M267" i="81"/>
  <c r="M252" i="81"/>
  <c r="M206" i="81"/>
  <c r="F1028" i="81"/>
  <c r="F721" i="81"/>
  <c r="O705" i="81"/>
  <c r="E75" i="81"/>
  <c r="E68" i="81"/>
  <c r="E73" i="81" s="1"/>
  <c r="J304" i="81"/>
  <c r="J70" i="81"/>
  <c r="J142" i="81"/>
  <c r="F142" i="81"/>
  <c r="F71" i="81"/>
  <c r="F76" i="81" s="1"/>
  <c r="F313" i="81"/>
  <c r="F322" i="81" s="1"/>
  <c r="J206" i="81"/>
  <c r="H273" i="81"/>
  <c r="H293" i="81" s="1"/>
  <c r="H258" i="81"/>
  <c r="G228" i="81"/>
  <c r="G99" i="81" s="1"/>
  <c r="G98" i="81" s="1"/>
  <c r="G94" i="81" s="1"/>
  <c r="G278" i="81"/>
  <c r="O278" i="81" s="1"/>
  <c r="O231" i="81"/>
  <c r="O245" i="81"/>
  <c r="O267" i="81"/>
  <c r="H320" i="81"/>
  <c r="J311" i="81"/>
  <c r="J309" i="81" s="1"/>
  <c r="J716" i="81"/>
  <c r="J714" i="81" s="1"/>
  <c r="J1051" i="81" s="1"/>
  <c r="H1010" i="81"/>
  <c r="H1036" i="81"/>
  <c r="H1080" i="81" s="1"/>
  <c r="E586" i="81"/>
  <c r="O518" i="81"/>
  <c r="D670" i="81"/>
  <c r="D682" i="81" s="1"/>
  <c r="D684" i="81"/>
  <c r="O684" i="81" s="1"/>
  <c r="L670" i="81"/>
  <c r="L684" i="81"/>
  <c r="G52" i="81"/>
  <c r="K265" i="81"/>
  <c r="K287" i="81"/>
  <c r="O211" i="81"/>
  <c r="O281" i="81"/>
  <c r="H52" i="81"/>
  <c r="O52" i="81" s="1"/>
  <c r="O185" i="81"/>
  <c r="H268" i="81"/>
  <c r="H288" i="81" s="1"/>
  <c r="H253" i="81"/>
  <c r="H206" i="81"/>
  <c r="L269" i="81"/>
  <c r="L289" i="81" s="1"/>
  <c r="L254" i="81"/>
  <c r="L206" i="81"/>
  <c r="O147" i="81"/>
  <c r="O169" i="81"/>
  <c r="I268" i="81"/>
  <c r="I288" i="81" s="1"/>
  <c r="I253" i="81"/>
  <c r="I206" i="81"/>
  <c r="O243" i="81"/>
  <c r="F511" i="81"/>
  <c r="O477" i="81"/>
  <c r="C19" i="81"/>
  <c r="O19" i="81" s="1"/>
  <c r="O9" i="81"/>
  <c r="N142" i="81"/>
  <c r="N71" i="81"/>
  <c r="N76" i="81" s="1"/>
  <c r="N313" i="81"/>
  <c r="O148" i="81"/>
  <c r="E290" i="81"/>
  <c r="D272" i="81"/>
  <c r="D292" i="81" s="1"/>
  <c r="D257" i="81"/>
  <c r="L272" i="81"/>
  <c r="L292" i="81" s="1"/>
  <c r="L257" i="81"/>
  <c r="F68" i="81"/>
  <c r="F73" i="81" s="1"/>
  <c r="E18" i="71" s="1"/>
  <c r="C304" i="81"/>
  <c r="C70" i="81"/>
  <c r="O118" i="81"/>
  <c r="K304" i="81"/>
  <c r="K70" i="81"/>
  <c r="O150" i="81"/>
  <c r="O186" i="81"/>
  <c r="K206" i="81"/>
  <c r="J265" i="81"/>
  <c r="J285" i="81" s="1"/>
  <c r="J287" i="81"/>
  <c r="F288" i="81"/>
  <c r="N288" i="81"/>
  <c r="J289" i="81"/>
  <c r="F270" i="81"/>
  <c r="F290" i="81" s="1"/>
  <c r="F255" i="81"/>
  <c r="N270" i="81"/>
  <c r="N290" i="81" s="1"/>
  <c r="N255" i="81"/>
  <c r="I271" i="81"/>
  <c r="I291" i="81" s="1"/>
  <c r="I256" i="81"/>
  <c r="E272" i="81"/>
  <c r="E292" i="81" s="1"/>
  <c r="E257" i="81"/>
  <c r="M272" i="81"/>
  <c r="M292" i="81" s="1"/>
  <c r="M257" i="81"/>
  <c r="D277" i="81"/>
  <c r="D228" i="81"/>
  <c r="L277" i="81"/>
  <c r="L275" i="81" s="1"/>
  <c r="L228" i="81"/>
  <c r="H228" i="81"/>
  <c r="H278" i="81"/>
  <c r="C279" i="81"/>
  <c r="O232" i="81"/>
  <c r="C228" i="81"/>
  <c r="K279" i="81"/>
  <c r="K275" i="81" s="1"/>
  <c r="K228" i="81"/>
  <c r="O248" i="81"/>
  <c r="C288" i="81"/>
  <c r="G275" i="81"/>
  <c r="I322" i="81"/>
  <c r="I302" i="81"/>
  <c r="I708" i="81"/>
  <c r="O650" i="81"/>
  <c r="G708" i="81"/>
  <c r="F993" i="81"/>
  <c r="F626" i="81"/>
  <c r="F644" i="81" s="1"/>
  <c r="L682" i="81"/>
  <c r="H1029" i="81"/>
  <c r="H702" i="81"/>
  <c r="C1003" i="81"/>
  <c r="C1012" i="81"/>
  <c r="O1004" i="81"/>
  <c r="O443" i="81"/>
  <c r="I644" i="81"/>
  <c r="C142" i="81"/>
  <c r="K142" i="81"/>
  <c r="O213" i="81"/>
  <c r="O230" i="81"/>
  <c r="J252" i="81"/>
  <c r="E253" i="81"/>
  <c r="O253" i="81" s="1"/>
  <c r="M253" i="81"/>
  <c r="H254" i="81"/>
  <c r="C255" i="81"/>
  <c r="K255" i="81"/>
  <c r="F256" i="81"/>
  <c r="N256" i="81"/>
  <c r="I257" i="81"/>
  <c r="D258" i="81"/>
  <c r="O258" i="81" s="1"/>
  <c r="L258" i="81"/>
  <c r="J323" i="81"/>
  <c r="O314" i="81"/>
  <c r="D322" i="81"/>
  <c r="C994" i="81"/>
  <c r="O338" i="81"/>
  <c r="C335" i="81"/>
  <c r="K994" i="81"/>
  <c r="K335" i="81"/>
  <c r="E1002" i="81"/>
  <c r="E356" i="81"/>
  <c r="E344" i="81"/>
  <c r="M356" i="81"/>
  <c r="M1002" i="81"/>
  <c r="M1058" i="81" s="1"/>
  <c r="M344" i="81"/>
  <c r="M353" i="81" s="1"/>
  <c r="C436" i="81"/>
  <c r="O436" i="81" s="1"/>
  <c r="O402" i="81"/>
  <c r="G603" i="81"/>
  <c r="G612" i="81" s="1"/>
  <c r="G617" i="81"/>
  <c r="O608" i="81"/>
  <c r="H1057" i="81"/>
  <c r="H1055" i="81" s="1"/>
  <c r="H999" i="81"/>
  <c r="H1007" i="81" s="1"/>
  <c r="O648" i="81"/>
  <c r="C658" i="81"/>
  <c r="O660" i="81"/>
  <c r="K684" i="81"/>
  <c r="K658" i="81"/>
  <c r="K682" i="81" s="1"/>
  <c r="N739" i="81"/>
  <c r="G1079" i="81"/>
  <c r="N993" i="81"/>
  <c r="N626" i="81"/>
  <c r="N644" i="81" s="1"/>
  <c r="N647" i="81"/>
  <c r="C1027" i="81"/>
  <c r="O704" i="81"/>
  <c r="C720" i="81"/>
  <c r="N999" i="81"/>
  <c r="M1055" i="81"/>
  <c r="I287" i="81"/>
  <c r="J1010" i="81"/>
  <c r="J1036" i="81"/>
  <c r="J1080" i="81" s="1"/>
  <c r="O690" i="81"/>
  <c r="F1053" i="81"/>
  <c r="F739" i="81"/>
  <c r="D71" i="81"/>
  <c r="L71" i="81"/>
  <c r="L76" i="81" s="1"/>
  <c r="D142" i="81"/>
  <c r="L142" i="81"/>
  <c r="H240" i="81"/>
  <c r="O240" i="81" s="1"/>
  <c r="C252" i="81"/>
  <c r="K252" i="81"/>
  <c r="F253" i="81"/>
  <c r="N253" i="81"/>
  <c r="I254" i="81"/>
  <c r="D255" i="81"/>
  <c r="L255" i="81"/>
  <c r="G256" i="81"/>
  <c r="J257" i="81"/>
  <c r="E258" i="81"/>
  <c r="M258" i="81"/>
  <c r="G281" i="81"/>
  <c r="O305" i="81"/>
  <c r="C323" i="81"/>
  <c r="K323" i="81"/>
  <c r="D994" i="81"/>
  <c r="D991" i="81" s="1"/>
  <c r="D335" i="81"/>
  <c r="L994" i="81"/>
  <c r="L335" i="81"/>
  <c r="H353" i="81"/>
  <c r="O360" i="81"/>
  <c r="M586" i="81"/>
  <c r="H603" i="81"/>
  <c r="H612" i="81" s="1"/>
  <c r="H617" i="81"/>
  <c r="I1001" i="81"/>
  <c r="I635" i="81"/>
  <c r="O686" i="81"/>
  <c r="C723" i="81"/>
  <c r="O707" i="81"/>
  <c r="D1035" i="81"/>
  <c r="H1079" i="81"/>
  <c r="O511" i="81"/>
  <c r="C612" i="81"/>
  <c r="K1027" i="81"/>
  <c r="F1081" i="81"/>
  <c r="K1003" i="81"/>
  <c r="K1059" i="81" s="1"/>
  <c r="K1081" i="81" s="1"/>
  <c r="K1012" i="81"/>
  <c r="D1002" i="81"/>
  <c r="D1058" i="81" s="1"/>
  <c r="D356" i="81"/>
  <c r="D344" i="81"/>
  <c r="D353" i="81" s="1"/>
  <c r="C586" i="81"/>
  <c r="O552" i="81"/>
  <c r="N1057" i="81"/>
  <c r="N1055" i="81" s="1"/>
  <c r="H92" i="81"/>
  <c r="H108" i="81" s="1"/>
  <c r="F228" i="81"/>
  <c r="F99" i="81" s="1"/>
  <c r="F98" i="81" s="1"/>
  <c r="F94" i="81" s="1"/>
  <c r="N228" i="81"/>
  <c r="N99" i="81" s="1"/>
  <c r="N98" i="81" s="1"/>
  <c r="N94" i="81" s="1"/>
  <c r="D252" i="81"/>
  <c r="L252" i="81"/>
  <c r="G253" i="81"/>
  <c r="J254" i="81"/>
  <c r="E255" i="81"/>
  <c r="M255" i="81"/>
  <c r="H256" i="81"/>
  <c r="C257" i="81"/>
  <c r="K257" i="81"/>
  <c r="F258" i="81"/>
  <c r="N258" i="81"/>
  <c r="G268" i="81"/>
  <c r="G313" i="81"/>
  <c r="O324" i="81"/>
  <c r="I353" i="81"/>
  <c r="J356" i="81"/>
  <c r="J1001" i="81"/>
  <c r="J635" i="81"/>
  <c r="C689" i="81"/>
  <c r="O689" i="81" s="1"/>
  <c r="O740" i="81"/>
  <c r="C897" i="81"/>
  <c r="O897" i="81" s="1"/>
  <c r="O841" i="81"/>
  <c r="E1035" i="81"/>
  <c r="E1009" i="81"/>
  <c r="L1081" i="81"/>
  <c r="E1237" i="81"/>
  <c r="C1002" i="81"/>
  <c r="O347" i="81"/>
  <c r="C356" i="81"/>
  <c r="G1028" i="81"/>
  <c r="G721" i="81"/>
  <c r="K739" i="81"/>
  <c r="K1031" i="81"/>
  <c r="K1075" i="81" s="1"/>
  <c r="O941" i="81"/>
  <c r="O984" i="81"/>
  <c r="L1002" i="81"/>
  <c r="L1058" i="81" s="1"/>
  <c r="L356" i="81"/>
  <c r="L344" i="81"/>
  <c r="L353" i="81" s="1"/>
  <c r="L714" i="81"/>
  <c r="L1051" i="81" s="1"/>
  <c r="L723" i="81"/>
  <c r="C311" i="81"/>
  <c r="C716" i="81"/>
  <c r="L322" i="81"/>
  <c r="O357" i="81"/>
  <c r="O629" i="81"/>
  <c r="C1001" i="81"/>
  <c r="C635" i="81"/>
  <c r="O638" i="81"/>
  <c r="K1001" i="81"/>
  <c r="K635" i="81"/>
  <c r="F682" i="81"/>
  <c r="N682" i="81"/>
  <c r="K716" i="81"/>
  <c r="K714" i="81" s="1"/>
  <c r="K1051" i="81" s="1"/>
  <c r="O869" i="81"/>
  <c r="E1012" i="81"/>
  <c r="E1011" i="81" s="1"/>
  <c r="E995" i="81"/>
  <c r="E1037" i="81" s="1"/>
  <c r="E1081" i="81" s="1"/>
  <c r="M1012" i="81"/>
  <c r="M1011" i="81" s="1"/>
  <c r="M995" i="81"/>
  <c r="K1002" i="81"/>
  <c r="K1058" i="81" s="1"/>
  <c r="K356" i="81"/>
  <c r="D70" i="81"/>
  <c r="L70" i="81"/>
  <c r="G71" i="81"/>
  <c r="G76" i="81" s="1"/>
  <c r="L302" i="81"/>
  <c r="H322" i="81"/>
  <c r="L311" i="81"/>
  <c r="L309" i="81" s="1"/>
  <c r="I716" i="81"/>
  <c r="I714" i="81" s="1"/>
  <c r="I1051" i="81" s="1"/>
  <c r="I1047" i="81" s="1"/>
  <c r="I311" i="81"/>
  <c r="I309" i="81" s="1"/>
  <c r="M322" i="81"/>
  <c r="K344" i="81"/>
  <c r="K353" i="81" s="1"/>
  <c r="L1035" i="81"/>
  <c r="L991" i="81"/>
  <c r="F647" i="81"/>
  <c r="O649" i="81"/>
  <c r="G682" i="81"/>
  <c r="O672" i="81"/>
  <c r="O677" i="81"/>
  <c r="I1027" i="81"/>
  <c r="E721" i="81"/>
  <c r="E1028" i="81"/>
  <c r="E1072" i="81" s="1"/>
  <c r="M721" i="81"/>
  <c r="M1028" i="81"/>
  <c r="M1072" i="81" s="1"/>
  <c r="D710" i="81"/>
  <c r="D720" i="81"/>
  <c r="L1049" i="81"/>
  <c r="L1047" i="81" s="1"/>
  <c r="H721" i="81"/>
  <c r="O765" i="81"/>
  <c r="C1037" i="81"/>
  <c r="C1011" i="81"/>
  <c r="F1011" i="81"/>
  <c r="N1012" i="81"/>
  <c r="N1011" i="81" s="1"/>
  <c r="N995" i="81"/>
  <c r="N1037" i="81" s="1"/>
  <c r="N1081" i="81" s="1"/>
  <c r="G999" i="81"/>
  <c r="M1036" i="81"/>
  <c r="M1080" i="81" s="1"/>
  <c r="D586" i="81"/>
  <c r="L586" i="81"/>
  <c r="F617" i="81"/>
  <c r="O617" i="81" s="1"/>
  <c r="G1009" i="81"/>
  <c r="D1001" i="81"/>
  <c r="D635" i="81"/>
  <c r="L1001" i="81"/>
  <c r="L635" i="81"/>
  <c r="L644" i="81" s="1"/>
  <c r="G647" i="81"/>
  <c r="E684" i="81"/>
  <c r="D1071" i="81"/>
  <c r="L1027" i="81"/>
  <c r="H1072" i="81"/>
  <c r="D706" i="81"/>
  <c r="D723" i="81"/>
  <c r="L706" i="81"/>
  <c r="M720" i="81"/>
  <c r="C1031" i="81"/>
  <c r="C739" i="81"/>
  <c r="D739" i="81"/>
  <c r="I1010" i="81"/>
  <c r="M1035" i="81"/>
  <c r="F1080" i="81"/>
  <c r="N1080" i="81"/>
  <c r="O599" i="81"/>
  <c r="O616" i="81"/>
  <c r="D644" i="81"/>
  <c r="H1009" i="81"/>
  <c r="H991" i="81"/>
  <c r="O646" i="81"/>
  <c r="H647" i="81"/>
  <c r="E1071" i="81"/>
  <c r="M1071" i="81"/>
  <c r="E723" i="81"/>
  <c r="M723" i="81"/>
  <c r="L741" i="81"/>
  <c r="L731" i="81"/>
  <c r="E739" i="81"/>
  <c r="F999" i="81"/>
  <c r="N1010" i="81"/>
  <c r="G1139" i="81"/>
  <c r="O1149" i="81"/>
  <c r="O1325" i="81"/>
  <c r="E335" i="81"/>
  <c r="M335" i="81"/>
  <c r="F344" i="81"/>
  <c r="F353" i="81" s="1"/>
  <c r="N344" i="81"/>
  <c r="E644" i="81"/>
  <c r="I1035" i="81"/>
  <c r="I991" i="81"/>
  <c r="I647" i="81"/>
  <c r="O692" i="81"/>
  <c r="N723" i="81"/>
  <c r="N706" i="81"/>
  <c r="D721" i="81"/>
  <c r="E741" i="81"/>
  <c r="M741" i="81"/>
  <c r="M731" i="81"/>
  <c r="O778" i="81"/>
  <c r="C834" i="81"/>
  <c r="O834" i="81" s="1"/>
  <c r="O806" i="81"/>
  <c r="C1086" i="81"/>
  <c r="O1042" i="81"/>
  <c r="O1101" i="81"/>
  <c r="C1106" i="81"/>
  <c r="F1177" i="81"/>
  <c r="O1177" i="81" s="1"/>
  <c r="O1133" i="81"/>
  <c r="O1317" i="81"/>
  <c r="D1316" i="81"/>
  <c r="F335" i="81"/>
  <c r="N335" i="81"/>
  <c r="G344" i="81"/>
  <c r="G353" i="81" s="1"/>
  <c r="F356" i="81"/>
  <c r="N356" i="81"/>
  <c r="J595" i="81"/>
  <c r="J612" i="81" s="1"/>
  <c r="J993" i="81"/>
  <c r="J647" i="81"/>
  <c r="J626" i="81"/>
  <c r="L647" i="81"/>
  <c r="I684" i="81"/>
  <c r="I658" i="81"/>
  <c r="I682" i="81" s="1"/>
  <c r="C1028" i="81"/>
  <c r="C721" i="81"/>
  <c r="O721" i="81" s="1"/>
  <c r="K1028" i="81"/>
  <c r="K1072" i="81" s="1"/>
  <c r="K721" i="81"/>
  <c r="J1049" i="81"/>
  <c r="J710" i="81"/>
  <c r="E720" i="81"/>
  <c r="F1075" i="81"/>
  <c r="E54" i="71" s="1"/>
  <c r="M763" i="81"/>
  <c r="O756" i="81"/>
  <c r="D763" i="81"/>
  <c r="O932" i="81"/>
  <c r="G994" i="81"/>
  <c r="O1005" i="81"/>
  <c r="D1084" i="81"/>
  <c r="D1039" i="81"/>
  <c r="D1083" i="81" s="1"/>
  <c r="L1084" i="81"/>
  <c r="L1039" i="81"/>
  <c r="L1083" i="81" s="1"/>
  <c r="H1085" i="81"/>
  <c r="H1039" i="81"/>
  <c r="H1083" i="81" s="1"/>
  <c r="C1061" i="81"/>
  <c r="O1061" i="81" s="1"/>
  <c r="E1084" i="81"/>
  <c r="E1161" i="81"/>
  <c r="I1080" i="81"/>
  <c r="F612" i="81"/>
  <c r="C993" i="81"/>
  <c r="C647" i="81"/>
  <c r="C626" i="81"/>
  <c r="K993" i="81"/>
  <c r="K647" i="81"/>
  <c r="K626" i="81"/>
  <c r="K644" i="81" s="1"/>
  <c r="J684" i="81"/>
  <c r="J658" i="81"/>
  <c r="J682" i="81" s="1"/>
  <c r="M702" i="81"/>
  <c r="H1071" i="81"/>
  <c r="H1025" i="81"/>
  <c r="D1072" i="81"/>
  <c r="L721" i="81"/>
  <c r="O712" i="81"/>
  <c r="K1049" i="81"/>
  <c r="K1047" i="81" s="1"/>
  <c r="K710" i="81"/>
  <c r="O713" i="81"/>
  <c r="H720" i="81"/>
  <c r="F723" i="81"/>
  <c r="J739" i="81"/>
  <c r="J1031" i="81"/>
  <c r="J1075" i="81" s="1"/>
  <c r="F763" i="81"/>
  <c r="N763" i="81"/>
  <c r="O904" i="81"/>
  <c r="I1009" i="81"/>
  <c r="M1039" i="81"/>
  <c r="M1083" i="81" s="1"/>
  <c r="M1084" i="81"/>
  <c r="F1057" i="81"/>
  <c r="F1055" i="81" s="1"/>
  <c r="O1064" i="81"/>
  <c r="M1303" i="81"/>
  <c r="I1303" i="81"/>
  <c r="G1243" i="81"/>
  <c r="G1229" i="81"/>
  <c r="O1231" i="81"/>
  <c r="I1012" i="81"/>
  <c r="I1011" i="81" s="1"/>
  <c r="I995" i="81"/>
  <c r="I1037" i="81" s="1"/>
  <c r="I1081" i="81" s="1"/>
  <c r="D1013" i="81"/>
  <c r="D1011" i="81" s="1"/>
  <c r="L1013" i="81"/>
  <c r="L1011" i="81" s="1"/>
  <c r="G1083" i="81"/>
  <c r="G1086" i="81"/>
  <c r="J1087" i="81"/>
  <c r="O1065" i="81"/>
  <c r="F1161" i="81"/>
  <c r="N1303" i="81"/>
  <c r="J1303" i="81"/>
  <c r="O1297" i="81"/>
  <c r="D1295" i="81"/>
  <c r="D1292" i="81" s="1"/>
  <c r="D1279" i="81" s="1"/>
  <c r="D1303" i="81" s="1"/>
  <c r="F720" i="81"/>
  <c r="G741" i="81"/>
  <c r="G731" i="81"/>
  <c r="O731" i="81" s="1"/>
  <c r="O766" i="81"/>
  <c r="H941" i="81"/>
  <c r="D1085" i="81"/>
  <c r="O1041" i="81"/>
  <c r="L1085" i="81"/>
  <c r="H1303" i="81"/>
  <c r="E1321" i="81"/>
  <c r="E1319" i="81" s="1"/>
  <c r="E1316" i="81" s="1"/>
  <c r="H741" i="81"/>
  <c r="H731" i="81"/>
  <c r="O737" i="81"/>
  <c r="F1013" i="81"/>
  <c r="N1071" i="81"/>
  <c r="I1083" i="81"/>
  <c r="I1106" i="81"/>
  <c r="O1189" i="81"/>
  <c r="C1201" i="81"/>
  <c r="O1201" i="81" s="1"/>
  <c r="O1273" i="81"/>
  <c r="H1012" i="81"/>
  <c r="H1011" i="81" s="1"/>
  <c r="C1013" i="81"/>
  <c r="K1013" i="81"/>
  <c r="J1106" i="81"/>
  <c r="G1163" i="81"/>
  <c r="O1163" i="81" s="1"/>
  <c r="G1117" i="81"/>
  <c r="G1161" i="81" s="1"/>
  <c r="O1119" i="81"/>
  <c r="F1171" i="81"/>
  <c r="O1127" i="81"/>
  <c r="N1171" i="81"/>
  <c r="O1171" i="81" s="1"/>
  <c r="N1117" i="81"/>
  <c r="N1161" i="81" s="1"/>
  <c r="O1169" i="81"/>
  <c r="O1205" i="81"/>
  <c r="I1237" i="81"/>
  <c r="M1255" i="81"/>
  <c r="O1286" i="81"/>
  <c r="O1322" i="81"/>
  <c r="N1083" i="81"/>
  <c r="I1084" i="81"/>
  <c r="E1085" i="81"/>
  <c r="M1085" i="81"/>
  <c r="H1086" i="81"/>
  <c r="C1087" i="81"/>
  <c r="O1043" i="81"/>
  <c r="K1087" i="81"/>
  <c r="O1109" i="81"/>
  <c r="I1117" i="81"/>
  <c r="I1161" i="81" s="1"/>
  <c r="I1163" i="81"/>
  <c r="O1260" i="81"/>
  <c r="C1257" i="81"/>
  <c r="O1284" i="81"/>
  <c r="C1281" i="81"/>
  <c r="I1305" i="81"/>
  <c r="O1313" i="81"/>
  <c r="C1310" i="81"/>
  <c r="O1314" i="81"/>
  <c r="I1319" i="81"/>
  <c r="I1316" i="81" s="1"/>
  <c r="H995" i="81"/>
  <c r="H1037" i="81" s="1"/>
  <c r="H1081" i="81" s="1"/>
  <c r="J1084" i="81"/>
  <c r="O1096" i="81"/>
  <c r="O1139" i="81"/>
  <c r="O1219" i="81"/>
  <c r="C1217" i="81"/>
  <c r="K1217" i="81"/>
  <c r="K1213" i="81" s="1"/>
  <c r="K1237" i="81" s="1"/>
  <c r="K1243" i="81"/>
  <c r="E1243" i="81"/>
  <c r="O1243" i="81" s="1"/>
  <c r="M1243" i="81"/>
  <c r="O1245" i="81"/>
  <c r="F1279" i="81"/>
  <c r="F1303" i="81" s="1"/>
  <c r="J1305" i="81"/>
  <c r="F1305" i="81"/>
  <c r="I731" i="81"/>
  <c r="O997" i="81"/>
  <c r="C1084" i="81"/>
  <c r="O1040" i="81"/>
  <c r="C1039" i="81"/>
  <c r="K1084" i="81"/>
  <c r="K1039" i="81"/>
  <c r="K1083" i="81" s="1"/>
  <c r="D1237" i="81"/>
  <c r="L1237" i="81"/>
  <c r="D1225" i="81"/>
  <c r="E1241" i="81"/>
  <c r="E1225" i="81"/>
  <c r="F1243" i="81"/>
  <c r="F1229" i="81"/>
  <c r="N1243" i="81"/>
  <c r="N1229" i="81"/>
  <c r="E1255" i="81"/>
  <c r="E1303" i="81" s="1"/>
  <c r="O1306" i="81"/>
  <c r="K1305" i="81"/>
  <c r="G1316" i="81"/>
  <c r="O1318" i="81"/>
  <c r="L1161" i="81"/>
  <c r="H1163" i="81"/>
  <c r="H1117" i="81"/>
  <c r="H1161" i="81" s="1"/>
  <c r="G1171" i="81"/>
  <c r="G1177" i="81"/>
  <c r="O1165" i="81"/>
  <c r="O1167" i="81"/>
  <c r="O1195" i="81"/>
  <c r="H1243" i="81"/>
  <c r="H1229" i="81"/>
  <c r="M1316" i="81"/>
  <c r="H1319" i="81"/>
  <c r="O1323" i="81"/>
  <c r="O1204" i="81"/>
  <c r="M1241" i="81"/>
  <c r="M1225" i="81"/>
  <c r="M1237" i="81" s="1"/>
  <c r="O1239" i="81"/>
  <c r="F1255" i="81"/>
  <c r="C1161" i="81"/>
  <c r="J1237" i="81"/>
  <c r="G1255" i="81"/>
  <c r="G1303" i="81" s="1"/>
  <c r="O1262" i="81"/>
  <c r="O1271" i="81"/>
  <c r="F1308" i="81"/>
  <c r="N1308" i="81"/>
  <c r="N1305" i="81" s="1"/>
  <c r="H1316" i="81"/>
  <c r="C1321" i="81"/>
  <c r="K1321" i="81"/>
  <c r="K1319" i="81" s="1"/>
  <c r="K1316" i="81" s="1"/>
  <c r="H1084" i="81"/>
  <c r="C1085" i="81"/>
  <c r="K1085" i="81"/>
  <c r="F1086" i="81"/>
  <c r="N1086" i="81"/>
  <c r="I1087" i="81"/>
  <c r="D1161" i="81"/>
  <c r="O1173" i="81"/>
  <c r="O1179" i="81"/>
  <c r="D1243" i="81"/>
  <c r="L1243" i="81"/>
  <c r="O1244" i="81"/>
  <c r="O1246" i="81"/>
  <c r="L1255" i="81"/>
  <c r="L1303" i="81" s="1"/>
  <c r="C1268" i="81"/>
  <c r="O1268" i="81" s="1"/>
  <c r="D1305" i="81"/>
  <c r="O1307" i="81"/>
  <c r="L1305" i="81"/>
  <c r="O1311" i="81"/>
  <c r="I1241" i="81"/>
  <c r="I739" i="81" l="1"/>
  <c r="I1031" i="81"/>
  <c r="I1075" i="81" s="1"/>
  <c r="C714" i="81"/>
  <c r="O612" i="81"/>
  <c r="E999" i="81"/>
  <c r="E1058" i="81"/>
  <c r="E1010" i="81"/>
  <c r="H250" i="81"/>
  <c r="H91" i="81"/>
  <c r="C1058" i="81"/>
  <c r="O1002" i="81"/>
  <c r="O595" i="81"/>
  <c r="D1029" i="81"/>
  <c r="D722" i="81"/>
  <c r="D702" i="81"/>
  <c r="D718" i="81" s="1"/>
  <c r="D75" i="81"/>
  <c r="D68" i="81"/>
  <c r="D73" i="81" s="1"/>
  <c r="O228" i="81"/>
  <c r="C216" i="81"/>
  <c r="C99" i="81"/>
  <c r="D1053" i="81"/>
  <c r="O735" i="81"/>
  <c r="F1225" i="81"/>
  <c r="F1237" i="81" s="1"/>
  <c r="F1241" i="81"/>
  <c r="I1033" i="81"/>
  <c r="I1079" i="81"/>
  <c r="L1057" i="81"/>
  <c r="L1055" i="81" s="1"/>
  <c r="L1045" i="81" s="1"/>
  <c r="L999" i="81"/>
  <c r="L1007" i="81" s="1"/>
  <c r="M1010" i="81"/>
  <c r="O995" i="81"/>
  <c r="C1057" i="81"/>
  <c r="O1001" i="81"/>
  <c r="C999" i="81"/>
  <c r="K1011" i="81"/>
  <c r="O1011" i="81" s="1"/>
  <c r="H1033" i="81"/>
  <c r="H1077" i="81" s="1"/>
  <c r="O323" i="81"/>
  <c r="O335" i="81"/>
  <c r="O1012" i="81"/>
  <c r="G724" i="81"/>
  <c r="G706" i="81"/>
  <c r="O273" i="81"/>
  <c r="E320" i="81"/>
  <c r="E300" i="81"/>
  <c r="C250" i="81"/>
  <c r="O206" i="81"/>
  <c r="C91" i="81"/>
  <c r="C194" i="81"/>
  <c r="M216" i="81"/>
  <c r="N287" i="81"/>
  <c r="N265" i="81"/>
  <c r="N285" i="81" s="1"/>
  <c r="H1225" i="81"/>
  <c r="H1237" i="81" s="1"/>
  <c r="H1241" i="81"/>
  <c r="C1035" i="81"/>
  <c r="C1009" i="81"/>
  <c r="O993" i="81"/>
  <c r="C991" i="81"/>
  <c r="L1029" i="81"/>
  <c r="L1073" i="81" s="1"/>
  <c r="L722" i="81"/>
  <c r="K99" i="81"/>
  <c r="K98" i="81" s="1"/>
  <c r="K94" i="81" s="1"/>
  <c r="K216" i="81"/>
  <c r="O1085" i="81"/>
  <c r="L1031" i="81"/>
  <c r="L1075" i="81" s="1"/>
  <c r="L739" i="81"/>
  <c r="O635" i="81"/>
  <c r="H194" i="81"/>
  <c r="M716" i="81"/>
  <c r="M311" i="81"/>
  <c r="F216" i="81"/>
  <c r="G91" i="81"/>
  <c r="G250" i="81"/>
  <c r="J1071" i="81"/>
  <c r="F300" i="81"/>
  <c r="O1321" i="81"/>
  <c r="C1319" i="81"/>
  <c r="C1083" i="81"/>
  <c r="O1083" i="81" s="1"/>
  <c r="O1039" i="81"/>
  <c r="O1013" i="81"/>
  <c r="L702" i="81"/>
  <c r="L718" i="81" s="1"/>
  <c r="G716" i="81"/>
  <c r="G714" i="81" s="1"/>
  <c r="G311" i="81"/>
  <c r="G309" i="81" s="1"/>
  <c r="O723" i="81"/>
  <c r="O1003" i="81"/>
  <c r="C1059" i="81"/>
  <c r="O1059" i="81" s="1"/>
  <c r="O279" i="81"/>
  <c r="N716" i="81"/>
  <c r="N311" i="81"/>
  <c r="N322" i="81"/>
  <c r="E91" i="81"/>
  <c r="E194" i="81"/>
  <c r="E238" i="81" s="1"/>
  <c r="E250" i="81"/>
  <c r="O271" i="81"/>
  <c r="O254" i="81"/>
  <c r="O603" i="81"/>
  <c r="G265" i="81"/>
  <c r="G285" i="81" s="1"/>
  <c r="F91" i="81"/>
  <c r="F250" i="81"/>
  <c r="E275" i="81"/>
  <c r="M1079" i="81"/>
  <c r="M1033" i="81"/>
  <c r="M1077" i="81" s="1"/>
  <c r="K1057" i="81"/>
  <c r="K1055" i="81" s="1"/>
  <c r="K1045" i="81" s="1"/>
  <c r="K999" i="81"/>
  <c r="O252" i="81"/>
  <c r="O70" i="81"/>
  <c r="C75" i="81"/>
  <c r="O75" i="81" s="1"/>
  <c r="C68" i="81"/>
  <c r="I194" i="81"/>
  <c r="I238" i="81" s="1"/>
  <c r="I250" i="81"/>
  <c r="I91" i="81"/>
  <c r="M287" i="81"/>
  <c r="M265" i="81"/>
  <c r="M285" i="81" s="1"/>
  <c r="D91" i="81"/>
  <c r="D194" i="81"/>
  <c r="D238" i="81" s="1"/>
  <c r="D250" i="81"/>
  <c r="M1031" i="81"/>
  <c r="M1075" i="81" s="1"/>
  <c r="M739" i="81"/>
  <c r="O739" i="81" s="1"/>
  <c r="O257" i="81"/>
  <c r="O658" i="81"/>
  <c r="C682" i="81"/>
  <c r="O682" i="81" s="1"/>
  <c r="D216" i="81"/>
  <c r="D99" i="81"/>
  <c r="D98" i="81" s="1"/>
  <c r="D94" i="81" s="1"/>
  <c r="C322" i="81"/>
  <c r="C708" i="81"/>
  <c r="C302" i="81"/>
  <c r="O304" i="81"/>
  <c r="K285" i="81"/>
  <c r="N216" i="81"/>
  <c r="N238" i="81" s="1"/>
  <c r="O1310" i="81"/>
  <c r="C1308" i="81"/>
  <c r="O1106" i="81"/>
  <c r="C1071" i="81"/>
  <c r="O1071" i="81" s="1"/>
  <c r="O1027" i="81"/>
  <c r="K1010" i="81"/>
  <c r="K1036" i="81"/>
  <c r="K1080" i="81" s="1"/>
  <c r="O1117" i="81"/>
  <c r="O1281" i="81"/>
  <c r="C1279" i="81"/>
  <c r="K1035" i="81"/>
  <c r="K1009" i="81"/>
  <c r="K991" i="81"/>
  <c r="G1036" i="81"/>
  <c r="G1010" i="81"/>
  <c r="J1047" i="81"/>
  <c r="J644" i="81"/>
  <c r="O1086" i="81"/>
  <c r="N1029" i="81"/>
  <c r="N353" i="81"/>
  <c r="M999" i="81"/>
  <c r="O1292" i="81"/>
  <c r="C1075" i="81"/>
  <c r="O1031" i="81"/>
  <c r="L1071" i="81"/>
  <c r="L1025" i="81"/>
  <c r="D1057" i="81"/>
  <c r="D1055" i="81" s="1"/>
  <c r="D999" i="81"/>
  <c r="D1007" i="81" s="1"/>
  <c r="G288" i="81"/>
  <c r="O288" i="81" s="1"/>
  <c r="D1009" i="81"/>
  <c r="O71" i="81"/>
  <c r="D76" i="81"/>
  <c r="O76" i="81" s="1"/>
  <c r="N1007" i="81"/>
  <c r="N1035" i="81"/>
  <c r="N1009" i="81"/>
  <c r="N991" i="81"/>
  <c r="M1025" i="81"/>
  <c r="C1036" i="81"/>
  <c r="C1010" i="81"/>
  <c r="O994" i="81"/>
  <c r="O268" i="81"/>
  <c r="K75" i="81"/>
  <c r="K68" i="81"/>
  <c r="K73" i="81" s="1"/>
  <c r="L91" i="81"/>
  <c r="L194" i="81"/>
  <c r="L250" i="81"/>
  <c r="O670" i="81"/>
  <c r="F1072" i="81"/>
  <c r="O344" i="81"/>
  <c r="G216" i="81"/>
  <c r="H265" i="81"/>
  <c r="H285" i="81" s="1"/>
  <c r="L287" i="81"/>
  <c r="C289" i="81"/>
  <c r="O269" i="81"/>
  <c r="O92" i="81"/>
  <c r="G739" i="81"/>
  <c r="G1031" i="81"/>
  <c r="G1075" i="81" s="1"/>
  <c r="F238" i="81"/>
  <c r="M68" i="81"/>
  <c r="M73" i="81" s="1"/>
  <c r="N1225" i="81"/>
  <c r="N1237" i="81" s="1"/>
  <c r="N1241" i="81"/>
  <c r="C1072" i="81"/>
  <c r="O1028" i="81"/>
  <c r="L75" i="81"/>
  <c r="L68" i="81"/>
  <c r="L73" i="81" s="1"/>
  <c r="L285" i="81"/>
  <c r="I265" i="81"/>
  <c r="I285" i="81" s="1"/>
  <c r="C292" i="81"/>
  <c r="O292" i="81" s="1"/>
  <c r="O1217" i="81"/>
  <c r="C1213" i="81"/>
  <c r="O277" i="81"/>
  <c r="D275" i="81"/>
  <c r="F716" i="81"/>
  <c r="F714" i="81" s="1"/>
  <c r="F311" i="81"/>
  <c r="F309" i="81" s="1"/>
  <c r="O1229" i="81"/>
  <c r="O1161" i="81"/>
  <c r="O1084" i="81"/>
  <c r="O1087" i="81"/>
  <c r="H1023" i="81"/>
  <c r="O626" i="81"/>
  <c r="C644" i="81"/>
  <c r="O644" i="81" s="1"/>
  <c r="E706" i="81"/>
  <c r="G991" i="81"/>
  <c r="G1007" i="81" s="1"/>
  <c r="M1037" i="81"/>
  <c r="M1081" i="81" s="1"/>
  <c r="M991" i="81"/>
  <c r="G1072" i="81"/>
  <c r="E353" i="81"/>
  <c r="O353" i="81" s="1"/>
  <c r="I706" i="81"/>
  <c r="I724" i="81"/>
  <c r="D265" i="81"/>
  <c r="H216" i="81"/>
  <c r="H99" i="81"/>
  <c r="H98" i="81" s="1"/>
  <c r="H94" i="81" s="1"/>
  <c r="K322" i="81"/>
  <c r="K708" i="81"/>
  <c r="K302" i="81"/>
  <c r="C275" i="81"/>
  <c r="C285" i="81" s="1"/>
  <c r="J75" i="81"/>
  <c r="J68" i="81"/>
  <c r="J73" i="81" s="1"/>
  <c r="M91" i="81"/>
  <c r="M194" i="81"/>
  <c r="M238" i="81" s="1"/>
  <c r="M250" i="81"/>
  <c r="E716" i="81"/>
  <c r="E714" i="81" s="1"/>
  <c r="O313" i="81"/>
  <c r="E311" i="81"/>
  <c r="E309" i="81" s="1"/>
  <c r="E318" i="81" s="1"/>
  <c r="K289" i="81"/>
  <c r="F287" i="81"/>
  <c r="F265" i="81"/>
  <c r="F285" i="81" s="1"/>
  <c r="O108" i="81"/>
  <c r="I1071" i="81"/>
  <c r="C309" i="81"/>
  <c r="E1079" i="81"/>
  <c r="E1033" i="81"/>
  <c r="D1010" i="81"/>
  <c r="D1036" i="81"/>
  <c r="D1080" i="81" s="1"/>
  <c r="J194" i="81"/>
  <c r="J238" i="81" s="1"/>
  <c r="J250" i="81"/>
  <c r="J91" i="81"/>
  <c r="N91" i="81"/>
  <c r="N250" i="81"/>
  <c r="K1241" i="81"/>
  <c r="F1009" i="81"/>
  <c r="F991" i="81"/>
  <c r="F1007" i="81" s="1"/>
  <c r="F1035" i="81"/>
  <c r="K250" i="81"/>
  <c r="K91" i="81"/>
  <c r="K194" i="81"/>
  <c r="K238" i="81" s="1"/>
  <c r="G68" i="81"/>
  <c r="G73" i="81" s="1"/>
  <c r="O1295" i="81"/>
  <c r="C1241" i="81"/>
  <c r="O1257" i="81"/>
  <c r="C1255" i="81"/>
  <c r="O1255" i="81" s="1"/>
  <c r="H739" i="81"/>
  <c r="H1031" i="81"/>
  <c r="H1075" i="81" s="1"/>
  <c r="G1225" i="81"/>
  <c r="G1237" i="81" s="1"/>
  <c r="G1241" i="81"/>
  <c r="O647" i="81"/>
  <c r="O763" i="81"/>
  <c r="J1035" i="81"/>
  <c r="J1009" i="81"/>
  <c r="J991" i="81"/>
  <c r="F706" i="81"/>
  <c r="I710" i="81"/>
  <c r="L710" i="81"/>
  <c r="L1009" i="81"/>
  <c r="L320" i="81"/>
  <c r="L300" i="81"/>
  <c r="L318" i="81" s="1"/>
  <c r="O356" i="81"/>
  <c r="E991" i="81"/>
  <c r="J999" i="81"/>
  <c r="J1057" i="81"/>
  <c r="J1055" i="81" s="1"/>
  <c r="O586" i="81"/>
  <c r="K1071" i="81"/>
  <c r="D1079" i="81"/>
  <c r="I1057" i="81"/>
  <c r="I1055" i="81" s="1"/>
  <c r="I1045" i="81" s="1"/>
  <c r="I999" i="81"/>
  <c r="I1007" i="81" s="1"/>
  <c r="L1010" i="81"/>
  <c r="L1036" i="81"/>
  <c r="L1080" i="81" s="1"/>
  <c r="O720" i="81"/>
  <c r="O1049" i="81"/>
  <c r="O255" i="81"/>
  <c r="O142" i="81"/>
  <c r="I320" i="81"/>
  <c r="I300" i="81"/>
  <c r="I318" i="81" s="1"/>
  <c r="L99" i="81"/>
  <c r="L98" i="81" s="1"/>
  <c r="L94" i="81" s="1"/>
  <c r="L216" i="81"/>
  <c r="O272" i="81"/>
  <c r="J708" i="81"/>
  <c r="J322" i="81"/>
  <c r="J302" i="81"/>
  <c r="G194" i="81"/>
  <c r="G238" i="81" s="1"/>
  <c r="E287" i="81"/>
  <c r="E265" i="81"/>
  <c r="E285" i="81" s="1"/>
  <c r="O287" i="81"/>
  <c r="H724" i="81"/>
  <c r="H714" i="81"/>
  <c r="G300" i="81"/>
  <c r="K724" i="81" l="1"/>
  <c r="K706" i="81"/>
  <c r="I107" i="81"/>
  <c r="I90" i="81"/>
  <c r="M714" i="81"/>
  <c r="M724" i="81"/>
  <c r="H1051" i="81"/>
  <c r="H710" i="81"/>
  <c r="H718" i="81" s="1"/>
  <c r="H722" i="81"/>
  <c r="L1069" i="81"/>
  <c r="L1023" i="81"/>
  <c r="L1067" i="81" s="1"/>
  <c r="K1079" i="81"/>
  <c r="K1033" i="81"/>
  <c r="K1077" i="81" s="1"/>
  <c r="C320" i="81"/>
  <c r="C300" i="81"/>
  <c r="O302" i="81"/>
  <c r="L1033" i="81"/>
  <c r="L1077" i="81" s="1"/>
  <c r="F107" i="81"/>
  <c r="F90" i="81"/>
  <c r="H238" i="81"/>
  <c r="C1007" i="81"/>
  <c r="O1007" i="81" s="1"/>
  <c r="O999" i="81"/>
  <c r="O216" i="81"/>
  <c r="C1051" i="81"/>
  <c r="C710" i="81"/>
  <c r="F1051" i="81"/>
  <c r="F1047" i="81" s="1"/>
  <c r="F1045" i="81" s="1"/>
  <c r="F710" i="81"/>
  <c r="O289" i="81"/>
  <c r="C1303" i="81"/>
  <c r="O1303" i="81" s="1"/>
  <c r="O1279" i="81"/>
  <c r="O708" i="81"/>
  <c r="C724" i="81"/>
  <c r="C706" i="81"/>
  <c r="L1079" i="81"/>
  <c r="E724" i="81"/>
  <c r="O991" i="81"/>
  <c r="G722" i="81"/>
  <c r="G1029" i="81"/>
  <c r="G702" i="81"/>
  <c r="I1077" i="81"/>
  <c r="O1058" i="81"/>
  <c r="O716" i="81"/>
  <c r="N1079" i="81"/>
  <c r="N1033" i="81"/>
  <c r="N1077" i="81" s="1"/>
  <c r="F318" i="81"/>
  <c r="M90" i="81"/>
  <c r="M107" i="81"/>
  <c r="O68" i="81"/>
  <c r="C73" i="81"/>
  <c r="O73" i="81" s="1"/>
  <c r="C238" i="81"/>
  <c r="O238" i="81" s="1"/>
  <c r="O194" i="81"/>
  <c r="O1057" i="81"/>
  <c r="C1055" i="81"/>
  <c r="H107" i="81"/>
  <c r="H90" i="81"/>
  <c r="N107" i="81"/>
  <c r="N90" i="81"/>
  <c r="C318" i="81"/>
  <c r="D285" i="81"/>
  <c r="O285" i="81" s="1"/>
  <c r="O265" i="81"/>
  <c r="L238" i="81"/>
  <c r="C1080" i="81"/>
  <c r="O1036" i="81"/>
  <c r="J1045" i="81"/>
  <c r="O1308" i="81"/>
  <c r="C1305" i="81"/>
  <c r="O1305" i="81" s="1"/>
  <c r="N309" i="81"/>
  <c r="N318" i="81" s="1"/>
  <c r="N320" i="81"/>
  <c r="G1051" i="81"/>
  <c r="G1047" i="81" s="1"/>
  <c r="G1045" i="81" s="1"/>
  <c r="G710" i="81"/>
  <c r="O1009" i="81"/>
  <c r="C107" i="81"/>
  <c r="O91" i="81"/>
  <c r="C90" i="81"/>
  <c r="J706" i="81"/>
  <c r="J724" i="81"/>
  <c r="O1241" i="81"/>
  <c r="O322" i="81"/>
  <c r="J1007" i="81"/>
  <c r="F722" i="81"/>
  <c r="F1029" i="81"/>
  <c r="F702" i="81"/>
  <c r="F718" i="81" s="1"/>
  <c r="K107" i="81"/>
  <c r="K90" i="81"/>
  <c r="J107" i="81"/>
  <c r="J90" i="81"/>
  <c r="O311" i="81"/>
  <c r="L90" i="81"/>
  <c r="L107" i="81"/>
  <c r="M1023" i="81"/>
  <c r="D90" i="81"/>
  <c r="D107" i="81"/>
  <c r="N724" i="81"/>
  <c r="N714" i="81"/>
  <c r="O1319" i="81"/>
  <c r="C1316" i="81"/>
  <c r="O1316" i="81" s="1"/>
  <c r="G90" i="81"/>
  <c r="G107" i="81"/>
  <c r="C1079" i="81"/>
  <c r="O1035" i="81"/>
  <c r="C1033" i="81"/>
  <c r="J1079" i="81"/>
  <c r="J1033" i="81"/>
  <c r="J1077" i="81" s="1"/>
  <c r="E90" i="81"/>
  <c r="E107" i="81"/>
  <c r="O99" i="81"/>
  <c r="C98" i="81"/>
  <c r="O1010" i="81"/>
  <c r="O275" i="81"/>
  <c r="I1029" i="81"/>
  <c r="I722" i="81"/>
  <c r="I702" i="81"/>
  <c r="I718" i="81" s="1"/>
  <c r="C1237" i="81"/>
  <c r="O1237" i="81" s="1"/>
  <c r="O1213" i="81"/>
  <c r="M1007" i="81"/>
  <c r="G1080" i="81"/>
  <c r="G1033" i="81"/>
  <c r="G1077" i="81" s="1"/>
  <c r="O1037" i="81"/>
  <c r="O250" i="81"/>
  <c r="E1080" i="81"/>
  <c r="E1055" i="81"/>
  <c r="E1077" i="81" s="1"/>
  <c r="O1225" i="81"/>
  <c r="G318" i="81"/>
  <c r="N1025" i="81"/>
  <c r="G320" i="81"/>
  <c r="J320" i="81"/>
  <c r="J300" i="81"/>
  <c r="J318" i="81" s="1"/>
  <c r="D1033" i="81"/>
  <c r="D1077" i="81" s="1"/>
  <c r="F1079" i="81"/>
  <c r="F1033" i="81"/>
  <c r="F1077" i="81" s="1"/>
  <c r="E42" i="71" s="1"/>
  <c r="E1051" i="81"/>
  <c r="E1047" i="81" s="1"/>
  <c r="E1045" i="81" s="1"/>
  <c r="E710" i="81"/>
  <c r="K320" i="81"/>
  <c r="K300" i="81"/>
  <c r="K318" i="81" s="1"/>
  <c r="E1029" i="81"/>
  <c r="E722" i="81"/>
  <c r="E702" i="81"/>
  <c r="O1072" i="81"/>
  <c r="K1007" i="81"/>
  <c r="F724" i="81"/>
  <c r="C1081" i="81"/>
  <c r="O1081" i="81" s="1"/>
  <c r="F320" i="81"/>
  <c r="M309" i="81"/>
  <c r="M318" i="81" s="1"/>
  <c r="M320" i="81"/>
  <c r="O1053" i="81"/>
  <c r="D1045" i="81"/>
  <c r="D1075" i="81"/>
  <c r="O1075" i="81" s="1"/>
  <c r="D1073" i="81"/>
  <c r="D1025" i="81"/>
  <c r="E1007" i="81"/>
  <c r="O320" i="81" l="1"/>
  <c r="I1073" i="81"/>
  <c r="I1025" i="81"/>
  <c r="L106" i="81"/>
  <c r="L86" i="81"/>
  <c r="L102" i="81" s="1"/>
  <c r="O107" i="81"/>
  <c r="O309" i="81"/>
  <c r="M1051" i="81"/>
  <c r="O1051" i="81" s="1"/>
  <c r="M710" i="81"/>
  <c r="M718" i="81" s="1"/>
  <c r="M722" i="81"/>
  <c r="D1069" i="81"/>
  <c r="D1023" i="81"/>
  <c r="D1067" i="81" s="1"/>
  <c r="N1051" i="81"/>
  <c r="N710" i="81"/>
  <c r="N718" i="81" s="1"/>
  <c r="N722" i="81"/>
  <c r="N106" i="81"/>
  <c r="N86" i="81"/>
  <c r="N102" i="81" s="1"/>
  <c r="C1029" i="81"/>
  <c r="O706" i="81"/>
  <c r="C722" i="81"/>
  <c r="C702" i="81"/>
  <c r="F106" i="81"/>
  <c r="F86" i="81"/>
  <c r="F102" i="81" s="1"/>
  <c r="I86" i="81"/>
  <c r="I102" i="81" s="1"/>
  <c r="I106" i="81"/>
  <c r="G106" i="81"/>
  <c r="G86" i="81"/>
  <c r="G102" i="81" s="1"/>
  <c r="E1073" i="81"/>
  <c r="E1025" i="81"/>
  <c r="E106" i="81"/>
  <c r="E86" i="81"/>
  <c r="E102" i="81" s="1"/>
  <c r="O318" i="81"/>
  <c r="H106" i="81"/>
  <c r="H86" i="81"/>
  <c r="H102" i="81" s="1"/>
  <c r="G718" i="81"/>
  <c r="C1047" i="81"/>
  <c r="K1029" i="81"/>
  <c r="K722" i="81"/>
  <c r="K702" i="81"/>
  <c r="K718" i="81" s="1"/>
  <c r="H1047" i="81"/>
  <c r="H1073" i="81"/>
  <c r="F1073" i="81"/>
  <c r="F1025" i="81"/>
  <c r="J86" i="81"/>
  <c r="J102" i="81" s="1"/>
  <c r="J106" i="81"/>
  <c r="O724" i="81"/>
  <c r="O1080" i="81"/>
  <c r="C94" i="81"/>
  <c r="O94" i="81" s="1"/>
  <c r="O98" i="81"/>
  <c r="O1079" i="81"/>
  <c r="D106" i="81"/>
  <c r="D86" i="81"/>
  <c r="D102" i="81" s="1"/>
  <c r="K86" i="81"/>
  <c r="K102" i="81" s="1"/>
  <c r="K106" i="81"/>
  <c r="M106" i="81"/>
  <c r="M86" i="81"/>
  <c r="M102" i="81" s="1"/>
  <c r="G1073" i="81"/>
  <c r="G1025" i="81"/>
  <c r="O714" i="81"/>
  <c r="C86" i="81"/>
  <c r="O90" i="81"/>
  <c r="C106" i="81"/>
  <c r="O106" i="81" s="1"/>
  <c r="N1023" i="81"/>
  <c r="C1077" i="81"/>
  <c r="O1077" i="81" s="1"/>
  <c r="O1033" i="81"/>
  <c r="E718" i="81"/>
  <c r="J1029" i="81"/>
  <c r="J722" i="81"/>
  <c r="J702" i="81"/>
  <c r="J718" i="81" s="1"/>
  <c r="O1055" i="81"/>
  <c r="O300" i="81"/>
  <c r="F1069" i="81" l="1"/>
  <c r="E30" i="71" s="1"/>
  <c r="F1023" i="81"/>
  <c r="F1067" i="81" s="1"/>
  <c r="E1069" i="81"/>
  <c r="E1023" i="81"/>
  <c r="E1067" i="81" s="1"/>
  <c r="C718" i="81"/>
  <c r="O718" i="81" s="1"/>
  <c r="O702" i="81"/>
  <c r="N1047" i="81"/>
  <c r="O1047" i="81" s="1"/>
  <c r="N1073" i="81"/>
  <c r="K1073" i="81"/>
  <c r="K1025" i="81"/>
  <c r="C102" i="81"/>
  <c r="O102" i="81" s="1"/>
  <c r="O86" i="81"/>
  <c r="C1045" i="81"/>
  <c r="I1023" i="81"/>
  <c r="I1067" i="81" s="1"/>
  <c r="I1069" i="81"/>
  <c r="M1047" i="81"/>
  <c r="M1073" i="81"/>
  <c r="J1073" i="81"/>
  <c r="J1025" i="81"/>
  <c r="O722" i="81"/>
  <c r="H1045" i="81"/>
  <c r="H1067" i="81" s="1"/>
  <c r="H1069" i="81"/>
  <c r="G1023" i="81"/>
  <c r="G1067" i="81" s="1"/>
  <c r="G1069" i="81"/>
  <c r="C1073" i="81"/>
  <c r="O1029" i="81"/>
  <c r="C1025" i="81"/>
  <c r="O710" i="81"/>
  <c r="C1069" i="81" l="1"/>
  <c r="O1025" i="81"/>
  <c r="C1023" i="81"/>
  <c r="J1069" i="81"/>
  <c r="J1023" i="81"/>
  <c r="J1067" i="81" s="1"/>
  <c r="K1069" i="81"/>
  <c r="K1023" i="81"/>
  <c r="K1067" i="81" s="1"/>
  <c r="N1045" i="81"/>
  <c r="N1067" i="81" s="1"/>
  <c r="N1069" i="81"/>
  <c r="O1073" i="81"/>
  <c r="M1045" i="81"/>
  <c r="M1067" i="81" s="1"/>
  <c r="M1069" i="81"/>
  <c r="O1069" i="81" l="1"/>
  <c r="C1067" i="81"/>
  <c r="O1067" i="81" s="1"/>
  <c r="O1023" i="81"/>
  <c r="O1045" i="81"/>
  <c r="E6" i="72" l="1"/>
  <c r="B6" i="71"/>
  <c r="B9" i="71" s="1"/>
  <c r="B7" i="71"/>
  <c r="H6" i="72"/>
  <c r="H8" i="72"/>
  <c r="H9" i="72"/>
  <c r="H8" i="71"/>
  <c r="AA26" i="81"/>
  <c r="I18" i="71"/>
  <c r="H20" i="71"/>
  <c r="N327" i="69" l="1"/>
  <c r="M327" i="69"/>
  <c r="L327" i="69"/>
  <c r="K327" i="69"/>
  <c r="J327" i="69"/>
  <c r="I327" i="69"/>
  <c r="H327" i="69"/>
  <c r="G327" i="69"/>
  <c r="F327" i="69"/>
  <c r="E327" i="69"/>
  <c r="D327" i="69"/>
  <c r="C327" i="69"/>
  <c r="E74" i="72" l="1"/>
  <c r="E62" i="72"/>
  <c r="E50" i="72"/>
  <c r="E38" i="72"/>
  <c r="E28" i="72"/>
  <c r="E18" i="72"/>
  <c r="F6" i="72"/>
  <c r="G6" i="72"/>
  <c r="C78" i="71"/>
  <c r="D78" i="71"/>
  <c r="C66" i="71"/>
  <c r="D66" i="71"/>
  <c r="C54" i="71"/>
  <c r="D54" i="71"/>
  <c r="C42" i="71"/>
  <c r="D42" i="71"/>
  <c r="C30" i="71"/>
  <c r="D30" i="71"/>
  <c r="C18" i="71"/>
  <c r="D18" i="71"/>
  <c r="C6" i="71"/>
  <c r="D6" i="71"/>
  <c r="C6" i="72" l="1"/>
  <c r="C9" i="71"/>
  <c r="X1201" i="81"/>
  <c r="U1201" i="81"/>
  <c r="Y1201" i="81"/>
  <c r="O194" i="74"/>
  <c r="M192" i="74"/>
  <c r="L192" i="74"/>
  <c r="K192" i="74"/>
  <c r="J192" i="74"/>
  <c r="E192" i="74"/>
  <c r="D192" i="74"/>
  <c r="C192" i="74"/>
  <c r="N191" i="74"/>
  <c r="N192" i="74" s="1"/>
  <c r="M191" i="74"/>
  <c r="L191" i="74"/>
  <c r="K191" i="74"/>
  <c r="J191" i="74"/>
  <c r="I191" i="74"/>
  <c r="I192" i="74" s="1"/>
  <c r="H191" i="74"/>
  <c r="H192" i="74" s="1"/>
  <c r="G191" i="74"/>
  <c r="G192" i="74" s="1"/>
  <c r="F191" i="74"/>
  <c r="F192" i="74" s="1"/>
  <c r="E191" i="74"/>
  <c r="D191" i="74"/>
  <c r="C191" i="74"/>
  <c r="O190" i="74"/>
  <c r="O189" i="74"/>
  <c r="O188" i="74"/>
  <c r="O187" i="74"/>
  <c r="O186" i="74"/>
  <c r="O174" i="74"/>
  <c r="M172" i="74"/>
  <c r="L172" i="74"/>
  <c r="K172" i="74"/>
  <c r="J172" i="74"/>
  <c r="E172" i="74"/>
  <c r="D172" i="74"/>
  <c r="C172" i="74"/>
  <c r="N171" i="74"/>
  <c r="N172" i="74" s="1"/>
  <c r="M171" i="74"/>
  <c r="L171" i="74"/>
  <c r="K171" i="74"/>
  <c r="J171" i="74"/>
  <c r="I171" i="74"/>
  <c r="I172" i="74" s="1"/>
  <c r="H171" i="74"/>
  <c r="H172" i="74" s="1"/>
  <c r="G171" i="74"/>
  <c r="G172" i="74" s="1"/>
  <c r="F171" i="74"/>
  <c r="F172" i="74" s="1"/>
  <c r="E171" i="74"/>
  <c r="D171" i="74"/>
  <c r="C171" i="74"/>
  <c r="O170" i="74"/>
  <c r="O169" i="74"/>
  <c r="O168" i="74"/>
  <c r="O167" i="74"/>
  <c r="O166" i="74"/>
  <c r="O154" i="74"/>
  <c r="M152" i="74"/>
  <c r="L152" i="74"/>
  <c r="K152" i="74"/>
  <c r="J152" i="74"/>
  <c r="E152" i="74"/>
  <c r="D152" i="74"/>
  <c r="C152" i="74"/>
  <c r="N151" i="74"/>
  <c r="N152" i="74" s="1"/>
  <c r="M151" i="74"/>
  <c r="L151" i="74"/>
  <c r="K151" i="74"/>
  <c r="J151" i="74"/>
  <c r="I151" i="74"/>
  <c r="I152" i="74" s="1"/>
  <c r="H151" i="74"/>
  <c r="H152" i="74" s="1"/>
  <c r="G151" i="74"/>
  <c r="G152" i="74" s="1"/>
  <c r="F151" i="74"/>
  <c r="F152" i="74" s="1"/>
  <c r="E151" i="74"/>
  <c r="D151" i="74"/>
  <c r="C151" i="74"/>
  <c r="O150" i="74"/>
  <c r="O149" i="74"/>
  <c r="O148" i="74"/>
  <c r="O147" i="74"/>
  <c r="O146" i="74"/>
  <c r="M132" i="74"/>
  <c r="L132" i="74"/>
  <c r="K132" i="74"/>
  <c r="J132" i="74"/>
  <c r="E132" i="74"/>
  <c r="D132" i="74"/>
  <c r="C132" i="74"/>
  <c r="N131" i="74"/>
  <c r="N132" i="74" s="1"/>
  <c r="M131" i="74"/>
  <c r="L131" i="74"/>
  <c r="K131" i="74"/>
  <c r="J131" i="74"/>
  <c r="I131" i="74"/>
  <c r="I132" i="74" s="1"/>
  <c r="H131" i="74"/>
  <c r="H132" i="74" s="1"/>
  <c r="G131" i="74"/>
  <c r="G132" i="74" s="1"/>
  <c r="F131" i="74"/>
  <c r="F132" i="74" s="1"/>
  <c r="E131" i="74"/>
  <c r="D131" i="74"/>
  <c r="C131" i="74"/>
  <c r="O130" i="74"/>
  <c r="O129" i="74"/>
  <c r="O128" i="74"/>
  <c r="O127" i="74"/>
  <c r="O126" i="74"/>
  <c r="J124" i="74"/>
  <c r="O134" i="74" s="1"/>
  <c r="O114" i="74"/>
  <c r="N112" i="74"/>
  <c r="M112" i="74"/>
  <c r="L112" i="74"/>
  <c r="K112" i="74"/>
  <c r="F112" i="74"/>
  <c r="E112" i="74"/>
  <c r="D112" i="74"/>
  <c r="C112" i="74"/>
  <c r="N111" i="74"/>
  <c r="M111" i="74"/>
  <c r="L111" i="74"/>
  <c r="K111" i="74"/>
  <c r="J111" i="74"/>
  <c r="J112" i="74" s="1"/>
  <c r="I111" i="74"/>
  <c r="I112" i="74" s="1"/>
  <c r="H111" i="74"/>
  <c r="H112" i="74" s="1"/>
  <c r="G111" i="74"/>
  <c r="G112" i="74" s="1"/>
  <c r="F111" i="74"/>
  <c r="E111" i="74"/>
  <c r="D111" i="74"/>
  <c r="C111" i="74"/>
  <c r="O110" i="74"/>
  <c r="O109" i="74"/>
  <c r="O108" i="74"/>
  <c r="O107" i="74"/>
  <c r="O106" i="74"/>
  <c r="O94" i="74"/>
  <c r="N92" i="74"/>
  <c r="M92" i="74"/>
  <c r="L92" i="74"/>
  <c r="K92" i="74"/>
  <c r="F92" i="74"/>
  <c r="E92" i="74"/>
  <c r="D92" i="74"/>
  <c r="C92" i="74"/>
  <c r="N91" i="74"/>
  <c r="M91" i="74"/>
  <c r="L91" i="74"/>
  <c r="K91" i="74"/>
  <c r="J91" i="74"/>
  <c r="J92" i="74" s="1"/>
  <c r="I91" i="74"/>
  <c r="I92" i="74" s="1"/>
  <c r="H91" i="74"/>
  <c r="H92" i="74" s="1"/>
  <c r="G91" i="74"/>
  <c r="G92" i="74" s="1"/>
  <c r="F91" i="74"/>
  <c r="E91" i="74"/>
  <c r="D91" i="74"/>
  <c r="C91" i="74"/>
  <c r="O90" i="74"/>
  <c r="O89" i="74"/>
  <c r="O88" i="74"/>
  <c r="O87" i="74"/>
  <c r="O86" i="74"/>
  <c r="N72" i="74"/>
  <c r="M72" i="74"/>
  <c r="L72" i="74"/>
  <c r="K72" i="74"/>
  <c r="F72" i="74"/>
  <c r="E72" i="74"/>
  <c r="D72" i="74"/>
  <c r="C72" i="74"/>
  <c r="N71" i="74"/>
  <c r="M71" i="74"/>
  <c r="L71" i="74"/>
  <c r="K71" i="74"/>
  <c r="J71" i="74"/>
  <c r="J72" i="74" s="1"/>
  <c r="I71" i="74"/>
  <c r="I72" i="74" s="1"/>
  <c r="H71" i="74"/>
  <c r="H72" i="74" s="1"/>
  <c r="G71" i="74"/>
  <c r="G72" i="74" s="1"/>
  <c r="F71" i="74"/>
  <c r="E71" i="74"/>
  <c r="D71" i="74"/>
  <c r="C71" i="74"/>
  <c r="O70" i="74"/>
  <c r="O69" i="74"/>
  <c r="O68" i="74"/>
  <c r="O67" i="74"/>
  <c r="O66" i="74"/>
  <c r="J64" i="74"/>
  <c r="O74" i="74" s="1"/>
  <c r="O54" i="74"/>
  <c r="N52" i="74"/>
  <c r="M52" i="74"/>
  <c r="L52" i="74"/>
  <c r="G52" i="74"/>
  <c r="F52" i="74"/>
  <c r="E52" i="74"/>
  <c r="D52" i="74"/>
  <c r="N51" i="74"/>
  <c r="M51" i="74"/>
  <c r="L51" i="74"/>
  <c r="K51" i="74"/>
  <c r="K52" i="74" s="1"/>
  <c r="J51" i="74"/>
  <c r="J52" i="74" s="1"/>
  <c r="I51" i="74"/>
  <c r="I52" i="74" s="1"/>
  <c r="H51" i="74"/>
  <c r="H52" i="74" s="1"/>
  <c r="G51" i="74"/>
  <c r="F51" i="74"/>
  <c r="E51" i="74"/>
  <c r="D51" i="74"/>
  <c r="C51" i="74"/>
  <c r="C52" i="74" s="1"/>
  <c r="O50" i="74"/>
  <c r="O49" i="74"/>
  <c r="O48" i="74"/>
  <c r="O47" i="74"/>
  <c r="O46" i="74"/>
  <c r="O34" i="74"/>
  <c r="N32" i="74"/>
  <c r="M32" i="74"/>
  <c r="L32" i="74"/>
  <c r="G32" i="74"/>
  <c r="F32" i="74"/>
  <c r="E32" i="74"/>
  <c r="D32" i="74"/>
  <c r="N31" i="74"/>
  <c r="M31" i="74"/>
  <c r="L31" i="74"/>
  <c r="K31" i="74"/>
  <c r="K32" i="74" s="1"/>
  <c r="J31" i="74"/>
  <c r="J32" i="74" s="1"/>
  <c r="I31" i="74"/>
  <c r="I32" i="74" s="1"/>
  <c r="H31" i="74"/>
  <c r="H32" i="74" s="1"/>
  <c r="G31" i="74"/>
  <c r="F31" i="74"/>
  <c r="E31" i="74"/>
  <c r="D31" i="74"/>
  <c r="C31" i="74"/>
  <c r="C32" i="74" s="1"/>
  <c r="O30" i="74"/>
  <c r="O29" i="74"/>
  <c r="O28" i="74"/>
  <c r="O27" i="74"/>
  <c r="O26" i="74"/>
  <c r="O14" i="74"/>
  <c r="N12" i="74"/>
  <c r="M12" i="74"/>
  <c r="L12" i="74"/>
  <c r="G12" i="74"/>
  <c r="F12" i="74"/>
  <c r="E12" i="74"/>
  <c r="D12" i="74"/>
  <c r="N11" i="74"/>
  <c r="M11" i="74"/>
  <c r="L11" i="74"/>
  <c r="K11" i="74"/>
  <c r="K12" i="74" s="1"/>
  <c r="J11" i="74"/>
  <c r="J12" i="74" s="1"/>
  <c r="I11" i="74"/>
  <c r="I12" i="74" s="1"/>
  <c r="H11" i="74"/>
  <c r="H12" i="74" s="1"/>
  <c r="G11" i="74"/>
  <c r="F11" i="74"/>
  <c r="E11" i="74"/>
  <c r="D11" i="74"/>
  <c r="C11" i="74"/>
  <c r="C12" i="74" s="1"/>
  <c r="O10" i="74"/>
  <c r="O9" i="74"/>
  <c r="O8" i="74"/>
  <c r="O7" i="74"/>
  <c r="O6" i="74"/>
  <c r="F18" i="71"/>
  <c r="F18" i="72" s="1"/>
  <c r="G18" i="71"/>
  <c r="G18" i="72" s="1"/>
  <c r="F6" i="71"/>
  <c r="G6" i="71"/>
  <c r="H6" i="71"/>
  <c r="O12" i="74" l="1"/>
  <c r="G13" i="74" s="1"/>
  <c r="G14" i="74" s="1"/>
  <c r="L113" i="74"/>
  <c r="L114" i="74" s="1"/>
  <c r="I153" i="74"/>
  <c r="I154" i="74" s="1"/>
  <c r="G93" i="74"/>
  <c r="G94" i="74" s="1"/>
  <c r="J133" i="74"/>
  <c r="J134" i="74" s="1"/>
  <c r="J153" i="74"/>
  <c r="J154" i="74" s="1"/>
  <c r="N13" i="74"/>
  <c r="N14" i="74" s="1"/>
  <c r="C53" i="74"/>
  <c r="O52" i="74"/>
  <c r="G53" i="74" s="1"/>
  <c r="G54" i="74" s="1"/>
  <c r="K53" i="74"/>
  <c r="K54" i="74" s="1"/>
  <c r="L53" i="74"/>
  <c r="L54" i="74" s="1"/>
  <c r="I73" i="74"/>
  <c r="I74" i="74" s="1"/>
  <c r="N33" i="74"/>
  <c r="N34" i="74" s="1"/>
  <c r="E93" i="74"/>
  <c r="E94" i="74" s="1"/>
  <c r="L133" i="74"/>
  <c r="L134" i="74" s="1"/>
  <c r="L153" i="74"/>
  <c r="L154" i="74" s="1"/>
  <c r="D13" i="74"/>
  <c r="D14" i="74" s="1"/>
  <c r="K73" i="74"/>
  <c r="K74" i="74" s="1"/>
  <c r="J93" i="74"/>
  <c r="J94" i="74" s="1"/>
  <c r="H113" i="74"/>
  <c r="H114" i="74" s="1"/>
  <c r="D113" i="74"/>
  <c r="D114" i="74" s="1"/>
  <c r="M13" i="74"/>
  <c r="M14" i="74" s="1"/>
  <c r="K13" i="74"/>
  <c r="K14" i="74" s="1"/>
  <c r="L13" i="74"/>
  <c r="L14" i="74" s="1"/>
  <c r="I53" i="74"/>
  <c r="I54" i="74" s="1"/>
  <c r="G73" i="74"/>
  <c r="G74" i="74" s="1"/>
  <c r="O32" i="74"/>
  <c r="G33" i="74" s="1"/>
  <c r="G34" i="74" s="1"/>
  <c r="C33" i="74"/>
  <c r="L33" i="74"/>
  <c r="L34" i="74" s="1"/>
  <c r="H73" i="74"/>
  <c r="H74" i="74" s="1"/>
  <c r="D73" i="74"/>
  <c r="D74" i="74" s="1"/>
  <c r="H13" i="74"/>
  <c r="H14" i="74" s="1"/>
  <c r="E13" i="74"/>
  <c r="E14" i="74" s="1"/>
  <c r="D33" i="74"/>
  <c r="D34" i="74" s="1"/>
  <c r="L73" i="74"/>
  <c r="L74" i="74" s="1"/>
  <c r="K93" i="74"/>
  <c r="K94" i="74" s="1"/>
  <c r="E113" i="74"/>
  <c r="E114" i="74" s="1"/>
  <c r="I13" i="74"/>
  <c r="I14" i="74" s="1"/>
  <c r="F13" i="74"/>
  <c r="H33" i="74"/>
  <c r="H34" i="74" s="1"/>
  <c r="E33" i="74"/>
  <c r="E34" i="74" s="1"/>
  <c r="C133" i="74"/>
  <c r="G153" i="74"/>
  <c r="G154" i="74" s="1"/>
  <c r="C153" i="74"/>
  <c r="J13" i="74"/>
  <c r="J14" i="74" s="1"/>
  <c r="I33" i="74"/>
  <c r="I34" i="74" s="1"/>
  <c r="F33" i="74"/>
  <c r="F34" i="74" s="1"/>
  <c r="H53" i="74"/>
  <c r="H54" i="74" s="1"/>
  <c r="E53" i="74"/>
  <c r="E54" i="74" s="1"/>
  <c r="M93" i="74"/>
  <c r="M94" i="74" s="1"/>
  <c r="O72" i="74"/>
  <c r="C73" i="74" s="1"/>
  <c r="O92" i="74"/>
  <c r="O112" i="74"/>
  <c r="J113" i="74" s="1"/>
  <c r="J114" i="74" s="1"/>
  <c r="O132" i="74"/>
  <c r="O152" i="74"/>
  <c r="K153" i="74" s="1"/>
  <c r="K154" i="74" s="1"/>
  <c r="O172" i="74"/>
  <c r="J173" i="74" s="1"/>
  <c r="J174" i="74" s="1"/>
  <c r="O192" i="74"/>
  <c r="L193" i="74" s="1"/>
  <c r="L194" i="74" s="1"/>
  <c r="C74" i="74" l="1"/>
  <c r="G173" i="74"/>
  <c r="G174" i="74" s="1"/>
  <c r="M133" i="74"/>
  <c r="M134" i="74" s="1"/>
  <c r="E133" i="74"/>
  <c r="E134" i="74" s="1"/>
  <c r="G133" i="74"/>
  <c r="G134" i="74" s="1"/>
  <c r="O33" i="74"/>
  <c r="C34" i="74"/>
  <c r="C113" i="74"/>
  <c r="M113" i="74"/>
  <c r="M114" i="74" s="1"/>
  <c r="M153" i="74"/>
  <c r="M154" i="74" s="1"/>
  <c r="E153" i="74"/>
  <c r="E154" i="74" s="1"/>
  <c r="F14" i="74"/>
  <c r="H153" i="74"/>
  <c r="H154" i="74" s="1"/>
  <c r="K133" i="74"/>
  <c r="K134" i="74" s="1"/>
  <c r="C54" i="74"/>
  <c r="F53" i="74"/>
  <c r="F54" i="74" s="1"/>
  <c r="N93" i="74"/>
  <c r="N94" i="74" s="1"/>
  <c r="F93" i="74"/>
  <c r="F94" i="74" s="1"/>
  <c r="D133" i="74"/>
  <c r="D134" i="74" s="1"/>
  <c r="L93" i="74"/>
  <c r="L94" i="74" s="1"/>
  <c r="F153" i="74"/>
  <c r="F154" i="74" s="1"/>
  <c r="G193" i="74"/>
  <c r="G194" i="74" s="1"/>
  <c r="N53" i="74"/>
  <c r="N54" i="74" s="1"/>
  <c r="I93" i="74"/>
  <c r="I94" i="74" s="1"/>
  <c r="D93" i="74"/>
  <c r="D94" i="74" s="1"/>
  <c r="M33" i="74"/>
  <c r="M34" i="74" s="1"/>
  <c r="J53" i="74"/>
  <c r="J54" i="74" s="1"/>
  <c r="J33" i="74"/>
  <c r="J34" i="74" s="1"/>
  <c r="M193" i="74"/>
  <c r="M194" i="74" s="1"/>
  <c r="E193" i="74"/>
  <c r="E194" i="74" s="1"/>
  <c r="F193" i="74"/>
  <c r="F194" i="74" s="1"/>
  <c r="M173" i="74"/>
  <c r="M174" i="74" s="1"/>
  <c r="E173" i="74"/>
  <c r="E174" i="74" s="1"/>
  <c r="D153" i="74"/>
  <c r="D154" i="74" s="1"/>
  <c r="F113" i="74"/>
  <c r="F114" i="74" s="1"/>
  <c r="N113" i="74"/>
  <c r="N114" i="74" s="1"/>
  <c r="N73" i="74"/>
  <c r="N74" i="74" s="1"/>
  <c r="F73" i="74"/>
  <c r="F74" i="74" s="1"/>
  <c r="H133" i="74"/>
  <c r="H134" i="74" s="1"/>
  <c r="N173" i="74"/>
  <c r="N174" i="74" s="1"/>
  <c r="M73" i="74"/>
  <c r="M74" i="74" s="1"/>
  <c r="N133" i="74"/>
  <c r="N134" i="74" s="1"/>
  <c r="H193" i="74"/>
  <c r="H194" i="74" s="1"/>
  <c r="H173" i="74"/>
  <c r="H174" i="74" s="1"/>
  <c r="I113" i="74"/>
  <c r="I114" i="74" s="1"/>
  <c r="J73" i="74"/>
  <c r="J74" i="74" s="1"/>
  <c r="H93" i="74"/>
  <c r="H94" i="74" s="1"/>
  <c r="K33" i="74"/>
  <c r="K34" i="74" s="1"/>
  <c r="C173" i="74"/>
  <c r="I193" i="74"/>
  <c r="I194" i="74" s="1"/>
  <c r="C134" i="74"/>
  <c r="N153" i="74"/>
  <c r="N154" i="74" s="1"/>
  <c r="N193" i="74"/>
  <c r="N194" i="74" s="1"/>
  <c r="K113" i="74"/>
  <c r="K114" i="74" s="1"/>
  <c r="F173" i="74"/>
  <c r="F174" i="74" s="1"/>
  <c r="D53" i="74"/>
  <c r="D54" i="74" s="1"/>
  <c r="F133" i="74"/>
  <c r="F134" i="74" s="1"/>
  <c r="C93" i="74"/>
  <c r="I133" i="74"/>
  <c r="I134" i="74" s="1"/>
  <c r="K193" i="74"/>
  <c r="K194" i="74" s="1"/>
  <c r="J193" i="74"/>
  <c r="J194" i="74" s="1"/>
  <c r="M53" i="74"/>
  <c r="M54" i="74" s="1"/>
  <c r="E73" i="74"/>
  <c r="E74" i="74" s="1"/>
  <c r="D193" i="74"/>
  <c r="D194" i="74" s="1"/>
  <c r="C193" i="74"/>
  <c r="C13" i="74"/>
  <c r="C154" i="74"/>
  <c r="L173" i="74"/>
  <c r="L174" i="74" s="1"/>
  <c r="K173" i="74"/>
  <c r="K174" i="74" s="1"/>
  <c r="I173" i="74"/>
  <c r="I174" i="74" s="1"/>
  <c r="D173" i="74"/>
  <c r="D174" i="74" s="1"/>
  <c r="G113" i="74"/>
  <c r="G114" i="74" s="1"/>
  <c r="O153" i="74" l="1"/>
  <c r="C14" i="74"/>
  <c r="O13" i="74"/>
  <c r="O173" i="74"/>
  <c r="C174" i="74"/>
  <c r="O133" i="74"/>
  <c r="C94" i="74"/>
  <c r="O93" i="74"/>
  <c r="C194" i="74"/>
  <c r="O193" i="74"/>
  <c r="O53" i="74"/>
  <c r="O73" i="74"/>
  <c r="C114" i="74"/>
  <c r="O113" i="74"/>
  <c r="I29" i="26"/>
  <c r="K47" i="31" l="1"/>
  <c r="K46" i="31"/>
  <c r="O47" i="31"/>
  <c r="O46" i="31"/>
  <c r="L46" i="31" l="1"/>
  <c r="L47" i="31" s="1"/>
  <c r="M46" i="31"/>
  <c r="M47" i="31" s="1"/>
  <c r="U1331" i="81"/>
  <c r="U1095" i="81"/>
  <c r="M18" i="71" l="1"/>
  <c r="H18" i="71"/>
  <c r="H18" i="72" s="1"/>
  <c r="J18" i="71"/>
  <c r="K18" i="71"/>
  <c r="L18" i="71"/>
  <c r="I6" i="71"/>
  <c r="J6" i="71"/>
  <c r="K6" i="71"/>
  <c r="L6" i="71"/>
  <c r="M6" i="71"/>
  <c r="G30" i="26"/>
  <c r="U1328" i="81" l="1"/>
  <c r="V1095" i="81"/>
  <c r="W1095" i="81"/>
  <c r="X1095" i="81"/>
  <c r="Y1095" i="81"/>
  <c r="Z1095" i="81"/>
  <c r="AA1095" i="81"/>
  <c r="AB1095" i="81"/>
  <c r="AC1095" i="81"/>
  <c r="AD1095" i="81"/>
  <c r="AE1095" i="81"/>
  <c r="AF1095" i="81"/>
  <c r="Q1106" i="81"/>
  <c r="AE1098" i="81"/>
  <c r="P722" i="81"/>
  <c r="F73" i="31"/>
  <c r="E73" i="31"/>
  <c r="D73" i="31"/>
  <c r="Q720" i="81"/>
  <c r="Q238" i="81"/>
  <c r="Q722" i="81" s="1"/>
  <c r="U1329" i="81"/>
  <c r="V1329" i="81" s="1"/>
  <c r="G29" i="26"/>
  <c r="U1202" i="81" l="1"/>
  <c r="V1202" i="81"/>
  <c r="V1203" i="81" s="1"/>
  <c r="I24" i="26"/>
  <c r="G24" i="26"/>
  <c r="R238" i="81"/>
  <c r="V1328" i="81"/>
  <c r="V1327" i="81"/>
  <c r="H37" i="26" l="1"/>
  <c r="H38" i="26" s="1"/>
  <c r="I37" i="26"/>
  <c r="I38" i="26" s="1"/>
  <c r="J37" i="26"/>
  <c r="J38" i="26" s="1"/>
  <c r="K37" i="26"/>
  <c r="K38" i="26" s="1"/>
  <c r="L37" i="26"/>
  <c r="L38" i="26" s="1"/>
  <c r="G37" i="26"/>
  <c r="G38" i="26" l="1"/>
  <c r="Q1241" i="81" l="1"/>
  <c r="Q1240" i="81"/>
  <c r="Q1239" i="81"/>
  <c r="AB1098" i="81"/>
  <c r="U1097" i="81"/>
  <c r="P285" i="81" l="1"/>
  <c r="V1098" i="81" l="1"/>
  <c r="W1098" i="81"/>
  <c r="X1098" i="81"/>
  <c r="Y1098" i="81"/>
  <c r="Z1098" i="81"/>
  <c r="AA1098" i="81"/>
  <c r="AC1098" i="81"/>
  <c r="AD1098" i="81"/>
  <c r="AF1098" i="81"/>
  <c r="U1098" i="81"/>
  <c r="Q1245" i="81"/>
  <c r="Q1244" i="81"/>
  <c r="S1241" i="81"/>
  <c r="M17" i="26" s="1"/>
  <c r="S1239" i="81"/>
  <c r="M12" i="26" s="1"/>
  <c r="S106" i="81"/>
  <c r="Q106" i="81" s="1"/>
  <c r="Q105" i="81"/>
  <c r="Q104" i="81"/>
  <c r="R104" i="81"/>
  <c r="F72" i="31"/>
  <c r="F71" i="31"/>
  <c r="F70" i="31"/>
  <c r="AA1201" i="81"/>
  <c r="AB1201" i="81"/>
  <c r="AC1201" i="81"/>
  <c r="AD1201" i="81"/>
  <c r="AE1201" i="81"/>
  <c r="AF1201" i="81"/>
  <c r="Z1201" i="81"/>
  <c r="I17" i="26" l="1"/>
  <c r="K17" i="26"/>
  <c r="G17" i="26"/>
  <c r="R106" i="81"/>
  <c r="I12" i="26"/>
  <c r="G12" i="26"/>
  <c r="K12" i="26"/>
  <c r="P1075" i="81" l="1"/>
  <c r="M30" i="26"/>
  <c r="G25" i="26"/>
  <c r="AD1075" i="81" l="1"/>
  <c r="K54" i="71" s="1"/>
  <c r="V1075" i="81"/>
  <c r="W1075" i="81"/>
  <c r="X1075" i="81"/>
  <c r="U1075" i="81"/>
  <c r="Y1075" i="81"/>
  <c r="F54" i="71" s="1"/>
  <c r="F50" i="72" s="1"/>
  <c r="Z1075" i="81"/>
  <c r="G54" i="71" s="1"/>
  <c r="G50" i="72" s="1"/>
  <c r="G27" i="26"/>
  <c r="AF1075" i="81"/>
  <c r="AE1075" i="81"/>
  <c r="L54" i="71" s="1"/>
  <c r="AC1075" i="81"/>
  <c r="J54" i="71" s="1"/>
  <c r="AA1075" i="81"/>
  <c r="AB1075" i="81"/>
  <c r="Q1307" i="81"/>
  <c r="Q1318" i="81"/>
  <c r="M29" i="26"/>
  <c r="M24" i="26" s="1"/>
  <c r="I30" i="26"/>
  <c r="D29" i="26"/>
  <c r="D30" i="26"/>
  <c r="K43" i="31" s="1"/>
  <c r="Q739" i="81"/>
  <c r="Q740" i="81" s="1"/>
  <c r="K42" i="31" l="1"/>
  <c r="P46" i="31"/>
  <c r="M54" i="71"/>
  <c r="I54" i="71"/>
  <c r="H54" i="71"/>
  <c r="H50" i="72" s="1"/>
  <c r="H39" i="26"/>
  <c r="I39" i="26"/>
  <c r="J39" i="26"/>
  <c r="K39" i="26"/>
  <c r="L39" i="26"/>
  <c r="G39" i="26"/>
  <c r="G22" i="26"/>
  <c r="K30" i="26"/>
  <c r="M25" i="26"/>
  <c r="M27" i="26"/>
  <c r="K29" i="26"/>
  <c r="K24" i="26" s="1"/>
  <c r="K22" i="26" s="1"/>
  <c r="K7" i="26" s="1"/>
  <c r="I25" i="26"/>
  <c r="I27" i="26"/>
  <c r="Q739" i="69"/>
  <c r="Q740" i="69" s="1"/>
  <c r="P47" i="31" l="1"/>
  <c r="P48" i="31" s="1"/>
  <c r="M22" i="26"/>
  <c r="M26" i="26" s="1"/>
  <c r="I22" i="26"/>
  <c r="I7" i="26" s="1"/>
  <c r="I9" i="26" s="1"/>
  <c r="N30" i="26"/>
  <c r="K27" i="26"/>
  <c r="G26" i="26"/>
  <c r="G23" i="26" s="1"/>
  <c r="G7" i="26"/>
  <c r="G32" i="31"/>
  <c r="G31" i="31"/>
  <c r="G29" i="31"/>
  <c r="V1097" i="81"/>
  <c r="W1097" i="81"/>
  <c r="X1097" i="81"/>
  <c r="Y1097" i="81"/>
  <c r="Z1097" i="81"/>
  <c r="AA1097" i="81"/>
  <c r="AB1097" i="81"/>
  <c r="AC1097" i="81"/>
  <c r="AD1097" i="81"/>
  <c r="AE1097" i="81"/>
  <c r="AF1097" i="81"/>
  <c r="T285" i="81"/>
  <c r="X1069" i="81" l="1"/>
  <c r="F30" i="71"/>
  <c r="F28" i="72" s="1"/>
  <c r="V1069" i="81"/>
  <c r="G30" i="71"/>
  <c r="U1069" i="81"/>
  <c r="W1069" i="81"/>
  <c r="M7" i="26"/>
  <c r="M10" i="26" s="1"/>
  <c r="I10" i="26"/>
  <c r="I26" i="26"/>
  <c r="I23" i="26" s="1"/>
  <c r="K25" i="26"/>
  <c r="N25" i="26" s="1"/>
  <c r="N24" i="26"/>
  <c r="G8" i="26"/>
  <c r="G9" i="26"/>
  <c r="G10" i="26"/>
  <c r="AB1069" i="81"/>
  <c r="AC1069" i="81"/>
  <c r="J30" i="71" s="1"/>
  <c r="AD1069" i="81"/>
  <c r="AE1069" i="81"/>
  <c r="L30" i="71" s="1"/>
  <c r="AF1069" i="81"/>
  <c r="M23" i="26"/>
  <c r="H30" i="71" l="1"/>
  <c r="H28" i="72" s="1"/>
  <c r="K30" i="71"/>
  <c r="M30" i="71"/>
  <c r="I30" i="71"/>
  <c r="M9" i="26"/>
  <c r="K26" i="26"/>
  <c r="K10" i="26" l="1"/>
  <c r="N10" i="26" s="1"/>
  <c r="K9" i="26"/>
  <c r="N9" i="26" s="1"/>
  <c r="K23" i="26"/>
  <c r="N26" i="26"/>
  <c r="P1318" i="69" l="1"/>
  <c r="P1316" i="69"/>
  <c r="Q1240" i="69"/>
  <c r="Q1239" i="69"/>
  <c r="P1204" i="69"/>
  <c r="Q1106" i="69"/>
  <c r="R1111" i="69" l="1"/>
  <c r="Q1111" i="69"/>
  <c r="R1110" i="69" s="1"/>
  <c r="P1108" i="69"/>
  <c r="P1077" i="69"/>
  <c r="P1075" i="69"/>
  <c r="P1069" i="69"/>
  <c r="P765" i="69"/>
  <c r="P720" i="69"/>
  <c r="V285" i="69"/>
  <c r="P285" i="69"/>
  <c r="Q238" i="69"/>
  <c r="S106" i="69"/>
  <c r="R104" i="69"/>
  <c r="P105" i="69"/>
  <c r="P104" i="69"/>
  <c r="P16" i="69"/>
  <c r="P11" i="69"/>
  <c r="M65" i="71" l="1"/>
  <c r="M68" i="71"/>
  <c r="D28" i="26"/>
  <c r="P11" i="81"/>
  <c r="P29" i="81"/>
  <c r="AA1202" i="81" l="1"/>
  <c r="AA1203" i="81" s="1"/>
  <c r="AB1202" i="81"/>
  <c r="AB1203" i="81" s="1"/>
  <c r="AE1202" i="81"/>
  <c r="AE1203" i="81" s="1"/>
  <c r="AF1202" i="81"/>
  <c r="AF1203" i="81" s="1"/>
  <c r="Y1202" i="81"/>
  <c r="Y1203" i="81" s="1"/>
  <c r="W1202" i="81"/>
  <c r="W1203" i="81" s="1"/>
  <c r="Z1202" i="81"/>
  <c r="Z1203" i="81" s="1"/>
  <c r="AD1202" i="81"/>
  <c r="AD1203" i="81" s="1"/>
  <c r="U1203" i="81"/>
  <c r="X1202" i="81"/>
  <c r="X1203" i="81" s="1"/>
  <c r="AC1202" i="81"/>
  <c r="AC1203" i="81" s="1"/>
  <c r="D7" i="26"/>
  <c r="G16" i="31" s="1"/>
  <c r="P765" i="81"/>
  <c r="F87" i="31"/>
  <c r="R721" i="81"/>
  <c r="P721" i="81"/>
  <c r="G18" i="31" l="1"/>
  <c r="G28" i="31"/>
  <c r="B78" i="71"/>
  <c r="G35" i="31" l="1"/>
  <c r="G34" i="31"/>
  <c r="P16" i="81"/>
  <c r="B66" i="71"/>
  <c r="N6" i="71"/>
  <c r="I12" i="71" s="1"/>
  <c r="P766" i="81"/>
  <c r="P767" i="81"/>
  <c r="P1204" i="81"/>
  <c r="P1205" i="81"/>
  <c r="L12" i="71" l="1"/>
  <c r="K12" i="71"/>
  <c r="M12" i="71"/>
  <c r="J12" i="71"/>
  <c r="P43" i="81"/>
  <c r="P1318" i="81"/>
  <c r="P1108" i="81"/>
  <c r="P768" i="81"/>
  <c r="P1109" i="81"/>
  <c r="R285" i="81"/>
  <c r="S285" i="81"/>
  <c r="V1205" i="81" l="1"/>
  <c r="W1205" i="81"/>
  <c r="X1205" i="81"/>
  <c r="U1205" i="81"/>
  <c r="AB1205" i="81"/>
  <c r="Z1205" i="81"/>
  <c r="G78" i="71" s="1"/>
  <c r="G74" i="72" s="1"/>
  <c r="AE1205" i="81"/>
  <c r="L78" i="71" s="1"/>
  <c r="Y1205" i="81"/>
  <c r="F78" i="71" s="1"/>
  <c r="F74" i="72" s="1"/>
  <c r="AC1205" i="81"/>
  <c r="J78" i="71" s="1"/>
  <c r="AD1205" i="81"/>
  <c r="AA1205" i="81"/>
  <c r="H78" i="71" s="1"/>
  <c r="H74" i="72" s="1"/>
  <c r="AF1205" i="81"/>
  <c r="R720" i="81"/>
  <c r="Q1313" i="81"/>
  <c r="Q1312" i="81" s="1"/>
  <c r="Q285" i="81"/>
  <c r="P1316" i="81"/>
  <c r="V1204" i="81" s="1"/>
  <c r="N12" i="71" l="1"/>
  <c r="I78" i="71"/>
  <c r="M78" i="71"/>
  <c r="K78" i="71"/>
  <c r="AD1204" i="81"/>
  <c r="AF1204" i="81"/>
  <c r="U1204" i="81"/>
  <c r="AB1204" i="81"/>
  <c r="W1204" i="81"/>
  <c r="AE1204" i="81"/>
  <c r="L66" i="71" s="1"/>
  <c r="Y1204" i="81"/>
  <c r="F66" i="71" s="1"/>
  <c r="F62" i="72" s="1"/>
  <c r="Z1204" i="81"/>
  <c r="G66" i="71" s="1"/>
  <c r="G62" i="72" s="1"/>
  <c r="AC1204" i="81"/>
  <c r="J66" i="71" s="1"/>
  <c r="AA1204" i="81"/>
  <c r="H66" i="71" s="1"/>
  <c r="H62" i="72" s="1"/>
  <c r="X1204" i="81"/>
  <c r="Q1111" i="81"/>
  <c r="R1110" i="81" s="1"/>
  <c r="R1111" i="81"/>
  <c r="B18" i="71"/>
  <c r="N18" i="71" s="1"/>
  <c r="H24" i="71" s="1"/>
  <c r="B54" i="71"/>
  <c r="N54" i="71" s="1"/>
  <c r="I24" i="71" l="1"/>
  <c r="N78" i="71"/>
  <c r="I66" i="71"/>
  <c r="M66" i="71"/>
  <c r="K66" i="71"/>
  <c r="M24" i="71"/>
  <c r="L24" i="71"/>
  <c r="J24" i="71"/>
  <c r="K24" i="71"/>
  <c r="K36" i="71" s="1"/>
  <c r="P720" i="81"/>
  <c r="B42" i="71"/>
  <c r="P68" i="81"/>
  <c r="B30" i="71"/>
  <c r="N66" i="71" l="1"/>
  <c r="N30" i="71"/>
  <c r="N24" i="71"/>
  <c r="M69" i="71"/>
  <c r="M67" i="71"/>
  <c r="G60" i="71"/>
  <c r="G36" i="71"/>
  <c r="X1119" i="81"/>
  <c r="X1120" i="81" s="1"/>
  <c r="X1121" i="81" s="1"/>
  <c r="E60" i="71"/>
  <c r="E36" i="71"/>
  <c r="Y1119" i="81"/>
  <c r="Y1120" i="81" s="1"/>
  <c r="Y1121" i="81" s="1"/>
  <c r="F60" i="71"/>
  <c r="F36" i="71"/>
  <c r="P106" i="81"/>
  <c r="P104" i="81"/>
  <c r="R105" i="81"/>
  <c r="P105" i="81"/>
  <c r="Y1123" i="81" l="1"/>
  <c r="F84" i="71" s="1"/>
  <c r="Y1122" i="81"/>
  <c r="F72" i="71" s="1"/>
  <c r="X1123" i="81"/>
  <c r="E84" i="71" s="1"/>
  <c r="X1122" i="81"/>
  <c r="E72" i="71" s="1"/>
  <c r="AF1119" i="81"/>
  <c r="AF1120" i="81" s="1"/>
  <c r="AF1121" i="81" s="1"/>
  <c r="M60" i="71"/>
  <c r="M36" i="71"/>
  <c r="AE1119" i="81"/>
  <c r="AE1120" i="81" s="1"/>
  <c r="AE1121" i="81" s="1"/>
  <c r="L60" i="71"/>
  <c r="L36" i="71"/>
  <c r="K60" i="71"/>
  <c r="AD1119" i="81"/>
  <c r="AD1120" i="81" s="1"/>
  <c r="AD1121" i="81" s="1"/>
  <c r="J60" i="71"/>
  <c r="J36" i="71"/>
  <c r="AC1119" i="81"/>
  <c r="AC1120" i="81" s="1"/>
  <c r="AC1121" i="81" s="1"/>
  <c r="AB1119" i="81"/>
  <c r="AB1120" i="81" s="1"/>
  <c r="AB1121" i="81" s="1"/>
  <c r="I36" i="71"/>
  <c r="I60" i="71"/>
  <c r="AA1119" i="81"/>
  <c r="AA1120" i="81" s="1"/>
  <c r="AA1121" i="81" s="1"/>
  <c r="H36" i="71"/>
  <c r="H60" i="71"/>
  <c r="Z1119" i="81"/>
  <c r="P1077" i="81"/>
  <c r="G47" i="71" s="1"/>
  <c r="N60" i="71" l="1"/>
  <c r="N36" i="71"/>
  <c r="V1077" i="81"/>
  <c r="X1077" i="81"/>
  <c r="U1077" i="81"/>
  <c r="W1077" i="81"/>
  <c r="Z1077" i="81"/>
  <c r="G42" i="71" s="1"/>
  <c r="G38" i="72" s="1"/>
  <c r="Y1077" i="81"/>
  <c r="F42" i="71" s="1"/>
  <c r="F38" i="72" s="1"/>
  <c r="L48" i="71"/>
  <c r="E48" i="71"/>
  <c r="F48" i="71"/>
  <c r="M48" i="71"/>
  <c r="AA1077" i="81"/>
  <c r="H42" i="71" s="1"/>
  <c r="AF1077" i="81"/>
  <c r="G48" i="71"/>
  <c r="AE1077" i="81"/>
  <c r="L42" i="71" s="1"/>
  <c r="AD1077" i="81"/>
  <c r="AB1077" i="81"/>
  <c r="AC1077" i="81"/>
  <c r="J42" i="71" s="1"/>
  <c r="H48" i="71"/>
  <c r="J48" i="71"/>
  <c r="I48" i="71"/>
  <c r="K48" i="71"/>
  <c r="AC1122" i="81"/>
  <c r="J72" i="71" s="1"/>
  <c r="AC1123" i="81"/>
  <c r="J84" i="71" s="1"/>
  <c r="AA1123" i="81"/>
  <c r="H84" i="71" s="1"/>
  <c r="AA1122" i="81"/>
  <c r="H72" i="71" s="1"/>
  <c r="AE1123" i="81"/>
  <c r="L84" i="71" s="1"/>
  <c r="AE1122" i="81"/>
  <c r="L72" i="71" s="1"/>
  <c r="AD1122" i="81"/>
  <c r="K72" i="71" s="1"/>
  <c r="AD1123" i="81"/>
  <c r="K84" i="71" s="1"/>
  <c r="AF1122" i="81"/>
  <c r="M72" i="71" s="1"/>
  <c r="AF1123" i="81"/>
  <c r="M84" i="71" s="1"/>
  <c r="AB1122" i="81"/>
  <c r="I72" i="71" s="1"/>
  <c r="AB1123" i="81"/>
  <c r="I84" i="71" s="1"/>
  <c r="F53" i="31"/>
  <c r="H45" i="71" l="1"/>
  <c r="H38" i="72"/>
  <c r="M42" i="71"/>
  <c r="I42" i="71"/>
  <c r="K42" i="71"/>
  <c r="F41" i="31"/>
  <c r="F40" i="31"/>
  <c r="F38" i="31"/>
  <c r="F37" i="31"/>
  <c r="B35" i="31"/>
  <c r="B34" i="31"/>
  <c r="B88" i="31"/>
  <c r="B87" i="31"/>
  <c r="C87" i="31"/>
  <c r="D87" i="31"/>
  <c r="D90" i="31" s="1"/>
  <c r="E87" i="31"/>
  <c r="C88" i="31"/>
  <c r="C89" i="31" s="1"/>
  <c r="D88" i="31"/>
  <c r="E88" i="31"/>
  <c r="F88" i="31"/>
  <c r="F89" i="31" s="1"/>
  <c r="D84" i="31"/>
  <c r="E84" i="31"/>
  <c r="F84" i="31"/>
  <c r="D85" i="31"/>
  <c r="E85" i="31"/>
  <c r="F85" i="31"/>
  <c r="D86" i="31"/>
  <c r="E86" i="31"/>
  <c r="F86" i="31"/>
  <c r="D18" i="31"/>
  <c r="E18" i="31"/>
  <c r="F18" i="31"/>
  <c r="D19" i="31"/>
  <c r="E19" i="31"/>
  <c r="F19" i="31"/>
  <c r="D20" i="31"/>
  <c r="E20" i="31"/>
  <c r="F20" i="31"/>
  <c r="D49" i="31"/>
  <c r="E49" i="31"/>
  <c r="F49" i="31"/>
  <c r="D50" i="31"/>
  <c r="E50" i="31"/>
  <c r="F50" i="31"/>
  <c r="D51" i="31"/>
  <c r="E51" i="31"/>
  <c r="F51" i="31"/>
  <c r="D52" i="31"/>
  <c r="E52" i="31"/>
  <c r="F52" i="31"/>
  <c r="D67" i="31"/>
  <c r="E67" i="31"/>
  <c r="F67" i="31"/>
  <c r="D68" i="31"/>
  <c r="E68" i="31"/>
  <c r="F68" i="31"/>
  <c r="D69" i="31"/>
  <c r="E69" i="31"/>
  <c r="F69" i="31"/>
  <c r="D70" i="31"/>
  <c r="E70" i="31"/>
  <c r="B55" i="31"/>
  <c r="B73" i="31"/>
  <c r="I16" i="31"/>
  <c r="N28" i="26"/>
  <c r="N7" i="26"/>
  <c r="N42" i="71" l="1"/>
  <c r="N48" i="71"/>
  <c r="I29" i="31"/>
  <c r="I45" i="31"/>
  <c r="E21" i="31"/>
  <c r="E89" i="31"/>
  <c r="F90" i="31"/>
  <c r="D89" i="31"/>
  <c r="C90" i="31"/>
  <c r="E90" i="31"/>
  <c r="I28" i="31"/>
  <c r="F22" i="31"/>
  <c r="E22" i="31"/>
  <c r="F21" i="31"/>
  <c r="I35" i="31" l="1"/>
  <c r="I34" i="31"/>
  <c r="B74" i="72" l="1"/>
  <c r="C74" i="72"/>
  <c r="D74" i="72"/>
  <c r="B62" i="72"/>
  <c r="C62" i="72"/>
  <c r="D62" i="72"/>
  <c r="B50" i="72"/>
  <c r="C50" i="72"/>
  <c r="D50" i="72"/>
  <c r="B38" i="72"/>
  <c r="C38" i="72"/>
  <c r="D38" i="72"/>
  <c r="B28" i="72"/>
  <c r="C28" i="72"/>
  <c r="D28" i="72"/>
  <c r="B18" i="72"/>
  <c r="C18" i="72"/>
  <c r="D18" i="72"/>
  <c r="B6" i="72"/>
  <c r="D6" i="72"/>
  <c r="F35" i="31" l="1"/>
  <c r="F34" i="31"/>
  <c r="F54" i="31" l="1"/>
  <c r="F55" i="31"/>
  <c r="F39" i="31"/>
  <c r="F8" i="31"/>
  <c r="F7" i="31"/>
  <c r="S91" i="74" l="1"/>
  <c r="S87" i="74"/>
  <c r="M8" i="71" l="1"/>
  <c r="I20" i="71"/>
  <c r="L56" i="71"/>
  <c r="D20" i="71"/>
  <c r="D20" i="72" s="1"/>
  <c r="E20" i="71"/>
  <c r="G8" i="71"/>
  <c r="G9" i="71" s="1"/>
  <c r="C20" i="71"/>
  <c r="C20" i="72" s="1"/>
  <c r="G20" i="71"/>
  <c r="K20" i="71"/>
  <c r="F20" i="71"/>
  <c r="J44" i="71"/>
  <c r="G44" i="71"/>
  <c r="I44" i="71"/>
  <c r="L20" i="71"/>
  <c r="L32" i="71"/>
  <c r="M44" i="71"/>
  <c r="D80" i="71"/>
  <c r="D76" i="72" s="1"/>
  <c r="F44" i="71"/>
  <c r="F40" i="72" s="1"/>
  <c r="E44" i="71"/>
  <c r="E40" i="72" s="1"/>
  <c r="C68" i="71"/>
  <c r="C64" i="72" s="1"/>
  <c r="I56" i="71"/>
  <c r="C44" i="71"/>
  <c r="C40" i="72" s="1"/>
  <c r="K44" i="71"/>
  <c r="M20" i="71"/>
  <c r="M20" i="72" s="1"/>
  <c r="L68" i="71"/>
  <c r="F68" i="71"/>
  <c r="J68" i="71"/>
  <c r="C80" i="71"/>
  <c r="C76" i="72" s="1"/>
  <c r="M40" i="72" l="1"/>
  <c r="M45" i="71"/>
  <c r="M8" i="72"/>
  <c r="M9" i="71"/>
  <c r="F21" i="71"/>
  <c r="F20" i="72"/>
  <c r="L21" i="71"/>
  <c r="L20" i="72"/>
  <c r="K21" i="71"/>
  <c r="K20" i="72"/>
  <c r="L57" i="71"/>
  <c r="L52" i="72"/>
  <c r="I45" i="71"/>
  <c r="I40" i="72"/>
  <c r="G21" i="71"/>
  <c r="G20" i="72"/>
  <c r="I21" i="71"/>
  <c r="I20" i="72"/>
  <c r="J69" i="71"/>
  <c r="J64" i="72"/>
  <c r="K45" i="71"/>
  <c r="K40" i="72"/>
  <c r="G45" i="71"/>
  <c r="G40" i="72"/>
  <c r="H68" i="71"/>
  <c r="F69" i="71"/>
  <c r="F64" i="72"/>
  <c r="G8" i="72"/>
  <c r="J45" i="71"/>
  <c r="J40" i="72"/>
  <c r="E20" i="72"/>
  <c r="E21" i="71"/>
  <c r="H21" i="71"/>
  <c r="H20" i="72"/>
  <c r="L69" i="71"/>
  <c r="L64" i="72"/>
  <c r="I57" i="71"/>
  <c r="I52" i="72"/>
  <c r="G56" i="71"/>
  <c r="L33" i="71"/>
  <c r="L30" i="72"/>
  <c r="M56" i="71"/>
  <c r="B20" i="71"/>
  <c r="I32" i="71"/>
  <c r="H32" i="71"/>
  <c r="K32" i="71"/>
  <c r="J56" i="71"/>
  <c r="C56" i="71"/>
  <c r="C52" i="72" s="1"/>
  <c r="M80" i="71"/>
  <c r="L44" i="71"/>
  <c r="H44" i="71"/>
  <c r="E32" i="71"/>
  <c r="E30" i="72" s="1"/>
  <c r="C8" i="71"/>
  <c r="C8" i="72" s="1"/>
  <c r="D32" i="71"/>
  <c r="D30" i="72" s="1"/>
  <c r="I80" i="71"/>
  <c r="D68" i="71"/>
  <c r="D64" i="72" s="1"/>
  <c r="J20" i="71"/>
  <c r="D8" i="71"/>
  <c r="D8" i="72" s="1"/>
  <c r="G32" i="71"/>
  <c r="H56" i="71"/>
  <c r="D56" i="71"/>
  <c r="D52" i="72" s="1"/>
  <c r="J80" i="71"/>
  <c r="J32" i="71"/>
  <c r="F56" i="71"/>
  <c r="F52" i="72" s="1"/>
  <c r="I68" i="71"/>
  <c r="F8" i="71"/>
  <c r="E56" i="71"/>
  <c r="E52" i="72" s="1"/>
  <c r="E80" i="71"/>
  <c r="E76" i="72" s="1"/>
  <c r="L80" i="71"/>
  <c r="I8" i="71"/>
  <c r="B68" i="71"/>
  <c r="K80" i="71"/>
  <c r="G80" i="71"/>
  <c r="C32" i="71"/>
  <c r="C30" i="72" s="1"/>
  <c r="K68" i="71"/>
  <c r="F80" i="71"/>
  <c r="F76" i="72" s="1"/>
  <c r="K56" i="71"/>
  <c r="F32" i="71"/>
  <c r="F30" i="72" s="1"/>
  <c r="M64" i="72"/>
  <c r="G68" i="71"/>
  <c r="M32" i="71"/>
  <c r="D44" i="71"/>
  <c r="D40" i="72" s="1"/>
  <c r="K8" i="71"/>
  <c r="H80" i="71"/>
  <c r="J8" i="71"/>
  <c r="E68" i="71"/>
  <c r="E64" i="72" s="1"/>
  <c r="L8" i="71"/>
  <c r="E8" i="71"/>
  <c r="N68" i="71" l="1"/>
  <c r="E8" i="72"/>
  <c r="E9" i="71"/>
  <c r="F8" i="72"/>
  <c r="F9" i="71"/>
  <c r="N20" i="71"/>
  <c r="M76" i="72"/>
  <c r="M81" i="71"/>
  <c r="B20" i="72"/>
  <c r="B21" i="71"/>
  <c r="M30" i="72"/>
  <c r="M33" i="71"/>
  <c r="M52" i="72"/>
  <c r="M57" i="71"/>
  <c r="G57" i="71"/>
  <c r="G52" i="72"/>
  <c r="H81" i="71"/>
  <c r="H76" i="72"/>
  <c r="J21" i="71"/>
  <c r="J20" i="72"/>
  <c r="I33" i="71"/>
  <c r="I30" i="72"/>
  <c r="K8" i="72"/>
  <c r="H40" i="72"/>
  <c r="L81" i="71"/>
  <c r="L76" i="72"/>
  <c r="I81" i="71"/>
  <c r="I76" i="72"/>
  <c r="L45" i="71"/>
  <c r="L40" i="72"/>
  <c r="J57" i="71"/>
  <c r="J52" i="72"/>
  <c r="H69" i="71"/>
  <c r="H64" i="72"/>
  <c r="I69" i="71"/>
  <c r="I64" i="72"/>
  <c r="J81" i="71"/>
  <c r="J76" i="72"/>
  <c r="H9" i="71"/>
  <c r="G81" i="71"/>
  <c r="G76" i="72"/>
  <c r="G33" i="71"/>
  <c r="G30" i="72"/>
  <c r="K81" i="71"/>
  <c r="K76" i="72"/>
  <c r="L8" i="72"/>
  <c r="B64" i="72"/>
  <c r="K69" i="71"/>
  <c r="K64" i="72"/>
  <c r="K33" i="71"/>
  <c r="K30" i="72"/>
  <c r="J8" i="72"/>
  <c r="H57" i="71"/>
  <c r="H52" i="72"/>
  <c r="K57" i="71"/>
  <c r="K52" i="72"/>
  <c r="J33" i="71"/>
  <c r="J30" i="72"/>
  <c r="G69" i="71"/>
  <c r="G64" i="72"/>
  <c r="I8" i="72"/>
  <c r="H33" i="71"/>
  <c r="H30" i="72"/>
  <c r="B80" i="71"/>
  <c r="N80" i="71" s="1"/>
  <c r="B56" i="71"/>
  <c r="N56" i="71" s="1"/>
  <c r="B44" i="71"/>
  <c r="N44" i="71" s="1"/>
  <c r="B32" i="71"/>
  <c r="N32" i="71" s="1"/>
  <c r="B8" i="71"/>
  <c r="N8" i="71" l="1"/>
  <c r="B52" i="72"/>
  <c r="B40" i="72"/>
  <c r="B76" i="72"/>
  <c r="B8" i="72"/>
  <c r="B30" i="72"/>
  <c r="E69" i="71"/>
  <c r="F33" i="71" l="1"/>
  <c r="C77" i="72" l="1"/>
  <c r="D53" i="72"/>
  <c r="C53" i="72"/>
  <c r="C31" i="72"/>
  <c r="D9" i="72"/>
  <c r="C9" i="72"/>
  <c r="D81" i="71"/>
  <c r="C69" i="71"/>
  <c r="C57" i="71"/>
  <c r="D45" i="71"/>
  <c r="E45" i="71"/>
  <c r="C45" i="71"/>
  <c r="D33" i="71"/>
  <c r="E33" i="71"/>
  <c r="C33" i="71"/>
  <c r="C21" i="71"/>
  <c r="D9" i="71"/>
  <c r="N9" i="71" s="1"/>
  <c r="J11" i="71" l="1"/>
  <c r="I11" i="71"/>
  <c r="I6" i="72" s="1"/>
  <c r="B41" i="72"/>
  <c r="N8" i="72"/>
  <c r="N52" i="72"/>
  <c r="C21" i="72"/>
  <c r="N30" i="72"/>
  <c r="C65" i="72"/>
  <c r="N76" i="72"/>
  <c r="B31" i="72"/>
  <c r="D41" i="72"/>
  <c r="B77" i="72"/>
  <c r="D21" i="71"/>
  <c r="D69" i="71"/>
  <c r="C81" i="71"/>
  <c r="N20" i="72"/>
  <c r="D21" i="72"/>
  <c r="N40" i="72"/>
  <c r="N64" i="72"/>
  <c r="D65" i="72"/>
  <c r="E81" i="71"/>
  <c r="D57" i="71"/>
  <c r="B9" i="72"/>
  <c r="D31" i="72"/>
  <c r="C41" i="72"/>
  <c r="B53" i="72"/>
  <c r="D77" i="72"/>
  <c r="B21" i="72"/>
  <c r="B65" i="72"/>
  <c r="B81" i="71"/>
  <c r="F81" i="71"/>
  <c r="E57" i="71"/>
  <c r="B33" i="71"/>
  <c r="N33" i="71" s="1"/>
  <c r="B45" i="71"/>
  <c r="F45" i="71"/>
  <c r="B57" i="71"/>
  <c r="F57" i="71"/>
  <c r="B69" i="71"/>
  <c r="N69" i="71" s="1"/>
  <c r="L11" i="71" l="1"/>
  <c r="K11" i="71"/>
  <c r="K6" i="72" s="1"/>
  <c r="M11" i="71"/>
  <c r="M6" i="72" s="1"/>
  <c r="J6" i="72"/>
  <c r="N57" i="71"/>
  <c r="N81" i="71"/>
  <c r="N45" i="71"/>
  <c r="M21" i="71"/>
  <c r="N21" i="71" s="1"/>
  <c r="H23" i="71" s="1"/>
  <c r="I23" i="71" l="1"/>
  <c r="I18" i="72" s="1"/>
  <c r="M23" i="71"/>
  <c r="M18" i="72" s="1"/>
  <c r="F21" i="72"/>
  <c r="L23" i="71"/>
  <c r="L18" i="72" s="1"/>
  <c r="J23" i="71"/>
  <c r="J18" i="72" s="1"/>
  <c r="K23" i="71"/>
  <c r="K18" i="72" s="1"/>
  <c r="L6" i="72"/>
  <c r="M9" i="72"/>
  <c r="F9" i="72"/>
  <c r="J9" i="72"/>
  <c r="Z1112" i="81"/>
  <c r="Z1113" i="81" s="1"/>
  <c r="Z1114" i="81" s="1"/>
  <c r="Z1120" i="81"/>
  <c r="S24" i="71"/>
  <c r="Q24" i="71"/>
  <c r="R24" i="71"/>
  <c r="M47" i="71" l="1"/>
  <c r="M38" i="72" s="1"/>
  <c r="M41" i="72" s="1"/>
  <c r="M59" i="71"/>
  <c r="M50" i="72" s="1"/>
  <c r="N11" i="71"/>
  <c r="AD1112" i="81"/>
  <c r="AD1113" i="81" s="1"/>
  <c r="AD1114" i="81" s="1"/>
  <c r="K47" i="71"/>
  <c r="K38" i="72" s="1"/>
  <c r="K41" i="72" s="1"/>
  <c r="K59" i="71"/>
  <c r="K50" i="72" s="1"/>
  <c r="K53" i="72" s="1"/>
  <c r="I9" i="72"/>
  <c r="N23" i="71"/>
  <c r="AF1112" i="81"/>
  <c r="AF1113" i="81" s="1"/>
  <c r="AF1114" i="81" s="1"/>
  <c r="AF1116" i="81" s="1"/>
  <c r="M83" i="71" s="1"/>
  <c r="M74" i="72" s="1"/>
  <c r="M35" i="71"/>
  <c r="M28" i="72" s="1"/>
  <c r="M31" i="72" s="1"/>
  <c r="K35" i="71"/>
  <c r="K28" i="72" s="1"/>
  <c r="K31" i="72" s="1"/>
  <c r="AA1112" i="81"/>
  <c r="AA1113" i="81" s="1"/>
  <c r="AA1114" i="81" s="1"/>
  <c r="AA1116" i="81" s="1"/>
  <c r="H83" i="71" s="1"/>
  <c r="H21" i="72"/>
  <c r="J47" i="71"/>
  <c r="J38" i="72" s="1"/>
  <c r="J41" i="72" s="1"/>
  <c r="J21" i="72"/>
  <c r="I59" i="71"/>
  <c r="I21" i="72"/>
  <c r="E21" i="72"/>
  <c r="G35" i="71"/>
  <c r="G21" i="72"/>
  <c r="E9" i="72"/>
  <c r="L35" i="71"/>
  <c r="AC1112" i="81"/>
  <c r="AC1113" i="81" s="1"/>
  <c r="AC1114" i="81" s="1"/>
  <c r="AC1116" i="81" s="1"/>
  <c r="J83" i="71" s="1"/>
  <c r="J74" i="72" s="1"/>
  <c r="L59" i="71"/>
  <c r="L50" i="72" s="1"/>
  <c r="L53" i="72" s="1"/>
  <c r="G59" i="71"/>
  <c r="AE1112" i="81"/>
  <c r="AE1113" i="81" s="1"/>
  <c r="AE1114" i="81" s="1"/>
  <c r="AE1116" i="81" s="1"/>
  <c r="L83" i="71" s="1"/>
  <c r="L74" i="72" s="1"/>
  <c r="AB1112" i="81"/>
  <c r="AB1113" i="81" s="1"/>
  <c r="AB1114" i="81" s="1"/>
  <c r="AB1116" i="81" s="1"/>
  <c r="I83" i="71" s="1"/>
  <c r="I74" i="72" s="1"/>
  <c r="I47" i="71"/>
  <c r="I38" i="72" s="1"/>
  <c r="L47" i="71"/>
  <c r="L38" i="72" s="1"/>
  <c r="L41" i="72" s="1"/>
  <c r="I35" i="71"/>
  <c r="H35" i="71"/>
  <c r="H47" i="71"/>
  <c r="H59" i="71"/>
  <c r="X1112" i="81"/>
  <c r="X1113" i="81" s="1"/>
  <c r="X1114" i="81" s="1"/>
  <c r="E59" i="71"/>
  <c r="E35" i="71"/>
  <c r="E47" i="71"/>
  <c r="Y1112" i="81"/>
  <c r="Y1113" i="81" s="1"/>
  <c r="Y1114" i="81" s="1"/>
  <c r="F59" i="71"/>
  <c r="F35" i="71"/>
  <c r="F47" i="71"/>
  <c r="J35" i="71"/>
  <c r="J28" i="72" s="1"/>
  <c r="J31" i="72" s="1"/>
  <c r="J59" i="71"/>
  <c r="J50" i="72" s="1"/>
  <c r="J53" i="72" s="1"/>
  <c r="L9" i="72"/>
  <c r="K9" i="72"/>
  <c r="AD1115" i="81"/>
  <c r="K71" i="71" s="1"/>
  <c r="K62" i="72" s="1"/>
  <c r="AD1116" i="81"/>
  <c r="K83" i="71" s="1"/>
  <c r="K74" i="72" s="1"/>
  <c r="Z1121" i="81"/>
  <c r="Z1122" i="81" s="1"/>
  <c r="G72" i="71" s="1"/>
  <c r="N72" i="71" s="1"/>
  <c r="Z1116" i="81"/>
  <c r="G83" i="71" s="1"/>
  <c r="Z1115" i="81"/>
  <c r="G71" i="71" s="1"/>
  <c r="P24" i="71"/>
  <c r="K21" i="72"/>
  <c r="L21" i="72"/>
  <c r="M21" i="72"/>
  <c r="F53" i="72" l="1"/>
  <c r="I28" i="72"/>
  <c r="I31" i="72" s="1"/>
  <c r="F31" i="72"/>
  <c r="H41" i="72"/>
  <c r="I50" i="72"/>
  <c r="I53" i="72" s="1"/>
  <c r="H31" i="72"/>
  <c r="G31" i="72"/>
  <c r="F41" i="72"/>
  <c r="H53" i="72"/>
  <c r="AF1115" i="81"/>
  <c r="M71" i="71" s="1"/>
  <c r="M62" i="72" s="1"/>
  <c r="M65" i="72" s="1"/>
  <c r="N47" i="71"/>
  <c r="Q23" i="71" s="1"/>
  <c r="N35" i="71"/>
  <c r="S23" i="71" s="1"/>
  <c r="N59" i="71"/>
  <c r="R23" i="71" s="1"/>
  <c r="AC1115" i="81"/>
  <c r="J71" i="71" s="1"/>
  <c r="J62" i="72" s="1"/>
  <c r="J65" i="72" s="1"/>
  <c r="AA1115" i="81"/>
  <c r="H71" i="71" s="1"/>
  <c r="AE1115" i="81"/>
  <c r="L71" i="71" s="1"/>
  <c r="L62" i="72" s="1"/>
  <c r="L65" i="72" s="1"/>
  <c r="N18" i="72"/>
  <c r="E7" i="26" s="1"/>
  <c r="E22" i="26" s="1"/>
  <c r="L28" i="72"/>
  <c r="L31" i="72" s="1"/>
  <c r="E41" i="72"/>
  <c r="E31" i="72"/>
  <c r="E53" i="72"/>
  <c r="AB1115" i="81"/>
  <c r="I71" i="71" s="1"/>
  <c r="X1116" i="81"/>
  <c r="E83" i="71" s="1"/>
  <c r="X1115" i="81"/>
  <c r="E71" i="71" s="1"/>
  <c r="Y1116" i="81"/>
  <c r="F83" i="71" s="1"/>
  <c r="Y1115" i="81"/>
  <c r="F71" i="71" s="1"/>
  <c r="M77" i="72"/>
  <c r="Z1123" i="81"/>
  <c r="G84" i="71" s="1"/>
  <c r="N84" i="71" s="1"/>
  <c r="M53" i="72"/>
  <c r="I41" i="72"/>
  <c r="I77" i="72"/>
  <c r="I18" i="31"/>
  <c r="J77" i="72"/>
  <c r="L77" i="72"/>
  <c r="G45" i="31"/>
  <c r="G53" i="72"/>
  <c r="H77" i="72"/>
  <c r="G41" i="72"/>
  <c r="K77" i="72"/>
  <c r="F65" i="72" l="1"/>
  <c r="I62" i="72"/>
  <c r="I65" i="72" s="1"/>
  <c r="F77" i="72"/>
  <c r="H65" i="72"/>
  <c r="N21" i="72"/>
  <c r="N71" i="71"/>
  <c r="N83" i="71"/>
  <c r="E11" i="26"/>
  <c r="E16" i="26"/>
  <c r="N28" i="72"/>
  <c r="N31" i="72" s="1"/>
  <c r="N38" i="72"/>
  <c r="N41" i="72" s="1"/>
  <c r="E65" i="72"/>
  <c r="E77" i="72"/>
  <c r="N50" i="72"/>
  <c r="N53" i="72" s="1"/>
  <c r="P23" i="71"/>
  <c r="E24" i="26"/>
  <c r="J24" i="26" s="1"/>
  <c r="H16" i="31"/>
  <c r="H45" i="31" s="1"/>
  <c r="L7" i="26"/>
  <c r="H7" i="26"/>
  <c r="J7" i="26"/>
  <c r="H48" i="31"/>
  <c r="G49" i="31"/>
  <c r="K65" i="72"/>
  <c r="G77" i="72"/>
  <c r="G65" i="72"/>
  <c r="M77" i="71"/>
  <c r="L77" i="71"/>
  <c r="K77" i="71"/>
  <c r="J77" i="71"/>
  <c r="I77" i="71"/>
  <c r="H77" i="71"/>
  <c r="G77" i="71"/>
  <c r="F77" i="71"/>
  <c r="E77" i="71"/>
  <c r="D77" i="71"/>
  <c r="C77" i="71"/>
  <c r="H65" i="71"/>
  <c r="C65" i="71"/>
  <c r="M41" i="71"/>
  <c r="L41" i="71"/>
  <c r="K41" i="71"/>
  <c r="J41" i="71"/>
  <c r="I41" i="71"/>
  <c r="H41" i="71"/>
  <c r="G41" i="71"/>
  <c r="F41" i="71"/>
  <c r="E41" i="71"/>
  <c r="D41" i="71"/>
  <c r="C41" i="71"/>
  <c r="M5" i="71"/>
  <c r="M7" i="71" s="1"/>
  <c r="L5" i="71"/>
  <c r="K5" i="71"/>
  <c r="K7" i="71" s="1"/>
  <c r="J5" i="71"/>
  <c r="I5" i="71"/>
  <c r="H5" i="71"/>
  <c r="G5" i="71"/>
  <c r="F5" i="71"/>
  <c r="E5" i="71"/>
  <c r="D5" i="71"/>
  <c r="C5" i="71"/>
  <c r="B5" i="71"/>
  <c r="N5" i="71" l="1"/>
  <c r="N74" i="72"/>
  <c r="N77" i="72" s="1"/>
  <c r="N62" i="72"/>
  <c r="E27" i="26" s="1"/>
  <c r="M73" i="72"/>
  <c r="M75" i="72" s="1"/>
  <c r="M79" i="71"/>
  <c r="H24" i="26"/>
  <c r="L24" i="26"/>
  <c r="H18" i="31"/>
  <c r="H28" i="31"/>
  <c r="E26" i="26"/>
  <c r="H29" i="31"/>
  <c r="H55" i="31"/>
  <c r="J55" i="31" s="1"/>
  <c r="H49" i="31"/>
  <c r="I49" i="31"/>
  <c r="H47" i="31"/>
  <c r="H46" i="31"/>
  <c r="M37" i="72"/>
  <c r="M39" i="72" s="1"/>
  <c r="M43" i="71"/>
  <c r="I7" i="71"/>
  <c r="I5" i="72"/>
  <c r="I7" i="72" s="1"/>
  <c r="K43" i="71"/>
  <c r="K37" i="72"/>
  <c r="K39" i="72" s="1"/>
  <c r="E5" i="72"/>
  <c r="E7" i="72" s="1"/>
  <c r="E7" i="71"/>
  <c r="N7" i="71" s="1"/>
  <c r="I10" i="71" s="1"/>
  <c r="M5" i="72"/>
  <c r="M7" i="72" s="1"/>
  <c r="G43" i="71"/>
  <c r="G37" i="72"/>
  <c r="G39" i="72" s="1"/>
  <c r="G79" i="71"/>
  <c r="G73" i="72"/>
  <c r="G75" i="72" s="1"/>
  <c r="H43" i="71"/>
  <c r="H37" i="72"/>
  <c r="H39" i="72" s="1"/>
  <c r="H79" i="71"/>
  <c r="H73" i="72"/>
  <c r="H75" i="72" s="1"/>
  <c r="F5" i="72"/>
  <c r="F7" i="72" s="1"/>
  <c r="F7" i="71"/>
  <c r="G7" i="71"/>
  <c r="G5" i="72"/>
  <c r="I43" i="71"/>
  <c r="I37" i="72"/>
  <c r="I39" i="72" s="1"/>
  <c r="I79" i="71"/>
  <c r="I73" i="72"/>
  <c r="I75" i="72" s="1"/>
  <c r="H7" i="71"/>
  <c r="H5" i="72"/>
  <c r="H7" i="72" s="1"/>
  <c r="J43" i="71"/>
  <c r="J37" i="72"/>
  <c r="J39" i="72" s="1"/>
  <c r="H67" i="71"/>
  <c r="H61" i="72"/>
  <c r="H63" i="72" s="1"/>
  <c r="B77" i="71"/>
  <c r="N77" i="71" s="1"/>
  <c r="J79" i="71"/>
  <c r="J73" i="72"/>
  <c r="J75" i="72" s="1"/>
  <c r="J7" i="71"/>
  <c r="J5" i="72"/>
  <c r="J7" i="72" s="1"/>
  <c r="D37" i="72"/>
  <c r="D39" i="72" s="1"/>
  <c r="D43" i="71"/>
  <c r="L43" i="71"/>
  <c r="L37" i="72"/>
  <c r="L39" i="72" s="1"/>
  <c r="D73" i="72"/>
  <c r="D75" i="72" s="1"/>
  <c r="D79" i="71"/>
  <c r="L79" i="71"/>
  <c r="L73" i="72"/>
  <c r="L75" i="72" s="1"/>
  <c r="C37" i="72"/>
  <c r="C39" i="72" s="1"/>
  <c r="C43" i="71"/>
  <c r="K79" i="71"/>
  <c r="K73" i="72"/>
  <c r="K75" i="72" s="1"/>
  <c r="B5" i="72"/>
  <c r="C5" i="72"/>
  <c r="C7" i="72" s="1"/>
  <c r="C7" i="71"/>
  <c r="K5" i="72"/>
  <c r="K7" i="72" s="1"/>
  <c r="E37" i="72"/>
  <c r="E39" i="72" s="1"/>
  <c r="E43" i="71"/>
  <c r="C61" i="72"/>
  <c r="C63" i="72" s="1"/>
  <c r="C67" i="71"/>
  <c r="E73" i="72"/>
  <c r="E75" i="72" s="1"/>
  <c r="E79" i="71"/>
  <c r="C73" i="72"/>
  <c r="C75" i="72" s="1"/>
  <c r="C79" i="71"/>
  <c r="D5" i="72"/>
  <c r="D7" i="72" s="1"/>
  <c r="D7" i="71"/>
  <c r="L7" i="71"/>
  <c r="L5" i="72"/>
  <c r="L7" i="72" s="1"/>
  <c r="F37" i="72"/>
  <c r="F39" i="72" s="1"/>
  <c r="F43" i="71"/>
  <c r="F73" i="72"/>
  <c r="F75" i="72" s="1"/>
  <c r="F79" i="71"/>
  <c r="F65" i="71"/>
  <c r="B53" i="71"/>
  <c r="E65" i="71"/>
  <c r="I65" i="71"/>
  <c r="M61" i="72"/>
  <c r="M63" i="72" s="1"/>
  <c r="D9" i="26"/>
  <c r="C17" i="71"/>
  <c r="K17" i="71"/>
  <c r="B65" i="71"/>
  <c r="J65" i="71"/>
  <c r="K65" i="71"/>
  <c r="D65" i="71"/>
  <c r="L65" i="71"/>
  <c r="G65" i="71"/>
  <c r="F17" i="71"/>
  <c r="J17" i="71"/>
  <c r="I53" i="71"/>
  <c r="E53" i="71"/>
  <c r="J53" i="71"/>
  <c r="M53" i="71"/>
  <c r="D53" i="71"/>
  <c r="H53" i="71"/>
  <c r="L53" i="71"/>
  <c r="N65" i="71" l="1"/>
  <c r="J10" i="71"/>
  <c r="E30" i="26"/>
  <c r="L43" i="31" s="1"/>
  <c r="E29" i="26"/>
  <c r="L42" i="31" s="1"/>
  <c r="N65" i="72"/>
  <c r="H35" i="31"/>
  <c r="L26" i="26"/>
  <c r="H34" i="31"/>
  <c r="H26" i="26"/>
  <c r="J26" i="26"/>
  <c r="E8" i="26"/>
  <c r="H81" i="31"/>
  <c r="H54" i="31"/>
  <c r="H53" i="31"/>
  <c r="J53" i="31" s="1"/>
  <c r="H63" i="31"/>
  <c r="J60" i="31"/>
  <c r="E23" i="26"/>
  <c r="E25" i="26" s="1"/>
  <c r="H25" i="26" s="1"/>
  <c r="H30" i="31"/>
  <c r="E12" i="26"/>
  <c r="E17" i="26"/>
  <c r="G33" i="31"/>
  <c r="M49" i="72"/>
  <c r="M51" i="72" s="1"/>
  <c r="M55" i="71"/>
  <c r="F17" i="72"/>
  <c r="F19" i="72" s="1"/>
  <c r="F19" i="71"/>
  <c r="H55" i="71"/>
  <c r="H49" i="72"/>
  <c r="H51" i="72" s="1"/>
  <c r="D16" i="26"/>
  <c r="B41" i="71"/>
  <c r="N41" i="71" s="1"/>
  <c r="P1109" i="69"/>
  <c r="D49" i="72"/>
  <c r="D51" i="72" s="1"/>
  <c r="D55" i="71"/>
  <c r="J55" i="71"/>
  <c r="J49" i="72"/>
  <c r="J51" i="72" s="1"/>
  <c r="E49" i="72"/>
  <c r="E51" i="72" s="1"/>
  <c r="E55" i="71"/>
  <c r="B49" i="72"/>
  <c r="B55" i="71"/>
  <c r="B73" i="72"/>
  <c r="B79" i="71"/>
  <c r="N79" i="71" s="1"/>
  <c r="I55" i="71"/>
  <c r="I49" i="72"/>
  <c r="I51" i="72" s="1"/>
  <c r="J19" i="71"/>
  <c r="J17" i="72"/>
  <c r="J19" i="72" s="1"/>
  <c r="L67" i="71"/>
  <c r="L61" i="72"/>
  <c r="L63" i="72" s="1"/>
  <c r="J67" i="71"/>
  <c r="J61" i="72"/>
  <c r="J63" i="72" s="1"/>
  <c r="I67" i="71"/>
  <c r="I61" i="72"/>
  <c r="I63" i="72" s="1"/>
  <c r="D61" i="72"/>
  <c r="D63" i="72" s="1"/>
  <c r="D67" i="71"/>
  <c r="B61" i="72"/>
  <c r="B67" i="71"/>
  <c r="K19" i="71"/>
  <c r="K17" i="72"/>
  <c r="K19" i="72" s="1"/>
  <c r="E61" i="72"/>
  <c r="E63" i="72" s="1"/>
  <c r="E67" i="71"/>
  <c r="F61" i="72"/>
  <c r="F63" i="72" s="1"/>
  <c r="F67" i="71"/>
  <c r="N5" i="72"/>
  <c r="B7" i="72"/>
  <c r="G67" i="71"/>
  <c r="G61" i="72"/>
  <c r="G63" i="72" s="1"/>
  <c r="K67" i="71"/>
  <c r="K61" i="72"/>
  <c r="K63" i="72" s="1"/>
  <c r="C17" i="72"/>
  <c r="C19" i="72" s="1"/>
  <c r="C19" i="71"/>
  <c r="L55" i="71"/>
  <c r="L49" i="72"/>
  <c r="L51" i="72" s="1"/>
  <c r="D4" i="26"/>
  <c r="F53" i="71"/>
  <c r="P768" i="69"/>
  <c r="D27" i="26"/>
  <c r="P767" i="69"/>
  <c r="L17" i="71"/>
  <c r="D18" i="26"/>
  <c r="G82" i="31" s="1"/>
  <c r="D5" i="26"/>
  <c r="P29" i="69"/>
  <c r="P766" i="69"/>
  <c r="D20" i="26"/>
  <c r="G83" i="31" s="1"/>
  <c r="G17" i="71"/>
  <c r="D6" i="26"/>
  <c r="P43" i="69"/>
  <c r="K53" i="71"/>
  <c r="R285" i="69"/>
  <c r="M17" i="71"/>
  <c r="G53" i="71"/>
  <c r="I17" i="71"/>
  <c r="B17" i="71"/>
  <c r="T285" i="69"/>
  <c r="S285" i="69"/>
  <c r="D17" i="71"/>
  <c r="E17" i="71"/>
  <c r="U285" i="69"/>
  <c r="G29" i="71"/>
  <c r="Q285" i="69"/>
  <c r="H17" i="71"/>
  <c r="K10" i="71" l="1"/>
  <c r="L10" i="71"/>
  <c r="N17" i="71"/>
  <c r="L30" i="26"/>
  <c r="F29" i="26"/>
  <c r="F30" i="26"/>
  <c r="J30" i="26"/>
  <c r="H29" i="26"/>
  <c r="E28" i="26"/>
  <c r="F28" i="26" s="1"/>
  <c r="H30" i="26"/>
  <c r="Q46" i="31"/>
  <c r="Q47" i="31" s="1"/>
  <c r="Q48" i="31" s="1"/>
  <c r="H33" i="31"/>
  <c r="H39" i="31" s="1"/>
  <c r="N67" i="71"/>
  <c r="W285" i="69"/>
  <c r="W286" i="69" s="1"/>
  <c r="L25" i="26"/>
  <c r="J25" i="26"/>
  <c r="J58" i="31"/>
  <c r="J54" i="31"/>
  <c r="J59" i="31"/>
  <c r="F27" i="26"/>
  <c r="G30" i="31"/>
  <c r="G37" i="31" s="1"/>
  <c r="G6" i="31"/>
  <c r="G8" i="31" s="1"/>
  <c r="F16" i="26"/>
  <c r="G47" i="31"/>
  <c r="G81" i="31" s="1"/>
  <c r="G87" i="31" s="1"/>
  <c r="J82" i="31" s="1"/>
  <c r="G41" i="31"/>
  <c r="G40" i="31"/>
  <c r="G5" i="31"/>
  <c r="G7" i="31" s="1"/>
  <c r="G4" i="31"/>
  <c r="G17" i="31" s="1"/>
  <c r="M19" i="71"/>
  <c r="K55" i="71"/>
  <c r="K49" i="72"/>
  <c r="K51" i="72" s="1"/>
  <c r="B37" i="72"/>
  <c r="B43" i="71"/>
  <c r="N43" i="71" s="1"/>
  <c r="H19" i="71"/>
  <c r="H17" i="72"/>
  <c r="H19" i="72" s="1"/>
  <c r="E17" i="72"/>
  <c r="E19" i="72" s="1"/>
  <c r="E19" i="71"/>
  <c r="B17" i="72"/>
  <c r="B19" i="71"/>
  <c r="B51" i="72"/>
  <c r="D17" i="72"/>
  <c r="D19" i="72" s="1"/>
  <c r="D19" i="71"/>
  <c r="I19" i="71"/>
  <c r="I17" i="72"/>
  <c r="I19" i="72" s="1"/>
  <c r="L19" i="71"/>
  <c r="L17" i="72"/>
  <c r="L19" i="72" s="1"/>
  <c r="G31" i="71"/>
  <c r="G27" i="72"/>
  <c r="G29" i="72" s="1"/>
  <c r="C53" i="71"/>
  <c r="N53" i="71" s="1"/>
  <c r="M17" i="72"/>
  <c r="M19" i="72" s="1"/>
  <c r="G19" i="71"/>
  <c r="G17" i="72"/>
  <c r="G19" i="72" s="1"/>
  <c r="G55" i="71"/>
  <c r="G49" i="72"/>
  <c r="G51" i="72" s="1"/>
  <c r="N61" i="72"/>
  <c r="N63" i="72" s="1"/>
  <c r="B63" i="72"/>
  <c r="F49" i="72"/>
  <c r="F51" i="72" s="1"/>
  <c r="F55" i="71"/>
  <c r="N73" i="72"/>
  <c r="N75" i="72" s="1"/>
  <c r="B75" i="72"/>
  <c r="Q1313" i="69"/>
  <c r="Q1312" i="69" s="1"/>
  <c r="D14" i="26"/>
  <c r="G65" i="31" s="1"/>
  <c r="D22" i="26"/>
  <c r="F22" i="26" s="1"/>
  <c r="D13" i="26"/>
  <c r="G64" i="31" s="1"/>
  <c r="C29" i="71"/>
  <c r="F29" i="71"/>
  <c r="K29" i="71"/>
  <c r="N10" i="71" l="1"/>
  <c r="H40" i="31"/>
  <c r="H28" i="26"/>
  <c r="J28" i="26"/>
  <c r="L28" i="26"/>
  <c r="H41" i="31"/>
  <c r="H31" i="31"/>
  <c r="H37" i="31" s="1"/>
  <c r="N19" i="71"/>
  <c r="H22" i="71" s="1"/>
  <c r="G88" i="31"/>
  <c r="J83" i="31" s="1"/>
  <c r="G39" i="31"/>
  <c r="D24" i="26"/>
  <c r="G10" i="31"/>
  <c r="G85" i="31"/>
  <c r="G19" i="31"/>
  <c r="G20" i="31"/>
  <c r="G48" i="31"/>
  <c r="G86" i="31"/>
  <c r="G54" i="31"/>
  <c r="G51" i="31"/>
  <c r="H51" i="31"/>
  <c r="G9" i="72"/>
  <c r="N6" i="72"/>
  <c r="G7" i="72"/>
  <c r="C27" i="72"/>
  <c r="C29" i="72" s="1"/>
  <c r="C31" i="71"/>
  <c r="K31" i="71"/>
  <c r="K27" i="72"/>
  <c r="K29" i="72" s="1"/>
  <c r="C49" i="72"/>
  <c r="C55" i="71"/>
  <c r="N55" i="71" s="1"/>
  <c r="F27" i="72"/>
  <c r="F29" i="72" s="1"/>
  <c r="F31" i="71"/>
  <c r="N17" i="72"/>
  <c r="N19" i="72" s="1"/>
  <c r="B19" i="72"/>
  <c r="B39" i="72"/>
  <c r="N37" i="72"/>
  <c r="N39" i="72" s="1"/>
  <c r="P68" i="69"/>
  <c r="J29" i="71"/>
  <c r="Q1241" i="69"/>
  <c r="Q1245" i="69"/>
  <c r="Q1244" i="69"/>
  <c r="H29" i="71"/>
  <c r="D10" i="26"/>
  <c r="E29" i="71"/>
  <c r="I29" i="71"/>
  <c r="L29" i="71"/>
  <c r="M29" i="71"/>
  <c r="B29" i="71"/>
  <c r="N29" i="71" s="1"/>
  <c r="D29" i="71"/>
  <c r="G58" i="71" l="1"/>
  <c r="I22" i="71"/>
  <c r="D26" i="26"/>
  <c r="F24" i="26"/>
  <c r="M22" i="71"/>
  <c r="L22" i="71"/>
  <c r="G34" i="71"/>
  <c r="J22" i="71"/>
  <c r="AC1105" i="81" s="1"/>
  <c r="AC1106" i="81" s="1"/>
  <c r="K22" i="71"/>
  <c r="E18" i="26"/>
  <c r="E4" i="26"/>
  <c r="G90" i="31"/>
  <c r="E20" i="26"/>
  <c r="G22" i="31"/>
  <c r="G21" i="31"/>
  <c r="G9" i="31"/>
  <c r="G55" i="31"/>
  <c r="G52" i="31"/>
  <c r="H52" i="31"/>
  <c r="G84" i="31"/>
  <c r="H84" i="31"/>
  <c r="N9" i="72"/>
  <c r="N7" i="72"/>
  <c r="M27" i="72"/>
  <c r="M29" i="72" s="1"/>
  <c r="M31" i="71"/>
  <c r="H31" i="71"/>
  <c r="H27" i="72"/>
  <c r="H29" i="72" s="1"/>
  <c r="C51" i="72"/>
  <c r="N49" i="72"/>
  <c r="N51" i="72" s="1"/>
  <c r="B27" i="72"/>
  <c r="B31" i="71"/>
  <c r="L31" i="71"/>
  <c r="L27" i="72"/>
  <c r="L29" i="72" s="1"/>
  <c r="D27" i="72"/>
  <c r="D29" i="72" s="1"/>
  <c r="D31" i="71"/>
  <c r="E27" i="72"/>
  <c r="E29" i="72" s="1"/>
  <c r="E31" i="71"/>
  <c r="J31" i="71"/>
  <c r="J27" i="72"/>
  <c r="J29" i="72" s="1"/>
  <c r="I31" i="71"/>
  <c r="I27" i="72"/>
  <c r="I29" i="72" s="1"/>
  <c r="F7" i="26"/>
  <c r="N31" i="71" l="1"/>
  <c r="N22" i="71"/>
  <c r="F26" i="26"/>
  <c r="X1105" i="81"/>
  <c r="X1106" i="81" s="1"/>
  <c r="X1107" i="81" s="1"/>
  <c r="E58" i="71"/>
  <c r="E34" i="71"/>
  <c r="E46" i="71"/>
  <c r="Y1105" i="81"/>
  <c r="Y1106" i="81" s="1"/>
  <c r="Y1107" i="81" s="1"/>
  <c r="F58" i="71"/>
  <c r="F34" i="71"/>
  <c r="F46" i="71"/>
  <c r="H83" i="31"/>
  <c r="H88" i="31" s="1"/>
  <c r="E21" i="26"/>
  <c r="F20" i="26"/>
  <c r="H82" i="31"/>
  <c r="H87" i="31" s="1"/>
  <c r="E19" i="26"/>
  <c r="F18" i="26"/>
  <c r="K34" i="71"/>
  <c r="H4" i="31"/>
  <c r="H17" i="31" s="1"/>
  <c r="H19" i="31" s="1"/>
  <c r="E5" i="26"/>
  <c r="E6" i="26"/>
  <c r="F4" i="26"/>
  <c r="G89" i="31"/>
  <c r="AE1105" i="81"/>
  <c r="AE1106" i="81" s="1"/>
  <c r="AE1107" i="81" s="1"/>
  <c r="L58" i="71"/>
  <c r="L46" i="71"/>
  <c r="L34" i="71"/>
  <c r="J58" i="71"/>
  <c r="J46" i="71"/>
  <c r="J34" i="71"/>
  <c r="AC1107" i="81"/>
  <c r="Z1105" i="81"/>
  <c r="Z1106" i="81" s="1"/>
  <c r="Z1107" i="81" s="1"/>
  <c r="G46" i="71"/>
  <c r="AA1105" i="81"/>
  <c r="AA1106" i="81" s="1"/>
  <c r="AA1107" i="81" s="1"/>
  <c r="H58" i="71"/>
  <c r="H34" i="71"/>
  <c r="H46" i="71"/>
  <c r="AD1105" i="81"/>
  <c r="AD1106" i="81" s="1"/>
  <c r="AD1107" i="81" s="1"/>
  <c r="K46" i="71"/>
  <c r="K58" i="71"/>
  <c r="I58" i="71"/>
  <c r="I46" i="71"/>
  <c r="AB1105" i="81"/>
  <c r="AB1106" i="81" s="1"/>
  <c r="AB1107" i="81" s="1"/>
  <c r="I34" i="71"/>
  <c r="AF1105" i="81"/>
  <c r="AF1106" i="81" s="1"/>
  <c r="AF1107" i="81" s="1"/>
  <c r="M58" i="71"/>
  <c r="M34" i="71"/>
  <c r="M46" i="71"/>
  <c r="B29" i="72"/>
  <c r="N27" i="72"/>
  <c r="N29" i="72" s="1"/>
  <c r="D11" i="26"/>
  <c r="G46" i="31" s="1"/>
  <c r="P721" i="69"/>
  <c r="R105" i="69"/>
  <c r="D15" i="26"/>
  <c r="P722" i="69"/>
  <c r="P106" i="69"/>
  <c r="R106" i="69"/>
  <c r="N46" i="71" l="1"/>
  <c r="Q22" i="71" s="1"/>
  <c r="N34" i="71"/>
  <c r="S22" i="71" s="1"/>
  <c r="N58" i="71"/>
  <c r="R22" i="71" s="1"/>
  <c r="Y1109" i="81"/>
  <c r="F82" i="71" s="1"/>
  <c r="Y1108" i="81"/>
  <c r="F70" i="71" s="1"/>
  <c r="X1109" i="81"/>
  <c r="E82" i="71" s="1"/>
  <c r="X1108" i="81"/>
  <c r="E70" i="71" s="1"/>
  <c r="H86" i="31"/>
  <c r="J88" i="31"/>
  <c r="H85" i="31"/>
  <c r="H90" i="31"/>
  <c r="H6" i="31"/>
  <c r="H8" i="31" s="1"/>
  <c r="H10" i="31" s="1"/>
  <c r="J10" i="31" s="1"/>
  <c r="F6" i="26"/>
  <c r="H5" i="31"/>
  <c r="H7" i="31" s="1"/>
  <c r="F5" i="26"/>
  <c r="H20" i="31"/>
  <c r="G63" i="31"/>
  <c r="G50" i="31"/>
  <c r="G53" i="31"/>
  <c r="H50" i="31"/>
  <c r="G66" i="31"/>
  <c r="AB1108" i="81"/>
  <c r="I70" i="71" s="1"/>
  <c r="AB1109" i="81"/>
  <c r="I82" i="71" s="1"/>
  <c r="AC1108" i="81"/>
  <c r="J70" i="71" s="1"/>
  <c r="AC1109" i="81"/>
  <c r="J82" i="71" s="1"/>
  <c r="AA1108" i="81"/>
  <c r="H70" i="71" s="1"/>
  <c r="AA1109" i="81"/>
  <c r="H82" i="71" s="1"/>
  <c r="AF1108" i="81"/>
  <c r="M70" i="71" s="1"/>
  <c r="AF1109" i="81"/>
  <c r="M82" i="71" s="1"/>
  <c r="AD1109" i="81"/>
  <c r="K82" i="71" s="1"/>
  <c r="AD1108" i="81"/>
  <c r="K70" i="71" s="1"/>
  <c r="Z1109" i="81"/>
  <c r="G82" i="71" s="1"/>
  <c r="Z1108" i="81"/>
  <c r="G70" i="71" s="1"/>
  <c r="AE1109" i="81"/>
  <c r="L82" i="71" s="1"/>
  <c r="AE1108" i="81"/>
  <c r="L70" i="71" s="1"/>
  <c r="F11" i="26"/>
  <c r="N82" i="71" l="1"/>
  <c r="N70" i="71"/>
  <c r="H9" i="31"/>
  <c r="J9" i="31" s="1"/>
  <c r="K8" i="31" s="1"/>
  <c r="G73" i="31"/>
  <c r="G70" i="31"/>
  <c r="G72" i="31"/>
  <c r="G71" i="31"/>
  <c r="G20" i="26"/>
  <c r="G21" i="26" s="1"/>
  <c r="J87" i="31"/>
  <c r="H89" i="31"/>
  <c r="P22" i="71"/>
  <c r="H21" i="31"/>
  <c r="H22" i="31"/>
  <c r="H67" i="31"/>
  <c r="G67" i="31"/>
  <c r="G7" i="56"/>
  <c r="E7" i="56"/>
  <c r="K28" i="56"/>
  <c r="I28" i="56"/>
  <c r="G28" i="56"/>
  <c r="G24" i="56"/>
  <c r="K24" i="56" s="1"/>
  <c r="G29" i="56"/>
  <c r="I29" i="56" s="1"/>
  <c r="K10" i="56"/>
  <c r="C41" i="31"/>
  <c r="D41" i="31"/>
  <c r="E41" i="31"/>
  <c r="C40" i="31"/>
  <c r="D40" i="31"/>
  <c r="E40" i="31"/>
  <c r="B72" i="31"/>
  <c r="C72" i="31"/>
  <c r="D72" i="31"/>
  <c r="E72" i="31"/>
  <c r="C73" i="31"/>
  <c r="E71" i="31"/>
  <c r="D71" i="31"/>
  <c r="C71" i="31"/>
  <c r="B71" i="31"/>
  <c r="C86" i="31"/>
  <c r="C85" i="31"/>
  <c r="C84" i="31"/>
  <c r="C70" i="31"/>
  <c r="C69" i="31"/>
  <c r="C68" i="31"/>
  <c r="C67" i="31"/>
  <c r="C55" i="31"/>
  <c r="C54" i="31"/>
  <c r="D54" i="31"/>
  <c r="E54" i="31"/>
  <c r="D55" i="31"/>
  <c r="E55" i="31"/>
  <c r="B54" i="31"/>
  <c r="C53" i="31"/>
  <c r="D53" i="31"/>
  <c r="E53" i="31"/>
  <c r="B53" i="31"/>
  <c r="C49" i="31"/>
  <c r="C52" i="31"/>
  <c r="C51" i="31"/>
  <c r="C50" i="31"/>
  <c r="E39" i="31"/>
  <c r="D39" i="31"/>
  <c r="C39" i="31"/>
  <c r="B39" i="31"/>
  <c r="D38" i="31"/>
  <c r="C38" i="31"/>
  <c r="B38" i="31"/>
  <c r="E38" i="31"/>
  <c r="B37" i="31"/>
  <c r="C37" i="31"/>
  <c r="D37" i="31"/>
  <c r="E37" i="31"/>
  <c r="C35" i="31"/>
  <c r="D35" i="31"/>
  <c r="E35" i="31"/>
  <c r="E34" i="31"/>
  <c r="D34" i="31"/>
  <c r="C34" i="31"/>
  <c r="J34" i="31" s="1"/>
  <c r="C18" i="31"/>
  <c r="C20" i="31"/>
  <c r="B20" i="31"/>
  <c r="C19" i="31"/>
  <c r="B8" i="31"/>
  <c r="C8" i="31"/>
  <c r="D8" i="31"/>
  <c r="E8" i="31"/>
  <c r="F10" i="31" s="1"/>
  <c r="B7" i="31"/>
  <c r="C7" i="31"/>
  <c r="D7" i="31"/>
  <c r="E7" i="31"/>
  <c r="F9" i="31" s="1"/>
  <c r="J67" i="31" l="1"/>
  <c r="E15" i="26" s="1"/>
  <c r="K9" i="31"/>
  <c r="J22" i="31"/>
  <c r="J19" i="31" s="1"/>
  <c r="G4" i="26" s="1"/>
  <c r="G5" i="26" s="1"/>
  <c r="I18" i="26"/>
  <c r="I19" i="26" s="1"/>
  <c r="G18" i="26"/>
  <c r="G19" i="26" s="1"/>
  <c r="D21" i="31"/>
  <c r="C22" i="31"/>
  <c r="D22" i="31"/>
  <c r="G69" i="31"/>
  <c r="B89" i="31"/>
  <c r="C10" i="31"/>
  <c r="I24" i="56"/>
  <c r="G25" i="56"/>
  <c r="K25" i="56" s="1"/>
  <c r="E9" i="31"/>
  <c r="D10" i="31"/>
  <c r="D9" i="31"/>
  <c r="E10" i="31"/>
  <c r="G27" i="56"/>
  <c r="K29" i="56"/>
  <c r="K27" i="56" s="1"/>
  <c r="I27" i="56"/>
  <c r="I7" i="56"/>
  <c r="K7" i="56"/>
  <c r="C9" i="31"/>
  <c r="C21" i="31"/>
  <c r="E10" i="26" l="1"/>
  <c r="E14" i="26"/>
  <c r="E9" i="26" s="1"/>
  <c r="G68" i="31"/>
  <c r="I25" i="56"/>
  <c r="E4" i="56"/>
  <c r="F4" i="56" s="1"/>
  <c r="G12" i="31"/>
  <c r="E8" i="56"/>
  <c r="E5" i="56" l="1"/>
  <c r="F5" i="56" s="1"/>
  <c r="E6" i="56"/>
  <c r="F6" i="56" s="1"/>
  <c r="E29" i="56"/>
  <c r="J29" i="56" s="1"/>
  <c r="F8" i="56"/>
  <c r="E11" i="56"/>
  <c r="E16" i="56"/>
  <c r="E10" i="56"/>
  <c r="E26" i="56"/>
  <c r="E24" i="56"/>
  <c r="H29" i="56" l="1"/>
  <c r="E27" i="56"/>
  <c r="J27" i="56" s="1"/>
  <c r="F29" i="56"/>
  <c r="L29" i="56"/>
  <c r="F26" i="56"/>
  <c r="E20" i="56"/>
  <c r="F20" i="56" s="1"/>
  <c r="F11" i="56"/>
  <c r="E22" i="56"/>
  <c r="F24" i="56"/>
  <c r="H24" i="56"/>
  <c r="J24" i="56"/>
  <c r="L24" i="56"/>
  <c r="E18" i="56"/>
  <c r="F18" i="56" s="1"/>
  <c r="E15" i="56"/>
  <c r="F15" i="56" s="1"/>
  <c r="E13" i="56"/>
  <c r="F13" i="56" s="1"/>
  <c r="E14" i="56"/>
  <c r="F14" i="56" s="1"/>
  <c r="L10" i="56"/>
  <c r="F10" i="56"/>
  <c r="F16" i="56"/>
  <c r="H27" i="56" l="1"/>
  <c r="E28" i="56"/>
  <c r="L28" i="56" s="1"/>
  <c r="F27" i="56"/>
  <c r="L27" i="56"/>
  <c r="F22" i="56"/>
  <c r="L11" i="26" l="1"/>
  <c r="I46" i="31"/>
  <c r="J11" i="26"/>
  <c r="H11" i="26"/>
  <c r="J22" i="26"/>
  <c r="H27" i="26"/>
  <c r="K4" i="26"/>
  <c r="G11" i="56"/>
  <c r="I11" i="56"/>
  <c r="I26" i="56"/>
  <c r="K26" i="56"/>
  <c r="K11" i="56"/>
  <c r="L11" i="56" s="1"/>
  <c r="K16" i="56"/>
  <c r="L16" i="56" s="1"/>
  <c r="F28" i="56"/>
  <c r="I4" i="26"/>
  <c r="J4" i="26" s="1"/>
  <c r="J28" i="56"/>
  <c r="H28" i="56"/>
  <c r="I53" i="31" l="1"/>
  <c r="I50" i="31"/>
  <c r="H23" i="26"/>
  <c r="I48" i="31"/>
  <c r="I52" i="31" s="1"/>
  <c r="L22" i="26"/>
  <c r="G26" i="56"/>
  <c r="G23" i="56" s="1"/>
  <c r="H22" i="26"/>
  <c r="H4" i="26"/>
  <c r="L29" i="26"/>
  <c r="I33" i="31"/>
  <c r="M8" i="26"/>
  <c r="I63" i="31"/>
  <c r="I67" i="31" s="1"/>
  <c r="L4" i="26"/>
  <c r="K5" i="26"/>
  <c r="I4" i="31"/>
  <c r="I17" i="31" s="1"/>
  <c r="H8" i="26"/>
  <c r="J29" i="26"/>
  <c r="H12" i="26"/>
  <c r="H11" i="56"/>
  <c r="K23" i="56"/>
  <c r="K22" i="56"/>
  <c r="L26" i="56"/>
  <c r="I22" i="56"/>
  <c r="J22" i="56" s="1"/>
  <c r="I23" i="56"/>
  <c r="J26" i="56"/>
  <c r="J11" i="56"/>
  <c r="I5" i="26"/>
  <c r="K14" i="56"/>
  <c r="L14" i="56" s="1"/>
  <c r="K15" i="56"/>
  <c r="L15" i="56" s="1"/>
  <c r="K5" i="56"/>
  <c r="K13" i="56"/>
  <c r="L13" i="56" s="1"/>
  <c r="I19" i="31" l="1"/>
  <c r="I20" i="31"/>
  <c r="L23" i="26"/>
  <c r="I55" i="31"/>
  <c r="G22" i="56"/>
  <c r="H22" i="56" s="1"/>
  <c r="L12" i="26"/>
  <c r="H26" i="56"/>
  <c r="I30" i="31"/>
  <c r="I31" i="31" s="1"/>
  <c r="I37" i="31" s="1"/>
  <c r="N29" i="26"/>
  <c r="I40" i="31"/>
  <c r="I41" i="31"/>
  <c r="N11" i="26"/>
  <c r="L27" i="26"/>
  <c r="N27" i="26"/>
  <c r="K8" i="26"/>
  <c r="L8" i="26" s="1"/>
  <c r="I10" i="56"/>
  <c r="J10" i="56" s="1"/>
  <c r="I5" i="56"/>
  <c r="J5" i="56" s="1"/>
  <c r="J5" i="26"/>
  <c r="I8" i="26"/>
  <c r="J27" i="26"/>
  <c r="G5" i="56"/>
  <c r="H5" i="56" s="1"/>
  <c r="H5" i="26"/>
  <c r="G10" i="56"/>
  <c r="H10" i="56" s="1"/>
  <c r="G6" i="26"/>
  <c r="K8" i="56"/>
  <c r="L8" i="56" s="1"/>
  <c r="L22" i="56"/>
  <c r="K18" i="56"/>
  <c r="L18" i="56" s="1"/>
  <c r="I6" i="26"/>
  <c r="G12" i="56"/>
  <c r="L5" i="56"/>
  <c r="K20" i="56"/>
  <c r="L20" i="56" s="1"/>
  <c r="K6" i="56"/>
  <c r="L6" i="56" s="1"/>
  <c r="I21" i="31" l="1"/>
  <c r="I22" i="31"/>
  <c r="N23" i="26"/>
  <c r="N22" i="26"/>
  <c r="I39" i="31"/>
  <c r="J23" i="26"/>
  <c r="J8" i="26"/>
  <c r="J12" i="26"/>
  <c r="N12" i="26"/>
  <c r="N8" i="26"/>
  <c r="J6" i="26"/>
  <c r="H6" i="26"/>
  <c r="G6" i="56"/>
  <c r="H6" i="56" s="1"/>
  <c r="I6" i="56"/>
  <c r="J6" i="56" s="1"/>
  <c r="K12" i="56"/>
  <c r="K17" i="56"/>
  <c r="K4" i="56"/>
  <c r="L4" i="56" s="1"/>
  <c r="I12" i="56"/>
  <c r="K22" i="31" l="1"/>
  <c r="J24" i="31" s="1"/>
  <c r="M4" i="26" s="1"/>
  <c r="N4" i="26" s="1"/>
  <c r="G4" i="56"/>
  <c r="H4" i="56" s="1"/>
  <c r="I4" i="56"/>
  <c r="J4" i="56" s="1"/>
  <c r="K9" i="56"/>
  <c r="K19" i="56" l="1"/>
  <c r="K21" i="56"/>
  <c r="H17" i="26" l="1"/>
  <c r="K20" i="26"/>
  <c r="K21" i="26" s="1"/>
  <c r="L17" i="26"/>
  <c r="L16" i="26"/>
  <c r="I47" i="31"/>
  <c r="K18" i="26"/>
  <c r="K19" i="26" s="1"/>
  <c r="I54" i="31" l="1"/>
  <c r="I51" i="31"/>
  <c r="H16" i="26"/>
  <c r="G16" i="56"/>
  <c r="H16" i="56" s="1"/>
  <c r="H19" i="26"/>
  <c r="H21" i="26"/>
  <c r="J16" i="26"/>
  <c r="I20" i="26"/>
  <c r="I21" i="26" s="1"/>
  <c r="I16" i="56"/>
  <c r="J16" i="56" s="1"/>
  <c r="I81" i="31"/>
  <c r="I84" i="31" s="1"/>
  <c r="L18" i="26"/>
  <c r="I82" i="31"/>
  <c r="L20" i="26"/>
  <c r="I83" i="31"/>
  <c r="J17" i="26"/>
  <c r="L21" i="26"/>
  <c r="L19" i="26"/>
  <c r="I17" i="56"/>
  <c r="G17" i="56"/>
  <c r="I85" i="31" l="1"/>
  <c r="I87" i="31"/>
  <c r="I90" i="31" s="1"/>
  <c r="I86" i="31"/>
  <c r="I88" i="31"/>
  <c r="G8" i="56"/>
  <c r="H8" i="56" s="1"/>
  <c r="G18" i="56"/>
  <c r="H18" i="56" s="1"/>
  <c r="H18" i="26"/>
  <c r="H20" i="26"/>
  <c r="G20" i="56"/>
  <c r="H20" i="56" s="1"/>
  <c r="J20" i="26"/>
  <c r="I18" i="56"/>
  <c r="J18" i="56" s="1"/>
  <c r="I8" i="56"/>
  <c r="J8" i="56" s="1"/>
  <c r="J18" i="26"/>
  <c r="I20" i="56"/>
  <c r="J20" i="56" s="1"/>
  <c r="N16" i="26"/>
  <c r="J19" i="26"/>
  <c r="J21" i="26"/>
  <c r="G9" i="56"/>
  <c r="I19" i="56"/>
  <c r="G19" i="56"/>
  <c r="G21" i="56"/>
  <c r="I21" i="56"/>
  <c r="I9" i="56"/>
  <c r="K6" i="26"/>
  <c r="I6" i="31" s="1"/>
  <c r="L5" i="26"/>
  <c r="I5" i="31"/>
  <c r="J91" i="31" l="1"/>
  <c r="J92" i="31"/>
  <c r="I8" i="31"/>
  <c r="I10" i="31" s="1"/>
  <c r="I7" i="31"/>
  <c r="N17" i="26"/>
  <c r="I89" i="31"/>
  <c r="L6" i="26"/>
  <c r="M18" i="26" l="1"/>
  <c r="M19" i="26" s="1"/>
  <c r="I9" i="31"/>
  <c r="J12" i="31" s="1"/>
  <c r="K12" i="31" s="1"/>
  <c r="M20" i="26"/>
  <c r="M21" i="26" l="1"/>
  <c r="N21" i="26" s="1"/>
  <c r="N18" i="26"/>
  <c r="N20" i="26"/>
  <c r="K13" i="31"/>
  <c r="M5" i="26"/>
  <c r="N19" i="26"/>
  <c r="N5" i="26" l="1"/>
  <c r="M6" i="26"/>
  <c r="N6" i="26" l="1"/>
  <c r="D19" i="26" l="1"/>
  <c r="F19" i="26" l="1"/>
  <c r="E19" i="56"/>
  <c r="D21" i="26"/>
  <c r="L19" i="56" l="1"/>
  <c r="F19" i="56"/>
  <c r="H19" i="56"/>
  <c r="J19" i="56"/>
  <c r="F21" i="26"/>
  <c r="E21" i="56"/>
  <c r="F21" i="56" l="1"/>
  <c r="L21" i="56"/>
  <c r="H21" i="56"/>
  <c r="J21" i="56"/>
  <c r="D23" i="26" l="1"/>
  <c r="D25" i="26" l="1"/>
  <c r="F25" i="26" s="1"/>
  <c r="F23" i="26"/>
  <c r="D17" i="26" l="1"/>
  <c r="E25" i="56" l="1"/>
  <c r="F17" i="26"/>
  <c r="E17" i="56"/>
  <c r="D12" i="26" l="1"/>
  <c r="E23" i="56"/>
  <c r="H25" i="56"/>
  <c r="L25" i="56"/>
  <c r="J25" i="56"/>
  <c r="F25" i="56"/>
  <c r="L17" i="56"/>
  <c r="F17" i="56"/>
  <c r="J17" i="56"/>
  <c r="H17" i="56"/>
  <c r="J23" i="56" l="1"/>
  <c r="L23" i="56"/>
  <c r="F23" i="56"/>
  <c r="H23" i="56"/>
  <c r="F12" i="26"/>
  <c r="E12" i="56"/>
  <c r="D8" i="26"/>
  <c r="H12" i="56" l="1"/>
  <c r="L12" i="56"/>
  <c r="J12" i="56"/>
  <c r="F12" i="56"/>
  <c r="E9" i="56"/>
  <c r="F8" i="26"/>
  <c r="L9" i="56" l="1"/>
  <c r="F9" i="56"/>
  <c r="H9" i="56"/>
  <c r="J9" i="56"/>
  <c r="E13" i="26" l="1"/>
  <c r="F13" i="26" s="1"/>
  <c r="H66" i="31"/>
  <c r="H70" i="31" s="1"/>
  <c r="F15" i="26"/>
  <c r="H64" i="31" l="1"/>
  <c r="H71" i="31" s="1"/>
  <c r="J71" i="31" s="1"/>
  <c r="H73" i="31"/>
  <c r="J73" i="31" s="1"/>
  <c r="F10" i="26"/>
  <c r="H10" i="26"/>
  <c r="J10" i="26"/>
  <c r="L10" i="26"/>
  <c r="H68" i="31" l="1"/>
  <c r="I15" i="26"/>
  <c r="K15" i="26"/>
  <c r="G15" i="26"/>
  <c r="I13" i="26"/>
  <c r="G13" i="26"/>
  <c r="K13" i="26"/>
  <c r="F14" i="26"/>
  <c r="H65" i="31"/>
  <c r="H15" i="26" l="1"/>
  <c r="G15" i="56"/>
  <c r="H15" i="56" s="1"/>
  <c r="H72" i="31"/>
  <c r="H69" i="31"/>
  <c r="I64" i="31"/>
  <c r="I71" i="31" s="1"/>
  <c r="L13" i="26"/>
  <c r="H13" i="26"/>
  <c r="G13" i="56"/>
  <c r="H13" i="56" s="1"/>
  <c r="J13" i="26"/>
  <c r="I13" i="56"/>
  <c r="J13" i="56" s="1"/>
  <c r="I66" i="31"/>
  <c r="L15" i="26"/>
  <c r="J9" i="26"/>
  <c r="H9" i="26"/>
  <c r="L9" i="26"/>
  <c r="F9" i="26"/>
  <c r="J15" i="26"/>
  <c r="I15" i="56"/>
  <c r="J15" i="56" s="1"/>
  <c r="J72" i="31" l="1"/>
  <c r="J76" i="31"/>
  <c r="M13" i="26" s="1"/>
  <c r="N13" i="26" s="1"/>
  <c r="I68" i="31"/>
  <c r="I70" i="31"/>
  <c r="I73" i="31"/>
  <c r="J78" i="31" s="1"/>
  <c r="M15" i="26" s="1"/>
  <c r="N15" i="26" s="1"/>
  <c r="K14" i="26" l="1"/>
  <c r="G14" i="26"/>
  <c r="I14" i="26"/>
  <c r="L14" i="26" l="1"/>
  <c r="I65" i="31"/>
  <c r="I14" i="56"/>
  <c r="J14" i="56" s="1"/>
  <c r="J14" i="26"/>
  <c r="H14" i="26"/>
  <c r="G14" i="56"/>
  <c r="H14" i="56" s="1"/>
  <c r="I72" i="31" l="1"/>
  <c r="J77" i="31" s="1"/>
  <c r="M14" i="26" s="1"/>
  <c r="N14" i="26" s="1"/>
  <c r="I69" i="3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tc={5E342B3D-FBD5-4E4E-B288-64FD83A8D3E7}</author>
  </authors>
  <commentList>
    <comment ref="G24" authorId="0" shapeId="0" xr:uid="{5E342B3D-FBD5-4E4E-B288-64FD83A8D3E7}">
      <text>
        <r>
          <rPr>
            <sz val="11"/>
            <color theme="1"/>
            <rFont val="Calibri"/>
            <family val="2"/>
            <scheme val="minor"/>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Constante 16 selon 2024</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KAUPHY Elisabeth Nadege Epse EFFI [DEESP/PAA]</author>
    <author>Doss</author>
    <author>tc={DD8CC2F6-260A-4CF9-B4E3-3F15BA03E9A6}</author>
  </authors>
  <commentList>
    <comment ref="J9" authorId="0" shapeId="0" xr:uid="{00000000-0006-0000-0400-000001000000}">
      <text>
        <r>
          <rPr>
            <sz val="9"/>
            <color rgb="FF000000"/>
            <rFont val="Tahoma"/>
            <family val="2"/>
          </rPr>
          <t>Moyenne d'évolution sur les deux (2) dernières années.</t>
        </r>
      </text>
    </comment>
    <comment ref="J12" authorId="1" shapeId="0" xr:uid="{FC54C0E9-9BD5-44D4-9946-09C847BF7281}">
      <text>
        <r>
          <rPr>
            <b/>
            <sz val="9"/>
            <color indexed="81"/>
            <rFont val="Tahoma"/>
            <family val="2"/>
          </rPr>
          <t>Doss:</t>
        </r>
        <r>
          <rPr>
            <sz val="9"/>
            <color indexed="81"/>
            <rFont val="Tahoma"/>
            <family val="2"/>
          </rPr>
          <t xml:space="preserve">
Moyenne d'évolution sur les trois (3) dernières années.</t>
        </r>
      </text>
    </comment>
    <comment ref="J67" authorId="2" shapeId="0" xr:uid="{DD8CC2F6-260A-4CF9-B4E3-3F15BA03E9A6}">
      <text>
        <r>
          <rPr>
            <sz val="11"/>
            <color theme="1"/>
            <rFont val="Calibri"/>
            <family val="2"/>
            <scheme val="minor"/>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Part moyen produit peche national</t>
        </r>
      </text>
    </comment>
  </commentList>
</comments>
</file>

<file path=xl/sharedStrings.xml><?xml version="1.0" encoding="utf-8"?>
<sst xmlns="http://schemas.openxmlformats.org/spreadsheetml/2006/main" count="3914" uniqueCount="541">
  <si>
    <t>Janvier</t>
  </si>
  <si>
    <t>Février</t>
  </si>
  <si>
    <t>Mars</t>
  </si>
  <si>
    <t>Avril</t>
  </si>
  <si>
    <t>Mai</t>
  </si>
  <si>
    <t>Juin</t>
  </si>
  <si>
    <t>Juillet</t>
  </si>
  <si>
    <t>Août</t>
  </si>
  <si>
    <t>Septembre</t>
  </si>
  <si>
    <t>Octobre</t>
  </si>
  <si>
    <t>Novembre</t>
  </si>
  <si>
    <t xml:space="preserve"> </t>
  </si>
  <si>
    <t>I- TRAFIC DES NAVIRES REALISE AU PORT D'ABIDJAN</t>
  </si>
  <si>
    <t>RUBRIQUES</t>
  </si>
  <si>
    <t>Décembre</t>
  </si>
  <si>
    <t>TOTAL</t>
  </si>
  <si>
    <t xml:space="preserve">               - Nbre de navires entrés</t>
  </si>
  <si>
    <t xml:space="preserve">               - Nbre de navires sortis</t>
  </si>
  <si>
    <t xml:space="preserve">       TOTAL TRAFIC </t>
  </si>
  <si>
    <t>PORT DE COMMERCE</t>
  </si>
  <si>
    <t>CARGO TRADITIONNELS</t>
  </si>
  <si>
    <t>PORTE CONTENEURS</t>
  </si>
  <si>
    <t>NAVIRES ROULIERS</t>
  </si>
  <si>
    <t>MINERALIERS-VRACQUIERS</t>
  </si>
  <si>
    <t>PETROLIERS</t>
  </si>
  <si>
    <t>NAVIRES CITERNES</t>
  </si>
  <si>
    <t>NAVIRES FRIGORIFIQUES</t>
  </si>
  <si>
    <t>NAVIRES DE GUERRE</t>
  </si>
  <si>
    <t>PAQUEBOTS</t>
  </si>
  <si>
    <t>SUPPLY</t>
  </si>
  <si>
    <t>AUTRES NAVIRES</t>
  </si>
  <si>
    <t>TERMINAL A PECHE</t>
  </si>
  <si>
    <t>CHALUTIERS</t>
  </si>
  <si>
    <t>FRIGORIFIQUES</t>
  </si>
  <si>
    <t>CREVETTIERS</t>
  </si>
  <si>
    <t>THONIERS</t>
  </si>
  <si>
    <t>TOTAL TRAFIC</t>
  </si>
  <si>
    <t>II- TRAFIC GLOBAL REALISE AU PORT D'ABIDJAN</t>
  </si>
  <si>
    <t xml:space="preserve">   - Importation</t>
  </si>
  <si>
    <t xml:space="preserve">   - Exportation</t>
  </si>
  <si>
    <t xml:space="preserve">           Pétrole off shore</t>
  </si>
  <si>
    <t xml:space="preserve">   - Produits Pétroliers</t>
  </si>
  <si>
    <t xml:space="preserve">   - Marchandises Générales</t>
  </si>
  <si>
    <t xml:space="preserve">   - Produits de Pêche</t>
  </si>
  <si>
    <t xml:space="preserve">         - Produits de Pêche PC</t>
  </si>
  <si>
    <t xml:space="preserve">         - Produits de Pêche TP</t>
  </si>
  <si>
    <t>A. 1- TRAFIC MENSUEL DES PRODUITS DE PECHE REALISE AU PORT D'ABIDJAN</t>
  </si>
  <si>
    <t>IMPORTATIONS</t>
  </si>
  <si>
    <t xml:space="preserve">    (Transbordement)</t>
  </si>
  <si>
    <t xml:space="preserve">  Thons congelés</t>
  </si>
  <si>
    <t xml:space="preserve">  Poissons congelés</t>
  </si>
  <si>
    <t xml:space="preserve">  Poissons frais</t>
  </si>
  <si>
    <t xml:space="preserve">  Faux thons</t>
  </si>
  <si>
    <t xml:space="preserve">  Crustacés</t>
  </si>
  <si>
    <t xml:space="preserve">  Autres produits de pêche</t>
  </si>
  <si>
    <t xml:space="preserve">  Marchandises diverses</t>
  </si>
  <si>
    <t>EXPORTATIONS</t>
  </si>
  <si>
    <t>Source : Terminal à Pêche</t>
  </si>
  <si>
    <t>*Terminal à Pêche</t>
  </si>
  <si>
    <t>*Port de Commerce</t>
  </si>
  <si>
    <t xml:space="preserve">       - National</t>
  </si>
  <si>
    <t xml:space="preserve">       - Transit</t>
  </si>
  <si>
    <t xml:space="preserve">                    - Burkina Faso</t>
  </si>
  <si>
    <t xml:space="preserve">                   - Mali</t>
  </si>
  <si>
    <t xml:space="preserve">                   - Niger</t>
  </si>
  <si>
    <t xml:space="preserve">                   - Pays côtiers</t>
  </si>
  <si>
    <t>CLINKERS,GYPSE ET LAITIERS EN GRANULES</t>
  </si>
  <si>
    <t>RIZ VRAC,SAC ET CONDITIONNE</t>
  </si>
  <si>
    <t>BLE</t>
  </si>
  <si>
    <t>PRODUITS CHIM. ET MAT.PREM.CHIM.P.INDUST. LOCALES</t>
  </si>
  <si>
    <t>ENGRAIS ET MAT.PREM.POUR FABRICAT. D'ENGRAIS</t>
  </si>
  <si>
    <t>SUCRE, SEL,GLUCOSE ET MELASSE</t>
  </si>
  <si>
    <t>CARREAUX DE CERAMIQUE</t>
  </si>
  <si>
    <t>EMBALLAGES (MET. PAPIERS, BOUTEILLES…)</t>
  </si>
  <si>
    <t>BOBINES DE TOLE, FIL MACHINE</t>
  </si>
  <si>
    <t>MATIERES PLASTIQUES</t>
  </si>
  <si>
    <t>HUILE DE PALME EN VRAC</t>
  </si>
  <si>
    <t>FRUITS, LEGUMES ET TUBERCULES</t>
  </si>
  <si>
    <t>CHARCUTERIES FRAICHES</t>
  </si>
  <si>
    <t>RESINES SYNTHETIQUES</t>
  </si>
  <si>
    <t>INSECTICIDES AGRICOLES</t>
  </si>
  <si>
    <t>PRODUITS LAITIERS, ŒUFS</t>
  </si>
  <si>
    <t>CHAUX, PLATRE IMPORT</t>
  </si>
  <si>
    <t>CAMIONS</t>
  </si>
  <si>
    <t>PAPETERIE DIVERSE</t>
  </si>
  <si>
    <t>FILS DE FER EN ROULEAUX</t>
  </si>
  <si>
    <t>MALT EN SAC</t>
  </si>
  <si>
    <t>MACHINES-OUTILS</t>
  </si>
  <si>
    <t>ENGINS TRAVAUX PUBLICS</t>
  </si>
  <si>
    <t>VEHICULES DE TOURISME</t>
  </si>
  <si>
    <t>PNEUMATIQUES</t>
  </si>
  <si>
    <t>AUTRES MARCHANDISES</t>
  </si>
  <si>
    <t>MINERAIS DE MANGANESE</t>
  </si>
  <si>
    <t>CACAO EN FEVES</t>
  </si>
  <si>
    <t>CAOUTCHOUC BRUT ET LATEX</t>
  </si>
  <si>
    <t>NOIX DE CAJOU</t>
  </si>
  <si>
    <t>BANANE FRAICHE</t>
  </si>
  <si>
    <t>CACAO DERIVE</t>
  </si>
  <si>
    <t>COTON FIBRE, EGRENE ET GRAINE</t>
  </si>
  <si>
    <t>CAFE EN GRAINS</t>
  </si>
  <si>
    <t>BOIS DEBITES (CFA/M3)</t>
  </si>
  <si>
    <t>SON (ISSUES DE CEREALES EXPORT)</t>
  </si>
  <si>
    <t>CIMENT EXPORT</t>
  </si>
  <si>
    <t>NOIX DE COCO</t>
  </si>
  <si>
    <t>TOURTEAUX (PALMISTES)</t>
  </si>
  <si>
    <t>GRAINS ET BEURRE DE KARITE</t>
  </si>
  <si>
    <t>ANANAS FRAIS</t>
  </si>
  <si>
    <t>CONSERVE DE THON</t>
  </si>
  <si>
    <t>PRODUITS DE BEAUTE</t>
  </si>
  <si>
    <t>SAVON/MENAGE &amp; TOILETTE A L'EXP</t>
  </si>
  <si>
    <t>PLOMB</t>
  </si>
  <si>
    <t>CUBES MAGGI</t>
  </si>
  <si>
    <t>CHOCOLAT</t>
  </si>
  <si>
    <t>HUILES COMESTIBLES CONDITIONNEES</t>
  </si>
  <si>
    <t>COSMETIQUES</t>
  </si>
  <si>
    <t>QUINCAILLERIE</t>
  </si>
  <si>
    <t>CONCENTRES DE TOMATES</t>
  </si>
  <si>
    <t>VEHICULES UTILITAIRE</t>
  </si>
  <si>
    <t>BAGAGES PERSONNELS</t>
  </si>
  <si>
    <t>COUSCOUS (SEMOULE DE BLE)</t>
  </si>
  <si>
    <t xml:space="preserve">     IMPORTATIONS</t>
  </si>
  <si>
    <t xml:space="preserve">       Pétrole Brut </t>
  </si>
  <si>
    <t xml:space="preserve">       Produits pétroliers semi-fini</t>
  </si>
  <si>
    <t xml:space="preserve">       Produits pétroliers Raffinés </t>
  </si>
  <si>
    <t xml:space="preserve">                 dont : - Pétrole raffiné</t>
  </si>
  <si>
    <t xml:space="preserve">                          - Aut. dérivés de pétrole</t>
  </si>
  <si>
    <t xml:space="preserve">   EXPORTATIONS</t>
  </si>
  <si>
    <t xml:space="preserve">       Pétrole Brut</t>
  </si>
  <si>
    <t xml:space="preserve">           Dont Pétrole Brut Offshore</t>
  </si>
  <si>
    <t xml:space="preserve">         NATIONAL</t>
  </si>
  <si>
    <t xml:space="preserve">         TRANSIT</t>
  </si>
  <si>
    <t xml:space="preserve">              - Burkina Faso</t>
  </si>
  <si>
    <t xml:space="preserve">              - Mali</t>
  </si>
  <si>
    <t xml:space="preserve">              - Niger</t>
  </si>
  <si>
    <t xml:space="preserve">              - Pays Côtiers</t>
  </si>
  <si>
    <t xml:space="preserve">     EXPORTATIONS</t>
  </si>
  <si>
    <t xml:space="preserve">           Pétrole Brut </t>
  </si>
  <si>
    <t xml:space="preserve">           Produits pétroliers semi-fini</t>
  </si>
  <si>
    <t xml:space="preserve">           Produits pétroliers Raffinés </t>
  </si>
  <si>
    <t>III- TRAFIC PAR DESTINATION REALISE AU PORT D'ABIDJAN</t>
  </si>
  <si>
    <t xml:space="preserve">     - Produits de Pêche PC</t>
  </si>
  <si>
    <t xml:space="preserve">     - Produits de Pêche TP</t>
  </si>
  <si>
    <t xml:space="preserve">              - Pays cotiers</t>
  </si>
  <si>
    <t xml:space="preserve"> - BURKINA - FASO -</t>
  </si>
  <si>
    <t>MATERIEL DE FORAGE</t>
  </si>
  <si>
    <t>DERIVES DE PETROLE</t>
  </si>
  <si>
    <t>PRODUITS PHARMACEUTIQUES</t>
  </si>
  <si>
    <t>PATES ALIMENTAIRES</t>
  </si>
  <si>
    <t>VERRES A VITRES</t>
  </si>
  <si>
    <t xml:space="preserve">         PRODUITS PETROLIERS</t>
  </si>
  <si>
    <t xml:space="preserve">         MARCHANDISES GENERALES</t>
  </si>
  <si>
    <t xml:space="preserve">         PRODUITS DE PECHE</t>
  </si>
  <si>
    <t>SESAME</t>
  </si>
  <si>
    <t>FIL ECRU PUR COTON</t>
  </si>
  <si>
    <t>MOTEURS ELECTRIQUES</t>
  </si>
  <si>
    <t>PIECES DETACHEES MACHINES OUTILS</t>
  </si>
  <si>
    <t xml:space="preserve"> - MALI -</t>
  </si>
  <si>
    <t>DETERGENTS</t>
  </si>
  <si>
    <t>EPICERIE</t>
  </si>
  <si>
    <t>GOMME ARABIQUE</t>
  </si>
  <si>
    <t xml:space="preserve"> - NIGER -</t>
  </si>
  <si>
    <t>MUNITIONS</t>
  </si>
  <si>
    <t>GENERATRICES DE COURANT</t>
  </si>
  <si>
    <t xml:space="preserve"> - PAYS COTIERS -</t>
  </si>
  <si>
    <t>POISSONS CONGELES</t>
  </si>
  <si>
    <t>BATTERIES ELECTRIQUES</t>
  </si>
  <si>
    <t>IV- SYNTHESE TRAFIC GLOBAL REALISE AU PORT D'ABIDJAN</t>
  </si>
  <si>
    <t xml:space="preserve">        National</t>
  </si>
  <si>
    <t xml:space="preserve">                - Produits Pétroliers</t>
  </si>
  <si>
    <t xml:space="preserve">                - Marchandises Générales</t>
  </si>
  <si>
    <t xml:space="preserve">                - Produits de Pêche</t>
  </si>
  <si>
    <t xml:space="preserve">         Transbordement</t>
  </si>
  <si>
    <t xml:space="preserve">         Transit</t>
  </si>
  <si>
    <t xml:space="preserve">           *  Pays sans littoral</t>
  </si>
  <si>
    <t xml:space="preserve">           *  Pays côtiers</t>
  </si>
  <si>
    <t xml:space="preserve"> TRAFIC GLOBAL </t>
  </si>
  <si>
    <t>V- TRAFIC DES CONTENEURS REALISE AU PORT D'ABIDJAN</t>
  </si>
  <si>
    <t xml:space="preserve">        Pleins Non Transbordés</t>
  </si>
  <si>
    <t xml:space="preserve">        Pleins Transbordés</t>
  </si>
  <si>
    <t xml:space="preserve"> TOTAL TRAFIC </t>
  </si>
  <si>
    <t xml:space="preserve">         Vides non transbordés</t>
  </si>
  <si>
    <t xml:space="preserve">         Pleins non transbordés</t>
  </si>
  <si>
    <t xml:space="preserve">         Vides et Pleins transbordés</t>
  </si>
  <si>
    <t xml:space="preserve">  </t>
  </si>
  <si>
    <t>CONTENEURS VIDES</t>
  </si>
  <si>
    <t xml:space="preserve">          National</t>
  </si>
  <si>
    <t xml:space="preserve">          Transbordement</t>
  </si>
  <si>
    <t xml:space="preserve">          Transit</t>
  </si>
  <si>
    <t>CONTENEURS PLEINS</t>
  </si>
  <si>
    <t>TRAFIC ESCALES DE NAVIRES (En Nbre)</t>
  </si>
  <si>
    <t>TRAFICS</t>
  </si>
  <si>
    <t>Nombre total d'escales</t>
  </si>
  <si>
    <t>Port de Commerce</t>
  </si>
  <si>
    <t>Teu total</t>
  </si>
  <si>
    <t>Teu non transbordés</t>
  </si>
  <si>
    <t>Teu transbordés</t>
  </si>
  <si>
    <t>ESCALES NAVIRES</t>
  </si>
  <si>
    <t>Port de commerce</t>
  </si>
  <si>
    <t>Port de pêche</t>
  </si>
  <si>
    <t xml:space="preserve">part </t>
  </si>
  <si>
    <t>V° des parts</t>
  </si>
  <si>
    <t>V°</t>
  </si>
  <si>
    <t>V ° TRAFIC</t>
  </si>
  <si>
    <t>V ° ESCALES</t>
  </si>
  <si>
    <t>tonnage moyen/navire</t>
  </si>
  <si>
    <t>Conteneurs vides</t>
  </si>
  <si>
    <t>Conteneurs pleins</t>
  </si>
  <si>
    <t>Conteneurs transbordés</t>
  </si>
  <si>
    <t>Taux de conteneurisation</t>
  </si>
  <si>
    <t>Part</t>
  </si>
  <si>
    <t>part tonne</t>
  </si>
  <si>
    <t>Terminal à Pêche</t>
  </si>
  <si>
    <t>Variation 22/21 %</t>
  </si>
  <si>
    <r>
      <t xml:space="preserve">      </t>
    </r>
    <r>
      <rPr>
        <b/>
        <u/>
        <sz val="12"/>
        <rFont val="Times New Roman"/>
        <family val="1"/>
      </rPr>
      <t>PORT DE COMMERCE</t>
    </r>
  </si>
  <si>
    <r>
      <rPr>
        <b/>
        <sz val="12"/>
        <rFont val="Times New Roman"/>
        <family val="1"/>
      </rPr>
      <t xml:space="preserve">    </t>
    </r>
    <r>
      <rPr>
        <b/>
        <u/>
        <sz val="12"/>
        <rFont val="Times New Roman"/>
        <family val="1"/>
      </rPr>
      <t>TERMINAL A PECHE</t>
    </r>
  </si>
  <si>
    <t>A.TRAFIC NATIONAL ET TRANSIT MENSUEL REALISE AU PORT D'ABIDJAN</t>
  </si>
  <si>
    <r>
      <t xml:space="preserve">    </t>
    </r>
    <r>
      <rPr>
        <b/>
        <u/>
        <sz val="12"/>
        <rFont val="Times New Roman"/>
        <family val="1"/>
      </rPr>
      <t>IMPORTATIONS</t>
    </r>
  </si>
  <si>
    <r>
      <t xml:space="preserve">    </t>
    </r>
    <r>
      <rPr>
        <b/>
        <u/>
        <sz val="12"/>
        <rFont val="Times New Roman"/>
        <family val="1"/>
      </rPr>
      <t>EXPORTATIONS</t>
    </r>
  </si>
  <si>
    <t xml:space="preserve">                    - Port de Commerce</t>
  </si>
  <si>
    <t xml:space="preserve">                    - Terminal à Pêche</t>
  </si>
  <si>
    <t>A.2 - TRAFIC NATIONAL ET TRANSIT MENSUEL DES MARCHANDISES GENERALES REALISE AU PORT D'ABIDJAN</t>
  </si>
  <si>
    <t>APPAREILS ELECTROMENAGERS</t>
  </si>
  <si>
    <t>CONSERVES ALIMENTAIRES</t>
  </si>
  <si>
    <t>A.3 - TRAFIC NATIONAL ET TRANSIT DES PRODUITS PETROLIERS REALISE AU PORT D'ABIDJAN</t>
  </si>
  <si>
    <t>PEAUX BRUTES</t>
  </si>
  <si>
    <t>Trafic global</t>
  </si>
  <si>
    <t>Trafic du Terminal à Pêche</t>
  </si>
  <si>
    <t>Trafic du Burkina Faso</t>
  </si>
  <si>
    <t>Trafic du Mali</t>
  </si>
  <si>
    <t>Trafic global national</t>
  </si>
  <si>
    <t>Trafic global de transit</t>
  </si>
  <si>
    <t>TRAFIC NATIONAL</t>
  </si>
  <si>
    <t>TRAFIC DE TRANSIT</t>
  </si>
  <si>
    <t>Trafic national des produits de pêche</t>
  </si>
  <si>
    <t>Trafic national des produits pétroliers</t>
  </si>
  <si>
    <t>Trafic national des marchandises générales</t>
  </si>
  <si>
    <t>Différence entre le trafic global d'escales et le trafic d'escales du Port de Commerce.</t>
  </si>
  <si>
    <t>TARE</t>
  </si>
  <si>
    <t xml:space="preserve">        Tare</t>
  </si>
  <si>
    <t xml:space="preserve">          - Produits Pétroliers</t>
  </si>
  <si>
    <t xml:space="preserve">          - Marchandises Générales</t>
  </si>
  <si>
    <t xml:space="preserve">          - Produits de Pêche</t>
  </si>
  <si>
    <t>V- TRAFIC DES CONTENEURS REALISE AU PA</t>
  </si>
  <si>
    <t xml:space="preserve">        Transbordement</t>
  </si>
  <si>
    <t xml:space="preserve">        Transit</t>
  </si>
  <si>
    <t>Net</t>
  </si>
  <si>
    <t>Brut</t>
  </si>
  <si>
    <t>Escales TC2 (PC)</t>
  </si>
  <si>
    <t>Transbordement conteneurisé</t>
  </si>
  <si>
    <t>Transbordement non conteneurisé</t>
  </si>
  <si>
    <t>Idem que sans TC2.</t>
  </si>
  <si>
    <t>Somme des composantes.</t>
  </si>
  <si>
    <t>Somme des trafics nets national, de transit et de transbordement.</t>
  </si>
  <si>
    <t>Somme des trafics bruts national, de transit et de transbordement.</t>
  </si>
  <si>
    <t>Scénario de référence du PND</t>
  </si>
  <si>
    <t>Trafics prévisionnels 2022</t>
  </si>
  <si>
    <t>Scénario 1 du PND</t>
  </si>
  <si>
    <t>Scénario 2 du PND</t>
  </si>
  <si>
    <t>Trafic global de transbordement</t>
  </si>
  <si>
    <t>Trafic global de conteneurs</t>
  </si>
  <si>
    <t>Trafic global de navires</t>
  </si>
  <si>
    <t>DCAQ</t>
  </si>
  <si>
    <t>DECHETS DIVERS POUR FABRICATION D'EMBALLAGE</t>
  </si>
  <si>
    <t>MEDICAMENTS</t>
  </si>
  <si>
    <t>CABLES ELECTRIQUES</t>
  </si>
  <si>
    <t>MACHINES ELECTRONIQUES</t>
  </si>
  <si>
    <t>ROBINETTERIE</t>
  </si>
  <si>
    <t>SARDINES EN CONSERVE</t>
  </si>
  <si>
    <t>Trafics réalisés en 2021</t>
  </si>
  <si>
    <t>Trafics prévisionnels 2023</t>
  </si>
  <si>
    <t>Variation 23/22 %</t>
  </si>
  <si>
    <t>Hypothèses de trafics 2023</t>
  </si>
  <si>
    <t>Idem que sans TC2 en appliquant la structure à fin juin 2022.</t>
  </si>
  <si>
    <t>En 2022, trafic prévisionnel à fin octobre+1/6 de l'engagement de trafic de conteneurs transbordés en TEU de la 1ère année dans le BP du TC2 et en 2023, l'engagement de trafic de conteneurs transbordés en TEU de la 2ième année dans le BP du TC2.</t>
  </si>
  <si>
    <t>En 2022, trafic total prévisionnel sans TC2 à fin octobre+trafic prévisionel sans TC2 des conteneurs non transbordés en nov. et en déc. 2022+1/6 de l'engagement de trafic total de conteneurs en TEU de la 1ère année dans le BP du TC2. Somme des composantes en 2023.</t>
  </si>
  <si>
    <t>En 2022, trafic sans TC2+trafic net de conteneurs pleins transbordés+1/6 de la tare l'engagement de trafic des conteneurs pleins transbordés de la 1ère année du BP du TC2. En 2023, à partir de la prévision 2023 du trafic de transbordement conteneurisé net et de celui de la tare totale des conteneurs pleins transbordés.</t>
  </si>
  <si>
    <t>En 2022, part du trafic de transbordement conteneurisé dans le trafic total de transbordement+1/6 du trafic des conteneurs pleins transbordés de la 1ère année du BP du TC2 en considerant qu'un conteneur plein de 20 EVP contient en moyenne 14 tonnes de marchandises. En 2023, tout le transbordement conteneurisé se fait au TC2 en considérant qu'un conteneur plein de 20 EVP contient en moyenne 14 tonnes de marchandises.</t>
  </si>
  <si>
    <t>On a retenu en 2022 que le trafic des Porte-conteneurs dans le BP du TC2 au prorata de 1/6 en supposant que c'est seulement par ce type de navire que le transbordement conteneurisé se fait. Pour 2023, le trafic des Porte-conteneurs de la 2ième année du BP du TC2 a été utilisé.</t>
  </si>
  <si>
    <t>Différence en 2022 et en 2023, idem que sans TC2.</t>
  </si>
  <si>
    <t>Total/Moyenne</t>
  </si>
  <si>
    <t>Janv.</t>
  </si>
  <si>
    <t>Févr.</t>
  </si>
  <si>
    <t>Juil.</t>
  </si>
  <si>
    <t>Sept.</t>
  </si>
  <si>
    <t>Oct.</t>
  </si>
  <si>
    <t>Nov.</t>
  </si>
  <si>
    <t>Déc.</t>
  </si>
  <si>
    <t>moy</t>
  </si>
  <si>
    <t>Variation (réalisé/prévu)</t>
  </si>
  <si>
    <t>Sur la base du réalisé</t>
  </si>
  <si>
    <t>Correction des prévisions</t>
  </si>
  <si>
    <t>Prévision avec les coefficients saisonniers</t>
  </si>
  <si>
    <t>Trafic de l'exercice</t>
  </si>
  <si>
    <t>TRAFIC GLOBAL (En tonne)</t>
  </si>
  <si>
    <t>TRAFIC GLOBAL</t>
  </si>
  <si>
    <t>Trafic transit</t>
  </si>
  <si>
    <t>Trafic transbordement</t>
  </si>
  <si>
    <t>Trafic national</t>
  </si>
  <si>
    <t>TRAFIC NATIONAL (En tonne)</t>
  </si>
  <si>
    <t>TRAFIC TRANSIT (En tonne)</t>
  </si>
  <si>
    <t>TRAFIC TRANSBORDEMENT (En tonne)</t>
  </si>
  <si>
    <t xml:space="preserve">Trafic de l'exercice </t>
  </si>
  <si>
    <t>TRAFIC CONTENEURS (En TEU)</t>
  </si>
  <si>
    <t>TRAFIC CONTENEURS TRANSBORDES (En TEU)</t>
  </si>
  <si>
    <t>PREVISIONS</t>
  </si>
  <si>
    <t>Total</t>
  </si>
  <si>
    <t>MAQUEREAUX EN CONSERVE</t>
  </si>
  <si>
    <t>TOMATES EN CONSERVE</t>
  </si>
  <si>
    <t>CONSTRUCTIONS DEMONTABLES EN BO</t>
  </si>
  <si>
    <t>BISCUITS</t>
  </si>
  <si>
    <t>MACHINES A COUDRE ELECTRIQUE</t>
  </si>
  <si>
    <t>BACHES</t>
  </si>
  <si>
    <t>AGRAFEUSES A MAIN</t>
  </si>
  <si>
    <t>MINERAIS DE FER</t>
  </si>
  <si>
    <t>TUBES ACIER</t>
  </si>
  <si>
    <t>OBJETS DE COLLECTION</t>
  </si>
  <si>
    <t>I-/ Trafic des escales navires (en nombre)</t>
  </si>
  <si>
    <t>Prévision annuelle DEESP_DSPP</t>
  </si>
  <si>
    <t>Années</t>
  </si>
  <si>
    <t>Moyenne Annuelle</t>
  </si>
  <si>
    <t>Moyenne mensuelle</t>
  </si>
  <si>
    <t>Moyenne des moyennes</t>
  </si>
  <si>
    <t>Coef.</t>
  </si>
  <si>
    <t>II-/ Trafic global PA (en tonne)</t>
  </si>
  <si>
    <t>Objectif annuel DG</t>
  </si>
  <si>
    <t>III-/ Trafic national et transit des produits pétroliers (en tonne)</t>
  </si>
  <si>
    <t>Objectif annuel DEESP_DSPP</t>
  </si>
  <si>
    <t>IV-/ Trafic national et transit des marchandises générales (en tonne)</t>
  </si>
  <si>
    <r>
      <t>V-/Trafic</t>
    </r>
    <r>
      <rPr>
        <b/>
        <sz val="11"/>
        <color rgb="FFFF0000"/>
        <rFont val="Calibri"/>
        <family val="2"/>
        <scheme val="minor"/>
      </rPr>
      <t xml:space="preserve"> </t>
    </r>
    <r>
      <rPr>
        <b/>
        <sz val="11"/>
        <color theme="1"/>
        <rFont val="Calibri"/>
        <family val="2"/>
        <scheme val="minor"/>
      </rPr>
      <t>des produits de pêche sans le transbordement du Port de Commerce (en tonne)</t>
    </r>
  </si>
  <si>
    <t>GLOBAL</t>
  </si>
  <si>
    <t>PET</t>
  </si>
  <si>
    <t>MG</t>
  </si>
  <si>
    <t>PECHE</t>
  </si>
  <si>
    <t>NAT</t>
  </si>
  <si>
    <t>TRANSBO</t>
  </si>
  <si>
    <t>TRANSIT</t>
  </si>
  <si>
    <t>VI-/Trafic national (en tonne)</t>
  </si>
  <si>
    <t>VII-/ Trafic de transbordement (en tonne)</t>
  </si>
  <si>
    <t>Déduction</t>
  </si>
  <si>
    <t>VIII-/ Trafic de transit (en tonne)</t>
  </si>
  <si>
    <t>IX-/ Trafic total de conteneurs (en TEU)</t>
  </si>
  <si>
    <t>Prevision annuelle DEESP_DSPP</t>
  </si>
  <si>
    <t>X-/ Trafic de conteneurs transbordés (en TEU)</t>
  </si>
  <si>
    <t>Trafic conteneurs en tonne</t>
  </si>
  <si>
    <t>Trafic conteneurs en TEU</t>
  </si>
  <si>
    <t>Tonnage moyen de 2023+Moyenne de la variation absolue du tonnage moyen sur les deux dernières années</t>
  </si>
  <si>
    <t>Part de 2023 des escales du Port de Commerce dans le trafic global d'escales+Moyenne de la variation absolue de la part des escales du Port de Commerce dans le trafic global d'escales sur les trois dernières années.</t>
  </si>
  <si>
    <t>Trafic des produits de pêche sans le transbordement du PC</t>
  </si>
  <si>
    <t>Trafic national de marchandises générales</t>
  </si>
  <si>
    <t>Tafic national de produits pétroliers</t>
  </si>
  <si>
    <t>Trafic national de produits de pêche</t>
  </si>
  <si>
    <t>Engament de transb</t>
  </si>
  <si>
    <t>Taux de respect de l'engagement de transbo</t>
  </si>
  <si>
    <t>Trafic des produits pétroliers sans le transbordement du PC</t>
  </si>
  <si>
    <t>Moyenne sur les 3 dernières années</t>
  </si>
  <si>
    <t>Hypothèses de trafics 2024 et 2025</t>
  </si>
  <si>
    <t>Part de 2024 des escales du Port de Commerce dans le trafic global d'escales+Moyenne de la variation absolue de la part des escales du Port de Commerce dans le trafic global d'escales sur les trois dernières années.</t>
  </si>
  <si>
    <t>Tonnage moyen de 2024+Moyenne de la variation absolue du tonnage moyen sur les deux dernières années</t>
  </si>
  <si>
    <t xml:space="preserve">                                                                                                                             TRAFIC TOTAL MENSUEL DES NAVIRES  (en nombre) : EXERCICE </t>
  </si>
  <si>
    <t xml:space="preserve">                                                                                                       TRAFIC TOTAL MENSUEL DES ESCALES PAR TYPE DE NAVIRES (en nombre) : EXERCICE </t>
  </si>
  <si>
    <t>-</t>
  </si>
  <si>
    <t xml:space="preserve">                                                                                                                                                      TRAFIC GLOBAL MENSUEL  (en tonne) : EXERCICE </t>
  </si>
  <si>
    <t xml:space="preserve">                                                                                       TRAFIC NATIONAL ET TRANSIT MENSUEL PAR CATEGORIE DE PRODUITS  (en tonne) : EXERCICE </t>
  </si>
  <si>
    <t xml:space="preserve">                                                                                                           TRAFIC TOTAL MENSUEL DES PRODUITS DE PECHE DU TERMINAL A PECHE (en tonne) : EXERCICE </t>
  </si>
  <si>
    <t xml:space="preserve">                                                                                             TRAFIC NATIONAL ET TRANSIT MENSUEL DES PRODUITS DE PECHE DU PORT DE COMMERCE (en tonne) : EXERCICE </t>
  </si>
  <si>
    <t xml:space="preserve">                                                                    TRAFIC NATIONAL ET TRANSIT MENSUEL DES PRODUITS DE PECHE PAR BASSIN ET NATURE DE PRODUITS (en tonne) : EXERCICE </t>
  </si>
  <si>
    <t xml:space="preserve">                                                                      TRAFIC NATIONAL ET TRANSIT MENSUEL DES PRODUITS DE PECHE PAR NATURE DE PRODUITS (en tonne) : EXERCICE </t>
  </si>
  <si>
    <t xml:space="preserve">                                                                                                                    TRAFIC  NATIONAL ET TRANSIT MENSUEL DES PRODUITS DE PECHE PAR BASSIN (en tonne) : EXERCICE </t>
  </si>
  <si>
    <t xml:space="preserve">                                                                                      TRAFIC NATIONAL ET TRANSIT MENSUEL DES MARCHANDISES GENERALES PAR PAYS (en tonne) : EXERCICE </t>
  </si>
  <si>
    <t xml:space="preserve">                                                                                        TRAFIC TOTAL MENSUEL DE MARCHANDISES GENERALES NATIONALES (en tonne) : EXERCICE </t>
  </si>
  <si>
    <t xml:space="preserve">                                                                                                       TRAFIC MENSUEL DE MARCHANDISES GENERALES EN TRANSIT (en tonne) : EXERCICE </t>
  </si>
  <si>
    <t xml:space="preserve">                                                                                                      TRAFIC MENSUEL DE MARCHANDISES GENERALES PAR PRODUIT (en tonne) : EXERCICE </t>
  </si>
  <si>
    <t xml:space="preserve">                                                                                    TRAFIC  MENSUEL DES PRODUITS PETROLIERS PAR NATURE DE PRODUITS (en tonne) : EXERCICE </t>
  </si>
  <si>
    <t xml:space="preserve">                                                                                                                     TRAFIC MENSUEL DES PRODUITS PETROLIERS PAR PAYS (en tonne) : EXERCICE </t>
  </si>
  <si>
    <t xml:space="preserve">                                                                TRAFIC NATIONAL ET TRANSIT MENSUEL DES PRODUITS PETROLIERS PAR NATURE DE PRODUITS (en tonne) : EXERCICE </t>
  </si>
  <si>
    <t xml:space="preserve">                                                                                                 TRAFIC TOTAL MENSUEL NATIONAL PAR CATEGORIE DE PRODUITS (en tonne) : EXERCICE </t>
  </si>
  <si>
    <t xml:space="preserve">                                                                                                            TRAFIC TOTAL MENSUEL DE TRANSBORDEMENT PAR BASSIN (en tonne) : EXERCICE </t>
  </si>
  <si>
    <t xml:space="preserve">                                                                                                                                     TRAFIC TOTAL MENSUEL DU TRANSIT PAR PAYS (en tonne) : EXERCICE </t>
  </si>
  <si>
    <t xml:space="preserve">                                                                                                     TRAFIC TOTAL MENSUEL DE TRANSIT PAR NATURE DE PRODUITS (en tonne) : EXERCICE </t>
  </si>
  <si>
    <t xml:space="preserve">                                                                                              TRAFIC TOTAL MENSUEL DE TRANSIT PAR CATEGORIE DE PRODUITS (en tonne) : EXERCICE </t>
  </si>
  <si>
    <t xml:space="preserve">                                                                                                              TRAFIC TOTAL MENSUEL PAR DESTINATION ET CATEGORIE DE PRODUITS  (en tonne) : EXERCICE </t>
  </si>
  <si>
    <t xml:space="preserve">                                                                                                    TRAFIC TOTAL MENSUEL DES MARCHANDISES CONTENEURISEES (en tonne) : EXERCICE </t>
  </si>
  <si>
    <t xml:space="preserve">                                                     TRAFIC TOTAL MENSUEL DES MARCHANDISES CONTENEURISEES PAR DESTINATION ET CATEGORIE DE PRODUITS (en tonne) : EXERCICE </t>
  </si>
  <si>
    <t xml:space="preserve">                                                                                                                        TRAFIC TOTAL MENSUEL DES CONTENEURS (en TEU) : EXERCICE </t>
  </si>
  <si>
    <t xml:space="preserve">                                                                                                               TRAFIC TOTAL MENSUEL DE CONTENEURS PAR DESTINATION (en teu) : EXERCICE </t>
  </si>
  <si>
    <t xml:space="preserve">                                                                                      TRAFIC TOTAL MENSUEL DE CONTENEURS PAR DESTINATION ET PAR TYPE (en teu) : EXERCICE</t>
  </si>
  <si>
    <t xml:space="preserve">                  POIDS DE LA TARE DES CONTENEURS PAR DESTINATION (en tonne) : EXERCICE </t>
  </si>
  <si>
    <t xml:space="preserve">SITUATION A FIN </t>
  </si>
  <si>
    <t xml:space="preserve">                                         TRAFIC GLOBAL REALISE AU PA (en tonne) : EXERCICE </t>
  </si>
  <si>
    <t xml:space="preserve">TRAFIC GLOBAL PAR DESTINATION REALISE AU PA (en tonne) : EXERCICE </t>
  </si>
  <si>
    <t xml:space="preserve">TRAFIC TOTAL NATIONAL PAR GRANDE COMPOSANTE REALISE AU PA (en tonne) : EXERCICE </t>
  </si>
  <si>
    <t xml:space="preserve">                       TRAFIC TOTAL DE TRANSIT PAR PAYS REALISE AU PA (en tonne) : EXERCICE </t>
  </si>
  <si>
    <t xml:space="preserve">                   SYNTHESE DU TRAFIC GLOBAL PAR PAYS REALISE AU PA (en tonne) : EXERCICE </t>
  </si>
  <si>
    <t xml:space="preserve">                                    TRAFIC TOTAL DES CONTENEURS (en tonne) : EXERCICE </t>
  </si>
  <si>
    <t>VIN CONDITIONNE</t>
  </si>
  <si>
    <t>CUIVRE</t>
  </si>
  <si>
    <t>SAVONS</t>
  </si>
  <si>
    <t>TRACTEURS</t>
  </si>
  <si>
    <t>EXPLOSIFS CIVILS</t>
  </si>
  <si>
    <t>Prév. 2024</t>
  </si>
  <si>
    <t>nc</t>
  </si>
  <si>
    <t>nct</t>
  </si>
  <si>
    <t>tg</t>
  </si>
  <si>
    <t>constante(tc/ncp)</t>
  </si>
  <si>
    <t>jan</t>
  </si>
  <si>
    <t>feb</t>
  </si>
  <si>
    <t>mar</t>
  </si>
  <si>
    <t>apr</t>
  </si>
  <si>
    <t>may</t>
  </si>
  <si>
    <t>jun</t>
  </si>
  <si>
    <t>jul</t>
  </si>
  <si>
    <t>aug</t>
  </si>
  <si>
    <t>sep</t>
  </si>
  <si>
    <t>oct</t>
  </si>
  <si>
    <t>nov</t>
  </si>
  <si>
    <t>dec</t>
  </si>
  <si>
    <t>Trafics prévisionnels 2026</t>
  </si>
  <si>
    <t>Variation 26/25 %</t>
  </si>
  <si>
    <t>Tendance de 2024</t>
  </si>
  <si>
    <t>Teu  pleins transbordés</t>
  </si>
  <si>
    <t>Teu vides transbordés</t>
  </si>
  <si>
    <t>part TC</t>
  </si>
  <si>
    <t>part TNC</t>
  </si>
  <si>
    <t>plein</t>
  </si>
  <si>
    <t>vide</t>
  </si>
  <si>
    <t>Engagement transbo</t>
  </si>
  <si>
    <t>Part de 2024 des escales du Port de Commerce dans le trafic global d'escales+Moyenne de la variation absolue de la part des escales du Port de Commerce dans le trafic global d'escales sur les quatre dernières années.</t>
  </si>
  <si>
    <t xml:space="preserve"> Tendance des 2 dernières années</t>
  </si>
  <si>
    <t>Moyenne des parts dans le trafic net de transit du BF sur les 3 dernières années</t>
  </si>
  <si>
    <t>Moyenne des parts dans le trafic net de transit du Mali sur les 3 dernières années</t>
  </si>
  <si>
    <t>On fait les hypothèses que tout le transbordement conteneurisé se fait au TC2 à partir de 2023 et qu'un conteneur plein d'un EVP contient en moyenne 17 tonnes de marchandises, sachant qu'on a un engagement de 285882,352941176 EVP pleins transbordés dans le BP du TC2 la 2ième année et 308752,94117647 EVP pleins transbordés la 3ième année.</t>
  </si>
  <si>
    <t>Engagement de la 3ième année de trafic de conteneurs pleins transbordés en TEU dans le BP du TC2.</t>
  </si>
  <si>
    <t xml:space="preserve">1% de l'engagement de la 3ième année de trafic de conteneurs vides transbordés en TEU dans le BP du TC2. </t>
  </si>
  <si>
    <t>A partir des prévisions du trafic net global et de la tare totale des conteneurs</t>
  </si>
  <si>
    <t>A partir des prévisions du trafic net national et de la tare des conteneurs destinés au national.</t>
  </si>
  <si>
    <t>A partir des prévisions du trafic net de transit et de la tare des conteneurs destinés au transit.</t>
  </si>
  <si>
    <t>Moyenne sur les 2 dernières années</t>
  </si>
  <si>
    <t xml:space="preserve">A partir des prévisions du trafic net du Burkina Faso et de la tare des conteneurs destinés au Burkina Faso. </t>
  </si>
  <si>
    <t xml:space="preserve">A partir des prévisions du trafic net du Mali et de la tare des conteneurs destinés au Mali. </t>
  </si>
  <si>
    <t xml:space="preserve">A partir de la prévision du trafic de transbordement conteneurisé net et de celle de la tare totale des conteneurs pleins transbordés. </t>
  </si>
  <si>
    <t>Escale</t>
  </si>
  <si>
    <t>TG</t>
  </si>
  <si>
    <t>National</t>
  </si>
  <si>
    <t>Transbo</t>
  </si>
  <si>
    <t>Transit</t>
  </si>
  <si>
    <t>Moyenne sur les 4 dernières années</t>
  </si>
  <si>
    <t>Part sans  transbordé</t>
  </si>
  <si>
    <t>Disclaimer : les prévisions actualisées de 2024 et les projections de 2025 et de 2026 présentées ci-dessus ont été faites sur la base des données réalisées à fin mai 2024 et les annoncé op de Juin à Sept. Elles seront donc caduques en fin d’année 2024 lorsque nous aurons la totalité données réalisées de 2024. Nous aurons des prévisions plus fiables en fin d’année ; celles-ci sont donc à considérer comme provisoires.</t>
  </si>
  <si>
    <t>Modèle économétrique avec variables explicatives : dum1999, dum2003, dum2004, dum2005, dum2006, dum2009, dum2023, PIB CIV, PIB ML.</t>
  </si>
  <si>
    <t>Modèle économétrique avec variables explicatives : dum2003, dum2009, dum2010, dum2011, dum2012, dum2016, dum2018, dum2023, PIB ML</t>
  </si>
  <si>
    <t>Modèle économétrique avec variables explicatives : dum2010, dum2011, dum2012, dum2020, PIB CI</t>
  </si>
  <si>
    <t>constante(tct/ncpt)</t>
  </si>
  <si>
    <t>Annoncé DOMSE</t>
  </si>
  <si>
    <t>PART 2024</t>
  </si>
  <si>
    <t>REALISE FIN AOUT</t>
  </si>
  <si>
    <t>CNT PLEIN</t>
  </si>
  <si>
    <t>TRANSBO CONT</t>
  </si>
  <si>
    <t xml:space="preserve">TRANSBO  </t>
  </si>
  <si>
    <t>Conteneur vide Transbo</t>
  </si>
  <si>
    <t>Conteneur Plein Transbo</t>
  </si>
  <si>
    <t>Conteneur Transbo</t>
  </si>
  <si>
    <t>Part%</t>
  </si>
  <si>
    <t>fin Décembre 2024</t>
  </si>
  <si>
    <t>BUSINESS PLAN TC2</t>
  </si>
  <si>
    <t>TEU TRANSBO</t>
  </si>
  <si>
    <t xml:space="preserve">                      TRAFIC TOTAL  CONTENEURISES PAR DESTINATION (en tonne) : EXERCICE </t>
  </si>
  <si>
    <t>Réalisé 2025</t>
  </si>
  <si>
    <t>PART 2025</t>
  </si>
  <si>
    <t>Trafics prévisionnels 2027</t>
  </si>
  <si>
    <t>Variation 27/26 %</t>
  </si>
  <si>
    <t>TOLES, PROFILES</t>
  </si>
  <si>
    <t>MAIS</t>
  </si>
  <si>
    <t>MINERAIS DE BAUXITE</t>
  </si>
  <si>
    <t>HUILES DE PALMISTE</t>
  </si>
  <si>
    <t>POIS SECS</t>
  </si>
  <si>
    <t>PIECES DETACHEES ENGINS TRAV.PUBLIQUES</t>
  </si>
  <si>
    <t>MEUBLES</t>
  </si>
  <si>
    <t>POTEAUX METAL.SUPP.LIGNES ELECT</t>
  </si>
  <si>
    <t>BONBONS</t>
  </si>
  <si>
    <t>FRIPERIE</t>
  </si>
  <si>
    <t>CADRES POUR PHOTO</t>
  </si>
  <si>
    <t>ENGAGEMENT</t>
  </si>
  <si>
    <t>A partir de la part fin mai 2024 du trafic net national et transit des produits pétroliers dans le trafic global</t>
  </si>
  <si>
    <t>A partir de la part fin mai 2024 du trafic net national, transit et transbordement TP des produits de pêche dans le trafic global</t>
  </si>
  <si>
    <t>A partir de la part fin mai 2024 du transbordement conteneurisé appliqué au trafic dans le BP du TC2</t>
  </si>
  <si>
    <t>AMANDE DE CAJOU</t>
  </si>
  <si>
    <t>THE</t>
  </si>
  <si>
    <t>FILS DE FER GALVANISES</t>
  </si>
  <si>
    <t>MINERAIS DE LITHIUM</t>
  </si>
  <si>
    <t>ALTERNATEURS</t>
  </si>
  <si>
    <t>ZINC ET MINERAIS DE ZINC</t>
  </si>
  <si>
    <t>HUILES ESSENTIELLES</t>
  </si>
  <si>
    <t>MATERIEL ELECTRIQUE</t>
  </si>
  <si>
    <t>SERVICE EN PORCELAINE</t>
  </si>
  <si>
    <t>TRANSFORMATEURS</t>
  </si>
  <si>
    <t>Réalisé 2026</t>
  </si>
  <si>
    <t>Variation 2026/2025</t>
  </si>
  <si>
    <t>Coefficients saisonniers 2026</t>
  </si>
  <si>
    <t>Prévision 2026</t>
  </si>
  <si>
    <t>Trafics réalisés en 2025</t>
  </si>
  <si>
    <t>SEMOULE VRAC,SAC</t>
  </si>
  <si>
    <t>OUTILLAGE A MAIN</t>
  </si>
  <si>
    <t>CHAUSSURES</t>
  </si>
  <si>
    <t>GRILLAGES METALLIQUES</t>
  </si>
  <si>
    <t>COCO RAPE</t>
  </si>
  <si>
    <t>MATERIEL DE LABORATOIRE</t>
  </si>
  <si>
    <t>ROULEAUX COMPRESSEURS</t>
  </si>
  <si>
    <t>APPAREILS SANITAIRES</t>
  </si>
  <si>
    <t>VERRERIE</t>
  </si>
  <si>
    <t>APPAREILLAGE DE SPORT</t>
  </si>
  <si>
    <t>CONFISERIE</t>
  </si>
  <si>
    <t>Var. %      2025 / 2024</t>
  </si>
  <si>
    <t>DECEMBRE</t>
  </si>
  <si>
    <t/>
  </si>
  <si>
    <t>TRAFIC TOTAL MENSUEL DES NAVIRES  (en nombre) : EXERCICE 2026</t>
  </si>
  <si>
    <t>TRAFIC TOTAL MENSUEL DES ESCALES PAR TYPE DE NAVIRES (en nombre) : EXERCICE 2026</t>
  </si>
  <si>
    <t>TRAFIC GLOBAL MENSUEL  (en tonne) : EXERCICE 2026</t>
  </si>
  <si>
    <t>TRAFIC NATIONAL ET TRANSIT MENSUEL PAR CATEGORIE DE PRODUITS  (en tonne) : EXERCICE 2026</t>
  </si>
  <si>
    <t xml:space="preserve"> TRAFIC TOTAL MENSUEL DES PRODUITS DE PECHE DU TERMINAL A PECHE (en tonne) : EXERCICE 2026</t>
  </si>
  <si>
    <t xml:space="preserve"> TRAFIC NATIONAL ET TRANSIT MENSUEL DES PRODUITS DE PECHE DU PORT DE COMMERCE (en tonne) : EXERCICE 2026</t>
  </si>
  <si>
    <t xml:space="preserve"> TRAFIC NATIONAL ET TRANSIT MENSUEL DES PRODUITS DE PECHE PAR BASSIN ET NATURE DE PRODUITS (en tonne) : EXERCICE 2026</t>
  </si>
  <si>
    <t>TRAFIC NATIONAL ET TRANSIT MENSUEL DES PRODUITS DE PECHE PAR NATURE DE PRODUITS (en tonne) : EXERCICE 2026</t>
  </si>
  <si>
    <t xml:space="preserve"> TRAFIC  NATIONAL ET TRANSIT MENSUEL DES PRODUITS DE PECHE PAR BASSIN (en tonne) : EXERCICE 2026</t>
  </si>
  <si>
    <t>TRAFIC NATIONAL ET TRANSIT MENSUEL DES MARCHANDISES GENERALES PAR PAYS (en tonne) : EXERCICE 2026</t>
  </si>
  <si>
    <t>TRAFIC TOTAL MENSUEL DE MARCHANDISES GENERALES NATIONALES (en tonne) : EXERCICE 2026</t>
  </si>
  <si>
    <t>TRAFIC MENSUEL DE MARCHANDISES GENERALES EN TRANSIT (en tonne) : EXERCICE 2026</t>
  </si>
  <si>
    <t>TRAFIC MENSUEL DE MARCHANDISES GENERALES PAR PRODUIT (en tonne) : EXERCICE 2026</t>
  </si>
  <si>
    <t>TRAFIC  MENSUEL DES PRODUITS PETROLIERS PAR NATURE DE PRODUITS (en tonne) : EXERCICE 2026</t>
  </si>
  <si>
    <t>TRAFIC MENSUEL DES PRODUITS PETROLIERS PAR PAYS (en tonne) : EXERCICE 2026</t>
  </si>
  <si>
    <t>TRAFIC NATIONAL ET TRANSIT MENSUEL DES PRODUITS PETROLIERS PAR NATURE DE PRODUITS (en tonne) : EXERCICE 2026</t>
  </si>
  <si>
    <t>TRAFIC TOTAL MENSUEL NATIONAL PAR CATEGORIE DE PRODUITS (en tonne) : EXERCICE 2026</t>
  </si>
  <si>
    <t>TRAFIC TOTAL MENSUEL DE TRANSBORDEMENT PAR BASSIN (en tonne) : EXERCICE 2026</t>
  </si>
  <si>
    <t>TRAFIC TOTAL MENSUEL DU TRANSIT PAR PAYS (en tonne) : EXERCICE 2026</t>
  </si>
  <si>
    <t xml:space="preserve">  TRAFIC TOTAL MENSUEL DE TRANSIT PAR NATURE DE PRODUITS (en tonne) : EXERCICE 2026</t>
  </si>
  <si>
    <t xml:space="preserve">  TRAFIC TOTAL MENSUEL DE TRANSIT PAR CATEGORIE DE PRODUITS (en tonne) : EXERCICE 2026</t>
  </si>
  <si>
    <t>TRAFIC TOTAL MENSUEL PAR DESTINATION ET CATEGORIE DE PRODUITS  (en tonne) : EXERCICE 2026</t>
  </si>
  <si>
    <t>TRAFIC TOTAL MENSUEL DES MARCHANDISES CONTENEURISEES (en tonne) : EXERCICE 2026</t>
  </si>
  <si>
    <t>TRAFIC TOTAL MENSUEL DES MARCHANDISES CONTENEURISEES PAR DESTINATION ET CATEGORIE DE PRODUITS (en tonne) : EXERCICE 2026</t>
  </si>
  <si>
    <t>TRAFIC TOTAL MENSUEL DES CONTENEURS (en TEU) : EXERCICE 2026</t>
  </si>
  <si>
    <t>TRAFIC TOTAL MENSUEL DE CONTENEURS PAR DESTINATION (en teu) : EXERCICE 2026</t>
  </si>
  <si>
    <t>TRAFIC TOTAL MENSUEL DE CONTENEURS PAR DESTINATION ET PAR TYPE (en teu) : EXERCICE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</si>
</sst>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41" formatCode="_-* #,##0\ _C_F_A_-;\-* #,##0\ _C_F_A_-;_-* &quot;-&quot;\ _C_F_A_-;_-@_-"/>
    <numFmt numFmtId="164" formatCode="_-* #,##0_-;\-* #,##0_-;_-* &quot;-&quot;_-;_-@_-"/>
    <numFmt numFmtId="165" formatCode="_-* #,##0.00_-;\-* #,##0.00_-;_-* &quot;-&quot;??_-;_-@_-"/>
    <numFmt numFmtId="166" formatCode="_ * #,##0.00_)_ ;_ * \(#,##0.00\)_ ;_ * &quot;-&quot;??_)_ ;_ @_ "/>
    <numFmt numFmtId="167" formatCode="_-* #,##0.00\ _€_-;\-* #,##0.00\ _€_-;_-* &quot;-&quot;??\ _€_-;_-@_-"/>
    <numFmt numFmtId="168" formatCode="_-* #,##0\ _€_-;\-* #,##0\ _€_-;_-* &quot;-&quot;??\ _€_-;_-@_-"/>
    <numFmt numFmtId="169" formatCode="_-* #,##0.00\ [$€]_-;\-* #,##0.00\ [$€]_-;_-* &quot;-&quot;??\ [$€]_-;_-@_-"/>
    <numFmt numFmtId="170" formatCode="_(* #,##0.00_);_(* \(#,##0.00\);_(* &quot;-&quot;??_);_(@_)"/>
    <numFmt numFmtId="171" formatCode="General_)"/>
    <numFmt numFmtId="172" formatCode="#,##0.0"/>
    <numFmt numFmtId="173" formatCode="0.00_)"/>
    <numFmt numFmtId="174" formatCode="0_)"/>
    <numFmt numFmtId="175" formatCode="0.0"/>
    <numFmt numFmtId="176" formatCode="0.0%"/>
    <numFmt numFmtId="177" formatCode="_-* #,##0.00\ _F_-;\-* #,##0.00\ _F_-;_-* &quot;-&quot;??\ _F_-;_-@_-"/>
    <numFmt numFmtId="178" formatCode="_ * #,##0_)\ _€_ ;_ * \(#,##0\)\ _€_ ;_ * &quot;-&quot;??_)\ _€_ ;_ @_ "/>
    <numFmt numFmtId="179" formatCode="0.000"/>
    <numFmt numFmtId="180" formatCode="#,##0.000"/>
    <numFmt numFmtId="181" formatCode="0.0000000%"/>
    <numFmt numFmtId="182" formatCode="0.000000%"/>
    <numFmt numFmtId="183" formatCode="_-* #,##0\ [$€]_-;\-* #,##0\ [$€]_-;_-* &quot;-&quot;??\ [$€]_-;_-@_-"/>
    <numFmt numFmtId="184" formatCode="#,##0.000_ ;\-#,##0.000\ "/>
    <numFmt numFmtId="185" formatCode="#,##0.00_ ;\-#,##0.00\ "/>
    <numFmt numFmtId="186" formatCode="#,##0_ ;\-#,##0\ "/>
    <numFmt numFmtId="187" formatCode="[$-1040C]#,##0;\-#,##0"/>
    <numFmt numFmtId="188" formatCode="_-* #,##0.0000000_-;\-* #,##0.0000000_-;_-* &quot;-&quot;_-;_-@_-"/>
    <numFmt numFmtId="189" formatCode="_-* #,##0.000\ _€_-;\-* #,##0.000\ _€_-;_-* &quot;-&quot;??\ _€_-;_-@_-"/>
  </numFmts>
  <fonts count="111" x14ac:knownFonts="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sz val="12"/>
      <name val="Arial"/>
      <family val="2"/>
    </font>
    <font>
      <sz val="12"/>
      <name val="Times New Roman"/>
      <family val="1"/>
    </font>
    <font>
      <b/>
      <sz val="12"/>
      <name val="Arial"/>
      <family val="2"/>
    </font>
    <font>
      <sz val="12"/>
      <name val="Helv"/>
    </font>
    <font>
      <b/>
      <sz val="12"/>
      <name val="Times New Roman"/>
      <family val="1"/>
    </font>
    <font>
      <sz val="12"/>
      <color theme="1"/>
      <name val="Arial"/>
      <family val="2"/>
    </font>
    <font>
      <sz val="12"/>
      <color rgb="FFFF0000"/>
      <name val="Arial"/>
      <family val="2"/>
    </font>
    <font>
      <sz val="11"/>
      <color rgb="FF000000"/>
      <name val="Calibri"/>
      <family val="2"/>
      <scheme val="minor"/>
    </font>
    <font>
      <sz val="10"/>
      <name val="Times New Roman"/>
      <family val="1"/>
    </font>
    <font>
      <b/>
      <sz val="12"/>
      <color theme="1"/>
      <name val="Times New Roman"/>
      <family val="1"/>
    </font>
    <font>
      <b/>
      <sz val="12"/>
      <color theme="1"/>
      <name val="Arial"/>
      <family val="2"/>
    </font>
    <font>
      <sz val="12"/>
      <color rgb="FF00B0F0"/>
      <name val="Times New Roman"/>
      <family val="1"/>
    </font>
    <font>
      <i/>
      <sz val="12"/>
      <color theme="1"/>
      <name val="Arial"/>
      <family val="2"/>
    </font>
    <font>
      <i/>
      <sz val="12"/>
      <name val="Arial"/>
      <family val="2"/>
    </font>
    <font>
      <i/>
      <sz val="12"/>
      <color rgb="FFFF0000"/>
      <name val="Arial"/>
      <family val="2"/>
    </font>
    <font>
      <sz val="12"/>
      <color theme="1"/>
      <name val="Times New Roman"/>
      <family val="1"/>
    </font>
    <font>
      <b/>
      <i/>
      <sz val="12"/>
      <name val="Arial"/>
      <family val="2"/>
    </font>
    <font>
      <b/>
      <sz val="12"/>
      <color indexed="8"/>
      <name val="Times New Roman"/>
      <family val="1"/>
    </font>
    <font>
      <b/>
      <u/>
      <sz val="12"/>
      <color indexed="8"/>
      <name val="Times New Roman"/>
      <family val="1"/>
    </font>
    <font>
      <b/>
      <i/>
      <sz val="12"/>
      <color theme="1"/>
      <name val="Arial"/>
      <family val="2"/>
    </font>
    <font>
      <sz val="12"/>
      <color theme="4"/>
      <name val="Times New Roman"/>
      <family val="1"/>
    </font>
    <font>
      <i/>
      <sz val="12"/>
      <color rgb="FF00B0F0"/>
      <name val="Times New Roman"/>
      <family val="1"/>
    </font>
    <font>
      <i/>
      <sz val="12"/>
      <color rgb="FF00B050"/>
      <name val="Arial"/>
      <family val="2"/>
    </font>
    <font>
      <i/>
      <sz val="12"/>
      <name val="Times New Roman"/>
      <family val="1"/>
    </font>
    <font>
      <b/>
      <sz val="12"/>
      <color rgb="FFFF0000"/>
      <name val="Times New Roman"/>
      <family val="1"/>
    </font>
    <font>
      <b/>
      <sz val="11"/>
      <color rgb="FFFF0000"/>
      <name val="Calibri"/>
      <family val="2"/>
      <scheme val="minor"/>
    </font>
    <font>
      <b/>
      <sz val="14"/>
      <color theme="1"/>
      <name val="Times New Roman"/>
      <family val="1"/>
    </font>
    <font>
      <sz val="11"/>
      <color theme="1"/>
      <name val="Times New Roman"/>
      <family val="1"/>
    </font>
    <font>
      <b/>
      <sz val="14"/>
      <name val="Times New Roman"/>
      <family val="1"/>
    </font>
    <font>
      <sz val="11"/>
      <name val="Calibri"/>
      <family val="2"/>
      <scheme val="minor"/>
    </font>
    <font>
      <b/>
      <sz val="14"/>
      <color rgb="FF000000"/>
      <name val="Trebuchet MS"/>
      <family val="2"/>
    </font>
    <font>
      <sz val="14"/>
      <color rgb="FF000000"/>
      <name val="Trebuchet MS"/>
      <family val="2"/>
    </font>
    <font>
      <sz val="11"/>
      <color rgb="FF000000"/>
      <name val="Calibri"/>
      <family val="2"/>
    </font>
    <font>
      <sz val="11"/>
      <color rgb="FF000000"/>
      <name val="Times New Roman"/>
      <family val="1"/>
    </font>
    <font>
      <b/>
      <sz val="14"/>
      <color rgb="FF000000"/>
      <name val="Times New Roman"/>
      <family val="1"/>
    </font>
    <font>
      <b/>
      <sz val="14"/>
      <color rgb="FFFF0000"/>
      <name val="Times New Roman"/>
      <family val="1"/>
    </font>
    <font>
      <sz val="11"/>
      <name val="Calibri"/>
      <family val="2"/>
    </font>
    <font>
      <b/>
      <sz val="11"/>
      <color rgb="FFFF0000"/>
      <name val="Calibri"/>
      <family val="2"/>
    </font>
    <font>
      <sz val="11"/>
      <color rgb="FFFF0000"/>
      <name val="Calibri"/>
      <family val="2"/>
    </font>
    <font>
      <sz val="11"/>
      <color theme="1"/>
      <name val="Calibri"/>
      <family val="2"/>
    </font>
    <font>
      <b/>
      <sz val="11"/>
      <color rgb="FF000000"/>
      <name val="Calibri"/>
      <family val="2"/>
    </font>
    <font>
      <b/>
      <sz val="11"/>
      <name val="Calibri"/>
      <family val="2"/>
    </font>
    <font>
      <b/>
      <sz val="11"/>
      <color rgb="FF595959"/>
      <name val="Calibri"/>
      <family val="2"/>
    </font>
    <font>
      <sz val="9"/>
      <color rgb="FF000000"/>
      <name val="Tahoma"/>
      <family val="2"/>
    </font>
    <font>
      <b/>
      <sz val="11"/>
      <name val="Calibri"/>
      <family val="2"/>
      <scheme val="minor"/>
    </font>
    <font>
      <sz val="11"/>
      <color theme="1"/>
      <name val="Times New Roman"/>
      <family val="2"/>
    </font>
    <font>
      <sz val="11"/>
      <color rgb="FFFF0000"/>
      <name val="Times New Roman"/>
      <family val="1"/>
    </font>
    <font>
      <sz val="12"/>
      <color rgb="FFFF0000"/>
      <name val="Times New Roman"/>
      <family val="1"/>
    </font>
    <font>
      <b/>
      <u/>
      <sz val="12"/>
      <name val="Times New Roman"/>
      <family val="1"/>
    </font>
    <font>
      <sz val="12"/>
      <color indexed="8"/>
      <name val="Times New Roman"/>
      <family val="1"/>
    </font>
    <font>
      <sz val="12"/>
      <color theme="8"/>
      <name val="Times New Roman"/>
      <family val="1"/>
    </font>
    <font>
      <sz val="12"/>
      <color rgb="FF00B050"/>
      <name val="Times New Roman"/>
      <family val="1"/>
    </font>
    <font>
      <b/>
      <u/>
      <sz val="12"/>
      <color theme="1"/>
      <name val="Times New Roman"/>
      <family val="1"/>
    </font>
    <font>
      <b/>
      <u/>
      <sz val="12"/>
      <color rgb="FF00B050"/>
      <name val="Times New Roman"/>
      <family val="1"/>
    </font>
    <font>
      <i/>
      <sz val="12"/>
      <color theme="1"/>
      <name val="Times New Roman"/>
      <family val="1"/>
    </font>
    <font>
      <b/>
      <i/>
      <sz val="12"/>
      <name val="Times New Roman"/>
      <family val="1"/>
    </font>
    <font>
      <i/>
      <sz val="12"/>
      <color theme="4"/>
      <name val="Times New Roman"/>
      <family val="1"/>
    </font>
    <font>
      <b/>
      <sz val="12"/>
      <color rgb="FF00B0F0"/>
      <name val="Times New Roman"/>
      <family val="1"/>
    </font>
    <font>
      <b/>
      <sz val="12"/>
      <color theme="8"/>
      <name val="Times New Roman"/>
      <family val="1"/>
    </font>
    <font>
      <i/>
      <sz val="12"/>
      <color rgb="FF00B050"/>
      <name val="Times New Roman"/>
      <family val="1"/>
    </font>
    <font>
      <b/>
      <sz val="12"/>
      <color theme="4"/>
      <name val="Times New Roman"/>
      <family val="1"/>
    </font>
    <font>
      <b/>
      <u/>
      <sz val="12"/>
      <color rgb="FF00B0F0"/>
      <name val="Times New Roman"/>
      <family val="1"/>
    </font>
    <font>
      <b/>
      <i/>
      <sz val="12"/>
      <color theme="1"/>
      <name val="Times New Roman"/>
      <family val="1"/>
    </font>
    <font>
      <b/>
      <i/>
      <sz val="12"/>
      <color theme="4" tint="-0.249977111117893"/>
      <name val="Times New Roman"/>
      <family val="1"/>
    </font>
    <font>
      <b/>
      <i/>
      <u/>
      <sz val="12"/>
      <color theme="1"/>
      <name val="Times New Roman"/>
      <family val="1"/>
    </font>
    <font>
      <u/>
      <sz val="12"/>
      <color theme="1"/>
      <name val="Times New Roman"/>
      <family val="1"/>
    </font>
    <font>
      <b/>
      <sz val="12"/>
      <color indexed="8"/>
      <name val="Arial"/>
      <family val="2"/>
    </font>
    <font>
      <sz val="8"/>
      <name val="Calibri"/>
      <family val="2"/>
      <scheme val="minor"/>
    </font>
    <font>
      <b/>
      <sz val="11"/>
      <color theme="0"/>
      <name val="Calibri"/>
      <family val="2"/>
    </font>
    <font>
      <sz val="11"/>
      <color rgb="FFFF0000"/>
      <name val="Calibri"/>
      <family val="2"/>
      <scheme val="minor"/>
    </font>
    <font>
      <b/>
      <sz val="11"/>
      <color rgb="FFFFC000"/>
      <name val="Calibri"/>
      <family val="2"/>
      <scheme val="minor"/>
    </font>
    <font>
      <b/>
      <sz val="14"/>
      <color rgb="FF595959"/>
      <name val="Arial"/>
      <family val="2"/>
    </font>
    <font>
      <b/>
      <sz val="10"/>
      <color rgb="FFFF0000"/>
      <name val="Arial"/>
      <family val="2"/>
    </font>
    <font>
      <b/>
      <sz val="9"/>
      <name val="Arial"/>
      <family val="2"/>
    </font>
    <font>
      <b/>
      <sz val="10"/>
      <color theme="1"/>
      <name val="Calibri"/>
      <family val="2"/>
      <scheme val="minor"/>
    </font>
    <font>
      <sz val="10"/>
      <name val="Calibri"/>
      <family val="2"/>
      <scheme val="minor"/>
    </font>
    <font>
      <sz val="10"/>
      <color theme="1"/>
      <name val="Calibri"/>
      <family val="2"/>
      <scheme val="minor"/>
    </font>
    <font>
      <b/>
      <sz val="10"/>
      <name val="Calibri"/>
      <family val="2"/>
      <scheme val="minor"/>
    </font>
    <font>
      <b/>
      <sz val="9"/>
      <color theme="1"/>
      <name val="Calibri"/>
      <family val="2"/>
      <scheme val="minor"/>
    </font>
    <font>
      <b/>
      <sz val="8"/>
      <name val="Arial"/>
      <family val="2"/>
    </font>
    <font>
      <b/>
      <sz val="10"/>
      <name val="Arial"/>
      <family val="2"/>
    </font>
    <font>
      <b/>
      <sz val="10"/>
      <color rgb="FFFF0000"/>
      <name val="Calibri"/>
      <family val="2"/>
      <scheme val="minor"/>
    </font>
    <font>
      <b/>
      <sz val="12"/>
      <color rgb="FFFF0000"/>
      <name val="Arial"/>
      <family val="2"/>
    </font>
    <font>
      <sz val="12"/>
      <color rgb="FF222222"/>
      <name val="Trebuchet MS"/>
      <family val="2"/>
    </font>
    <font>
      <sz val="9"/>
      <color indexed="81"/>
      <name val="Tahoma"/>
      <family val="2"/>
    </font>
    <font>
      <b/>
      <sz val="9"/>
      <color indexed="81"/>
      <name val="Tahoma"/>
      <family val="2"/>
    </font>
    <font>
      <sz val="12"/>
      <color theme="0" tint="-0.34998626667073579"/>
      <name val="Times New Roman"/>
      <family val="1"/>
    </font>
    <font>
      <b/>
      <sz val="12"/>
      <color rgb="FF0070C0"/>
      <name val="Times New Roman"/>
      <family val="1"/>
    </font>
    <font>
      <b/>
      <sz val="11"/>
      <name val="Times New Roman"/>
      <family val="1"/>
    </font>
    <font>
      <b/>
      <sz val="14"/>
      <color theme="1"/>
      <name val="Calibri"/>
      <family val="2"/>
      <scheme val="minor"/>
    </font>
    <font>
      <b/>
      <sz val="14"/>
      <color rgb="FFFF0000"/>
      <name val="Trebuchet MS"/>
      <family val="2"/>
    </font>
    <font>
      <b/>
      <sz val="14"/>
      <color theme="5"/>
      <name val="Calibri"/>
      <family val="2"/>
      <scheme val="minor"/>
    </font>
    <font>
      <b/>
      <sz val="12"/>
      <color theme="5"/>
      <name val="Arial"/>
      <family val="2"/>
    </font>
    <font>
      <sz val="12"/>
      <color theme="1"/>
      <name val="Calibri"/>
      <family val="2"/>
      <scheme val="minor"/>
    </font>
    <font>
      <b/>
      <sz val="14"/>
      <color rgb="FF00B050"/>
      <name val="Trebuchet MS"/>
      <family val="2"/>
    </font>
    <font>
      <sz val="11"/>
      <color theme="5"/>
      <name val="Calibri"/>
      <family val="2"/>
      <scheme val="minor"/>
    </font>
    <font>
      <sz val="11"/>
      <color theme="0"/>
      <name val="Times New Roman"/>
      <family val="1"/>
    </font>
    <font>
      <sz val="11"/>
      <color theme="0" tint="-4.9989318521683403E-2"/>
      <name val="Calibri"/>
      <family val="2"/>
      <scheme val="minor"/>
    </font>
    <font>
      <sz val="12"/>
      <color theme="9"/>
      <name val="Times New Roman"/>
      <family val="1"/>
    </font>
    <font>
      <sz val="12"/>
      <color rgb="FFC00000"/>
      <name val="Times New Roman"/>
      <family val="1"/>
    </font>
    <font>
      <b/>
      <i/>
      <sz val="12"/>
      <color rgb="FFC00000"/>
      <name val="Times New Roman"/>
      <family val="1"/>
    </font>
    <font>
      <i/>
      <sz val="12"/>
      <color rgb="FFFF0000"/>
      <name val="Times New Roman"/>
      <family val="1"/>
    </font>
    <font>
      <b/>
      <i/>
      <sz val="12"/>
      <color rgb="FF00B0F0"/>
      <name val="Times New Roman"/>
      <family val="1"/>
    </font>
    <font>
      <sz val="12"/>
      <color rgb="FF7030A0"/>
      <name val="Times New Roman"/>
      <family val="1"/>
    </font>
    <font>
      <b/>
      <sz val="12"/>
      <color rgb="FF7030A0"/>
      <name val="Times New Roman"/>
      <family val="1"/>
    </font>
    <font>
      <i/>
      <sz val="12"/>
      <color rgb="FFC00000"/>
      <name val="Times New Roman"/>
      <family val="1"/>
    </font>
    <font>
      <b/>
      <sz val="12"/>
      <color rgb="FFC00000"/>
      <name val="Times New Roman"/>
      <family val="1"/>
    </font>
  </fonts>
  <fills count="22">
    <fill>
      <patternFill patternType="none"/>
    </fill>
    <fill>
      <patternFill patternType="gray125"/>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indexed="9"/>
        <bgColor indexed="64"/>
      </patternFill>
    </fill>
    <fill>
      <patternFill patternType="solid">
        <fgColor theme="0" tint="-0.249977111117893"/>
        <bgColor indexed="64"/>
      </patternFill>
    </fill>
    <fill>
      <patternFill patternType="solid">
        <fgColor rgb="FFE2EFDA"/>
        <bgColor indexed="64"/>
      </patternFill>
    </fill>
    <fill>
      <patternFill patternType="solid">
        <fgColor rgb="FFDDEBF7"/>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0" tint="-0.14999847407452621"/>
        <bgColor indexed="64"/>
      </patternFill>
    </fill>
    <fill>
      <patternFill patternType="solid">
        <fgColor theme="9"/>
        <bgColor indexed="64"/>
      </patternFill>
    </fill>
    <fill>
      <patternFill patternType="solid">
        <fgColor theme="5" tint="0.79998168889431442"/>
        <bgColor indexed="64"/>
      </patternFill>
    </fill>
    <fill>
      <patternFill patternType="solid">
        <fgColor theme="9" tint="0.39997558519241921"/>
        <bgColor indexed="64"/>
      </patternFill>
    </fill>
    <fill>
      <patternFill patternType="solid">
        <fgColor theme="3" tint="0.59999389629810485"/>
        <bgColor indexed="64"/>
      </patternFill>
    </fill>
    <fill>
      <patternFill patternType="solid">
        <fgColor theme="4"/>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1"/>
        <bgColor indexed="64"/>
      </patternFill>
    </fill>
    <fill>
      <patternFill patternType="solid">
        <fgColor rgb="FF92D050"/>
        <bgColor indexed="64"/>
      </patternFill>
    </fill>
  </fills>
  <borders count="102">
    <border>
      <left/>
      <right/>
      <top/>
      <bottom/>
      <diagonal/>
    </border>
    <border>
      <left style="thin">
        <color auto="1"/>
      </left>
      <right style="thin">
        <color auto="1"/>
      </right>
      <top style="thin">
        <color auto="1"/>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auto="1"/>
      </left>
      <right/>
      <top/>
      <bottom/>
      <diagonal/>
    </border>
    <border>
      <left style="thin">
        <color indexed="64"/>
      </left>
      <right/>
      <top style="thin">
        <color indexed="64"/>
      </top>
      <bottom/>
      <diagonal/>
    </border>
    <border>
      <left style="thin">
        <color auto="1"/>
      </left>
      <right style="thin">
        <color auto="1"/>
      </right>
      <top style="thin">
        <color auto="1"/>
      </top>
      <bottom style="thin">
        <color auto="1"/>
      </bottom>
      <diagonal/>
    </border>
    <border>
      <left/>
      <right style="thin">
        <color indexed="64"/>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style="thin">
        <color rgb="FF000000"/>
      </right>
      <top style="medium">
        <color rgb="FF000000"/>
      </top>
      <bottom/>
      <diagonal/>
    </border>
    <border>
      <left style="thin">
        <color rgb="FF000000"/>
      </left>
      <right style="medium">
        <color rgb="FF000000"/>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diagonal/>
    </border>
    <border>
      <left style="medium">
        <color rgb="FF000000"/>
      </left>
      <right style="medium">
        <color rgb="FF000000"/>
      </right>
      <top style="thin">
        <color rgb="FF000000"/>
      </top>
      <bottom/>
      <diagonal/>
    </border>
    <border>
      <left style="medium">
        <color indexed="64"/>
      </left>
      <right style="thin">
        <color rgb="FF000000"/>
      </right>
      <top/>
      <bottom style="medium">
        <color indexed="64"/>
      </bottom>
      <diagonal/>
    </border>
    <border>
      <left style="medium">
        <color rgb="FF000000"/>
      </left>
      <right style="medium">
        <color rgb="FF000000"/>
      </right>
      <top style="thin">
        <color rgb="FF000000"/>
      </top>
      <bottom style="medium">
        <color indexed="64"/>
      </bottom>
      <diagonal/>
    </border>
    <border>
      <left/>
      <right style="medium">
        <color rgb="FF000000"/>
      </right>
      <top style="medium">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thin">
        <color rgb="FF000000"/>
      </right>
      <top/>
      <bottom style="medium">
        <color rgb="FF000000"/>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000000"/>
      </left>
      <right style="medium">
        <color rgb="FF000000"/>
      </right>
      <top/>
      <bottom style="thin">
        <color rgb="FF000000"/>
      </bottom>
      <diagonal/>
    </border>
    <border>
      <left/>
      <right style="medium">
        <color rgb="FF000000"/>
      </right>
      <top style="medium">
        <color indexed="64"/>
      </top>
      <bottom style="thin">
        <color rgb="FF000000"/>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top style="thin">
        <color indexed="64"/>
      </top>
      <bottom style="thin">
        <color auto="1"/>
      </bottom>
      <diagonal/>
    </border>
    <border>
      <left/>
      <right style="thin">
        <color auto="1"/>
      </right>
      <top style="thin">
        <color auto="1"/>
      </top>
      <bottom style="thin">
        <color auto="1"/>
      </bottom>
      <diagonal/>
    </border>
    <border>
      <left style="medium">
        <color rgb="FF000000"/>
      </left>
      <right style="medium">
        <color rgb="FF000000"/>
      </right>
      <top/>
      <bottom/>
      <diagonal/>
    </border>
    <border>
      <left style="thin">
        <color indexed="64"/>
      </left>
      <right style="medium">
        <color rgb="FF000000"/>
      </right>
      <top style="medium">
        <color indexed="64"/>
      </top>
      <bottom style="thin">
        <color rgb="FF000000"/>
      </bottom>
      <diagonal/>
    </border>
    <border>
      <left style="medium">
        <color rgb="FF000000"/>
      </left>
      <right style="thin">
        <color rgb="FF000000"/>
      </right>
      <top style="medium">
        <color indexed="64"/>
      </top>
      <bottom/>
      <diagonal/>
    </border>
    <border>
      <left style="medium">
        <color rgb="FF000000"/>
      </left>
      <right style="medium">
        <color rgb="FF000000"/>
      </right>
      <top/>
      <bottom style="thin">
        <color indexed="64"/>
      </bottom>
      <diagonal/>
    </border>
    <border>
      <left style="medium">
        <color rgb="FF000000"/>
      </left>
      <right style="medium">
        <color rgb="FF000000"/>
      </right>
      <top style="medium">
        <color indexed="64"/>
      </top>
      <bottom style="thin">
        <color indexed="64"/>
      </bottom>
      <diagonal/>
    </border>
    <border>
      <left style="medium">
        <color rgb="FF000000"/>
      </left>
      <right style="medium">
        <color rgb="FF000000"/>
      </right>
      <top style="medium">
        <color rgb="FF000000"/>
      </top>
      <bottom style="thin">
        <color indexed="64"/>
      </bottom>
      <diagonal/>
    </border>
    <border>
      <left style="thin">
        <color rgb="FF000000"/>
      </left>
      <right style="medium">
        <color rgb="FF000000"/>
      </right>
      <top style="thin">
        <color rgb="FF000000"/>
      </top>
      <bottom style="thin">
        <color indexed="64"/>
      </bottom>
      <diagonal/>
    </border>
    <border>
      <left style="medium">
        <color rgb="FF000000"/>
      </left>
      <right style="medium">
        <color rgb="FF000000"/>
      </right>
      <top style="thin">
        <color rgb="FF000000"/>
      </top>
      <bottom style="thin">
        <color indexed="64"/>
      </bottom>
      <diagonal/>
    </border>
    <border>
      <left style="thin">
        <color indexed="64"/>
      </left>
      <right style="medium">
        <color rgb="FF000000"/>
      </right>
      <top style="thin">
        <color indexed="64"/>
      </top>
      <bottom style="medium">
        <color indexed="64"/>
      </bottom>
      <diagonal/>
    </border>
    <border>
      <left style="thin">
        <color rgb="FF000000"/>
      </left>
      <right style="medium">
        <color rgb="FF000000"/>
      </right>
      <top/>
      <bottom style="thin">
        <color indexed="64"/>
      </bottom>
      <diagonal/>
    </border>
    <border>
      <left style="thin">
        <color rgb="FF000000"/>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bottom style="medium">
        <color indexed="64"/>
      </bottom>
      <diagonal/>
    </border>
    <border>
      <left style="thin">
        <color rgb="FF000000"/>
      </left>
      <right style="medium">
        <color rgb="FF000000"/>
      </right>
      <top style="medium">
        <color rgb="FF000000"/>
      </top>
      <bottom style="thin">
        <color indexed="64"/>
      </bottom>
      <diagonal/>
    </border>
    <border>
      <left style="thin">
        <color rgb="FF000000"/>
      </left>
      <right style="medium">
        <color rgb="FF000000"/>
      </right>
      <top style="thin">
        <color indexed="64"/>
      </top>
      <bottom style="thin">
        <color indexed="64"/>
      </bottom>
      <diagonal/>
    </border>
    <border>
      <left style="medium">
        <color rgb="FF000000"/>
      </left>
      <right style="medium">
        <color rgb="FF000000"/>
      </right>
      <top style="thin">
        <color indexed="64"/>
      </top>
      <bottom style="thin">
        <color indexed="64"/>
      </bottom>
      <diagonal/>
    </border>
    <border>
      <left style="medium">
        <color rgb="FF000000"/>
      </left>
      <right style="thin">
        <color rgb="FF000000"/>
      </right>
      <top/>
      <bottom style="medium">
        <color indexed="64"/>
      </bottom>
      <diagonal/>
    </border>
    <border>
      <left style="medium">
        <color rgb="FF000000"/>
      </left>
      <right style="medium">
        <color rgb="FF000000"/>
      </right>
      <top style="thin">
        <color indexed="64"/>
      </top>
      <bottom style="medium">
        <color indexed="64"/>
      </bottom>
      <diagonal/>
    </border>
    <border>
      <left style="thin">
        <color rgb="FF000000"/>
      </left>
      <right style="medium">
        <color rgb="FF000000"/>
      </right>
      <top/>
      <bottom style="medium">
        <color indexed="64"/>
      </bottom>
      <diagonal/>
    </border>
    <border>
      <left style="medium">
        <color rgb="FF000000"/>
      </left>
      <right style="medium">
        <color rgb="FF000000"/>
      </right>
      <top style="medium">
        <color rgb="FF000000"/>
      </top>
      <bottom/>
      <diagonal/>
    </border>
    <border>
      <left style="medium">
        <color rgb="FF000000"/>
      </left>
      <right/>
      <top/>
      <bottom style="medium">
        <color rgb="FF000000"/>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rgb="FF000000"/>
      </right>
      <top/>
      <bottom style="medium">
        <color rgb="FF000000"/>
      </bottom>
      <diagonal/>
    </border>
    <border>
      <left style="thin">
        <color rgb="FF000000"/>
      </left>
      <right style="medium">
        <color rgb="FF000000"/>
      </right>
      <top/>
      <bottom style="thin">
        <color rgb="FF000000"/>
      </bottom>
      <diagonal/>
    </border>
    <border>
      <left style="medium">
        <color rgb="FF000000"/>
      </left>
      <right style="medium">
        <color rgb="FF000000"/>
      </right>
      <top style="medium">
        <color indexed="64"/>
      </top>
      <bottom style="thin">
        <color rgb="FF000000"/>
      </bottom>
      <diagonal/>
    </border>
    <border>
      <left/>
      <right style="medium">
        <color rgb="FF000000"/>
      </right>
      <top style="thin">
        <color rgb="FF000000"/>
      </top>
      <bottom style="medium">
        <color indexed="64"/>
      </bottom>
      <diagonal/>
    </border>
    <border>
      <left style="thin">
        <color indexed="64"/>
      </left>
      <right style="medium">
        <color rgb="FF000000"/>
      </right>
      <top/>
      <bottom style="medium">
        <color indexed="64"/>
      </bottom>
      <diagonal/>
    </border>
    <border>
      <left style="medium">
        <color rgb="FF000000"/>
      </left>
      <right style="thin">
        <color rgb="FF000000"/>
      </right>
      <top style="medium">
        <color rgb="FF000000"/>
      </top>
      <bottom style="thin">
        <color indexed="64"/>
      </bottom>
      <diagonal/>
    </border>
    <border>
      <left style="medium">
        <color rgb="FF000000"/>
      </left>
      <right style="thin">
        <color rgb="FF000000"/>
      </right>
      <top style="thin">
        <color indexed="64"/>
      </top>
      <bottom style="thin">
        <color indexed="64"/>
      </bottom>
      <diagonal/>
    </border>
    <border>
      <left style="medium">
        <color rgb="FF000000"/>
      </left>
      <right style="thin">
        <color rgb="FF000000"/>
      </right>
      <top/>
      <bottom style="thin">
        <color indexed="64"/>
      </bottom>
      <diagonal/>
    </border>
    <border>
      <left/>
      <right style="thin">
        <color auto="1"/>
      </right>
      <top/>
      <bottom/>
      <diagonal/>
    </border>
    <border>
      <left style="thin">
        <color indexed="8"/>
      </left>
      <right style="thin">
        <color indexed="8"/>
      </right>
      <top/>
      <bottom style="thin">
        <color indexed="64"/>
      </bottom>
      <diagonal/>
    </border>
    <border>
      <left style="medium">
        <color rgb="FF000000"/>
      </left>
      <right style="medium">
        <color rgb="FF000000"/>
      </right>
      <top style="medium">
        <color indexed="64"/>
      </top>
      <bottom/>
      <diagonal/>
    </border>
    <border>
      <left style="thin">
        <color auto="1"/>
      </left>
      <right/>
      <top/>
      <bottom style="thin">
        <color indexed="64"/>
      </bottom>
      <diagonal/>
    </border>
    <border>
      <left style="thin">
        <color indexed="8"/>
      </left>
      <right style="thin">
        <color indexed="8"/>
      </right>
      <top/>
      <bottom/>
      <diagonal/>
    </border>
    <border>
      <left style="thin">
        <color auto="1"/>
      </left>
      <right style="thin">
        <color auto="1"/>
      </right>
      <top/>
      <bottom/>
      <diagonal/>
    </border>
    <border>
      <left/>
      <right/>
      <top/>
      <bottom style="hair">
        <color auto="1"/>
      </bottom>
      <diagonal/>
    </border>
    <border>
      <left style="hair">
        <color auto="1"/>
      </left>
      <right style="hair">
        <color auto="1"/>
      </right>
      <top style="hair">
        <color auto="1"/>
      </top>
      <bottom style="hair">
        <color auto="1"/>
      </bottom>
      <diagonal/>
    </border>
    <border>
      <left style="medium">
        <color rgb="FF000000"/>
      </left>
      <right/>
      <top style="medium">
        <color indexed="64"/>
      </top>
      <bottom/>
      <diagonal/>
    </border>
    <border>
      <left style="thin">
        <color rgb="FF000000"/>
      </left>
      <right/>
      <top/>
      <bottom style="medium">
        <color indexed="64"/>
      </bottom>
      <diagonal/>
    </border>
    <border>
      <left style="medium">
        <color indexed="64"/>
      </left>
      <right style="medium">
        <color rgb="FF000000"/>
      </right>
      <top style="medium">
        <color indexed="64"/>
      </top>
      <bottom style="medium">
        <color indexed="64"/>
      </bottom>
      <diagonal/>
    </border>
    <border>
      <left style="medium">
        <color rgb="FF000000"/>
      </left>
      <right style="medium">
        <color rgb="FF000000"/>
      </right>
      <top style="medium">
        <color indexed="64"/>
      </top>
      <bottom style="medium">
        <color indexed="64"/>
      </bottom>
      <diagonal/>
    </border>
    <border>
      <left style="medium">
        <color rgb="FF000000"/>
      </left>
      <right style="medium">
        <color indexed="64"/>
      </right>
      <top style="medium">
        <color indexed="64"/>
      </top>
      <bottom style="medium">
        <color indexed="64"/>
      </bottom>
      <diagonal/>
    </border>
    <border>
      <left style="thin">
        <color auto="1"/>
      </left>
      <right style="thin">
        <color indexed="64"/>
      </right>
      <top/>
      <bottom style="thin">
        <color indexed="64"/>
      </bottom>
      <diagonal/>
    </border>
    <border>
      <left style="thin">
        <color indexed="64"/>
      </left>
      <right style="thin">
        <color indexed="64"/>
      </right>
      <top/>
      <bottom style="thin">
        <color rgb="FF000000"/>
      </bottom>
      <diagonal/>
    </border>
    <border>
      <left style="thin">
        <color auto="1"/>
      </left>
      <right style="thin">
        <color rgb="FF000000"/>
      </right>
      <top/>
      <bottom/>
      <diagonal/>
    </border>
    <border>
      <left/>
      <right style="medium">
        <color rgb="FF000000"/>
      </right>
      <top style="thin">
        <color rgb="FF000000"/>
      </top>
      <bottom/>
      <diagonal/>
    </border>
    <border>
      <left style="medium">
        <color rgb="FF000000"/>
      </left>
      <right/>
      <top style="thin">
        <color rgb="FF000000"/>
      </top>
      <bottom/>
      <diagonal/>
    </border>
    <border>
      <left style="medium">
        <color auto="1"/>
      </left>
      <right style="medium">
        <color auto="1"/>
      </right>
      <top style="thin">
        <color auto="1"/>
      </top>
      <bottom style="medium">
        <color auto="1"/>
      </bottom>
      <diagonal/>
    </border>
    <border>
      <left style="medium">
        <color auto="1"/>
      </left>
      <right style="medium">
        <color auto="1"/>
      </right>
      <top style="thin">
        <color auto="1"/>
      </top>
      <bottom style="thin">
        <color auto="1"/>
      </bottom>
      <diagonal/>
    </border>
    <border>
      <left style="medium">
        <color rgb="FF000000"/>
      </left>
      <right style="medium">
        <color auto="1"/>
      </right>
      <top style="thin">
        <color rgb="FF000000"/>
      </top>
      <bottom style="medium">
        <color rgb="FF000000"/>
      </bottom>
      <diagonal/>
    </border>
    <border>
      <left style="medium">
        <color auto="1"/>
      </left>
      <right style="medium">
        <color rgb="FF000000"/>
      </right>
      <top style="thin">
        <color rgb="FF000000"/>
      </top>
      <bottom style="medium">
        <color auto="1"/>
      </bottom>
      <diagonal/>
    </border>
    <border>
      <left style="thin">
        <color indexed="64"/>
      </left>
      <right/>
      <top/>
      <bottom/>
      <diagonal/>
    </border>
    <border>
      <left style="thin">
        <color indexed="8"/>
      </left>
      <right style="thin">
        <color indexed="8"/>
      </right>
      <top/>
      <bottom/>
      <diagonal/>
    </border>
    <border>
      <left style="thin">
        <color auto="1"/>
      </left>
      <right style="thin">
        <color auto="1"/>
      </right>
      <top/>
      <bottom/>
      <diagonal/>
    </border>
    <border>
      <left style="thin">
        <color auto="1"/>
      </left>
      <right/>
      <top/>
      <bottom/>
      <diagonal/>
    </border>
    <border>
      <left style="thin">
        <color auto="1"/>
      </left>
      <right style="thin">
        <color indexed="8"/>
      </right>
      <top/>
      <bottom/>
      <diagonal/>
    </border>
    <border>
      <left style="thin">
        <color auto="1"/>
      </left>
      <right style="thin">
        <color indexed="8"/>
      </right>
      <top/>
      <bottom style="thin">
        <color indexed="64"/>
      </bottom>
      <diagonal/>
    </border>
  </borders>
  <cellStyleXfs count="31">
    <xf numFmtId="0" fontId="0" fillId="0" borderId="0"/>
    <xf numFmtId="167" fontId="1" fillId="0" borderId="0" applyFont="0" applyFill="0" applyBorder="0" applyAlignment="0" applyProtection="0"/>
    <xf numFmtId="0" fontId="3" fillId="0" borderId="0"/>
    <xf numFmtId="169" fontId="3" fillId="0" borderId="0"/>
    <xf numFmtId="0" fontId="1" fillId="0" borderId="0"/>
    <xf numFmtId="170" fontId="1" fillId="0" borderId="0" applyFont="0" applyFill="0" applyBorder="0" applyAlignment="0" applyProtection="0"/>
    <xf numFmtId="41" fontId="1" fillId="0" borderId="0" applyFont="0" applyFill="0" applyBorder="0" applyAlignment="0" applyProtection="0"/>
    <xf numFmtId="170" fontId="1" fillId="0" borderId="0" applyFont="0" applyFill="0" applyBorder="0" applyAlignment="0" applyProtection="0"/>
    <xf numFmtId="171" fontId="7" fillId="0" borderId="0"/>
    <xf numFmtId="0" fontId="11" fillId="0" borderId="0"/>
    <xf numFmtId="0" fontId="12" fillId="0" borderId="0"/>
    <xf numFmtId="0" fontId="1" fillId="0" borderId="0"/>
    <xf numFmtId="171" fontId="7" fillId="0" borderId="0"/>
    <xf numFmtId="0" fontId="3" fillId="0" borderId="0"/>
    <xf numFmtId="0" fontId="12" fillId="0" borderId="0"/>
    <xf numFmtId="0" fontId="7" fillId="0" borderId="0"/>
    <xf numFmtId="9"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0" fontId="3" fillId="0" borderId="0"/>
    <xf numFmtId="177" fontId="3" fillId="0" borderId="0" applyFont="0" applyFill="0" applyBorder="0" applyAlignment="0" applyProtection="0"/>
    <xf numFmtId="166" fontId="1" fillId="0" borderId="0" applyFont="0" applyFill="0" applyBorder="0" applyAlignment="0" applyProtection="0"/>
    <xf numFmtId="0" fontId="49" fillId="0" borderId="0"/>
    <xf numFmtId="165" fontId="49"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9" fontId="3" fillId="0" borderId="0"/>
    <xf numFmtId="170" fontId="1" fillId="0" borderId="0" applyFont="0" applyFill="0" applyBorder="0" applyAlignment="0" applyProtection="0"/>
    <xf numFmtId="0" fontId="1" fillId="0" borderId="0"/>
    <xf numFmtId="167" fontId="1" fillId="0" borderId="0" applyFont="0" applyFill="0" applyBorder="0" applyAlignment="0" applyProtection="0"/>
    <xf numFmtId="164" fontId="1" fillId="0" borderId="0" applyFont="0" applyFill="0" applyBorder="0" applyAlignment="0" applyProtection="0"/>
  </cellStyleXfs>
  <cellXfs count="1344">
    <xf numFmtId="0" fontId="0" fillId="0" borderId="0" xfId="0"/>
    <xf numFmtId="0" fontId="2" fillId="0" borderId="0" xfId="0" applyFont="1"/>
    <xf numFmtId="0" fontId="4" fillId="0" borderId="0" xfId="2" applyFont="1" applyAlignment="1">
      <alignment horizontal="right"/>
    </xf>
    <xf numFmtId="0" fontId="10" fillId="0" borderId="0" xfId="2" applyFont="1"/>
    <xf numFmtId="3" fontId="5" fillId="3" borderId="3" xfId="10" applyNumberFormat="1" applyFont="1" applyFill="1" applyBorder="1" applyAlignment="1">
      <alignment horizontal="right"/>
    </xf>
    <xf numFmtId="0" fontId="20" fillId="0" borderId="0" xfId="2" applyFont="1"/>
    <xf numFmtId="0" fontId="27" fillId="0" borderId="0" xfId="2" applyFont="1"/>
    <xf numFmtId="0" fontId="5" fillId="0" borderId="0" xfId="2" applyFont="1" applyAlignment="1">
      <alignment horizontal="center"/>
    </xf>
    <xf numFmtId="0" fontId="5" fillId="0" borderId="0" xfId="2" applyFont="1"/>
    <xf numFmtId="0" fontId="5" fillId="0" borderId="0" xfId="2" applyFont="1" applyAlignment="1">
      <alignment vertical="center"/>
    </xf>
    <xf numFmtId="15" fontId="8" fillId="0" borderId="1" xfId="12" applyNumberFormat="1" applyFont="1" applyBorder="1" applyAlignment="1">
      <alignment horizontal="center" vertical="center" wrapText="1"/>
    </xf>
    <xf numFmtId="3" fontId="5" fillId="0" borderId="0" xfId="2" applyNumberFormat="1" applyFont="1"/>
    <xf numFmtId="0" fontId="19" fillId="0" borderId="0" xfId="2" applyFont="1"/>
    <xf numFmtId="0" fontId="8" fillId="0" borderId="0" xfId="2" applyFont="1"/>
    <xf numFmtId="0" fontId="30" fillId="0" borderId="7" xfId="0" applyFont="1" applyBorder="1"/>
    <xf numFmtId="168" fontId="0" fillId="0" borderId="0" xfId="1" applyNumberFormat="1" applyFont="1"/>
    <xf numFmtId="3" fontId="0" fillId="0" borderId="7" xfId="0" applyNumberFormat="1" applyBorder="1"/>
    <xf numFmtId="0" fontId="31" fillId="0" borderId="0" xfId="0" applyFont="1"/>
    <xf numFmtId="3" fontId="4" fillId="0" borderId="0" xfId="12" applyNumberFormat="1" applyFont="1" applyAlignment="1">
      <alignment horizontal="center"/>
    </xf>
    <xf numFmtId="0" fontId="28" fillId="0" borderId="0" xfId="0" applyFont="1"/>
    <xf numFmtId="3" fontId="0" fillId="0" borderId="0" xfId="0" applyNumberFormat="1"/>
    <xf numFmtId="168" fontId="0" fillId="0" borderId="0" xfId="0" applyNumberFormat="1"/>
    <xf numFmtId="10" fontId="0" fillId="0" borderId="0" xfId="16" applyNumberFormat="1" applyFont="1"/>
    <xf numFmtId="176" fontId="10" fillId="0" borderId="0" xfId="16" applyNumberFormat="1" applyFont="1" applyFill="1" applyBorder="1"/>
    <xf numFmtId="176" fontId="18" fillId="0" borderId="0" xfId="16" applyNumberFormat="1" applyFont="1" applyFill="1" applyBorder="1"/>
    <xf numFmtId="168" fontId="4" fillId="0" borderId="0" xfId="1" applyNumberFormat="1" applyFont="1"/>
    <xf numFmtId="3" fontId="33" fillId="0" borderId="7" xfId="0" applyNumberFormat="1" applyFont="1" applyBorder="1"/>
    <xf numFmtId="176" fontId="4" fillId="0" borderId="0" xfId="16" applyNumberFormat="1" applyFont="1" applyFill="1" applyBorder="1"/>
    <xf numFmtId="176" fontId="4" fillId="0" borderId="0" xfId="16" applyNumberFormat="1" applyFont="1"/>
    <xf numFmtId="3" fontId="5" fillId="0" borderId="2" xfId="8" applyNumberFormat="1" applyFont="1" applyBorder="1" applyAlignment="1">
      <alignment horizontal="right"/>
    </xf>
    <xf numFmtId="0" fontId="34" fillId="8" borderId="14" xfId="0" applyFont="1" applyFill="1" applyBorder="1" applyAlignment="1">
      <alignment horizontal="left" wrapText="1" readingOrder="1"/>
    </xf>
    <xf numFmtId="3" fontId="34" fillId="8" borderId="15" xfId="0" applyNumberFormat="1" applyFont="1" applyFill="1" applyBorder="1" applyAlignment="1">
      <alignment horizontal="right" vertical="center" wrapText="1" readingOrder="1"/>
    </xf>
    <xf numFmtId="175" fontId="34" fillId="8" borderId="15" xfId="0" applyNumberFormat="1" applyFont="1" applyFill="1" applyBorder="1" applyAlignment="1">
      <alignment horizontal="right" vertical="center" wrapText="1" readingOrder="1"/>
    </xf>
    <xf numFmtId="3" fontId="35" fillId="0" borderId="18" xfId="0" applyNumberFormat="1" applyFont="1" applyBorder="1" applyAlignment="1">
      <alignment horizontal="right" vertical="center" wrapText="1" readingOrder="1"/>
    </xf>
    <xf numFmtId="175" fontId="35" fillId="0" borderId="18" xfId="0" applyNumberFormat="1" applyFont="1" applyBorder="1" applyAlignment="1">
      <alignment horizontal="right" vertical="center" wrapText="1" readingOrder="1"/>
    </xf>
    <xf numFmtId="3" fontId="35" fillId="0" borderId="20" xfId="0" applyNumberFormat="1" applyFont="1" applyBorder="1" applyAlignment="1">
      <alignment horizontal="right" vertical="center" wrapText="1" readingOrder="1"/>
    </xf>
    <xf numFmtId="3" fontId="35" fillId="0" borderId="22" xfId="0" applyNumberFormat="1" applyFont="1" applyBorder="1" applyAlignment="1">
      <alignment horizontal="right" vertical="center" wrapText="1" readingOrder="1"/>
    </xf>
    <xf numFmtId="0" fontId="34" fillId="8" borderId="23" xfId="0" applyFont="1" applyFill="1" applyBorder="1" applyAlignment="1">
      <alignment horizontal="left" vertical="center" wrapText="1" readingOrder="1"/>
    </xf>
    <xf numFmtId="3" fontId="35" fillId="0" borderId="25" xfId="0" applyNumberFormat="1" applyFont="1" applyBorder="1" applyAlignment="1">
      <alignment horizontal="right" vertical="center" wrapText="1" readingOrder="1"/>
    </xf>
    <xf numFmtId="0" fontId="16" fillId="0" borderId="0" xfId="2" applyFont="1"/>
    <xf numFmtId="0" fontId="18" fillId="0" borderId="0" xfId="2" applyFont="1"/>
    <xf numFmtId="0" fontId="4" fillId="0" borderId="0" xfId="2" applyFont="1" applyAlignment="1">
      <alignment vertical="center"/>
    </xf>
    <xf numFmtId="0" fontId="6" fillId="0" borderId="0" xfId="2" applyFont="1"/>
    <xf numFmtId="173" fontId="5" fillId="0" borderId="2" xfId="15" applyNumberFormat="1" applyFont="1" applyBorder="1"/>
    <xf numFmtId="0" fontId="5" fillId="0" borderId="2" xfId="15" applyFont="1" applyBorder="1"/>
    <xf numFmtId="0" fontId="26" fillId="0" borderId="0" xfId="2" applyFont="1"/>
    <xf numFmtId="0" fontId="4" fillId="0" borderId="0" xfId="2" applyFont="1" applyAlignment="1">
      <alignment horizontal="left" vertical="center"/>
    </xf>
    <xf numFmtId="0" fontId="23" fillId="0" borderId="0" xfId="2" applyFont="1"/>
    <xf numFmtId="0" fontId="36" fillId="0" borderId="0" xfId="0" applyFont="1"/>
    <xf numFmtId="0" fontId="37" fillId="0" borderId="0" xfId="0" applyFont="1"/>
    <xf numFmtId="0" fontId="32" fillId="0" borderId="7" xfId="0" applyFont="1" applyBorder="1" applyAlignment="1">
      <alignment horizontal="center" vertical="center"/>
    </xf>
    <xf numFmtId="0" fontId="39" fillId="0" borderId="7" xfId="0" applyFont="1" applyBorder="1" applyAlignment="1">
      <alignment horizontal="center" vertical="center"/>
    </xf>
    <xf numFmtId="0" fontId="38" fillId="0" borderId="10" xfId="0" applyFont="1" applyBorder="1"/>
    <xf numFmtId="3" fontId="36" fillId="0" borderId="7" xfId="0" applyNumberFormat="1" applyFont="1" applyBorder="1"/>
    <xf numFmtId="3" fontId="40" fillId="0" borderId="7" xfId="0" applyNumberFormat="1" applyFont="1" applyBorder="1"/>
    <xf numFmtId="3" fontId="41" fillId="0" borderId="7" xfId="0" applyNumberFormat="1" applyFont="1" applyBorder="1"/>
    <xf numFmtId="1" fontId="40" fillId="0" borderId="7" xfId="16" applyNumberFormat="1" applyFont="1" applyFill="1" applyBorder="1"/>
    <xf numFmtId="1" fontId="40" fillId="0" borderId="7" xfId="0" applyNumberFormat="1" applyFont="1" applyBorder="1"/>
    <xf numFmtId="0" fontId="38" fillId="0" borderId="0" xfId="0" applyFont="1" applyAlignment="1">
      <alignment horizontal="right"/>
    </xf>
    <xf numFmtId="0" fontId="36" fillId="0" borderId="0" xfId="0" applyFont="1" applyAlignment="1">
      <alignment horizontal="right"/>
    </xf>
    <xf numFmtId="0" fontId="38" fillId="0" borderId="0" xfId="0" applyFont="1"/>
    <xf numFmtId="10" fontId="42" fillId="0" borderId="0" xfId="0" applyNumberFormat="1" applyFont="1"/>
    <xf numFmtId="0" fontId="43" fillId="0" borderId="0" xfId="0" applyFont="1"/>
    <xf numFmtId="10" fontId="43" fillId="0" borderId="0" xfId="0" applyNumberFormat="1" applyFont="1"/>
    <xf numFmtId="10" fontId="40" fillId="0" borderId="7" xfId="16" applyNumberFormat="1" applyFont="1" applyFill="1" applyBorder="1"/>
    <xf numFmtId="10" fontId="46" fillId="2" borderId="7" xfId="16" applyNumberFormat="1" applyFont="1" applyFill="1" applyBorder="1"/>
    <xf numFmtId="10" fontId="42" fillId="2" borderId="0" xfId="16" applyNumberFormat="1" applyFont="1" applyFill="1" applyBorder="1"/>
    <xf numFmtId="10" fontId="42" fillId="0" borderId="0" xfId="16" applyNumberFormat="1" applyFont="1" applyFill="1" applyBorder="1"/>
    <xf numFmtId="1" fontId="40" fillId="0" borderId="0" xfId="16" applyNumberFormat="1" applyFont="1" applyFill="1" applyBorder="1"/>
    <xf numFmtId="0" fontId="44" fillId="0" borderId="0" xfId="0" applyFont="1" applyAlignment="1">
      <alignment horizontal="center" vertical="center"/>
    </xf>
    <xf numFmtId="3" fontId="29" fillId="0" borderId="7" xfId="0" applyNumberFormat="1" applyFont="1" applyBorder="1"/>
    <xf numFmtId="10" fontId="0" fillId="4" borderId="0" xfId="16" applyNumberFormat="1" applyFont="1" applyFill="1"/>
    <xf numFmtId="168" fontId="29" fillId="0" borderId="7" xfId="0" applyNumberFormat="1" applyFont="1" applyBorder="1" applyAlignment="1">
      <alignment vertical="center"/>
    </xf>
    <xf numFmtId="3" fontId="29" fillId="0" borderId="7" xfId="0" applyNumberFormat="1" applyFont="1" applyBorder="1" applyAlignment="1">
      <alignment vertical="center"/>
    </xf>
    <xf numFmtId="3" fontId="33" fillId="0" borderId="7" xfId="0" applyNumberFormat="1" applyFont="1" applyBorder="1" applyAlignment="1">
      <alignment vertical="center"/>
    </xf>
    <xf numFmtId="168" fontId="33" fillId="0" borderId="7" xfId="1" applyNumberFormat="1" applyFont="1" applyBorder="1" applyAlignment="1">
      <alignment vertical="center"/>
    </xf>
    <xf numFmtId="168" fontId="33" fillId="0" borderId="7" xfId="0" applyNumberFormat="1" applyFont="1" applyBorder="1" applyAlignment="1">
      <alignment vertical="center"/>
    </xf>
    <xf numFmtId="3" fontId="19" fillId="0" borderId="7" xfId="19" applyNumberFormat="1" applyFont="1" applyBorder="1"/>
    <xf numFmtId="0" fontId="19" fillId="0" borderId="7" xfId="19" applyFont="1" applyBorder="1"/>
    <xf numFmtId="0" fontId="13" fillId="0" borderId="0" xfId="19" applyFont="1"/>
    <xf numFmtId="9" fontId="0" fillId="0" borderId="0" xfId="16" applyFont="1"/>
    <xf numFmtId="3" fontId="9" fillId="0" borderId="0" xfId="2" applyNumberFormat="1" applyFont="1" applyAlignment="1">
      <alignment horizontal="right"/>
    </xf>
    <xf numFmtId="0" fontId="0" fillId="0" borderId="7" xfId="0" applyBorder="1"/>
    <xf numFmtId="9" fontId="0" fillId="0" borderId="0" xfId="16" applyFont="1" applyBorder="1"/>
    <xf numFmtId="176" fontId="0" fillId="0" borderId="0" xfId="16" applyNumberFormat="1" applyFont="1" applyBorder="1"/>
    <xf numFmtId="9" fontId="0" fillId="0" borderId="0" xfId="16" applyFont="1" applyFill="1" applyBorder="1"/>
    <xf numFmtId="0" fontId="0" fillId="0" borderId="1" xfId="0" applyBorder="1"/>
    <xf numFmtId="3" fontId="0" fillId="0" borderId="1" xfId="0" applyNumberFormat="1" applyBorder="1"/>
    <xf numFmtId="3" fontId="29" fillId="0" borderId="1" xfId="0" applyNumberFormat="1" applyFont="1" applyBorder="1"/>
    <xf numFmtId="176" fontId="0" fillId="0" borderId="29" xfId="16" applyNumberFormat="1" applyFont="1" applyBorder="1"/>
    <xf numFmtId="176" fontId="0" fillId="0" borderId="30" xfId="16" applyNumberFormat="1" applyFont="1" applyBorder="1"/>
    <xf numFmtId="176" fontId="0" fillId="0" borderId="32" xfId="16" applyNumberFormat="1" applyFont="1" applyBorder="1"/>
    <xf numFmtId="9" fontId="0" fillId="0" borderId="32" xfId="16" applyFont="1" applyBorder="1"/>
    <xf numFmtId="9" fontId="0" fillId="0" borderId="34" xfId="16" applyFont="1" applyBorder="1"/>
    <xf numFmtId="9" fontId="0" fillId="0" borderId="35" xfId="16" applyFont="1" applyBorder="1"/>
    <xf numFmtId="0" fontId="48" fillId="0" borderId="0" xfId="0" applyFont="1"/>
    <xf numFmtId="3" fontId="34" fillId="8" borderId="36" xfId="0" applyNumberFormat="1" applyFont="1" applyFill="1" applyBorder="1" applyAlignment="1">
      <alignment horizontal="right" vertical="center" wrapText="1" readingOrder="1"/>
    </xf>
    <xf numFmtId="0" fontId="34" fillId="7" borderId="27" xfId="0" applyFont="1" applyFill="1" applyBorder="1" applyAlignment="1">
      <alignment horizontal="center" vertical="center" wrapText="1" readingOrder="1"/>
    </xf>
    <xf numFmtId="1" fontId="45" fillId="0" borderId="0" xfId="16" applyNumberFormat="1" applyFont="1" applyFill="1" applyBorder="1"/>
    <xf numFmtId="9" fontId="2" fillId="0" borderId="0" xfId="16" applyFont="1"/>
    <xf numFmtId="9" fontId="2" fillId="0" borderId="0" xfId="16" applyFont="1" applyBorder="1"/>
    <xf numFmtId="175" fontId="34" fillId="8" borderId="36" xfId="0" applyNumberFormat="1" applyFont="1" applyFill="1" applyBorder="1" applyAlignment="1">
      <alignment horizontal="right" vertical="center" wrapText="1" readingOrder="1"/>
    </xf>
    <xf numFmtId="0" fontId="34" fillId="7" borderId="0" xfId="0" applyFont="1" applyFill="1" applyAlignment="1">
      <alignment horizontal="center" vertical="center" wrapText="1" readingOrder="1"/>
    </xf>
    <xf numFmtId="0" fontId="50" fillId="0" borderId="0" xfId="0" applyFont="1" applyAlignment="1">
      <alignment horizontal="left" vertical="center"/>
    </xf>
    <xf numFmtId="1" fontId="44" fillId="0" borderId="0" xfId="1" applyNumberFormat="1" applyFont="1" applyFill="1" applyBorder="1" applyAlignment="1">
      <alignment horizontal="center" vertical="center"/>
    </xf>
    <xf numFmtId="0" fontId="21" fillId="0" borderId="0" xfId="2" applyFont="1" applyAlignment="1">
      <alignment vertical="center"/>
    </xf>
    <xf numFmtId="3" fontId="5" fillId="0" borderId="0" xfId="2" applyNumberFormat="1" applyFont="1" applyAlignment="1">
      <alignment horizontal="right"/>
    </xf>
    <xf numFmtId="0" fontId="5" fillId="0" borderId="1" xfId="2" applyFont="1" applyBorder="1"/>
    <xf numFmtId="3" fontId="5" fillId="0" borderId="1" xfId="2" applyNumberFormat="1" applyFont="1" applyBorder="1" applyAlignment="1">
      <alignment horizontal="right"/>
    </xf>
    <xf numFmtId="3" fontId="5" fillId="0" borderId="1" xfId="2" applyNumberFormat="1" applyFont="1" applyBorder="1"/>
    <xf numFmtId="171" fontId="8" fillId="0" borderId="2" xfId="8" applyFont="1" applyBorder="1" applyAlignment="1">
      <alignment horizontal="left"/>
    </xf>
    <xf numFmtId="3" fontId="52" fillId="0" borderId="2" xfId="8" applyNumberFormat="1" applyFont="1" applyBorder="1" applyAlignment="1">
      <alignment horizontal="right"/>
    </xf>
    <xf numFmtId="3" fontId="52" fillId="0" borderId="2" xfId="8" applyNumberFormat="1" applyFont="1" applyBorder="1"/>
    <xf numFmtId="171" fontId="5" fillId="0" borderId="2" xfId="8" applyFont="1" applyBorder="1" applyAlignment="1">
      <alignment horizontal="left"/>
    </xf>
    <xf numFmtId="171" fontId="52" fillId="0" borderId="2" xfId="8" applyFont="1" applyBorder="1" applyAlignment="1">
      <alignment horizontal="left"/>
    </xf>
    <xf numFmtId="171" fontId="5" fillId="0" borderId="3" xfId="8" applyFont="1" applyBorder="1" applyAlignment="1">
      <alignment horizontal="left"/>
    </xf>
    <xf numFmtId="3" fontId="5" fillId="0" borderId="3" xfId="8" applyNumberFormat="1" applyFont="1" applyBorder="1" applyAlignment="1">
      <alignment horizontal="right"/>
    </xf>
    <xf numFmtId="171" fontId="5" fillId="0" borderId="0" xfId="8" applyFont="1" applyAlignment="1">
      <alignment horizontal="left"/>
    </xf>
    <xf numFmtId="3" fontId="5" fillId="0" borderId="0" xfId="8" applyNumberFormat="1" applyFont="1" applyAlignment="1">
      <alignment horizontal="right"/>
    </xf>
    <xf numFmtId="37" fontId="5" fillId="0" borderId="0" xfId="8" applyNumberFormat="1" applyFont="1"/>
    <xf numFmtId="171" fontId="53" fillId="0" borderId="0" xfId="8" applyFont="1" applyAlignment="1">
      <alignment horizontal="left" indent="1"/>
    </xf>
    <xf numFmtId="3" fontId="54" fillId="0" borderId="0" xfId="8" applyNumberFormat="1" applyFont="1" applyAlignment="1">
      <alignment horizontal="right"/>
    </xf>
    <xf numFmtId="0" fontId="5" fillId="0" borderId="0" xfId="2" applyFont="1" applyAlignment="1">
      <alignment horizontal="left" vertical="center" wrapText="1"/>
    </xf>
    <xf numFmtId="3" fontId="5" fillId="0" borderId="0" xfId="2" applyNumberFormat="1" applyFont="1" applyAlignment="1">
      <alignment horizontal="right" vertical="center"/>
    </xf>
    <xf numFmtId="3" fontId="5" fillId="0" borderId="4" xfId="2" applyNumberFormat="1" applyFont="1" applyBorder="1" applyAlignment="1">
      <alignment horizontal="right"/>
    </xf>
    <xf numFmtId="0" fontId="8" fillId="0" borderId="0" xfId="2" applyFont="1" applyAlignment="1">
      <alignment vertical="center"/>
    </xf>
    <xf numFmtId="3" fontId="52" fillId="0" borderId="2" xfId="2" applyNumberFormat="1" applyFont="1" applyBorder="1" applyAlignment="1">
      <alignment horizontal="right"/>
    </xf>
    <xf numFmtId="3" fontId="52" fillId="0" borderId="2" xfId="2" applyNumberFormat="1" applyFont="1" applyBorder="1"/>
    <xf numFmtId="3" fontId="56" fillId="0" borderId="2" xfId="2" applyNumberFormat="1" applyFont="1" applyBorder="1" applyAlignment="1">
      <alignment horizontal="right"/>
    </xf>
    <xf numFmtId="3" fontId="15" fillId="0" borderId="2" xfId="0" applyNumberFormat="1" applyFont="1" applyBorder="1" applyAlignment="1">
      <alignment horizontal="right"/>
    </xf>
    <xf numFmtId="3" fontId="5" fillId="0" borderId="2" xfId="2" applyNumberFormat="1" applyFont="1" applyBorder="1"/>
    <xf numFmtId="3" fontId="5" fillId="0" borderId="2" xfId="2" applyNumberFormat="1" applyFont="1" applyBorder="1" applyAlignment="1">
      <alignment horizontal="right"/>
    </xf>
    <xf numFmtId="171" fontId="51" fillId="0" borderId="0" xfId="8" applyFont="1" applyAlignment="1">
      <alignment horizontal="left"/>
    </xf>
    <xf numFmtId="3" fontId="51" fillId="0" borderId="0" xfId="8" applyNumberFormat="1" applyFont="1" applyAlignment="1">
      <alignment horizontal="right" vertical="center"/>
    </xf>
    <xf numFmtId="3" fontId="5" fillId="0" borderId="0" xfId="14" applyNumberFormat="1" applyFont="1"/>
    <xf numFmtId="0" fontId="51" fillId="0" borderId="0" xfId="2" applyFont="1"/>
    <xf numFmtId="3" fontId="8" fillId="0" borderId="2" xfId="8" applyNumberFormat="1" applyFont="1" applyBorder="1"/>
    <xf numFmtId="3" fontId="27" fillId="0" borderId="2" xfId="8" applyNumberFormat="1" applyFont="1" applyBorder="1" applyAlignment="1">
      <alignment horizontal="right"/>
    </xf>
    <xf numFmtId="3" fontId="5" fillId="0" borderId="2" xfId="8" applyNumberFormat="1" applyFont="1" applyBorder="1"/>
    <xf numFmtId="3" fontId="5" fillId="0" borderId="2" xfId="0" applyNumberFormat="1" applyFont="1" applyBorder="1" applyAlignment="1">
      <alignment horizontal="right"/>
    </xf>
    <xf numFmtId="3" fontId="8" fillId="6" borderId="2" xfId="8" applyNumberFormat="1" applyFont="1" applyFill="1" applyBorder="1" applyAlignment="1">
      <alignment horizontal="right" vertical="center"/>
    </xf>
    <xf numFmtId="3" fontId="8" fillId="6" borderId="2" xfId="8" applyNumberFormat="1" applyFont="1" applyFill="1" applyBorder="1" applyAlignment="1">
      <alignment vertical="center"/>
    </xf>
    <xf numFmtId="3" fontId="8" fillId="0" borderId="2" xfId="8" applyNumberFormat="1" applyFont="1" applyBorder="1" applyAlignment="1">
      <alignment vertical="center"/>
    </xf>
    <xf numFmtId="3" fontId="8" fillId="0" borderId="2" xfId="8" applyNumberFormat="1" applyFont="1" applyBorder="1" applyAlignment="1">
      <alignment horizontal="right" vertical="center"/>
    </xf>
    <xf numFmtId="171" fontId="8" fillId="0" borderId="1" xfId="8" applyFont="1" applyBorder="1" applyAlignment="1">
      <alignment vertical="center" wrapText="1"/>
    </xf>
    <xf numFmtId="0" fontId="51" fillId="0" borderId="2" xfId="2" applyFont="1" applyBorder="1"/>
    <xf numFmtId="37" fontId="5" fillId="0" borderId="2" xfId="10" applyNumberFormat="1" applyFont="1" applyBorder="1" applyAlignment="1">
      <alignment vertical="center"/>
    </xf>
    <xf numFmtId="3" fontId="5" fillId="0" borderId="2" xfId="10" applyNumberFormat="1" applyFont="1" applyBorder="1" applyAlignment="1">
      <alignment horizontal="right"/>
    </xf>
    <xf numFmtId="37" fontId="5" fillId="0" borderId="2" xfId="10" applyNumberFormat="1" applyFont="1" applyBorder="1"/>
    <xf numFmtId="0" fontId="8" fillId="0" borderId="2" xfId="10" applyFont="1" applyBorder="1"/>
    <xf numFmtId="37" fontId="5" fillId="0" borderId="2" xfId="10" applyNumberFormat="1" applyFont="1" applyBorder="1" applyAlignment="1">
      <alignment horizontal="right" vertical="center"/>
    </xf>
    <xf numFmtId="3" fontId="8" fillId="0" borderId="0" xfId="2" applyNumberFormat="1" applyFont="1" applyAlignment="1">
      <alignment horizontal="right"/>
    </xf>
    <xf numFmtId="0" fontId="8" fillId="0" borderId="1" xfId="10" applyFont="1" applyBorder="1" applyAlignment="1">
      <alignment horizontal="center" vertical="center" wrapText="1"/>
    </xf>
    <xf numFmtId="0" fontId="8" fillId="0" borderId="1" xfId="10" applyFont="1" applyBorder="1" applyAlignment="1">
      <alignment vertical="center" wrapText="1"/>
    </xf>
    <xf numFmtId="37" fontId="8" fillId="0" borderId="2" xfId="10" applyNumberFormat="1" applyFont="1" applyBorder="1"/>
    <xf numFmtId="3" fontId="21" fillId="0" borderId="0" xfId="10" applyNumberFormat="1" applyFont="1" applyAlignment="1">
      <alignment horizontal="right"/>
    </xf>
    <xf numFmtId="0" fontId="8" fillId="0" borderId="0" xfId="10" applyFont="1"/>
    <xf numFmtId="0" fontId="8" fillId="0" borderId="1" xfId="14" applyFont="1" applyBorder="1" applyAlignment="1">
      <alignment vertical="center" wrapText="1"/>
    </xf>
    <xf numFmtId="3" fontId="5" fillId="0" borderId="0" xfId="8" applyNumberFormat="1" applyFont="1" applyAlignment="1">
      <alignment horizontal="left"/>
    </xf>
    <xf numFmtId="3" fontId="5" fillId="3" borderId="0" xfId="8" applyNumberFormat="1" applyFont="1" applyFill="1" applyAlignment="1">
      <alignment horizontal="right"/>
    </xf>
    <xf numFmtId="3" fontId="5" fillId="0" borderId="0" xfId="8" applyNumberFormat="1" applyFont="1"/>
    <xf numFmtId="0" fontId="19" fillId="0" borderId="1" xfId="2" applyFont="1" applyBorder="1"/>
    <xf numFmtId="3" fontId="56" fillId="0" borderId="2" xfId="12" applyNumberFormat="1" applyFont="1" applyBorder="1" applyAlignment="1">
      <alignment horizontal="right"/>
    </xf>
    <xf numFmtId="3" fontId="52" fillId="0" borderId="2" xfId="12" applyNumberFormat="1" applyFont="1" applyBorder="1"/>
    <xf numFmtId="3" fontId="5" fillId="0" borderId="2" xfId="12" applyNumberFormat="1" applyFont="1" applyBorder="1"/>
    <xf numFmtId="3" fontId="27" fillId="0" borderId="2" xfId="12" applyNumberFormat="1" applyFont="1" applyBorder="1"/>
    <xf numFmtId="3" fontId="27" fillId="0" borderId="2" xfId="0" applyNumberFormat="1" applyFont="1" applyBorder="1" applyAlignment="1">
      <alignment horizontal="right"/>
    </xf>
    <xf numFmtId="3" fontId="58" fillId="0" borderId="2" xfId="12" applyNumberFormat="1" applyFont="1" applyBorder="1" applyAlignment="1">
      <alignment horizontal="right"/>
    </xf>
    <xf numFmtId="3" fontId="19" fillId="0" borderId="2" xfId="12" applyNumberFormat="1" applyFont="1" applyBorder="1" applyAlignment="1">
      <alignment horizontal="right"/>
    </xf>
    <xf numFmtId="3" fontId="19" fillId="0" borderId="2" xfId="2" applyNumberFormat="1" applyFont="1" applyBorder="1" applyAlignment="1">
      <alignment horizontal="right"/>
    </xf>
    <xf numFmtId="0" fontId="5" fillId="0" borderId="3" xfId="2" applyFont="1" applyBorder="1"/>
    <xf numFmtId="3" fontId="51" fillId="0" borderId="0" xfId="8" applyNumberFormat="1" applyFont="1" applyAlignment="1">
      <alignment horizontal="right"/>
    </xf>
    <xf numFmtId="171" fontId="51" fillId="0" borderId="0" xfId="8" applyFont="1"/>
    <xf numFmtId="0" fontId="13" fillId="0" borderId="0" xfId="2" applyFont="1" applyAlignment="1">
      <alignment vertical="center"/>
    </xf>
    <xf numFmtId="3" fontId="13" fillId="3" borderId="0" xfId="2" applyNumberFormat="1" applyFont="1" applyFill="1" applyAlignment="1">
      <alignment horizontal="right" vertical="center"/>
    </xf>
    <xf numFmtId="3" fontId="56" fillId="3" borderId="2" xfId="12" applyNumberFormat="1" applyFont="1" applyFill="1" applyBorder="1" applyAlignment="1">
      <alignment horizontal="right"/>
    </xf>
    <xf numFmtId="3" fontId="19" fillId="3" borderId="2" xfId="0" applyNumberFormat="1" applyFont="1" applyFill="1" applyBorder="1" applyAlignment="1">
      <alignment horizontal="right"/>
    </xf>
    <xf numFmtId="3" fontId="19" fillId="3" borderId="2" xfId="12" applyNumberFormat="1" applyFont="1" applyFill="1" applyBorder="1" applyAlignment="1">
      <alignment horizontal="right"/>
    </xf>
    <xf numFmtId="3" fontId="13" fillId="6" borderId="2" xfId="12" applyNumberFormat="1" applyFont="1" applyFill="1" applyBorder="1" applyAlignment="1">
      <alignment horizontal="right" vertical="center"/>
    </xf>
    <xf numFmtId="3" fontId="8" fillId="6" borderId="2" xfId="12" applyNumberFormat="1" applyFont="1" applyFill="1" applyBorder="1" applyAlignment="1">
      <alignment vertical="center"/>
    </xf>
    <xf numFmtId="3" fontId="19" fillId="3" borderId="0" xfId="2" applyNumberFormat="1" applyFont="1" applyFill="1" applyAlignment="1">
      <alignment horizontal="right"/>
    </xf>
    <xf numFmtId="0" fontId="5" fillId="0" borderId="0" xfId="10" applyFont="1"/>
    <xf numFmtId="3" fontId="19" fillId="0" borderId="0" xfId="0" applyNumberFormat="1" applyFont="1" applyAlignment="1">
      <alignment horizontal="right"/>
    </xf>
    <xf numFmtId="3" fontId="8" fillId="0" borderId="0" xfId="10" applyNumberFormat="1" applyFont="1" applyAlignment="1">
      <alignment horizontal="right"/>
    </xf>
    <xf numFmtId="3" fontId="8" fillId="0" borderId="2" xfId="10" applyNumberFormat="1" applyFont="1" applyBorder="1" applyAlignment="1">
      <alignment horizontal="right"/>
    </xf>
    <xf numFmtId="3" fontId="61" fillId="0" borderId="2" xfId="10" applyNumberFormat="1" applyFont="1" applyBorder="1" applyAlignment="1">
      <alignment horizontal="right"/>
    </xf>
    <xf numFmtId="0" fontId="8" fillId="0" borderId="0" xfId="10" quotePrefix="1" applyFont="1" applyAlignment="1">
      <alignment horizontal="left"/>
    </xf>
    <xf numFmtId="3" fontId="8" fillId="0" borderId="0" xfId="10" applyNumberFormat="1" applyFont="1"/>
    <xf numFmtId="3" fontId="8" fillId="0" borderId="0" xfId="10" quotePrefix="1" applyNumberFormat="1" applyFont="1" applyAlignment="1">
      <alignment horizontal="left"/>
    </xf>
    <xf numFmtId="3" fontId="13" fillId="0" borderId="0" xfId="10" applyNumberFormat="1" applyFont="1" applyAlignment="1">
      <alignment horizontal="right"/>
    </xf>
    <xf numFmtId="3" fontId="8" fillId="0" borderId="0" xfId="10" applyNumberFormat="1" applyFont="1" applyAlignment="1">
      <alignment horizontal="center"/>
    </xf>
    <xf numFmtId="3" fontId="8" fillId="0" borderId="4" xfId="10" applyNumberFormat="1" applyFont="1" applyBorder="1" applyAlignment="1">
      <alignment horizontal="right"/>
    </xf>
    <xf numFmtId="3" fontId="5" fillId="0" borderId="4" xfId="10" applyNumberFormat="1" applyFont="1" applyBorder="1"/>
    <xf numFmtId="171" fontId="52" fillId="0" borderId="1" xfId="8" applyFont="1" applyBorder="1"/>
    <xf numFmtId="0" fontId="63" fillId="0" borderId="2" xfId="10" applyFont="1" applyBorder="1"/>
    <xf numFmtId="0" fontId="27" fillId="0" borderId="3" xfId="10" applyFont="1" applyBorder="1" applyAlignment="1">
      <alignment horizontal="left"/>
    </xf>
    <xf numFmtId="37" fontId="27" fillId="0" borderId="3" xfId="10" applyNumberFormat="1" applyFont="1" applyBorder="1"/>
    <xf numFmtId="0" fontId="27" fillId="0" borderId="0" xfId="10" applyFont="1" applyAlignment="1">
      <alignment horizontal="left"/>
    </xf>
    <xf numFmtId="3" fontId="27" fillId="0" borderId="0" xfId="10" applyNumberFormat="1" applyFont="1" applyAlignment="1">
      <alignment horizontal="right"/>
    </xf>
    <xf numFmtId="37" fontId="27" fillId="0" borderId="0" xfId="10" applyNumberFormat="1" applyFont="1"/>
    <xf numFmtId="3" fontId="8" fillId="3" borderId="4" xfId="10" applyNumberFormat="1" applyFont="1" applyFill="1" applyBorder="1" applyAlignment="1">
      <alignment horizontal="right"/>
    </xf>
    <xf numFmtId="0" fontId="27" fillId="0" borderId="6" xfId="10" applyFont="1" applyBorder="1" applyAlignment="1">
      <alignment horizontal="left"/>
    </xf>
    <xf numFmtId="0" fontId="27" fillId="0" borderId="1" xfId="10" applyFont="1" applyBorder="1"/>
    <xf numFmtId="3" fontId="8" fillId="3" borderId="2" xfId="10" applyNumberFormat="1" applyFont="1" applyFill="1" applyBorder="1" applyAlignment="1">
      <alignment horizontal="right"/>
    </xf>
    <xf numFmtId="37" fontId="8" fillId="0" borderId="2" xfId="10" applyNumberFormat="1" applyFont="1" applyBorder="1" applyAlignment="1">
      <alignment vertical="center" wrapText="1"/>
    </xf>
    <xf numFmtId="3" fontId="8" fillId="3" borderId="2" xfId="10" applyNumberFormat="1" applyFont="1" applyFill="1" applyBorder="1" applyAlignment="1">
      <alignment horizontal="right" vertical="center" wrapText="1"/>
    </xf>
    <xf numFmtId="37" fontId="5" fillId="0" borderId="2" xfId="10" applyNumberFormat="1" applyFont="1" applyBorder="1" applyAlignment="1">
      <alignment vertical="center" wrapText="1"/>
    </xf>
    <xf numFmtId="37" fontId="5" fillId="0" borderId="3" xfId="10" applyNumberFormat="1" applyFont="1" applyBorder="1" applyAlignment="1">
      <alignment vertical="center" wrapText="1"/>
    </xf>
    <xf numFmtId="0" fontId="5" fillId="0" borderId="2" xfId="10" quotePrefix="1" applyFont="1" applyBorder="1" applyAlignment="1">
      <alignment horizontal="left"/>
    </xf>
    <xf numFmtId="0" fontId="27" fillId="0" borderId="2" xfId="10" applyFont="1" applyBorder="1" applyAlignment="1">
      <alignment horizontal="left"/>
    </xf>
    <xf numFmtId="3" fontId="64" fillId="0" borderId="2" xfId="10" applyNumberFormat="1" applyFont="1" applyBorder="1" applyAlignment="1">
      <alignment horizontal="right"/>
    </xf>
    <xf numFmtId="171" fontId="5" fillId="0" borderId="2" xfId="8" applyFont="1" applyBorder="1" applyAlignment="1">
      <alignment horizontal="left" vertical="center"/>
    </xf>
    <xf numFmtId="3" fontId="5" fillId="0" borderId="2" xfId="10" applyNumberFormat="1" applyFont="1" applyBorder="1" applyAlignment="1">
      <alignment horizontal="right" vertical="center"/>
    </xf>
    <xf numFmtId="3" fontId="8" fillId="6" borderId="2" xfId="10" applyNumberFormat="1" applyFont="1" applyFill="1" applyBorder="1" applyAlignment="1">
      <alignment horizontal="right" vertical="center" wrapText="1"/>
    </xf>
    <xf numFmtId="0" fontId="8" fillId="0" borderId="2" xfId="10" applyFont="1" applyBorder="1" applyAlignment="1">
      <alignment vertical="center" wrapText="1"/>
    </xf>
    <xf numFmtId="3" fontId="8" fillId="0" borderId="2" xfId="10" applyNumberFormat="1" applyFont="1" applyBorder="1" applyAlignment="1">
      <alignment horizontal="right" vertical="center" wrapText="1"/>
    </xf>
    <xf numFmtId="3" fontId="27" fillId="0" borderId="2" xfId="10" applyNumberFormat="1" applyFont="1" applyBorder="1" applyAlignment="1">
      <alignment horizontal="right"/>
    </xf>
    <xf numFmtId="0" fontId="27" fillId="0" borderId="2" xfId="10" applyFont="1" applyBorder="1"/>
    <xf numFmtId="3" fontId="63" fillId="0" borderId="3" xfId="10" applyNumberFormat="1" applyFont="1" applyBorder="1" applyAlignment="1">
      <alignment horizontal="right"/>
    </xf>
    <xf numFmtId="3" fontId="63" fillId="0" borderId="0" xfId="10" applyNumberFormat="1" applyFont="1" applyAlignment="1">
      <alignment horizontal="right"/>
    </xf>
    <xf numFmtId="3" fontId="5" fillId="3" borderId="2" xfId="2" applyNumberFormat="1" applyFont="1" applyFill="1" applyBorder="1" applyAlignment="1">
      <alignment horizontal="right"/>
    </xf>
    <xf numFmtId="171" fontId="8" fillId="0" borderId="2" xfId="12" applyFont="1" applyBorder="1" applyAlignment="1">
      <alignment horizontal="left" vertical="center" wrapText="1"/>
    </xf>
    <xf numFmtId="3" fontId="13" fillId="3" borderId="2" xfId="12" applyNumberFormat="1" applyFont="1" applyFill="1" applyBorder="1" applyAlignment="1">
      <alignment horizontal="right" vertical="center"/>
    </xf>
    <xf numFmtId="3" fontId="8" fillId="0" borderId="2" xfId="12" applyNumberFormat="1" applyFont="1" applyBorder="1" applyAlignment="1">
      <alignment vertical="center"/>
    </xf>
    <xf numFmtId="3" fontId="19" fillId="3" borderId="3" xfId="12" applyNumberFormat="1" applyFont="1" applyFill="1" applyBorder="1" applyAlignment="1">
      <alignment horizontal="right"/>
    </xf>
    <xf numFmtId="3" fontId="5" fillId="0" borderId="3" xfId="12" applyNumberFormat="1" applyFont="1" applyBorder="1"/>
    <xf numFmtId="0" fontId="8" fillId="0" borderId="0" xfId="13" applyFont="1"/>
    <xf numFmtId="3" fontId="5" fillId="0" borderId="0" xfId="13" applyNumberFormat="1" applyFont="1" applyAlignment="1">
      <alignment horizontal="right"/>
    </xf>
    <xf numFmtId="0" fontId="5" fillId="0" borderId="0" xfId="13" applyFont="1"/>
    <xf numFmtId="0" fontId="5" fillId="0" borderId="1" xfId="13" applyFont="1" applyBorder="1" applyAlignment="1">
      <alignment horizontal="center"/>
    </xf>
    <xf numFmtId="0" fontId="5" fillId="0" borderId="1" xfId="13" applyFont="1" applyBorder="1"/>
    <xf numFmtId="3" fontId="65" fillId="0" borderId="2" xfId="8" applyNumberFormat="1" applyFont="1" applyBorder="1" applyAlignment="1">
      <alignment horizontal="right"/>
    </xf>
    <xf numFmtId="3" fontId="27" fillId="0" borderId="2" xfId="8" applyNumberFormat="1" applyFont="1" applyBorder="1" applyAlignment="1">
      <alignment horizontal="right" vertical="center"/>
    </xf>
    <xf numFmtId="3" fontId="5" fillId="0" borderId="3" xfId="8" applyNumberFormat="1" applyFont="1" applyBorder="1"/>
    <xf numFmtId="3" fontId="8" fillId="0" borderId="2" xfId="8" applyNumberFormat="1" applyFont="1" applyBorder="1" applyAlignment="1">
      <alignment horizontal="right"/>
    </xf>
    <xf numFmtId="3" fontId="5" fillId="0" borderId="2" xfId="8" applyNumberFormat="1" applyFont="1" applyBorder="1" applyAlignment="1">
      <alignment horizontal="left"/>
    </xf>
    <xf numFmtId="3" fontId="5" fillId="0" borderId="2" xfId="2" applyNumberFormat="1" applyFont="1" applyBorder="1" applyAlignment="1">
      <alignment horizontal="left"/>
    </xf>
    <xf numFmtId="3" fontId="8" fillId="0" borderId="2" xfId="8" applyNumberFormat="1" applyFont="1" applyBorder="1" applyAlignment="1">
      <alignment horizontal="left" vertical="center"/>
    </xf>
    <xf numFmtId="3" fontId="5" fillId="0" borderId="3" xfId="2" applyNumberFormat="1" applyFont="1" applyBorder="1" applyAlignment="1">
      <alignment horizontal="left"/>
    </xf>
    <xf numFmtId="3" fontId="5" fillId="0" borderId="3" xfId="2" applyNumberFormat="1" applyFont="1" applyBorder="1" applyAlignment="1">
      <alignment horizontal="right"/>
    </xf>
    <xf numFmtId="3" fontId="5" fillId="0" borderId="3" xfId="2" applyNumberFormat="1" applyFont="1" applyBorder="1"/>
    <xf numFmtId="0" fontId="21" fillId="0" borderId="0" xfId="2" applyFont="1" applyAlignment="1">
      <alignment horizontal="right" vertical="center"/>
    </xf>
    <xf numFmtId="173" fontId="5" fillId="0" borderId="1" xfId="15" applyNumberFormat="1" applyFont="1" applyBorder="1"/>
    <xf numFmtId="3" fontId="5" fillId="0" borderId="1" xfId="8" applyNumberFormat="1" applyFont="1" applyBorder="1"/>
    <xf numFmtId="3" fontId="22" fillId="0" borderId="2" xfId="8" applyNumberFormat="1" applyFont="1" applyBorder="1" applyAlignment="1">
      <alignment horizontal="right"/>
    </xf>
    <xf numFmtId="3" fontId="21" fillId="0" borderId="2" xfId="8" applyNumberFormat="1" applyFont="1" applyBorder="1" applyAlignment="1">
      <alignment horizontal="right"/>
    </xf>
    <xf numFmtId="3" fontId="15" fillId="0" borderId="2" xfId="15" applyNumberFormat="1" applyFont="1" applyBorder="1" applyAlignment="1">
      <alignment horizontal="right"/>
    </xf>
    <xf numFmtId="3" fontId="5" fillId="0" borderId="2" xfId="15" applyNumberFormat="1" applyFont="1" applyBorder="1" applyAlignment="1">
      <alignment horizontal="right"/>
    </xf>
    <xf numFmtId="3" fontId="5" fillId="0" borderId="2" xfId="15" applyNumberFormat="1" applyFont="1" applyBorder="1"/>
    <xf numFmtId="174" fontId="5" fillId="0" borderId="2" xfId="15" applyNumberFormat="1" applyFont="1" applyBorder="1" applyAlignment="1">
      <alignment horizontal="right"/>
    </xf>
    <xf numFmtId="3" fontId="8" fillId="6" borderId="3" xfId="15" applyNumberFormat="1" applyFont="1" applyFill="1" applyBorder="1" applyAlignment="1">
      <alignment horizontal="right" vertical="center"/>
    </xf>
    <xf numFmtId="3" fontId="5" fillId="0" borderId="0" xfId="8" applyNumberFormat="1" applyFont="1" applyAlignment="1">
      <alignment horizontal="center"/>
    </xf>
    <xf numFmtId="173" fontId="8" fillId="0" borderId="0" xfId="15" applyNumberFormat="1" applyFont="1" applyAlignment="1">
      <alignment horizontal="center"/>
    </xf>
    <xf numFmtId="3" fontId="8" fillId="0" borderId="0" xfId="15" applyNumberFormat="1" applyFont="1" applyAlignment="1">
      <alignment horizontal="right"/>
    </xf>
    <xf numFmtId="3" fontId="5" fillId="0" borderId="0" xfId="15" applyNumberFormat="1" applyFont="1" applyAlignment="1">
      <alignment horizontal="right"/>
    </xf>
    <xf numFmtId="0" fontId="5" fillId="0" borderId="0" xfId="8" applyNumberFormat="1" applyFont="1"/>
    <xf numFmtId="3" fontId="24" fillId="0" borderId="2" xfId="15" applyNumberFormat="1" applyFont="1" applyBorder="1" applyAlignment="1">
      <alignment horizontal="right"/>
    </xf>
    <xf numFmtId="3" fontId="24" fillId="0" borderId="2" xfId="8" applyNumberFormat="1" applyFont="1" applyBorder="1" applyAlignment="1">
      <alignment horizontal="right"/>
    </xf>
    <xf numFmtId="173" fontId="5" fillId="0" borderId="2" xfId="15" applyNumberFormat="1" applyFont="1" applyBorder="1" applyAlignment="1">
      <alignment horizontal="right"/>
    </xf>
    <xf numFmtId="0" fontId="24" fillId="0" borderId="2" xfId="15" applyFont="1" applyBorder="1" applyAlignment="1">
      <alignment horizontal="right"/>
    </xf>
    <xf numFmtId="3" fontId="8" fillId="0" borderId="0" xfId="15" applyNumberFormat="1" applyFont="1" applyAlignment="1">
      <alignment horizontal="center" vertical="center"/>
    </xf>
    <xf numFmtId="3" fontId="8" fillId="0" borderId="0" xfId="15" applyNumberFormat="1" applyFont="1" applyAlignment="1">
      <alignment horizontal="right" vertical="center"/>
    </xf>
    <xf numFmtId="3" fontId="8" fillId="0" borderId="0" xfId="15" applyNumberFormat="1" applyFont="1" applyAlignment="1">
      <alignment vertical="center"/>
    </xf>
    <xf numFmtId="173" fontId="27" fillId="0" borderId="2" xfId="15" applyNumberFormat="1" applyFont="1" applyBorder="1"/>
    <xf numFmtId="3" fontId="25" fillId="0" borderId="2" xfId="15" applyNumberFormat="1" applyFont="1" applyBorder="1" applyAlignment="1">
      <alignment horizontal="right"/>
    </xf>
    <xf numFmtId="3" fontId="5" fillId="0" borderId="0" xfId="14" applyNumberFormat="1" applyFont="1" applyAlignment="1">
      <alignment horizontal="center"/>
    </xf>
    <xf numFmtId="3" fontId="5" fillId="0" borderId="0" xfId="14" applyNumberFormat="1" applyFont="1" applyAlignment="1">
      <alignment horizontal="right"/>
    </xf>
    <xf numFmtId="3" fontId="21" fillId="0" borderId="0" xfId="2" applyNumberFormat="1" applyFont="1" applyAlignment="1">
      <alignment horizontal="right" vertical="center"/>
    </xf>
    <xf numFmtId="3" fontId="52" fillId="0" borderId="2" xfId="8" applyNumberFormat="1" applyFont="1" applyBorder="1" applyAlignment="1">
      <alignment vertical="center"/>
    </xf>
    <xf numFmtId="0" fontId="5" fillId="0" borderId="2" xfId="2" applyFont="1" applyBorder="1"/>
    <xf numFmtId="3" fontId="5" fillId="0" borderId="2" xfId="0" applyNumberFormat="1" applyFont="1" applyBorder="1"/>
    <xf numFmtId="3" fontId="21" fillId="6" borderId="2" xfId="8" applyNumberFormat="1" applyFont="1" applyFill="1" applyBorder="1" applyAlignment="1">
      <alignment horizontal="right"/>
    </xf>
    <xf numFmtId="3" fontId="5" fillId="0" borderId="3" xfId="15" applyNumberFormat="1" applyFont="1" applyBorder="1"/>
    <xf numFmtId="3" fontId="5" fillId="0" borderId="0" xfId="15" applyNumberFormat="1" applyFont="1"/>
    <xf numFmtId="3" fontId="13" fillId="0" borderId="0" xfId="2" applyNumberFormat="1" applyFont="1" applyAlignment="1">
      <alignment horizontal="right"/>
    </xf>
    <xf numFmtId="3" fontId="13" fillId="0" borderId="2" xfId="12" applyNumberFormat="1" applyFont="1" applyBorder="1" applyAlignment="1">
      <alignment horizontal="right"/>
    </xf>
    <xf numFmtId="3" fontId="8" fillId="0" borderId="2" xfId="12" applyNumberFormat="1" applyFont="1" applyBorder="1"/>
    <xf numFmtId="3" fontId="27" fillId="0" borderId="2" xfId="0" applyNumberFormat="1" applyFont="1" applyBorder="1"/>
    <xf numFmtId="3" fontId="58" fillId="3" borderId="2" xfId="12" applyNumberFormat="1" applyFont="1" applyFill="1" applyBorder="1" applyAlignment="1">
      <alignment horizontal="right"/>
    </xf>
    <xf numFmtId="3" fontId="66" fillId="0" borderId="2" xfId="12" applyNumberFormat="1" applyFont="1" applyBorder="1" applyAlignment="1">
      <alignment horizontal="right"/>
    </xf>
    <xf numFmtId="3" fontId="59" fillId="0" borderId="2" xfId="0" applyNumberFormat="1" applyFont="1" applyBorder="1"/>
    <xf numFmtId="3" fontId="59" fillId="0" borderId="2" xfId="12" applyNumberFormat="1" applyFont="1" applyBorder="1"/>
    <xf numFmtId="3" fontId="13" fillId="0" borderId="2" xfId="12" applyNumberFormat="1" applyFont="1" applyBorder="1" applyAlignment="1">
      <alignment horizontal="right" vertical="center"/>
    </xf>
    <xf numFmtId="3" fontId="8" fillId="0" borderId="2" xfId="0" applyNumberFormat="1" applyFont="1" applyBorder="1"/>
    <xf numFmtId="0" fontId="27" fillId="0" borderId="2" xfId="2" applyFont="1" applyBorder="1"/>
    <xf numFmtId="3" fontId="66" fillId="0" borderId="3" xfId="12" applyNumberFormat="1" applyFont="1" applyBorder="1" applyAlignment="1">
      <alignment horizontal="right"/>
    </xf>
    <xf numFmtId="3" fontId="59" fillId="0" borderId="3" xfId="0" applyNumberFormat="1" applyFont="1" applyBorder="1"/>
    <xf numFmtId="3" fontId="27" fillId="0" borderId="0" xfId="2" applyNumberFormat="1" applyFont="1" applyAlignment="1">
      <alignment horizontal="right"/>
    </xf>
    <xf numFmtId="3" fontId="66" fillId="0" borderId="0" xfId="2" applyNumberFormat="1" applyFont="1" applyAlignment="1">
      <alignment horizontal="right"/>
    </xf>
    <xf numFmtId="0" fontId="59" fillId="0" borderId="0" xfId="2" applyFont="1"/>
    <xf numFmtId="3" fontId="5" fillId="0" borderId="0" xfId="2" applyNumberFormat="1" applyFont="1" applyAlignment="1">
      <alignment horizontal="center"/>
    </xf>
    <xf numFmtId="3" fontId="8" fillId="0" borderId="2" xfId="2" applyNumberFormat="1" applyFont="1" applyBorder="1" applyAlignment="1">
      <alignment vertical="center"/>
    </xf>
    <xf numFmtId="3" fontId="56" fillId="0" borderId="2" xfId="8" applyNumberFormat="1" applyFont="1" applyBorder="1" applyAlignment="1">
      <alignment horizontal="right" vertical="center"/>
    </xf>
    <xf numFmtId="3" fontId="52" fillId="0" borderId="2" xfId="12" applyNumberFormat="1" applyFont="1" applyBorder="1" applyAlignment="1">
      <alignment horizontal="right" vertical="center"/>
    </xf>
    <xf numFmtId="3" fontId="5" fillId="0" borderId="2" xfId="12" applyNumberFormat="1" applyFont="1" applyBorder="1" applyAlignment="1">
      <alignment horizontal="right"/>
    </xf>
    <xf numFmtId="3" fontId="13" fillId="6" borderId="2" xfId="8" applyNumberFormat="1" applyFont="1" applyFill="1" applyBorder="1" applyAlignment="1">
      <alignment horizontal="right"/>
    </xf>
    <xf numFmtId="3" fontId="8" fillId="6" borderId="2" xfId="12" applyNumberFormat="1" applyFont="1" applyFill="1" applyBorder="1" applyAlignment="1">
      <alignment horizontal="right" vertical="center"/>
    </xf>
    <xf numFmtId="3" fontId="19" fillId="0" borderId="2" xfId="8" applyNumberFormat="1" applyFont="1" applyBorder="1" applyAlignment="1">
      <alignment horizontal="right"/>
    </xf>
    <xf numFmtId="3" fontId="58" fillId="0" borderId="3" xfId="8" applyNumberFormat="1" applyFont="1" applyBorder="1" applyAlignment="1">
      <alignment horizontal="center"/>
    </xf>
    <xf numFmtId="3" fontId="27" fillId="0" borderId="3" xfId="12" applyNumberFormat="1" applyFont="1" applyBorder="1" applyAlignment="1">
      <alignment horizontal="center"/>
    </xf>
    <xf numFmtId="3" fontId="66" fillId="0" borderId="0" xfId="2" applyNumberFormat="1" applyFont="1" applyAlignment="1">
      <alignment horizontal="center"/>
    </xf>
    <xf numFmtId="0" fontId="59" fillId="0" borderId="0" xfId="2" applyFont="1" applyAlignment="1">
      <alignment horizontal="center"/>
    </xf>
    <xf numFmtId="3" fontId="13" fillId="0" borderId="0" xfId="2" applyNumberFormat="1" applyFont="1" applyAlignment="1">
      <alignment horizontal="center"/>
    </xf>
    <xf numFmtId="3" fontId="28" fillId="0" borderId="1" xfId="8" applyNumberFormat="1" applyFont="1" applyBorder="1" applyAlignment="1">
      <alignment horizontal="center" vertical="center" wrapText="1"/>
    </xf>
    <xf numFmtId="171" fontId="28" fillId="0" borderId="1" xfId="8" applyFont="1" applyBorder="1" applyAlignment="1">
      <alignment horizontal="center" vertical="center" wrapText="1"/>
    </xf>
    <xf numFmtId="3" fontId="8" fillId="0" borderId="2" xfId="12" applyNumberFormat="1" applyFont="1" applyBorder="1" applyAlignment="1">
      <alignment horizontal="right"/>
    </xf>
    <xf numFmtId="3" fontId="52" fillId="0" borderId="2" xfId="12" applyNumberFormat="1" applyFont="1" applyBorder="1" applyAlignment="1">
      <alignment horizontal="right"/>
    </xf>
    <xf numFmtId="3" fontId="59" fillId="0" borderId="2" xfId="0" applyNumberFormat="1" applyFont="1" applyBorder="1" applyAlignment="1">
      <alignment horizontal="right"/>
    </xf>
    <xf numFmtId="3" fontId="59" fillId="0" borderId="2" xfId="12" applyNumberFormat="1" applyFont="1" applyBorder="1" applyAlignment="1">
      <alignment horizontal="right"/>
    </xf>
    <xf numFmtId="3" fontId="8" fillId="0" borderId="2" xfId="0" applyNumberFormat="1" applyFont="1" applyBorder="1" applyAlignment="1">
      <alignment horizontal="right"/>
    </xf>
    <xf numFmtId="0" fontId="27" fillId="0" borderId="2" xfId="2" applyFont="1" applyBorder="1" applyAlignment="1">
      <alignment horizontal="right"/>
    </xf>
    <xf numFmtId="3" fontId="66" fillId="0" borderId="3" xfId="12" applyNumberFormat="1" applyFont="1" applyBorder="1" applyAlignment="1">
      <alignment horizontal="center"/>
    </xf>
    <xf numFmtId="3" fontId="59" fillId="0" borderId="3" xfId="0" applyNumberFormat="1" applyFont="1" applyBorder="1" applyAlignment="1">
      <alignment horizontal="center"/>
    </xf>
    <xf numFmtId="3" fontId="27" fillId="0" borderId="0" xfId="2" applyNumberFormat="1" applyFont="1" applyAlignment="1">
      <alignment horizontal="center"/>
    </xf>
    <xf numFmtId="0" fontId="27" fillId="0" borderId="0" xfId="2" applyFont="1" applyAlignment="1">
      <alignment horizontal="center"/>
    </xf>
    <xf numFmtId="171" fontId="8" fillId="0" borderId="2" xfId="8" applyFont="1" applyBorder="1" applyAlignment="1">
      <alignment horizontal="center" vertical="center" wrapText="1"/>
    </xf>
    <xf numFmtId="171" fontId="8" fillId="0" borderId="2" xfId="12" applyFont="1" applyBorder="1" applyAlignment="1">
      <alignment horizontal="center" vertical="center" wrapText="1"/>
    </xf>
    <xf numFmtId="3" fontId="8" fillId="0" borderId="2" xfId="2" applyNumberFormat="1" applyFont="1" applyBorder="1"/>
    <xf numFmtId="3" fontId="5" fillId="0" borderId="2" xfId="2" applyNumberFormat="1" applyFont="1" applyBorder="1" applyAlignment="1">
      <alignment horizontal="center"/>
    </xf>
    <xf numFmtId="3" fontId="5" fillId="0" borderId="3" xfId="12" applyNumberFormat="1" applyFont="1" applyBorder="1" applyAlignment="1">
      <alignment horizontal="center"/>
    </xf>
    <xf numFmtId="3" fontId="5" fillId="0" borderId="3" xfId="8" applyNumberFormat="1" applyFont="1" applyBorder="1" applyAlignment="1">
      <alignment horizontal="center"/>
    </xf>
    <xf numFmtId="3" fontId="27" fillId="3" borderId="2" xfId="12" applyNumberFormat="1" applyFont="1" applyFill="1" applyBorder="1" applyAlignment="1">
      <alignment horizontal="right"/>
    </xf>
    <xf numFmtId="3" fontId="5" fillId="0" borderId="3" xfId="2" applyNumberFormat="1" applyFont="1" applyBorder="1" applyAlignment="1">
      <alignment horizontal="center"/>
    </xf>
    <xf numFmtId="0" fontId="5" fillId="0" borderId="8" xfId="2" applyFont="1" applyBorder="1" applyAlignment="1">
      <alignment horizontal="center"/>
    </xf>
    <xf numFmtId="0" fontId="4" fillId="0" borderId="0" xfId="2" applyFont="1"/>
    <xf numFmtId="0" fontId="9" fillId="0" borderId="0" xfId="2" applyFont="1"/>
    <xf numFmtId="0" fontId="4" fillId="0" borderId="0" xfId="2" applyFont="1" applyAlignment="1">
      <alignment horizontal="center"/>
    </xf>
    <xf numFmtId="0" fontId="17" fillId="0" borderId="0" xfId="2" applyFont="1"/>
    <xf numFmtId="3" fontId="10" fillId="0" borderId="0" xfId="2" applyNumberFormat="1" applyFont="1"/>
    <xf numFmtId="176" fontId="10" fillId="0" borderId="0" xfId="16" applyNumberFormat="1" applyFont="1"/>
    <xf numFmtId="3" fontId="23" fillId="0" borderId="0" xfId="2" applyNumberFormat="1" applyFont="1"/>
    <xf numFmtId="168" fontId="4" fillId="0" borderId="0" xfId="1" applyNumberFormat="1" applyFont="1" applyAlignment="1">
      <alignment vertical="center"/>
    </xf>
    <xf numFmtId="0" fontId="34" fillId="0" borderId="21" xfId="0" applyFont="1" applyBorder="1" applyAlignment="1">
      <alignment vertical="center" wrapText="1" readingOrder="1"/>
    </xf>
    <xf numFmtId="3" fontId="17" fillId="0" borderId="0" xfId="2" applyNumberFormat="1" applyFont="1"/>
    <xf numFmtId="168" fontId="17" fillId="0" borderId="0" xfId="1" applyNumberFormat="1" applyFont="1"/>
    <xf numFmtId="168" fontId="6" fillId="0" borderId="0" xfId="1" applyNumberFormat="1" applyFont="1"/>
    <xf numFmtId="168" fontId="14" fillId="0" borderId="0" xfId="1" applyNumberFormat="1" applyFont="1"/>
    <xf numFmtId="0" fontId="0" fillId="0" borderId="0" xfId="0" applyAlignment="1">
      <alignment horizontal="center" vertical="center"/>
    </xf>
    <xf numFmtId="176" fontId="18" fillId="0" borderId="0" xfId="16" applyNumberFormat="1" applyFont="1"/>
    <xf numFmtId="1" fontId="2" fillId="0" borderId="0" xfId="1" applyNumberFormat="1" applyFont="1" applyBorder="1"/>
    <xf numFmtId="1" fontId="2" fillId="0" borderId="0" xfId="16" applyNumberFormat="1" applyFont="1" applyBorder="1"/>
    <xf numFmtId="175" fontId="13" fillId="0" borderId="7" xfId="12" applyNumberFormat="1" applyFont="1" applyBorder="1" applyAlignment="1">
      <alignment horizontal="center" vertical="center" wrapText="1"/>
    </xf>
    <xf numFmtId="0" fontId="9" fillId="0" borderId="0" xfId="2" applyFont="1" applyAlignment="1">
      <alignment horizontal="center" vertical="center"/>
    </xf>
    <xf numFmtId="3" fontId="8" fillId="0" borderId="0" xfId="12" applyNumberFormat="1" applyFont="1" applyAlignment="1">
      <alignment horizontal="right" vertical="center"/>
    </xf>
    <xf numFmtId="3" fontId="8" fillId="0" borderId="1" xfId="12" applyNumberFormat="1" applyFont="1" applyBorder="1" applyAlignment="1">
      <alignment horizontal="right" vertical="center" wrapText="1"/>
    </xf>
    <xf numFmtId="3" fontId="4" fillId="0" borderId="0" xfId="2" applyNumberFormat="1" applyFont="1" applyAlignment="1">
      <alignment horizontal="center"/>
    </xf>
    <xf numFmtId="9" fontId="4" fillId="0" borderId="0" xfId="16" applyFont="1"/>
    <xf numFmtId="0" fontId="6" fillId="0" borderId="0" xfId="2" applyFont="1" applyAlignment="1">
      <alignment vertical="center"/>
    </xf>
    <xf numFmtId="3" fontId="59" fillId="0" borderId="0" xfId="12" applyNumberFormat="1" applyFont="1" applyAlignment="1">
      <alignment horizontal="right"/>
    </xf>
    <xf numFmtId="171" fontId="8" fillId="0" borderId="6" xfId="8" applyFont="1" applyBorder="1" applyAlignment="1">
      <alignment horizontal="center" vertical="center" wrapText="1"/>
    </xf>
    <xf numFmtId="0" fontId="14" fillId="0" borderId="0" xfId="2" applyFont="1" applyAlignment="1">
      <alignment vertical="center"/>
    </xf>
    <xf numFmtId="0" fontId="9" fillId="0" borderId="4" xfId="2" applyFont="1" applyBorder="1"/>
    <xf numFmtId="3" fontId="14" fillId="0" borderId="0" xfId="2" applyNumberFormat="1" applyFont="1" applyAlignment="1">
      <alignment vertical="center"/>
    </xf>
    <xf numFmtId="0" fontId="6" fillId="0" borderId="0" xfId="13" applyFont="1" applyAlignment="1">
      <alignment vertical="center" wrapText="1"/>
    </xf>
    <xf numFmtId="0" fontId="70" fillId="0" borderId="0" xfId="2" applyFont="1" applyAlignment="1">
      <alignment vertical="center"/>
    </xf>
    <xf numFmtId="0" fontId="17" fillId="0" borderId="0" xfId="2" applyFont="1" applyAlignment="1">
      <alignment horizontal="center"/>
    </xf>
    <xf numFmtId="0" fontId="14" fillId="0" borderId="0" xfId="2" applyFont="1" applyAlignment="1">
      <alignment horizontal="center"/>
    </xf>
    <xf numFmtId="3" fontId="35" fillId="0" borderId="43" xfId="0" applyNumberFormat="1" applyFont="1" applyBorder="1" applyAlignment="1">
      <alignment horizontal="right" vertical="center" wrapText="1" readingOrder="1"/>
    </xf>
    <xf numFmtId="0" fontId="34" fillId="8" borderId="44" xfId="0" applyFont="1" applyFill="1" applyBorder="1" applyAlignment="1">
      <alignment horizontal="left" wrapText="1" readingOrder="1"/>
    </xf>
    <xf numFmtId="3" fontId="4" fillId="0" borderId="0" xfId="2" applyNumberFormat="1" applyFont="1"/>
    <xf numFmtId="3" fontId="34" fillId="8" borderId="47" xfId="0" applyNumberFormat="1" applyFont="1" applyFill="1" applyBorder="1" applyAlignment="1">
      <alignment horizontal="right" vertical="center" wrapText="1" readingOrder="1"/>
    </xf>
    <xf numFmtId="175" fontId="34" fillId="8" borderId="48" xfId="0" applyNumberFormat="1" applyFont="1" applyFill="1" applyBorder="1" applyAlignment="1">
      <alignment horizontal="right" vertical="center" wrapText="1" readingOrder="1"/>
    </xf>
    <xf numFmtId="3" fontId="35" fillId="0" borderId="50" xfId="0" applyNumberFormat="1" applyFont="1" applyBorder="1" applyAlignment="1">
      <alignment horizontal="right" vertical="center" wrapText="1" readingOrder="1"/>
    </xf>
    <xf numFmtId="175" fontId="35" fillId="0" borderId="50" xfId="0" applyNumberFormat="1" applyFont="1" applyBorder="1" applyAlignment="1">
      <alignment horizontal="right" vertical="center" wrapText="1" readingOrder="1"/>
    </xf>
    <xf numFmtId="0" fontId="35" fillId="0" borderId="53" xfId="0" applyFont="1" applyBorder="1" applyAlignment="1">
      <alignment horizontal="left" vertical="center" wrapText="1" readingOrder="1"/>
    </xf>
    <xf numFmtId="3" fontId="35" fillId="0" borderId="54" xfId="0" applyNumberFormat="1" applyFont="1" applyBorder="1" applyAlignment="1">
      <alignment horizontal="right" vertical="center" wrapText="1" readingOrder="1"/>
    </xf>
    <xf numFmtId="175" fontId="35" fillId="0" borderId="55" xfId="0" applyNumberFormat="1" applyFont="1" applyBorder="1" applyAlignment="1">
      <alignment horizontal="right" vertical="center" wrapText="1" readingOrder="1"/>
    </xf>
    <xf numFmtId="0" fontId="35" fillId="0" borderId="56" xfId="0" applyFont="1" applyBorder="1" applyAlignment="1">
      <alignment horizontal="left" vertical="center" wrapText="1" readingOrder="1"/>
    </xf>
    <xf numFmtId="3" fontId="35" fillId="0" borderId="48" xfId="0" applyNumberFormat="1" applyFont="1" applyBorder="1" applyAlignment="1">
      <alignment horizontal="right" vertical="center" wrapText="1" readingOrder="1"/>
    </xf>
    <xf numFmtId="175" fontId="35" fillId="0" borderId="48" xfId="0" applyNumberFormat="1" applyFont="1" applyBorder="1" applyAlignment="1">
      <alignment horizontal="right" vertical="center" wrapText="1" readingOrder="1"/>
    </xf>
    <xf numFmtId="0" fontId="35" fillId="0" borderId="57" xfId="0" applyFont="1" applyBorder="1" applyAlignment="1">
      <alignment horizontal="left" vertical="center" wrapText="1" readingOrder="1"/>
    </xf>
    <xf numFmtId="3" fontId="35" fillId="0" borderId="58" xfId="0" applyNumberFormat="1" applyFont="1" applyBorder="1" applyAlignment="1">
      <alignment horizontal="right" vertical="center" wrapText="1" readingOrder="1"/>
    </xf>
    <xf numFmtId="175" fontId="35" fillId="0" borderId="58" xfId="0" applyNumberFormat="1" applyFont="1" applyBorder="1" applyAlignment="1">
      <alignment horizontal="right" vertical="center" wrapText="1" readingOrder="1"/>
    </xf>
    <xf numFmtId="0" fontId="34" fillId="8" borderId="37" xfId="0" applyFont="1" applyFill="1" applyBorder="1" applyAlignment="1">
      <alignment horizontal="left" vertical="center" wrapText="1" readingOrder="1"/>
    </xf>
    <xf numFmtId="3" fontId="35" fillId="0" borderId="46" xfId="0" applyNumberFormat="1" applyFont="1" applyBorder="1" applyAlignment="1">
      <alignment horizontal="right" vertical="center" wrapText="1" readingOrder="1"/>
    </xf>
    <xf numFmtId="0" fontId="50" fillId="0" borderId="0" xfId="0" applyFont="1" applyAlignment="1">
      <alignment vertical="center"/>
    </xf>
    <xf numFmtId="0" fontId="35" fillId="0" borderId="61" xfId="0" applyFont="1" applyBorder="1" applyAlignment="1">
      <alignment horizontal="left" vertical="center" wrapText="1" readingOrder="1"/>
    </xf>
    <xf numFmtId="0" fontId="35" fillId="0" borderId="52" xfId="0" applyFont="1" applyBorder="1" applyAlignment="1">
      <alignment horizontal="left" vertical="center" wrapText="1" readingOrder="1"/>
    </xf>
    <xf numFmtId="3" fontId="35" fillId="0" borderId="60" xfId="0" applyNumberFormat="1" applyFont="1" applyBorder="1" applyAlignment="1">
      <alignment horizontal="right" vertical="center" wrapText="1" readingOrder="1"/>
    </xf>
    <xf numFmtId="175" fontId="35" fillId="0" borderId="46" xfId="0" applyNumberFormat="1" applyFont="1" applyBorder="1" applyAlignment="1">
      <alignment horizontal="right" vertical="center" wrapText="1" readingOrder="1"/>
    </xf>
    <xf numFmtId="3" fontId="35" fillId="0" borderId="55" xfId="0" applyNumberFormat="1" applyFont="1" applyBorder="1" applyAlignment="1">
      <alignment horizontal="right" vertical="center" wrapText="1" readingOrder="1"/>
    </xf>
    <xf numFmtId="176" fontId="17" fillId="0" borderId="0" xfId="16" applyNumberFormat="1" applyFont="1"/>
    <xf numFmtId="167" fontId="35" fillId="0" borderId="43" xfId="1" applyFont="1" applyBorder="1" applyAlignment="1">
      <alignment horizontal="right" vertical="center" wrapText="1" readingOrder="1"/>
    </xf>
    <xf numFmtId="175" fontId="35" fillId="0" borderId="36" xfId="0" applyNumberFormat="1" applyFont="1" applyBorder="1" applyAlignment="1">
      <alignment horizontal="right" vertical="center" wrapText="1" readingOrder="1"/>
    </xf>
    <xf numFmtId="9" fontId="0" fillId="0" borderId="0" xfId="0" applyNumberFormat="1"/>
    <xf numFmtId="172" fontId="34" fillId="8" borderId="36" xfId="0" applyNumberFormat="1" applyFont="1" applyFill="1" applyBorder="1" applyAlignment="1">
      <alignment horizontal="right" vertical="center" wrapText="1" readingOrder="1"/>
    </xf>
    <xf numFmtId="172" fontId="35" fillId="0" borderId="18" xfId="0" applyNumberFormat="1" applyFont="1" applyBorder="1" applyAlignment="1">
      <alignment horizontal="right" vertical="center" wrapText="1" readingOrder="1"/>
    </xf>
    <xf numFmtId="172" fontId="35" fillId="0" borderId="50" xfId="0" applyNumberFormat="1" applyFont="1" applyBorder="1" applyAlignment="1">
      <alignment horizontal="right" vertical="center" wrapText="1" readingOrder="1"/>
    </xf>
    <xf numFmtId="172" fontId="35" fillId="0" borderId="48" xfId="0" applyNumberFormat="1" applyFont="1" applyBorder="1" applyAlignment="1">
      <alignment horizontal="right" vertical="center" wrapText="1" readingOrder="1"/>
    </xf>
    <xf numFmtId="172" fontId="35" fillId="0" borderId="54" xfId="0" applyNumberFormat="1" applyFont="1" applyBorder="1" applyAlignment="1">
      <alignment horizontal="right" vertical="center" wrapText="1" readingOrder="1"/>
    </xf>
    <xf numFmtId="172" fontId="35" fillId="0" borderId="58" xfId="0" applyNumberFormat="1" applyFont="1" applyBorder="1" applyAlignment="1">
      <alignment horizontal="right" vertical="center" wrapText="1" readingOrder="1"/>
    </xf>
    <xf numFmtId="172" fontId="35" fillId="0" borderId="46" xfId="0" applyNumberFormat="1" applyFont="1" applyBorder="1" applyAlignment="1">
      <alignment horizontal="right" vertical="center" wrapText="1" readingOrder="1"/>
    </xf>
    <xf numFmtId="167" fontId="35" fillId="0" borderId="60" xfId="1" applyFont="1" applyBorder="1" applyAlignment="1">
      <alignment horizontal="right" vertical="center" wrapText="1" readingOrder="1"/>
    </xf>
    <xf numFmtId="0" fontId="35" fillId="0" borderId="26" xfId="0" applyFont="1" applyBorder="1" applyAlignment="1">
      <alignment horizontal="left" vertical="center" wrapText="1" indent="3" readingOrder="1"/>
    </xf>
    <xf numFmtId="0" fontId="35" fillId="0" borderId="59" xfId="0" applyFont="1" applyBorder="1" applyAlignment="1">
      <alignment horizontal="left" vertical="center" wrapText="1" indent="3" readingOrder="1"/>
    </xf>
    <xf numFmtId="0" fontId="13" fillId="0" borderId="0" xfId="2" applyFont="1" applyAlignment="1">
      <alignment horizontal="center"/>
    </xf>
    <xf numFmtId="172" fontId="35" fillId="0" borderId="55" xfId="0" applyNumberFormat="1" applyFont="1" applyBorder="1" applyAlignment="1">
      <alignment horizontal="right" vertical="center" wrapText="1" readingOrder="1"/>
    </xf>
    <xf numFmtId="0" fontId="34" fillId="8" borderId="67" xfId="0" applyFont="1" applyFill="1" applyBorder="1" applyAlignment="1">
      <alignment horizontal="left" wrapText="1" readingOrder="1"/>
    </xf>
    <xf numFmtId="3" fontId="34" fillId="8" borderId="68" xfId="0" applyNumberFormat="1" applyFont="1" applyFill="1" applyBorder="1" applyAlignment="1">
      <alignment horizontal="right" vertical="center" wrapText="1" readingOrder="1"/>
    </xf>
    <xf numFmtId="175" fontId="34" fillId="8" borderId="68" xfId="0" applyNumberFormat="1" applyFont="1" applyFill="1" applyBorder="1" applyAlignment="1">
      <alignment horizontal="right" vertical="center" wrapText="1" readingOrder="1"/>
    </xf>
    <xf numFmtId="172" fontId="34" fillId="8" borderId="68" xfId="0" applyNumberFormat="1" applyFont="1" applyFill="1" applyBorder="1" applyAlignment="1">
      <alignment horizontal="right" vertical="center" wrapText="1" readingOrder="1"/>
    </xf>
    <xf numFmtId="175" fontId="35" fillId="0" borderId="22" xfId="0" applyNumberFormat="1" applyFont="1" applyBorder="1" applyAlignment="1">
      <alignment horizontal="right" vertical="center" wrapText="1" readingOrder="1"/>
    </xf>
    <xf numFmtId="172" fontId="35" fillId="0" borderId="22" xfId="0" applyNumberFormat="1" applyFont="1" applyBorder="1" applyAlignment="1">
      <alignment horizontal="right" vertical="center" wrapText="1" readingOrder="1"/>
    </xf>
    <xf numFmtId="0" fontId="34" fillId="8" borderId="53" xfId="0" applyFont="1" applyFill="1" applyBorder="1" applyAlignment="1">
      <alignment horizontal="left" vertical="center" wrapText="1" readingOrder="1"/>
    </xf>
    <xf numFmtId="3" fontId="34" fillId="8" borderId="54" xfId="0" applyNumberFormat="1" applyFont="1" applyFill="1" applyBorder="1" applyAlignment="1">
      <alignment horizontal="right" vertical="center" wrapText="1" readingOrder="1"/>
    </xf>
    <xf numFmtId="175" fontId="34" fillId="8" borderId="55" xfId="0" applyNumberFormat="1" applyFont="1" applyFill="1" applyBorder="1" applyAlignment="1">
      <alignment horizontal="right" vertical="center" wrapText="1" readingOrder="1"/>
    </xf>
    <xf numFmtId="172" fontId="34" fillId="8" borderId="54" xfId="0" applyNumberFormat="1" applyFont="1" applyFill="1" applyBorder="1" applyAlignment="1">
      <alignment horizontal="right" vertical="center" wrapText="1" readingOrder="1"/>
    </xf>
    <xf numFmtId="0" fontId="34" fillId="8" borderId="56" xfId="0" applyFont="1" applyFill="1" applyBorder="1" applyAlignment="1">
      <alignment horizontal="left" vertical="center" wrapText="1" readingOrder="1"/>
    </xf>
    <xf numFmtId="3" fontId="34" fillId="8" borderId="48" xfId="0" applyNumberFormat="1" applyFont="1" applyFill="1" applyBorder="1" applyAlignment="1">
      <alignment horizontal="right" vertical="center" wrapText="1" readingOrder="1"/>
    </xf>
    <xf numFmtId="172" fontId="34" fillId="8" borderId="48" xfId="0" applyNumberFormat="1" applyFont="1" applyFill="1" applyBorder="1" applyAlignment="1">
      <alignment horizontal="right" vertical="center" wrapText="1" readingOrder="1"/>
    </xf>
    <xf numFmtId="0" fontId="34" fillId="9" borderId="61" xfId="0" applyFont="1" applyFill="1" applyBorder="1" applyAlignment="1">
      <alignment horizontal="left" vertical="center" wrapText="1" readingOrder="1"/>
    </xf>
    <xf numFmtId="172" fontId="35" fillId="9" borderId="36" xfId="0" applyNumberFormat="1" applyFont="1" applyFill="1" applyBorder="1" applyAlignment="1">
      <alignment horizontal="right" vertical="center" wrapText="1" readingOrder="1"/>
    </xf>
    <xf numFmtId="0" fontId="34" fillId="8" borderId="70" xfId="0" applyFont="1" applyFill="1" applyBorder="1" applyAlignment="1">
      <alignment horizontal="left" wrapText="1" readingOrder="1"/>
    </xf>
    <xf numFmtId="3" fontId="34" fillId="8" borderId="55" xfId="0" applyNumberFormat="1" applyFont="1" applyFill="1" applyBorder="1" applyAlignment="1">
      <alignment horizontal="right" vertical="center" wrapText="1" readingOrder="1"/>
    </xf>
    <xf numFmtId="0" fontId="35" fillId="0" borderId="24" xfId="0" applyFont="1" applyBorder="1" applyAlignment="1">
      <alignment horizontal="left" vertical="center" wrapText="1" readingOrder="1"/>
    </xf>
    <xf numFmtId="0" fontId="35" fillId="0" borderId="69" xfId="0" applyFont="1" applyBorder="1" applyAlignment="1">
      <alignment horizontal="left" vertical="center" wrapText="1" readingOrder="1"/>
    </xf>
    <xf numFmtId="0" fontId="35" fillId="0" borderId="71" xfId="0" applyFont="1" applyBorder="1" applyAlignment="1">
      <alignment horizontal="left" vertical="center" wrapText="1" indent="3" readingOrder="1"/>
    </xf>
    <xf numFmtId="0" fontId="35" fillId="0" borderId="72" xfId="0" applyFont="1" applyBorder="1" applyAlignment="1">
      <alignment horizontal="left" vertical="center" wrapText="1" indent="3" readingOrder="1"/>
    </xf>
    <xf numFmtId="0" fontId="35" fillId="0" borderId="17" xfId="0" applyFont="1" applyBorder="1" applyAlignment="1">
      <alignment horizontal="left" vertical="center" wrapText="1" readingOrder="1"/>
    </xf>
    <xf numFmtId="0" fontId="35" fillId="0" borderId="19" xfId="0" applyFont="1" applyBorder="1" applyAlignment="1">
      <alignment horizontal="left" vertical="center" wrapText="1" readingOrder="1"/>
    </xf>
    <xf numFmtId="0" fontId="35" fillId="0" borderId="49" xfId="0" applyFont="1" applyBorder="1" applyAlignment="1">
      <alignment horizontal="left" vertical="center" wrapText="1" readingOrder="1"/>
    </xf>
    <xf numFmtId="0" fontId="35" fillId="0" borderId="51" xfId="0" applyFont="1" applyBorder="1" applyAlignment="1">
      <alignment horizontal="left" vertical="center" wrapText="1" readingOrder="1"/>
    </xf>
    <xf numFmtId="37" fontId="27" fillId="0" borderId="2" xfId="10" applyNumberFormat="1" applyFont="1" applyBorder="1"/>
    <xf numFmtId="3" fontId="8" fillId="6" borderId="2" xfId="10" applyNumberFormat="1" applyFont="1" applyFill="1" applyBorder="1" applyAlignment="1">
      <alignment horizontal="right"/>
    </xf>
    <xf numFmtId="3" fontId="5" fillId="3" borderId="2" xfId="10" applyNumberFormat="1" applyFont="1" applyFill="1" applyBorder="1" applyAlignment="1">
      <alignment horizontal="right"/>
    </xf>
    <xf numFmtId="3" fontId="34" fillId="9" borderId="55" xfId="0" applyNumberFormat="1" applyFont="1" applyFill="1" applyBorder="1" applyAlignment="1">
      <alignment horizontal="right" vertical="center" wrapText="1" readingOrder="1"/>
    </xf>
    <xf numFmtId="3" fontId="34" fillId="9" borderId="36" xfId="0" applyNumberFormat="1" applyFont="1" applyFill="1" applyBorder="1" applyAlignment="1">
      <alignment horizontal="right" vertical="center" wrapText="1" readingOrder="1"/>
    </xf>
    <xf numFmtId="0" fontId="10" fillId="4" borderId="0" xfId="2" applyFont="1" applyFill="1"/>
    <xf numFmtId="176" fontId="4" fillId="4" borderId="0" xfId="16" applyNumberFormat="1" applyFont="1" applyFill="1" applyAlignment="1">
      <alignment horizontal="center"/>
    </xf>
    <xf numFmtId="3" fontId="59" fillId="10" borderId="2" xfId="8" applyNumberFormat="1" applyFont="1" applyFill="1" applyBorder="1"/>
    <xf numFmtId="3" fontId="8" fillId="10" borderId="2" xfId="15" applyNumberFormat="1" applyFont="1" applyFill="1" applyBorder="1"/>
    <xf numFmtId="3" fontId="8" fillId="11" borderId="2" xfId="10" quotePrefix="1" applyNumberFormat="1" applyFont="1" applyFill="1" applyBorder="1" applyAlignment="1">
      <alignment horizontal="left"/>
    </xf>
    <xf numFmtId="3" fontId="8" fillId="11" borderId="3" xfId="10" quotePrefix="1" applyNumberFormat="1" applyFont="1" applyFill="1" applyBorder="1" applyAlignment="1">
      <alignment horizontal="left"/>
    </xf>
    <xf numFmtId="3" fontId="8" fillId="11" borderId="2" xfId="10" quotePrefix="1" applyNumberFormat="1" applyFont="1" applyFill="1" applyBorder="1" applyAlignment="1">
      <alignment horizontal="left" vertical="center"/>
    </xf>
    <xf numFmtId="9" fontId="2" fillId="0" borderId="9" xfId="16" applyFont="1" applyBorder="1" applyAlignment="1"/>
    <xf numFmtId="1" fontId="0" fillId="0" borderId="0" xfId="0" applyNumberFormat="1"/>
    <xf numFmtId="1" fontId="72" fillId="0" borderId="0" xfId="1" applyNumberFormat="1" applyFont="1" applyFill="1" applyBorder="1" applyAlignment="1">
      <alignment horizontal="center" vertical="center"/>
    </xf>
    <xf numFmtId="171" fontId="51" fillId="0" borderId="77" xfId="8" applyFont="1" applyBorder="1" applyAlignment="1">
      <alignment horizontal="left"/>
    </xf>
    <xf numFmtId="3" fontId="5" fillId="0" borderId="77" xfId="8" applyNumberFormat="1" applyFont="1" applyBorder="1" applyAlignment="1">
      <alignment horizontal="left"/>
    </xf>
    <xf numFmtId="0" fontId="8" fillId="0" borderId="79" xfId="10" applyFont="1" applyBorder="1"/>
    <xf numFmtId="3" fontId="8" fillId="0" borderId="78" xfId="10" applyNumberFormat="1" applyFont="1" applyBorder="1" applyAlignment="1">
      <alignment horizontal="right"/>
    </xf>
    <xf numFmtId="3" fontId="5" fillId="0" borderId="78" xfId="10" applyNumberFormat="1" applyFont="1" applyBorder="1" applyAlignment="1">
      <alignment horizontal="right"/>
    </xf>
    <xf numFmtId="0" fontId="5" fillId="0" borderId="79" xfId="10" quotePrefix="1" applyFont="1" applyBorder="1" applyAlignment="1">
      <alignment horizontal="left" vertical="center"/>
    </xf>
    <xf numFmtId="3" fontId="27" fillId="0" borderId="78" xfId="10" applyNumberFormat="1" applyFont="1" applyBorder="1" applyAlignment="1">
      <alignment horizontal="right"/>
    </xf>
    <xf numFmtId="3" fontId="5" fillId="0" borderId="78" xfId="10" applyNumberFormat="1" applyFont="1" applyBorder="1" applyAlignment="1">
      <alignment horizontal="right" vertical="center"/>
    </xf>
    <xf numFmtId="3" fontId="8" fillId="11" borderId="79" xfId="10" quotePrefix="1" applyNumberFormat="1" applyFont="1" applyFill="1" applyBorder="1" applyAlignment="1">
      <alignment horizontal="left"/>
    </xf>
    <xf numFmtId="3" fontId="8" fillId="0" borderId="78" xfId="10" applyNumberFormat="1" applyFont="1" applyBorder="1" applyAlignment="1">
      <alignment horizontal="right" vertical="center" wrapText="1"/>
    </xf>
    <xf numFmtId="171" fontId="8" fillId="0" borderId="1" xfId="8" applyFont="1" applyBorder="1" applyAlignment="1">
      <alignment horizontal="center" vertical="center" wrapText="1"/>
    </xf>
    <xf numFmtId="3" fontId="8" fillId="0" borderId="1" xfId="8" applyNumberFormat="1" applyFont="1" applyBorder="1" applyAlignment="1">
      <alignment horizontal="center" vertical="center" wrapText="1"/>
    </xf>
    <xf numFmtId="37" fontId="10" fillId="0" borderId="0" xfId="2" applyNumberFormat="1" applyFont="1"/>
    <xf numFmtId="3" fontId="35" fillId="0" borderId="25" xfId="0" quotePrefix="1" applyNumberFormat="1" applyFont="1" applyBorder="1" applyAlignment="1">
      <alignment horizontal="right" vertical="center" wrapText="1" readingOrder="1"/>
    </xf>
    <xf numFmtId="10" fontId="0" fillId="0" borderId="0" xfId="0" applyNumberFormat="1"/>
    <xf numFmtId="0" fontId="0" fillId="0" borderId="0" xfId="0" applyAlignment="1">
      <alignment vertical="center"/>
    </xf>
    <xf numFmtId="0" fontId="30" fillId="0" borderId="7" xfId="0" applyFont="1" applyBorder="1" applyAlignment="1">
      <alignment horizontal="center" vertical="center"/>
    </xf>
    <xf numFmtId="0" fontId="30" fillId="0" borderId="10" xfId="0" applyFont="1" applyBorder="1"/>
    <xf numFmtId="3" fontId="0" fillId="0" borderId="7" xfId="0" applyNumberFormat="1" applyBorder="1" applyAlignment="1">
      <alignment horizontal="center" vertical="center"/>
    </xf>
    <xf numFmtId="3" fontId="0" fillId="0" borderId="0" xfId="0" applyNumberFormat="1" applyAlignment="1">
      <alignment vertical="center"/>
    </xf>
    <xf numFmtId="179" fontId="0" fillId="0" borderId="7" xfId="0" applyNumberFormat="1" applyBorder="1" applyAlignment="1">
      <alignment horizontal="center" vertical="center"/>
    </xf>
    <xf numFmtId="180" fontId="0" fillId="0" borderId="7" xfId="0" applyNumberFormat="1" applyBorder="1" applyAlignment="1">
      <alignment horizontal="center" vertical="center"/>
    </xf>
    <xf numFmtId="1" fontId="2" fillId="4" borderId="9" xfId="0" applyNumberFormat="1" applyFont="1" applyFill="1" applyBorder="1" applyAlignment="1">
      <alignment horizontal="center" vertical="center"/>
    </xf>
    <xf numFmtId="3" fontId="29" fillId="0" borderId="0" xfId="0" applyNumberFormat="1" applyFont="1" applyAlignment="1">
      <alignment vertical="center"/>
    </xf>
    <xf numFmtId="1" fontId="2" fillId="0" borderId="0" xfId="0" applyNumberFormat="1" applyFont="1" applyAlignment="1">
      <alignment horizontal="center" vertical="center"/>
    </xf>
    <xf numFmtId="0" fontId="28" fillId="0" borderId="0" xfId="0" applyFont="1" applyAlignment="1">
      <alignment horizontal="left"/>
    </xf>
    <xf numFmtId="1" fontId="2" fillId="2" borderId="0" xfId="0" applyNumberFormat="1" applyFont="1" applyFill="1" applyAlignment="1">
      <alignment horizontal="center" vertical="center"/>
    </xf>
    <xf numFmtId="168" fontId="0" fillId="3" borderId="0" xfId="1" applyNumberFormat="1" applyFont="1" applyFill="1"/>
    <xf numFmtId="168" fontId="2" fillId="0" borderId="0" xfId="0" applyNumberFormat="1" applyFont="1" applyAlignment="1">
      <alignment vertical="center"/>
    </xf>
    <xf numFmtId="0" fontId="30" fillId="0" borderId="0" xfId="0" applyFont="1" applyAlignment="1">
      <alignment vertical="center"/>
    </xf>
    <xf numFmtId="180" fontId="0" fillId="0" borderId="7" xfId="0" applyNumberFormat="1" applyBorder="1"/>
    <xf numFmtId="168" fontId="2" fillId="0" borderId="7" xfId="1" applyNumberFormat="1" applyFont="1" applyBorder="1"/>
    <xf numFmtId="0" fontId="2" fillId="0" borderId="7" xfId="0" applyFont="1" applyBorder="1"/>
    <xf numFmtId="168" fontId="29" fillId="0" borderId="0" xfId="0" applyNumberFormat="1" applyFont="1" applyAlignment="1">
      <alignment vertical="center"/>
    </xf>
    <xf numFmtId="168" fontId="0" fillId="4" borderId="7" xfId="1" applyNumberFormat="1" applyFont="1" applyFill="1" applyBorder="1"/>
    <xf numFmtId="168" fontId="0" fillId="0" borderId="7" xfId="0" applyNumberFormat="1" applyBorder="1"/>
    <xf numFmtId="168" fontId="0" fillId="2" borderId="7" xfId="0" applyNumberFormat="1" applyFill="1" applyBorder="1"/>
    <xf numFmtId="168" fontId="0" fillId="0" borderId="0" xfId="1" applyNumberFormat="1" applyFont="1" applyFill="1"/>
    <xf numFmtId="3" fontId="6" fillId="0" borderId="0" xfId="2" applyNumberFormat="1" applyFont="1" applyAlignment="1">
      <alignment horizontal="center" vertical="center"/>
    </xf>
    <xf numFmtId="3" fontId="14" fillId="0" borderId="0" xfId="12" applyNumberFormat="1" applyFont="1" applyAlignment="1">
      <alignment horizontal="center" vertical="center"/>
    </xf>
    <xf numFmtId="0" fontId="33" fillId="0" borderId="0" xfId="0" applyFont="1"/>
    <xf numFmtId="0" fontId="2" fillId="0" borderId="0" xfId="0" applyFont="1" applyAlignment="1">
      <alignment horizontal="left"/>
    </xf>
    <xf numFmtId="3" fontId="6" fillId="0" borderId="0" xfId="12" applyNumberFormat="1" applyFont="1" applyAlignment="1">
      <alignment horizontal="center" vertical="center"/>
    </xf>
    <xf numFmtId="0" fontId="73" fillId="0" borderId="0" xfId="0" applyFont="1"/>
    <xf numFmtId="3" fontId="73" fillId="0" borderId="0" xfId="0" applyNumberFormat="1" applyFont="1"/>
    <xf numFmtId="0" fontId="0" fillId="4" borderId="0" xfId="0" applyFill="1"/>
    <xf numFmtId="0" fontId="74" fillId="0" borderId="0" xfId="0" applyFont="1"/>
    <xf numFmtId="168" fontId="0" fillId="0" borderId="0" xfId="1" applyNumberFormat="1" applyFont="1" applyFill="1" applyBorder="1"/>
    <xf numFmtId="10" fontId="0" fillId="0" borderId="7" xfId="16" applyNumberFormat="1" applyFont="1" applyBorder="1" applyAlignment="1">
      <alignment horizontal="center" vertical="center"/>
    </xf>
    <xf numFmtId="10" fontId="0" fillId="0" borderId="2" xfId="16" applyNumberFormat="1" applyFont="1" applyFill="1" applyBorder="1" applyAlignment="1">
      <alignment horizontal="center" vertical="center"/>
    </xf>
    <xf numFmtId="10" fontId="2" fillId="0" borderId="7" xfId="16" applyNumberFormat="1" applyFont="1" applyBorder="1" applyAlignment="1">
      <alignment horizontal="center" vertical="center"/>
    </xf>
    <xf numFmtId="3" fontId="0" fillId="3" borderId="7" xfId="0" applyNumberFormat="1" applyFill="1" applyBorder="1" applyAlignment="1">
      <alignment horizontal="center"/>
    </xf>
    <xf numFmtId="10" fontId="0" fillId="0" borderId="0" xfId="16" applyNumberFormat="1" applyFont="1" applyBorder="1"/>
    <xf numFmtId="181" fontId="0" fillId="0" borderId="0" xfId="16" applyNumberFormat="1" applyFont="1" applyFill="1" applyBorder="1"/>
    <xf numFmtId="10" fontId="0" fillId="0" borderId="0" xfId="16" applyNumberFormat="1" applyFont="1" applyFill="1" applyBorder="1"/>
    <xf numFmtId="182" fontId="0" fillId="0" borderId="0" xfId="16" applyNumberFormat="1" applyFont="1" applyFill="1" applyBorder="1"/>
    <xf numFmtId="0" fontId="0" fillId="0" borderId="0" xfId="0" applyAlignment="1">
      <alignment horizontal="center"/>
    </xf>
    <xf numFmtId="168" fontId="0" fillId="0" borderId="0" xfId="1" applyNumberFormat="1" applyFont="1" applyBorder="1"/>
    <xf numFmtId="10" fontId="0" fillId="0" borderId="7" xfId="16" applyNumberFormat="1" applyFont="1" applyBorder="1"/>
    <xf numFmtId="10" fontId="1" fillId="0" borderId="7" xfId="16" applyNumberFormat="1" applyFont="1" applyBorder="1"/>
    <xf numFmtId="10" fontId="1" fillId="0" borderId="7" xfId="16" applyNumberFormat="1" applyFont="1" applyBorder="1" applyAlignment="1">
      <alignment horizontal="center" vertical="center"/>
    </xf>
    <xf numFmtId="3" fontId="0" fillId="0" borderId="7" xfId="0" applyNumberFormat="1" applyBorder="1" applyAlignment="1">
      <alignment horizontal="center"/>
    </xf>
    <xf numFmtId="168" fontId="73" fillId="0" borderId="0" xfId="1" applyNumberFormat="1" applyFont="1" applyFill="1" applyBorder="1"/>
    <xf numFmtId="10" fontId="1" fillId="0" borderId="7" xfId="16" applyNumberFormat="1" applyFont="1" applyBorder="1" applyAlignment="1">
      <alignment horizontal="center"/>
    </xf>
    <xf numFmtId="3" fontId="27" fillId="0" borderId="75" xfId="10" applyNumberFormat="1" applyFont="1" applyBorder="1" applyAlignment="1">
      <alignment horizontal="right"/>
    </xf>
    <xf numFmtId="3" fontId="5" fillId="0" borderId="79" xfId="10" applyNumberFormat="1" applyFont="1" applyBorder="1"/>
    <xf numFmtId="3" fontId="8" fillId="0" borderId="79" xfId="10" applyNumberFormat="1" applyFont="1" applyBorder="1"/>
    <xf numFmtId="169" fontId="3" fillId="0" borderId="0" xfId="26"/>
    <xf numFmtId="168" fontId="3" fillId="0" borderId="0" xfId="27" applyNumberFormat="1" applyFont="1" applyAlignment="1">
      <alignment vertical="center"/>
    </xf>
    <xf numFmtId="169" fontId="3" fillId="0" borderId="0" xfId="26" applyAlignment="1">
      <alignment horizontal="left"/>
    </xf>
    <xf numFmtId="169" fontId="75" fillId="0" borderId="0" xfId="26" applyFont="1" applyAlignment="1">
      <alignment vertical="center"/>
    </xf>
    <xf numFmtId="169" fontId="75" fillId="0" borderId="0" xfId="26" applyFont="1" applyAlignment="1">
      <alignment horizontal="center" vertical="center"/>
    </xf>
    <xf numFmtId="168" fontId="77" fillId="13" borderId="0" xfId="27" applyNumberFormat="1" applyFont="1" applyFill="1" applyAlignment="1">
      <alignment horizontal="center" vertical="center" wrapText="1"/>
    </xf>
    <xf numFmtId="0" fontId="78" fillId="0" borderId="81" xfId="28" applyFont="1" applyBorder="1" applyAlignment="1">
      <alignment horizontal="left" vertical="center"/>
    </xf>
    <xf numFmtId="0" fontId="78" fillId="0" borderId="81" xfId="28" applyFont="1" applyBorder="1" applyAlignment="1">
      <alignment horizontal="right" vertical="center"/>
    </xf>
    <xf numFmtId="0" fontId="78" fillId="3" borderId="81" xfId="28" applyFont="1" applyFill="1" applyBorder="1" applyAlignment="1">
      <alignment horizontal="right" vertical="center"/>
    </xf>
    <xf numFmtId="0" fontId="78" fillId="14" borderId="81" xfId="28" applyFont="1" applyFill="1" applyBorder="1" applyAlignment="1">
      <alignment horizontal="right" vertical="center" wrapText="1"/>
    </xf>
    <xf numFmtId="0" fontId="79" fillId="0" borderId="81" xfId="28" applyFont="1" applyBorder="1" applyAlignment="1">
      <alignment horizontal="left" vertical="center"/>
    </xf>
    <xf numFmtId="3" fontId="80" fillId="0" borderId="81" xfId="28" applyNumberFormat="1" applyFont="1" applyBorder="1"/>
    <xf numFmtId="0" fontId="79" fillId="15" borderId="81" xfId="28" applyFont="1" applyFill="1" applyBorder="1" applyAlignment="1">
      <alignment horizontal="left" vertical="center"/>
    </xf>
    <xf numFmtId="3" fontId="80" fillId="15" borderId="81" xfId="28" applyNumberFormat="1" applyFont="1" applyFill="1" applyBorder="1"/>
    <xf numFmtId="3" fontId="81" fillId="0" borderId="81" xfId="28" applyNumberFormat="1" applyFont="1" applyBorder="1"/>
    <xf numFmtId="183" fontId="3" fillId="0" borderId="0" xfId="26" applyNumberFormat="1" applyAlignment="1">
      <alignment horizontal="left"/>
    </xf>
    <xf numFmtId="0" fontId="3" fillId="0" borderId="0" xfId="26" applyNumberFormat="1"/>
    <xf numFmtId="0" fontId="82" fillId="0" borderId="81" xfId="28" applyFont="1" applyBorder="1" applyAlignment="1">
      <alignment vertical="center"/>
    </xf>
    <xf numFmtId="3" fontId="81" fillId="0" borderId="81" xfId="28" applyNumberFormat="1" applyFont="1" applyBorder="1" applyAlignment="1">
      <alignment vertical="center"/>
    </xf>
    <xf numFmtId="169" fontId="83" fillId="16" borderId="0" xfId="26" applyFont="1" applyFill="1" applyAlignment="1">
      <alignment horizontal="left" wrapText="1"/>
    </xf>
    <xf numFmtId="184" fontId="76" fillId="2" borderId="0" xfId="26" applyNumberFormat="1" applyFont="1" applyFill="1" applyAlignment="1">
      <alignment vertical="center"/>
    </xf>
    <xf numFmtId="185" fontId="76" fillId="2" borderId="0" xfId="26" applyNumberFormat="1" applyFont="1" applyFill="1"/>
    <xf numFmtId="3" fontId="81" fillId="17" borderId="0" xfId="28" applyNumberFormat="1" applyFont="1" applyFill="1"/>
    <xf numFmtId="3" fontId="84" fillId="18" borderId="0" xfId="28" applyNumberFormat="1" applyFont="1" applyFill="1"/>
    <xf numFmtId="3" fontId="81" fillId="18" borderId="0" xfId="28" applyNumberFormat="1" applyFont="1" applyFill="1"/>
    <xf numFmtId="3" fontId="85" fillId="19" borderId="0" xfId="28" applyNumberFormat="1" applyFont="1" applyFill="1"/>
    <xf numFmtId="168" fontId="77" fillId="19" borderId="0" xfId="27" applyNumberFormat="1" applyFont="1" applyFill="1" applyAlignment="1">
      <alignment horizontal="center" vertical="center" wrapText="1"/>
    </xf>
    <xf numFmtId="3" fontId="85" fillId="19" borderId="81" xfId="28" applyNumberFormat="1" applyFont="1" applyFill="1" applyBorder="1"/>
    <xf numFmtId="169" fontId="84" fillId="0" borderId="0" xfId="26" applyFont="1" applyAlignment="1">
      <alignment horizontal="left" wrapText="1"/>
    </xf>
    <xf numFmtId="169" fontId="76" fillId="0" borderId="0" xfId="26" applyFont="1"/>
    <xf numFmtId="0" fontId="2" fillId="0" borderId="0" xfId="28" applyFont="1" applyAlignment="1">
      <alignment vertical="center"/>
    </xf>
    <xf numFmtId="186" fontId="3" fillId="0" borderId="0" xfId="26" applyNumberFormat="1" applyAlignment="1">
      <alignment horizontal="center"/>
    </xf>
    <xf numFmtId="169" fontId="3" fillId="4" borderId="0" xfId="26" applyFill="1"/>
    <xf numFmtId="169" fontId="3" fillId="0" borderId="0" xfId="26" applyAlignment="1">
      <alignment vertical="center"/>
    </xf>
    <xf numFmtId="3" fontId="5" fillId="0" borderId="79" xfId="10" applyNumberFormat="1" applyFont="1" applyBorder="1" applyAlignment="1">
      <alignment horizontal="right"/>
    </xf>
    <xf numFmtId="175" fontId="34" fillId="9" borderId="36" xfId="0" applyNumberFormat="1" applyFont="1" applyFill="1" applyBorder="1" applyAlignment="1">
      <alignment horizontal="right" vertical="center" wrapText="1" readingOrder="1"/>
    </xf>
    <xf numFmtId="9" fontId="5" fillId="0" borderId="0" xfId="16" applyFont="1"/>
    <xf numFmtId="3" fontId="0" fillId="0" borderId="0" xfId="16" applyNumberFormat="1" applyFont="1" applyAlignment="1">
      <alignment horizontal="right" vertical="center"/>
    </xf>
    <xf numFmtId="9" fontId="0" fillId="4" borderId="0" xfId="16" applyFont="1" applyFill="1"/>
    <xf numFmtId="0" fontId="34" fillId="9" borderId="83" xfId="0" applyFont="1" applyFill="1" applyBorder="1" applyAlignment="1">
      <alignment horizontal="left" vertical="center" wrapText="1" readingOrder="1"/>
    </xf>
    <xf numFmtId="3" fontId="34" fillId="9" borderId="84" xfId="0" applyNumberFormat="1" applyFont="1" applyFill="1" applyBorder="1" applyAlignment="1">
      <alignment horizontal="right" vertical="center" wrapText="1" readingOrder="1"/>
    </xf>
    <xf numFmtId="3" fontId="34" fillId="9" borderId="85" xfId="0" applyNumberFormat="1" applyFont="1" applyFill="1" applyBorder="1" applyAlignment="1">
      <alignment horizontal="right" vertical="center" wrapText="1" readingOrder="1"/>
    </xf>
    <xf numFmtId="175" fontId="34" fillId="9" borderId="85" xfId="0" applyNumberFormat="1" applyFont="1" applyFill="1" applyBorder="1" applyAlignment="1">
      <alignment horizontal="right" vertical="center" wrapText="1" readingOrder="1"/>
    </xf>
    <xf numFmtId="175" fontId="34" fillId="9" borderId="86" xfId="0" applyNumberFormat="1" applyFont="1" applyFill="1" applyBorder="1" applyAlignment="1">
      <alignment horizontal="right" vertical="center" wrapText="1" readingOrder="1"/>
    </xf>
    <xf numFmtId="0" fontId="87" fillId="0" borderId="0" xfId="0" applyFont="1"/>
    <xf numFmtId="176" fontId="0" fillId="0" borderId="0" xfId="16" applyNumberFormat="1" applyFont="1"/>
    <xf numFmtId="10" fontId="2" fillId="0" borderId="0" xfId="0" applyNumberFormat="1" applyFont="1"/>
    <xf numFmtId="3" fontId="2" fillId="0" borderId="0" xfId="16" applyNumberFormat="1" applyFont="1"/>
    <xf numFmtId="0" fontId="5" fillId="0" borderId="87" xfId="2" applyFont="1" applyBorder="1"/>
    <xf numFmtId="0" fontId="8" fillId="0" borderId="0" xfId="2" applyFont="1" applyAlignment="1">
      <alignment horizontal="center"/>
    </xf>
    <xf numFmtId="0" fontId="5" fillId="0" borderId="0" xfId="2" applyFont="1" applyAlignment="1">
      <alignment horizontal="right"/>
    </xf>
    <xf numFmtId="0" fontId="8" fillId="0" borderId="0" xfId="2" applyFont="1" applyAlignment="1">
      <alignment horizontal="left" vertical="center"/>
    </xf>
    <xf numFmtId="180" fontId="90" fillId="0" borderId="1" xfId="12" applyNumberFormat="1" applyFont="1" applyBorder="1" applyAlignment="1">
      <alignment horizontal="center" vertical="center" wrapText="1"/>
    </xf>
    <xf numFmtId="171" fontId="8" fillId="0" borderId="79" xfId="8" applyFont="1" applyBorder="1" applyAlignment="1">
      <alignment horizontal="left"/>
    </xf>
    <xf numFmtId="3" fontId="52" fillId="0" borderId="79" xfId="8" applyNumberFormat="1" applyFont="1" applyBorder="1" applyAlignment="1">
      <alignment horizontal="right"/>
    </xf>
    <xf numFmtId="3" fontId="52" fillId="0" borderId="79" xfId="8" applyNumberFormat="1" applyFont="1" applyBorder="1"/>
    <xf numFmtId="171" fontId="5" fillId="0" borderId="79" xfId="8" applyFont="1" applyBorder="1" applyAlignment="1">
      <alignment horizontal="left"/>
    </xf>
    <xf numFmtId="3" fontId="51" fillId="0" borderId="79" xfId="8" applyNumberFormat="1" applyFont="1" applyBorder="1" applyAlignment="1">
      <alignment horizontal="right"/>
    </xf>
    <xf numFmtId="171" fontId="5" fillId="0" borderId="79" xfId="8" applyFont="1" applyBorder="1"/>
    <xf numFmtId="171" fontId="52" fillId="0" borderId="79" xfId="8" applyFont="1" applyBorder="1" applyAlignment="1">
      <alignment horizontal="left"/>
    </xf>
    <xf numFmtId="3" fontId="5" fillId="0" borderId="79" xfId="8" applyNumberFormat="1" applyFont="1" applyBorder="1" applyAlignment="1">
      <alignment horizontal="right"/>
    </xf>
    <xf numFmtId="1" fontId="5" fillId="0" borderId="0" xfId="8" applyNumberFormat="1" applyFont="1" applyAlignment="1">
      <alignment horizontal="right"/>
    </xf>
    <xf numFmtId="15" fontId="5" fillId="0" borderId="0" xfId="2" applyNumberFormat="1" applyFont="1" applyAlignment="1">
      <alignment horizontal="right"/>
    </xf>
    <xf numFmtId="3" fontId="54" fillId="0" borderId="79" xfId="8" applyNumberFormat="1" applyFont="1" applyBorder="1" applyAlignment="1">
      <alignment horizontal="right"/>
    </xf>
    <xf numFmtId="171" fontId="5" fillId="0" borderId="0" xfId="8" applyFont="1" applyAlignment="1">
      <alignment horizontal="left" indent="1"/>
    </xf>
    <xf numFmtId="1" fontId="54" fillId="0" borderId="0" xfId="8" applyNumberFormat="1" applyFont="1" applyAlignment="1">
      <alignment horizontal="right"/>
    </xf>
    <xf numFmtId="0" fontId="5" fillId="0" borderId="0" xfId="2" applyFont="1" applyAlignment="1">
      <alignment horizontal="right" vertical="center"/>
    </xf>
    <xf numFmtId="3" fontId="52" fillId="0" borderId="79" xfId="2" applyNumberFormat="1" applyFont="1" applyBorder="1" applyAlignment="1">
      <alignment horizontal="right"/>
    </xf>
    <xf numFmtId="3" fontId="52" fillId="0" borderId="79" xfId="2" applyNumberFormat="1" applyFont="1" applyBorder="1"/>
    <xf numFmtId="3" fontId="55" fillId="0" borderId="79" xfId="0" applyNumberFormat="1" applyFont="1" applyBorder="1" applyAlignment="1">
      <alignment horizontal="right"/>
    </xf>
    <xf numFmtId="3" fontId="19" fillId="0" borderId="79" xfId="0" applyNumberFormat="1" applyFont="1" applyBorder="1" applyAlignment="1">
      <alignment horizontal="right"/>
    </xf>
    <xf numFmtId="3" fontId="56" fillId="0" borderId="79" xfId="2" applyNumberFormat="1" applyFont="1" applyBorder="1" applyAlignment="1">
      <alignment horizontal="right"/>
    </xf>
    <xf numFmtId="3" fontId="57" fillId="0" borderId="79" xfId="2" applyNumberFormat="1" applyFont="1" applyBorder="1" applyAlignment="1">
      <alignment horizontal="right"/>
    </xf>
    <xf numFmtId="3" fontId="5" fillId="0" borderId="79" xfId="2" applyNumberFormat="1" applyFont="1" applyBorder="1" applyAlignment="1">
      <alignment horizontal="right"/>
    </xf>
    <xf numFmtId="3" fontId="5" fillId="0" borderId="79" xfId="2" applyNumberFormat="1" applyFont="1" applyBorder="1"/>
    <xf numFmtId="3" fontId="15" fillId="0" borderId="79" xfId="2" applyNumberFormat="1" applyFont="1" applyBorder="1" applyAlignment="1">
      <alignment horizontal="right"/>
    </xf>
    <xf numFmtId="3" fontId="58" fillId="0" borderId="79" xfId="0" applyNumberFormat="1" applyFont="1" applyBorder="1" applyAlignment="1">
      <alignment horizontal="right"/>
    </xf>
    <xf numFmtId="3" fontId="27" fillId="0" borderId="79" xfId="2" applyNumberFormat="1" applyFont="1" applyBorder="1"/>
    <xf numFmtId="171" fontId="5" fillId="0" borderId="77" xfId="8" applyFont="1" applyBorder="1" applyAlignment="1">
      <alignment horizontal="left"/>
    </xf>
    <xf numFmtId="3" fontId="8" fillId="0" borderId="79" xfId="8" applyNumberFormat="1" applyFont="1" applyBorder="1"/>
    <xf numFmtId="3" fontId="27" fillId="0" borderId="79" xfId="8" applyNumberFormat="1" applyFont="1" applyBorder="1" applyAlignment="1">
      <alignment horizontal="right"/>
    </xf>
    <xf numFmtId="3" fontId="5" fillId="0" borderId="79" xfId="8" applyNumberFormat="1" applyFont="1" applyBorder="1"/>
    <xf numFmtId="3" fontId="5" fillId="0" borderId="79" xfId="0" applyNumberFormat="1" applyFont="1" applyBorder="1" applyAlignment="1">
      <alignment horizontal="right"/>
    </xf>
    <xf numFmtId="3" fontId="8" fillId="0" borderId="79" xfId="8" applyNumberFormat="1" applyFont="1" applyBorder="1" applyAlignment="1">
      <alignment vertical="center"/>
    </xf>
    <xf numFmtId="3" fontId="8" fillId="0" borderId="79" xfId="8" applyNumberFormat="1" applyFont="1" applyBorder="1" applyAlignment="1">
      <alignment horizontal="right" vertical="center"/>
    </xf>
    <xf numFmtId="0" fontId="52" fillId="0" borderId="79" xfId="10" applyFont="1" applyBorder="1"/>
    <xf numFmtId="3" fontId="51" fillId="0" borderId="79" xfId="2" applyNumberFormat="1" applyFont="1" applyBorder="1" applyAlignment="1">
      <alignment horizontal="right"/>
    </xf>
    <xf numFmtId="0" fontId="51" fillId="0" borderId="79" xfId="2" applyFont="1" applyBorder="1"/>
    <xf numFmtId="0" fontId="59" fillId="0" borderId="79" xfId="10" applyFont="1" applyBorder="1"/>
    <xf numFmtId="0" fontId="5" fillId="0" borderId="79" xfId="10" applyFont="1" applyBorder="1"/>
    <xf numFmtId="3" fontId="8" fillId="0" borderId="79" xfId="10" applyNumberFormat="1" applyFont="1" applyBorder="1" applyAlignment="1">
      <alignment horizontal="right"/>
    </xf>
    <xf numFmtId="3" fontId="59" fillId="0" borderId="79" xfId="10" applyNumberFormat="1" applyFont="1" applyBorder="1" applyAlignment="1">
      <alignment horizontal="right" vertical="center"/>
    </xf>
    <xf numFmtId="3" fontId="52" fillId="0" borderId="79" xfId="10" applyNumberFormat="1" applyFont="1" applyBorder="1" applyAlignment="1">
      <alignment horizontal="right"/>
    </xf>
    <xf numFmtId="0" fontId="21" fillId="0" borderId="0" xfId="10" applyFont="1" applyAlignment="1">
      <alignment horizontal="right"/>
    </xf>
    <xf numFmtId="3" fontId="22" fillId="0" borderId="79" xfId="10" applyNumberFormat="1" applyFont="1" applyBorder="1" applyAlignment="1">
      <alignment horizontal="right"/>
    </xf>
    <xf numFmtId="3" fontId="21" fillId="0" borderId="79" xfId="10" applyNumberFormat="1" applyFont="1" applyBorder="1" applyAlignment="1">
      <alignment horizontal="right"/>
    </xf>
    <xf numFmtId="3" fontId="53" fillId="0" borderId="79" xfId="10" applyNumberFormat="1" applyFont="1" applyBorder="1" applyAlignment="1">
      <alignment horizontal="right"/>
    </xf>
    <xf numFmtId="3" fontId="56" fillId="0" borderId="79" xfId="12" applyNumberFormat="1" applyFont="1" applyBorder="1" applyAlignment="1">
      <alignment horizontal="right"/>
    </xf>
    <xf numFmtId="3" fontId="52" fillId="0" borderId="79" xfId="12" applyNumberFormat="1" applyFont="1" applyBorder="1"/>
    <xf numFmtId="3" fontId="55" fillId="0" borderId="79" xfId="12" applyNumberFormat="1" applyFont="1" applyBorder="1" applyAlignment="1">
      <alignment horizontal="right"/>
    </xf>
    <xf numFmtId="3" fontId="60" fillId="0" borderId="79" xfId="12" applyNumberFormat="1" applyFont="1" applyBorder="1" applyAlignment="1">
      <alignment horizontal="right"/>
    </xf>
    <xf numFmtId="3" fontId="5" fillId="0" borderId="79" xfId="12" applyNumberFormat="1" applyFont="1" applyBorder="1"/>
    <xf numFmtId="3" fontId="27" fillId="0" borderId="79" xfId="12" applyNumberFormat="1" applyFont="1" applyBorder="1"/>
    <xf numFmtId="3" fontId="27" fillId="0" borderId="79" xfId="0" applyNumberFormat="1" applyFont="1" applyBorder="1" applyAlignment="1">
      <alignment horizontal="right"/>
    </xf>
    <xf numFmtId="3" fontId="58" fillId="0" borderId="79" xfId="12" applyNumberFormat="1" applyFont="1" applyBorder="1"/>
    <xf numFmtId="3" fontId="19" fillId="0" borderId="79" xfId="12" applyNumberFormat="1" applyFont="1" applyBorder="1" applyAlignment="1">
      <alignment horizontal="right"/>
    </xf>
    <xf numFmtId="3" fontId="19" fillId="0" borderId="79" xfId="2" applyNumberFormat="1" applyFont="1" applyBorder="1" applyAlignment="1">
      <alignment horizontal="right"/>
    </xf>
    <xf numFmtId="0" fontId="13" fillId="3" borderId="0" xfId="2" applyFont="1" applyFill="1" applyAlignment="1">
      <alignment horizontal="right" vertical="center"/>
    </xf>
    <xf numFmtId="0" fontId="19" fillId="3" borderId="0" xfId="2" applyFont="1" applyFill="1" applyAlignment="1">
      <alignment horizontal="right"/>
    </xf>
    <xf numFmtId="3" fontId="56" fillId="3" borderId="79" xfId="12" applyNumberFormat="1" applyFont="1" applyFill="1" applyBorder="1" applyAlignment="1">
      <alignment horizontal="right"/>
    </xf>
    <xf numFmtId="3" fontId="55" fillId="3" borderId="79" xfId="12" applyNumberFormat="1" applyFont="1" applyFill="1" applyBorder="1" applyAlignment="1">
      <alignment horizontal="right"/>
    </xf>
    <xf numFmtId="3" fontId="19" fillId="3" borderId="79" xfId="12" applyNumberFormat="1" applyFont="1" applyFill="1" applyBorder="1" applyAlignment="1">
      <alignment horizontal="right"/>
    </xf>
    <xf numFmtId="3" fontId="19" fillId="3" borderId="79" xfId="2" applyNumberFormat="1" applyFont="1" applyFill="1" applyBorder="1" applyAlignment="1">
      <alignment horizontal="right"/>
    </xf>
    <xf numFmtId="0" fontId="5" fillId="3" borderId="0" xfId="10" applyFont="1" applyFill="1"/>
    <xf numFmtId="4" fontId="8" fillId="0" borderId="0" xfId="10" applyNumberFormat="1" applyFont="1" applyAlignment="1">
      <alignment horizontal="right"/>
    </xf>
    <xf numFmtId="3" fontId="19" fillId="0" borderId="79" xfId="0" applyNumberFormat="1" applyFont="1" applyBorder="1" applyAlignment="1">
      <alignment vertical="center" wrapText="1"/>
    </xf>
    <xf numFmtId="3" fontId="8" fillId="0" borderId="79" xfId="14" applyNumberFormat="1" applyFont="1" applyBorder="1"/>
    <xf numFmtId="3" fontId="19" fillId="0" borderId="79" xfId="0" applyNumberFormat="1" applyFont="1" applyBorder="1" applyAlignment="1">
      <alignment horizontal="right" vertical="center" wrapText="1"/>
    </xf>
    <xf numFmtId="3" fontId="5" fillId="0" borderId="79" xfId="14" applyNumberFormat="1" applyFont="1" applyBorder="1"/>
    <xf numFmtId="3" fontId="5" fillId="0" borderId="79" xfId="10" applyNumberFormat="1" applyFont="1" applyBorder="1" applyAlignment="1">
      <alignment horizontal="left"/>
    </xf>
    <xf numFmtId="3" fontId="8" fillId="3" borderId="79" xfId="10" applyNumberFormat="1" applyFont="1" applyFill="1" applyBorder="1"/>
    <xf numFmtId="3" fontId="61" fillId="0" borderId="79" xfId="10" applyNumberFormat="1" applyFont="1" applyBorder="1" applyAlignment="1">
      <alignment horizontal="right"/>
    </xf>
    <xf numFmtId="3" fontId="62" fillId="0" borderId="79" xfId="10" applyNumberFormat="1" applyFont="1" applyBorder="1" applyAlignment="1">
      <alignment horizontal="right"/>
    </xf>
    <xf numFmtId="3" fontId="62" fillId="0" borderId="79" xfId="10" applyNumberFormat="1" applyFont="1" applyBorder="1"/>
    <xf numFmtId="3" fontId="5" fillId="0" borderId="79" xfId="10" quotePrefix="1" applyNumberFormat="1" applyFont="1" applyBorder="1" applyAlignment="1">
      <alignment horizontal="left"/>
    </xf>
    <xf numFmtId="37" fontId="27" fillId="0" borderId="75" xfId="10" applyNumberFormat="1" applyFont="1" applyBorder="1" applyAlignment="1">
      <alignment horizontal="right"/>
    </xf>
    <xf numFmtId="37" fontId="5" fillId="0" borderId="75" xfId="10" applyNumberFormat="1" applyFont="1" applyBorder="1" applyAlignment="1">
      <alignment horizontal="right"/>
    </xf>
    <xf numFmtId="37" fontId="27" fillId="0" borderId="0" xfId="10" applyNumberFormat="1" applyFont="1" applyAlignment="1">
      <alignment horizontal="right"/>
    </xf>
    <xf numFmtId="180" fontId="90" fillId="0" borderId="2" xfId="12" applyNumberFormat="1" applyFont="1" applyBorder="1" applyAlignment="1">
      <alignment horizontal="center" vertical="center" wrapText="1"/>
    </xf>
    <xf numFmtId="37" fontId="8" fillId="3" borderId="2" xfId="10" applyNumberFormat="1" applyFont="1" applyFill="1" applyBorder="1" applyAlignment="1">
      <alignment horizontal="right" vertical="center" wrapText="1"/>
    </xf>
    <xf numFmtId="37" fontId="5" fillId="3" borderId="2" xfId="10" applyNumberFormat="1" applyFont="1" applyFill="1" applyBorder="1" applyAlignment="1">
      <alignment horizontal="right"/>
    </xf>
    <xf numFmtId="0" fontId="19" fillId="0" borderId="2" xfId="0" applyFont="1" applyBorder="1"/>
    <xf numFmtId="0" fontId="19" fillId="3" borderId="2" xfId="0" applyFont="1" applyFill="1" applyBorder="1" applyAlignment="1">
      <alignment horizontal="right"/>
    </xf>
    <xf numFmtId="37" fontId="8" fillId="6" borderId="2" xfId="10" applyNumberFormat="1" applyFont="1" applyFill="1" applyBorder="1" applyAlignment="1">
      <alignment horizontal="right"/>
    </xf>
    <xf numFmtId="37" fontId="8" fillId="6" borderId="2" xfId="10" applyNumberFormat="1" applyFont="1" applyFill="1" applyBorder="1" applyAlignment="1">
      <alignment vertical="center" wrapText="1"/>
    </xf>
    <xf numFmtId="37" fontId="5" fillId="0" borderId="2" xfId="10" applyNumberFormat="1" applyFont="1" applyBorder="1" applyAlignment="1">
      <alignment horizontal="right"/>
    </xf>
    <xf numFmtId="37" fontId="8" fillId="0" borderId="2" xfId="10" applyNumberFormat="1" applyFont="1" applyBorder="1" applyAlignment="1">
      <alignment horizontal="right"/>
    </xf>
    <xf numFmtId="37" fontId="8" fillId="6" borderId="2" xfId="10" applyNumberFormat="1" applyFont="1" applyFill="1" applyBorder="1" applyAlignment="1">
      <alignment horizontal="right" vertical="center" wrapText="1"/>
    </xf>
    <xf numFmtId="37" fontId="8" fillId="0" borderId="2" xfId="10" applyNumberFormat="1" applyFont="1" applyBorder="1" applyAlignment="1">
      <alignment horizontal="right" vertical="center" wrapText="1"/>
    </xf>
    <xf numFmtId="0" fontId="27" fillId="0" borderId="2" xfId="10" applyFont="1" applyBorder="1" applyAlignment="1">
      <alignment horizontal="right"/>
    </xf>
    <xf numFmtId="37" fontId="63" fillId="0" borderId="3" xfId="10" applyNumberFormat="1" applyFont="1" applyBorder="1" applyAlignment="1">
      <alignment horizontal="right"/>
    </xf>
    <xf numFmtId="37" fontId="63" fillId="0" borderId="0" xfId="10" applyNumberFormat="1" applyFont="1" applyAlignment="1">
      <alignment horizontal="right"/>
    </xf>
    <xf numFmtId="0" fontId="8" fillId="3" borderId="0" xfId="2" applyFont="1" applyFill="1" applyAlignment="1">
      <alignment vertical="center"/>
    </xf>
    <xf numFmtId="171" fontId="52" fillId="0" borderId="2" xfId="12" applyFont="1" applyBorder="1" applyAlignment="1">
      <alignment horizontal="left"/>
    </xf>
    <xf numFmtId="172" fontId="52" fillId="0" borderId="2" xfId="12" applyNumberFormat="1" applyFont="1" applyBorder="1" applyAlignment="1">
      <alignment horizontal="center"/>
    </xf>
    <xf numFmtId="172" fontId="56" fillId="3" borderId="2" xfId="12" applyNumberFormat="1" applyFont="1" applyFill="1" applyBorder="1" applyAlignment="1">
      <alignment horizontal="right"/>
    </xf>
    <xf numFmtId="171" fontId="5" fillId="0" borderId="2" xfId="12" applyFont="1" applyBorder="1" applyAlignment="1">
      <alignment horizontal="left"/>
    </xf>
    <xf numFmtId="171" fontId="19" fillId="3" borderId="2" xfId="12" applyFont="1" applyFill="1" applyBorder="1" applyAlignment="1">
      <alignment horizontal="right"/>
    </xf>
    <xf numFmtId="171" fontId="5" fillId="0" borderId="3" xfId="12" applyFont="1" applyBorder="1" applyAlignment="1">
      <alignment horizontal="left"/>
    </xf>
    <xf numFmtId="3" fontId="27" fillId="0" borderId="2" xfId="12" applyNumberFormat="1" applyFont="1" applyBorder="1" applyAlignment="1">
      <alignment horizontal="left"/>
    </xf>
    <xf numFmtId="171" fontId="8" fillId="0" borderId="2" xfId="8" applyFont="1" applyBorder="1" applyAlignment="1">
      <alignment horizontal="right"/>
    </xf>
    <xf numFmtId="3" fontId="8" fillId="0" borderId="2" xfId="8" applyNumberFormat="1" applyFont="1" applyBorder="1" applyAlignment="1">
      <alignment horizontal="left"/>
    </xf>
    <xf numFmtId="173" fontId="59" fillId="12" borderId="2" xfId="15" applyNumberFormat="1" applyFont="1" applyFill="1" applyBorder="1"/>
    <xf numFmtId="3" fontId="59" fillId="10" borderId="2" xfId="15" applyNumberFormat="1" applyFont="1" applyFill="1" applyBorder="1" applyAlignment="1">
      <alignment horizontal="right"/>
    </xf>
    <xf numFmtId="3" fontId="59" fillId="10" borderId="2" xfId="0" applyNumberFormat="1" applyFont="1" applyFill="1" applyBorder="1" applyAlignment="1">
      <alignment horizontal="right"/>
    </xf>
    <xf numFmtId="3" fontId="8" fillId="6" borderId="3" xfId="15" applyNumberFormat="1" applyFont="1" applyFill="1" applyBorder="1" applyAlignment="1">
      <alignment vertical="center"/>
    </xf>
    <xf numFmtId="0" fontId="5" fillId="0" borderId="0" xfId="15" applyFont="1" applyAlignment="1">
      <alignment horizontal="right"/>
    </xf>
    <xf numFmtId="0" fontId="5" fillId="0" borderId="2" xfId="0" applyFont="1" applyBorder="1" applyAlignment="1">
      <alignment horizontal="left" indent="1"/>
    </xf>
    <xf numFmtId="0" fontId="5" fillId="0" borderId="2" xfId="2" applyFont="1" applyBorder="1" applyAlignment="1">
      <alignment horizontal="right"/>
    </xf>
    <xf numFmtId="175" fontId="64" fillId="0" borderId="2" xfId="15" applyNumberFormat="1" applyFont="1" applyBorder="1" applyAlignment="1">
      <alignment horizontal="right"/>
    </xf>
    <xf numFmtId="0" fontId="13" fillId="0" borderId="0" xfId="2" applyFont="1" applyAlignment="1">
      <alignment horizontal="right"/>
    </xf>
    <xf numFmtId="0" fontId="19" fillId="0" borderId="0" xfId="2" applyFont="1" applyAlignment="1">
      <alignment horizontal="right"/>
    </xf>
    <xf numFmtId="3" fontId="8" fillId="0" borderId="2" xfId="12" applyNumberFormat="1" applyFont="1" applyBorder="1" applyAlignment="1">
      <alignment horizontal="left"/>
    </xf>
    <xf numFmtId="0" fontId="19" fillId="0" borderId="2" xfId="2" applyFont="1" applyBorder="1" applyAlignment="1">
      <alignment horizontal="right"/>
    </xf>
    <xf numFmtId="3" fontId="59" fillId="0" borderId="2" xfId="12" applyNumberFormat="1" applyFont="1" applyBorder="1" applyAlignment="1">
      <alignment horizontal="left"/>
    </xf>
    <xf numFmtId="3" fontId="8" fillId="0" borderId="2" xfId="12" applyNumberFormat="1" applyFont="1" applyBorder="1" applyAlignment="1">
      <alignment horizontal="center" vertical="center"/>
    </xf>
    <xf numFmtId="3" fontId="59" fillId="0" borderId="3" xfId="12" applyNumberFormat="1" applyFont="1" applyBorder="1" applyAlignment="1">
      <alignment horizontal="left"/>
    </xf>
    <xf numFmtId="0" fontId="27" fillId="0" borderId="0" xfId="2" applyFont="1" applyAlignment="1">
      <alignment horizontal="right"/>
    </xf>
    <xf numFmtId="0" fontId="66" fillId="0" borderId="0" xfId="2" applyFont="1" applyAlignment="1">
      <alignment horizontal="right"/>
    </xf>
    <xf numFmtId="0" fontId="66" fillId="0" borderId="0" xfId="2" applyFont="1" applyAlignment="1">
      <alignment horizontal="center"/>
    </xf>
    <xf numFmtId="0" fontId="19" fillId="0" borderId="0" xfId="2" applyFont="1" applyAlignment="1">
      <alignment horizontal="center"/>
    </xf>
    <xf numFmtId="0" fontId="5" fillId="0" borderId="3" xfId="2" applyFont="1" applyBorder="1" applyAlignment="1">
      <alignment horizontal="center"/>
    </xf>
    <xf numFmtId="171" fontId="8" fillId="0" borderId="2" xfId="12" applyFont="1" applyBorder="1" applyAlignment="1">
      <alignment horizontal="left"/>
    </xf>
    <xf numFmtId="3" fontId="5" fillId="0" borderId="2" xfId="12" applyNumberFormat="1" applyFont="1" applyBorder="1" applyAlignment="1">
      <alignment horizontal="left"/>
    </xf>
    <xf numFmtId="3" fontId="8" fillId="0" borderId="74" xfId="12" applyNumberFormat="1" applyFont="1" applyBorder="1" applyAlignment="1">
      <alignment horizontal="right"/>
    </xf>
    <xf numFmtId="0" fontId="35" fillId="0" borderId="13" xfId="0" applyFont="1" applyBorder="1" applyAlignment="1">
      <alignment horizontal="left" vertical="center" wrapText="1" indent="3" readingOrder="1"/>
    </xf>
    <xf numFmtId="175" fontId="19" fillId="0" borderId="0" xfId="2" applyNumberFormat="1" applyFont="1" applyAlignment="1">
      <alignment horizontal="center"/>
    </xf>
    <xf numFmtId="175" fontId="5" fillId="0" borderId="0" xfId="2" applyNumberFormat="1" applyFont="1" applyAlignment="1">
      <alignment horizontal="center"/>
    </xf>
    <xf numFmtId="3" fontId="8" fillId="0" borderId="7" xfId="12" applyNumberFormat="1" applyFont="1" applyBorder="1" applyAlignment="1">
      <alignment horizontal="center" vertical="center" wrapText="1"/>
    </xf>
    <xf numFmtId="175" fontId="28" fillId="0" borderId="1" xfId="8" applyNumberFormat="1" applyFont="1" applyBorder="1" applyAlignment="1">
      <alignment horizontal="center" vertical="center" wrapText="1"/>
    </xf>
    <xf numFmtId="175" fontId="13" fillId="0" borderId="0" xfId="12" applyNumberFormat="1" applyFont="1" applyAlignment="1">
      <alignment horizontal="center" vertical="center"/>
    </xf>
    <xf numFmtId="175" fontId="13" fillId="0" borderId="1" xfId="12" applyNumberFormat="1" applyFont="1" applyBorder="1" applyAlignment="1">
      <alignment horizontal="center" vertical="center" wrapText="1"/>
    </xf>
    <xf numFmtId="175" fontId="19" fillId="0" borderId="0" xfId="12" applyNumberFormat="1" applyFont="1" applyAlignment="1">
      <alignment horizontal="center"/>
    </xf>
    <xf numFmtId="0" fontId="8" fillId="0" borderId="0" xfId="2" applyFont="1" applyAlignment="1">
      <alignment vertical="center" wrapText="1"/>
    </xf>
    <xf numFmtId="175" fontId="5" fillId="0" borderId="1" xfId="2" applyNumberFormat="1" applyFont="1" applyBorder="1" applyAlignment="1">
      <alignment horizontal="center"/>
    </xf>
    <xf numFmtId="172" fontId="59" fillId="0" borderId="88" xfId="12" applyNumberFormat="1" applyFont="1" applyBorder="1" applyAlignment="1">
      <alignment horizontal="right"/>
    </xf>
    <xf numFmtId="175" fontId="66" fillId="0" borderId="0" xfId="12" applyNumberFormat="1" applyFont="1" applyAlignment="1">
      <alignment horizontal="center"/>
    </xf>
    <xf numFmtId="0" fontId="13" fillId="0" borderId="0" xfId="2" applyFont="1"/>
    <xf numFmtId="175" fontId="19" fillId="0" borderId="1" xfId="2" applyNumberFormat="1" applyFont="1" applyBorder="1" applyAlignment="1">
      <alignment horizontal="center"/>
    </xf>
    <xf numFmtId="175" fontId="5" fillId="0" borderId="89" xfId="2" applyNumberFormat="1" applyFont="1" applyBorder="1" applyAlignment="1">
      <alignment horizontal="center"/>
    </xf>
    <xf numFmtId="175" fontId="27" fillId="0" borderId="0" xfId="2" applyNumberFormat="1" applyFont="1" applyAlignment="1">
      <alignment horizontal="center"/>
    </xf>
    <xf numFmtId="0" fontId="5" fillId="0" borderId="2" xfId="10" quotePrefix="1" applyFont="1" applyBorder="1" applyAlignment="1">
      <alignment horizontal="left" vertical="center"/>
    </xf>
    <xf numFmtId="171" fontId="27" fillId="0" borderId="2" xfId="12" applyFont="1" applyBorder="1" applyAlignment="1">
      <alignment horizontal="left"/>
    </xf>
    <xf numFmtId="3" fontId="2" fillId="4" borderId="9" xfId="0" applyNumberFormat="1" applyFont="1" applyFill="1" applyBorder="1"/>
    <xf numFmtId="3" fontId="2" fillId="0" borderId="0" xfId="0" applyNumberFormat="1" applyFont="1"/>
    <xf numFmtId="3" fontId="2" fillId="2" borderId="0" xfId="0" applyNumberFormat="1" applyFont="1" applyFill="1"/>
    <xf numFmtId="3" fontId="93" fillId="4" borderId="9" xfId="0" applyNumberFormat="1" applyFont="1" applyFill="1" applyBorder="1"/>
    <xf numFmtId="3" fontId="93" fillId="2" borderId="0" xfId="0" applyNumberFormat="1" applyFont="1" applyFill="1"/>
    <xf numFmtId="3" fontId="93" fillId="0" borderId="0" xfId="0" applyNumberFormat="1" applyFont="1"/>
    <xf numFmtId="1" fontId="4" fillId="0" borderId="0" xfId="2" applyNumberFormat="1" applyFont="1" applyAlignment="1">
      <alignment horizontal="center"/>
    </xf>
    <xf numFmtId="0" fontId="10" fillId="0" borderId="0" xfId="2" applyFont="1" applyAlignment="1">
      <alignment horizontal="center"/>
    </xf>
    <xf numFmtId="3" fontId="73" fillId="0" borderId="7" xfId="0" applyNumberFormat="1" applyFont="1" applyBorder="1" applyAlignment="1">
      <alignment vertical="center"/>
    </xf>
    <xf numFmtId="168" fontId="73" fillId="0" borderId="7" xfId="0" applyNumberFormat="1" applyFont="1" applyBorder="1" applyAlignment="1">
      <alignment vertical="center"/>
    </xf>
    <xf numFmtId="3" fontId="42" fillId="0" borderId="7" xfId="0" applyNumberFormat="1" applyFont="1" applyBorder="1"/>
    <xf numFmtId="1" fontId="42" fillId="0" borderId="7" xfId="16" applyNumberFormat="1" applyFont="1" applyFill="1" applyBorder="1"/>
    <xf numFmtId="1" fontId="42" fillId="0" borderId="7" xfId="0" applyNumberFormat="1" applyFont="1" applyBorder="1"/>
    <xf numFmtId="164" fontId="0" fillId="0" borderId="0" xfId="30" applyFont="1"/>
    <xf numFmtId="175" fontId="35" fillId="0" borderId="20" xfId="0" applyNumberFormat="1" applyFont="1" applyBorder="1" applyAlignment="1">
      <alignment horizontal="right" vertical="center" wrapText="1" readingOrder="1"/>
    </xf>
    <xf numFmtId="0" fontId="10" fillId="0" borderId="0" xfId="2" applyFont="1" applyAlignment="1">
      <alignment horizontal="right"/>
    </xf>
    <xf numFmtId="164" fontId="16" fillId="0" borderId="0" xfId="30" applyFont="1" applyFill="1"/>
    <xf numFmtId="176" fontId="23" fillId="0" borderId="0" xfId="16" applyNumberFormat="1" applyFont="1" applyFill="1"/>
    <xf numFmtId="164" fontId="10" fillId="0" borderId="0" xfId="30" applyFont="1" applyFill="1"/>
    <xf numFmtId="0" fontId="35" fillId="0" borderId="66" xfId="0" applyFont="1" applyBorder="1" applyAlignment="1">
      <alignment horizontal="left" vertical="center" wrapText="1" readingOrder="1"/>
    </xf>
    <xf numFmtId="175" fontId="35" fillId="0" borderId="25" xfId="0" applyNumberFormat="1" applyFont="1" applyBorder="1" applyAlignment="1">
      <alignment horizontal="right" vertical="center" wrapText="1" readingOrder="1"/>
    </xf>
    <xf numFmtId="0" fontId="0" fillId="0" borderId="0" xfId="0" applyAlignment="1">
      <alignment horizontal="right"/>
    </xf>
    <xf numFmtId="164" fontId="0" fillId="0" borderId="7" xfId="30" applyFont="1" applyBorder="1"/>
    <xf numFmtId="0" fontId="2" fillId="0" borderId="7" xfId="0" applyFont="1" applyBorder="1" applyAlignment="1">
      <alignment horizontal="center"/>
    </xf>
    <xf numFmtId="175" fontId="35" fillId="0" borderId="91" xfId="0" applyNumberFormat="1" applyFont="1" applyBorder="1" applyAlignment="1">
      <alignment horizontal="right" vertical="center" wrapText="1" readingOrder="1"/>
    </xf>
    <xf numFmtId="175" fontId="35" fillId="0" borderId="90" xfId="0" applyNumberFormat="1" applyFont="1" applyBorder="1" applyAlignment="1">
      <alignment horizontal="right" vertical="center" wrapText="1" readingOrder="1"/>
    </xf>
    <xf numFmtId="3" fontId="35" fillId="0" borderId="93" xfId="0" applyNumberFormat="1" applyFont="1" applyBorder="1" applyAlignment="1">
      <alignment horizontal="right" vertical="center" wrapText="1" readingOrder="1"/>
    </xf>
    <xf numFmtId="3" fontId="35" fillId="0" borderId="92" xfId="0" applyNumberFormat="1" applyFont="1" applyBorder="1" applyAlignment="1">
      <alignment horizontal="right" vertical="center" wrapText="1" readingOrder="1"/>
    </xf>
    <xf numFmtId="3" fontId="35" fillId="0" borderId="20" xfId="0" quotePrefix="1" applyNumberFormat="1" applyFont="1" applyBorder="1" applyAlignment="1">
      <alignment vertical="center" wrapText="1" readingOrder="1"/>
    </xf>
    <xf numFmtId="172" fontId="35" fillId="0" borderId="20" xfId="0" applyNumberFormat="1" applyFont="1" applyBorder="1" applyAlignment="1">
      <alignment vertical="center" wrapText="1" readingOrder="1"/>
    </xf>
    <xf numFmtId="3" fontId="35" fillId="0" borderId="25" xfId="0" quotePrefix="1" applyNumberFormat="1" applyFont="1" applyBorder="1" applyAlignment="1">
      <alignment vertical="center" wrapText="1" readingOrder="1"/>
    </xf>
    <xf numFmtId="172" fontId="35" fillId="0" borderId="25" xfId="0" applyNumberFormat="1" applyFont="1" applyBorder="1" applyAlignment="1">
      <alignment vertical="center" wrapText="1" readingOrder="1"/>
    </xf>
    <xf numFmtId="175" fontId="35" fillId="0" borderId="94" xfId="0" applyNumberFormat="1" applyFont="1" applyBorder="1" applyAlignment="1">
      <alignment horizontal="right" vertical="center" wrapText="1" readingOrder="1"/>
    </xf>
    <xf numFmtId="175" fontId="35" fillId="0" borderId="95" xfId="0" applyNumberFormat="1" applyFont="1" applyBorder="1" applyAlignment="1">
      <alignment horizontal="right" vertical="center" wrapText="1" readingOrder="1"/>
    </xf>
    <xf numFmtId="9" fontId="0" fillId="0" borderId="0" xfId="0" applyNumberFormat="1" applyAlignment="1">
      <alignment horizontal="right"/>
    </xf>
    <xf numFmtId="0" fontId="2" fillId="0" borderId="0" xfId="0" applyFont="1" applyAlignment="1">
      <alignment horizontal="center"/>
    </xf>
    <xf numFmtId="3" fontId="0" fillId="0" borderId="7" xfId="16" applyNumberFormat="1" applyFont="1" applyBorder="1" applyAlignment="1">
      <alignment horizontal="right" vertical="center"/>
    </xf>
    <xf numFmtId="9" fontId="0" fillId="4" borderId="0" xfId="16" applyFont="1" applyFill="1" applyAlignment="1">
      <alignment horizontal="right"/>
    </xf>
    <xf numFmtId="0" fontId="96" fillId="20" borderId="0" xfId="2" applyFont="1" applyFill="1"/>
    <xf numFmtId="3" fontId="95" fillId="20" borderId="0" xfId="0" applyNumberFormat="1" applyFont="1" applyFill="1"/>
    <xf numFmtId="9" fontId="0" fillId="0" borderId="34" xfId="16" applyFont="1" applyFill="1" applyBorder="1"/>
    <xf numFmtId="1" fontId="97" fillId="0" borderId="0" xfId="0" applyNumberFormat="1" applyFont="1"/>
    <xf numFmtId="164" fontId="0" fillId="0" borderId="0" xfId="0" applyNumberFormat="1"/>
    <xf numFmtId="188" fontId="0" fillId="0" borderId="0" xfId="0" applyNumberFormat="1"/>
    <xf numFmtId="164" fontId="0" fillId="0" borderId="0" xfId="16" applyNumberFormat="1" applyFont="1"/>
    <xf numFmtId="0" fontId="96" fillId="0" borderId="0" xfId="2" applyFont="1"/>
    <xf numFmtId="9" fontId="0" fillId="0" borderId="0" xfId="16" applyFont="1" applyAlignment="1">
      <alignment horizontal="right" vertical="center"/>
    </xf>
    <xf numFmtId="164" fontId="42" fillId="2" borderId="0" xfId="30" applyFont="1" applyFill="1" applyBorder="1"/>
    <xf numFmtId="10" fontId="45" fillId="21" borderId="5" xfId="16" applyNumberFormat="1" applyFont="1" applyFill="1" applyBorder="1"/>
    <xf numFmtId="10" fontId="2" fillId="21" borderId="0" xfId="0" applyNumberFormat="1" applyFont="1" applyFill="1"/>
    <xf numFmtId="178" fontId="2" fillId="21" borderId="0" xfId="0" applyNumberFormat="1" applyFont="1" applyFill="1"/>
    <xf numFmtId="168" fontId="2" fillId="21" borderId="0" xfId="0" applyNumberFormat="1" applyFont="1" applyFill="1"/>
    <xf numFmtId="9" fontId="42" fillId="2" borderId="0" xfId="16" applyFont="1" applyFill="1" applyBorder="1"/>
    <xf numFmtId="9" fontId="2" fillId="21" borderId="0" xfId="16" applyFont="1" applyFill="1" applyBorder="1"/>
    <xf numFmtId="3" fontId="94" fillId="14" borderId="48" xfId="0" applyNumberFormat="1" applyFont="1" applyFill="1" applyBorder="1" applyAlignment="1">
      <alignment horizontal="right" vertical="center" wrapText="1" readingOrder="1"/>
    </xf>
    <xf numFmtId="3" fontId="94" fillId="14" borderId="18" xfId="0" applyNumberFormat="1" applyFont="1" applyFill="1" applyBorder="1" applyAlignment="1">
      <alignment horizontal="right" vertical="center" wrapText="1" readingOrder="1"/>
    </xf>
    <xf numFmtId="0" fontId="8" fillId="0" borderId="0" xfId="2" applyFont="1" applyAlignment="1">
      <alignment horizontal="right"/>
    </xf>
    <xf numFmtId="10" fontId="5" fillId="0" borderId="0" xfId="16" applyNumberFormat="1" applyFont="1" applyAlignment="1">
      <alignment horizontal="right"/>
    </xf>
    <xf numFmtId="10" fontId="8" fillId="0" borderId="0" xfId="16" applyNumberFormat="1" applyFont="1" applyAlignment="1">
      <alignment horizontal="right"/>
    </xf>
    <xf numFmtId="9" fontId="10" fillId="0" borderId="0" xfId="16" applyFont="1"/>
    <xf numFmtId="3" fontId="98" fillId="14" borderId="48" xfId="0" applyNumberFormat="1" applyFont="1" applyFill="1" applyBorder="1" applyAlignment="1">
      <alignment horizontal="right" vertical="center" wrapText="1" readingOrder="1"/>
    </xf>
    <xf numFmtId="3" fontId="98" fillId="14" borderId="20" xfId="0" applyNumberFormat="1" applyFont="1" applyFill="1" applyBorder="1" applyAlignment="1">
      <alignment horizontal="right" vertical="center" wrapText="1" readingOrder="1"/>
    </xf>
    <xf numFmtId="3" fontId="98" fillId="14" borderId="18" xfId="0" applyNumberFormat="1" applyFont="1" applyFill="1" applyBorder="1" applyAlignment="1">
      <alignment horizontal="right" vertical="center" wrapText="1" readingOrder="1"/>
    </xf>
    <xf numFmtId="3" fontId="0" fillId="4" borderId="7" xfId="0" applyNumberFormat="1" applyFill="1" applyBorder="1"/>
    <xf numFmtId="3" fontId="0" fillId="4" borderId="7" xfId="0" applyNumberFormat="1" applyFill="1" applyBorder="1" applyAlignment="1">
      <alignment horizontal="center" vertical="center"/>
    </xf>
    <xf numFmtId="3" fontId="0" fillId="4" borderId="7" xfId="0" applyNumberFormat="1" applyFill="1" applyBorder="1" applyAlignment="1">
      <alignment horizontal="center"/>
    </xf>
    <xf numFmtId="3" fontId="99" fillId="0" borderId="7" xfId="0" applyNumberFormat="1" applyFont="1" applyBorder="1" applyAlignment="1">
      <alignment horizontal="center" vertical="center"/>
    </xf>
    <xf numFmtId="3" fontId="99" fillId="0" borderId="7" xfId="0" applyNumberFormat="1" applyFont="1" applyBorder="1"/>
    <xf numFmtId="3" fontId="5" fillId="0" borderId="87" xfId="2" applyNumberFormat="1" applyFont="1" applyBorder="1" applyAlignment="1">
      <alignment horizontal="center"/>
    </xf>
    <xf numFmtId="175" fontId="5" fillId="0" borderId="87" xfId="2" applyNumberFormat="1" applyFont="1" applyBorder="1" applyAlignment="1">
      <alignment horizontal="center"/>
    </xf>
    <xf numFmtId="3" fontId="5" fillId="0" borderId="87" xfId="2" applyNumberFormat="1" applyFont="1" applyBorder="1" applyAlignment="1">
      <alignment horizontal="right"/>
    </xf>
    <xf numFmtId="175" fontId="19" fillId="0" borderId="87" xfId="12" applyNumberFormat="1" applyFont="1" applyBorder="1" applyAlignment="1">
      <alignment horizontal="center"/>
    </xf>
    <xf numFmtId="171" fontId="51" fillId="0" borderId="87" xfId="8" applyFont="1" applyBorder="1" applyAlignment="1">
      <alignment horizontal="left"/>
    </xf>
    <xf numFmtId="171" fontId="19" fillId="0" borderId="87" xfId="12" applyFont="1" applyBorder="1" applyAlignment="1">
      <alignment horizontal="left"/>
    </xf>
    <xf numFmtId="3" fontId="19" fillId="0" borderId="87" xfId="10" applyNumberFormat="1" applyFont="1" applyBorder="1" applyAlignment="1">
      <alignment horizontal="right"/>
    </xf>
    <xf numFmtId="172" fontId="19" fillId="0" borderId="87" xfId="10" applyNumberFormat="1" applyFont="1" applyBorder="1" applyAlignment="1">
      <alignment horizontal="right"/>
    </xf>
    <xf numFmtId="3" fontId="5" fillId="0" borderId="87" xfId="2" applyNumberFormat="1" applyFont="1" applyBorder="1" applyAlignment="1">
      <alignment horizontal="left"/>
    </xf>
    <xf numFmtId="3" fontId="5" fillId="0" borderId="87" xfId="12" applyNumberFormat="1" applyFont="1" applyBorder="1" applyAlignment="1">
      <alignment horizontal="right"/>
    </xf>
    <xf numFmtId="3" fontId="66" fillId="0" borderId="87" xfId="12" applyNumberFormat="1" applyFont="1" applyBorder="1" applyAlignment="1">
      <alignment horizontal="left"/>
    </xf>
    <xf numFmtId="3" fontId="59" fillId="0" borderId="87" xfId="12" applyNumberFormat="1" applyFont="1" applyBorder="1" applyAlignment="1">
      <alignment horizontal="right"/>
    </xf>
    <xf numFmtId="3" fontId="5" fillId="0" borderId="87" xfId="2" applyNumberFormat="1" applyFont="1" applyBorder="1"/>
    <xf numFmtId="3" fontId="27" fillId="0" borderId="87" xfId="8" applyNumberFormat="1" applyFont="1" applyBorder="1" applyAlignment="1">
      <alignment horizontal="center"/>
    </xf>
    <xf numFmtId="175" fontId="66" fillId="0" borderId="87" xfId="12" applyNumberFormat="1" applyFont="1" applyBorder="1" applyAlignment="1">
      <alignment horizontal="center"/>
    </xf>
    <xf numFmtId="3" fontId="13" fillId="0" borderId="87" xfId="12" applyNumberFormat="1" applyFont="1" applyBorder="1" applyAlignment="1">
      <alignment horizontal="left"/>
    </xf>
    <xf numFmtId="3" fontId="8" fillId="0" borderId="87" xfId="12" applyNumberFormat="1" applyFont="1" applyBorder="1"/>
    <xf numFmtId="175" fontId="8" fillId="0" borderId="87" xfId="8" applyNumberFormat="1" applyFont="1" applyBorder="1" applyAlignment="1">
      <alignment horizontal="center" vertical="center"/>
    </xf>
    <xf numFmtId="168" fontId="17" fillId="0" borderId="0" xfId="1" applyNumberFormat="1" applyFont="1" applyAlignment="1">
      <alignment horizontal="center" vertical="center"/>
    </xf>
    <xf numFmtId="0" fontId="4" fillId="0" borderId="0" xfId="16" applyNumberFormat="1" applyFont="1"/>
    <xf numFmtId="189" fontId="0" fillId="0" borderId="0" xfId="1" applyNumberFormat="1" applyFont="1"/>
    <xf numFmtId="0" fontId="100" fillId="0" borderId="0" xfId="0" applyFont="1" applyAlignment="1">
      <alignment horizontal="left" vertical="center"/>
    </xf>
    <xf numFmtId="1" fontId="100" fillId="0" borderId="0" xfId="16" applyNumberFormat="1" applyFont="1" applyFill="1" applyBorder="1" applyAlignment="1">
      <alignment horizontal="left" vertical="center"/>
    </xf>
    <xf numFmtId="1" fontId="100" fillId="4" borderId="0" xfId="16" applyNumberFormat="1" applyFont="1" applyFill="1" applyBorder="1"/>
    <xf numFmtId="1" fontId="100" fillId="0" borderId="0" xfId="16" applyNumberFormat="1" applyFont="1" applyFill="1" applyBorder="1"/>
    <xf numFmtId="0" fontId="100" fillId="4" borderId="0" xfId="0" applyFont="1" applyFill="1" applyAlignment="1">
      <alignment horizontal="left" vertical="center"/>
    </xf>
    <xf numFmtId="0" fontId="8" fillId="0" borderId="96" xfId="10" applyFont="1" applyBorder="1"/>
    <xf numFmtId="0" fontId="8" fillId="0" borderId="96" xfId="10" applyFont="1" applyBorder="1" applyAlignment="1">
      <alignment vertical="center" wrapText="1"/>
    </xf>
    <xf numFmtId="0" fontId="5" fillId="0" borderId="96" xfId="10" applyFont="1" applyBorder="1"/>
    <xf numFmtId="3" fontId="5" fillId="0" borderId="96" xfId="8" applyNumberFormat="1" applyFont="1" applyBorder="1" applyAlignment="1">
      <alignment horizontal="left"/>
    </xf>
    <xf numFmtId="0" fontId="5" fillId="0" borderId="96" xfId="0" applyFont="1" applyBorder="1"/>
    <xf numFmtId="173" fontId="5" fillId="0" borderId="96" xfId="15" applyNumberFormat="1" applyFont="1" applyBorder="1"/>
    <xf numFmtId="171" fontId="8" fillId="0" borderId="96" xfId="8" applyFont="1" applyBorder="1" applyAlignment="1">
      <alignment horizontal="left"/>
    </xf>
    <xf numFmtId="173" fontId="59" fillId="12" borderId="96" xfId="15" applyNumberFormat="1" applyFont="1" applyFill="1" applyBorder="1"/>
    <xf numFmtId="0" fontId="5" fillId="0" borderId="96" xfId="15" applyFont="1" applyBorder="1"/>
    <xf numFmtId="171" fontId="52" fillId="0" borderId="96" xfId="8" applyFont="1" applyBorder="1" applyAlignment="1">
      <alignment horizontal="left"/>
    </xf>
    <xf numFmtId="173" fontId="5" fillId="0" borderId="96" xfId="15" applyNumberFormat="1" applyFont="1" applyBorder="1" applyAlignment="1">
      <alignment horizontal="left"/>
    </xf>
    <xf numFmtId="171" fontId="8" fillId="0" borderId="96" xfId="8" applyFont="1" applyBorder="1" applyAlignment="1">
      <alignment horizontal="center" vertical="center" wrapText="1"/>
    </xf>
    <xf numFmtId="0" fontId="52" fillId="0" borderId="96" xfId="2" applyFont="1" applyBorder="1"/>
    <xf numFmtId="0" fontId="5" fillId="0" borderId="96" xfId="2" applyFont="1" applyBorder="1"/>
    <xf numFmtId="0" fontId="27" fillId="0" borderId="96" xfId="13" applyFont="1" applyBorder="1"/>
    <xf numFmtId="9" fontId="101" fillId="0" borderId="0" xfId="16" applyFont="1"/>
    <xf numFmtId="3" fontId="101" fillId="0" borderId="0" xfId="0" applyNumberFormat="1" applyFont="1"/>
    <xf numFmtId="176" fontId="101" fillId="0" borderId="0" xfId="16" applyNumberFormat="1" applyFont="1"/>
    <xf numFmtId="1" fontId="52" fillId="0" borderId="2" xfId="8" applyNumberFormat="1" applyFont="1" applyBorder="1" applyAlignment="1">
      <alignment horizontal="right"/>
    </xf>
    <xf numFmtId="3" fontId="51" fillId="0" borderId="2" xfId="8" applyNumberFormat="1" applyFont="1" applyBorder="1" applyAlignment="1">
      <alignment horizontal="right"/>
    </xf>
    <xf numFmtId="1" fontId="51" fillId="0" borderId="2" xfId="8" applyNumberFormat="1" applyFont="1" applyBorder="1" applyAlignment="1">
      <alignment horizontal="right"/>
    </xf>
    <xf numFmtId="1" fontId="19" fillId="0" borderId="2" xfId="8" applyNumberFormat="1" applyFont="1" applyBorder="1" applyAlignment="1">
      <alignment horizontal="right"/>
    </xf>
    <xf numFmtId="37" fontId="5" fillId="0" borderId="2" xfId="8" applyNumberFormat="1" applyFont="1" applyBorder="1"/>
    <xf numFmtId="3" fontId="5" fillId="0" borderId="2" xfId="9" applyNumberFormat="1" applyFont="1" applyBorder="1" applyAlignment="1">
      <alignment horizontal="right" vertical="top" wrapText="1"/>
    </xf>
    <xf numFmtId="171" fontId="5" fillId="0" borderId="2" xfId="8" applyFont="1" applyBorder="1"/>
    <xf numFmtId="1" fontId="5" fillId="0" borderId="2" xfId="8" applyNumberFormat="1" applyFont="1" applyBorder="1" applyAlignment="1">
      <alignment horizontal="right"/>
    </xf>
    <xf numFmtId="187" fontId="5" fillId="0" borderId="2" xfId="0" applyNumberFormat="1" applyFont="1" applyBorder="1" applyAlignment="1">
      <alignment horizontal="right" vertical="top" wrapText="1"/>
    </xf>
    <xf numFmtId="3" fontId="8" fillId="6" borderId="2" xfId="8" applyNumberFormat="1" applyFont="1" applyFill="1" applyBorder="1" applyAlignment="1">
      <alignment horizontal="right"/>
    </xf>
    <xf numFmtId="37" fontId="8" fillId="6" borderId="2" xfId="8" applyNumberFormat="1" applyFont="1" applyFill="1" applyBorder="1"/>
    <xf numFmtId="1" fontId="5" fillId="0" borderId="3" xfId="8" applyNumberFormat="1" applyFont="1" applyBorder="1" applyAlignment="1">
      <alignment horizontal="right"/>
    </xf>
    <xf numFmtId="37" fontId="5" fillId="0" borderId="3" xfId="8" applyNumberFormat="1" applyFont="1" applyBorder="1"/>
    <xf numFmtId="171" fontId="5" fillId="0" borderId="2" xfId="8" applyFont="1" applyBorder="1" applyAlignment="1">
      <alignment horizontal="left" indent="1"/>
    </xf>
    <xf numFmtId="3" fontId="54" fillId="0" borderId="2" xfId="8" applyNumberFormat="1" applyFont="1" applyBorder="1" applyAlignment="1">
      <alignment horizontal="right"/>
    </xf>
    <xf numFmtId="1" fontId="54" fillId="0" borderId="2" xfId="8" applyNumberFormat="1" applyFont="1" applyBorder="1" applyAlignment="1">
      <alignment horizontal="right"/>
    </xf>
    <xf numFmtId="3" fontId="13" fillId="6" borderId="3" xfId="12" applyNumberFormat="1" applyFont="1" applyFill="1" applyBorder="1" applyAlignment="1">
      <alignment horizontal="right" vertical="center"/>
    </xf>
    <xf numFmtId="171" fontId="13" fillId="6" borderId="3" xfId="12" applyFont="1" applyFill="1" applyBorder="1" applyAlignment="1">
      <alignment horizontal="right" vertical="center"/>
    </xf>
    <xf numFmtId="37" fontId="8" fillId="6" borderId="3" xfId="8" applyNumberFormat="1" applyFont="1" applyFill="1" applyBorder="1"/>
    <xf numFmtId="171" fontId="8" fillId="0" borderId="2" xfId="8" applyFont="1" applyBorder="1" applyAlignment="1">
      <alignment vertical="center" wrapText="1"/>
    </xf>
    <xf numFmtId="3" fontId="55" fillId="0" borderId="2" xfId="0" applyNumberFormat="1" applyFont="1" applyBorder="1" applyAlignment="1">
      <alignment horizontal="right"/>
    </xf>
    <xf numFmtId="3" fontId="19" fillId="0" borderId="2" xfId="0" applyNumberFormat="1" applyFont="1" applyBorder="1" applyAlignment="1">
      <alignment horizontal="right"/>
    </xf>
    <xf numFmtId="3" fontId="57" fillId="0" borderId="2" xfId="2" applyNumberFormat="1" applyFont="1" applyBorder="1" applyAlignment="1">
      <alignment horizontal="right"/>
    </xf>
    <xf numFmtId="3" fontId="15" fillId="0" borderId="2" xfId="2" applyNumberFormat="1" applyFont="1" applyBorder="1" applyAlignment="1">
      <alignment horizontal="right"/>
    </xf>
    <xf numFmtId="3" fontId="58" fillId="0" borderId="2" xfId="0" applyNumberFormat="1" applyFont="1" applyBorder="1" applyAlignment="1">
      <alignment horizontal="right"/>
    </xf>
    <xf numFmtId="3" fontId="27" fillId="0" borderId="2" xfId="2" applyNumberFormat="1" applyFont="1" applyBorder="1"/>
    <xf numFmtId="3" fontId="8" fillId="6" borderId="2" xfId="2" applyNumberFormat="1" applyFont="1" applyFill="1" applyBorder="1" applyAlignment="1">
      <alignment horizontal="right" vertical="center"/>
    </xf>
    <xf numFmtId="3" fontId="8" fillId="6" borderId="2" xfId="2" applyNumberFormat="1" applyFont="1" applyFill="1" applyBorder="1" applyAlignment="1">
      <alignment vertical="center"/>
    </xf>
    <xf numFmtId="3" fontId="51" fillId="0" borderId="3" xfId="8" applyNumberFormat="1" applyFont="1" applyBorder="1" applyAlignment="1">
      <alignment horizontal="right" vertical="center"/>
    </xf>
    <xf numFmtId="3" fontId="5" fillId="0" borderId="3" xfId="14" applyNumberFormat="1" applyFont="1" applyBorder="1"/>
    <xf numFmtId="171" fontId="5" fillId="0" borderId="2" xfId="8" applyFont="1" applyBorder="1" applyAlignment="1">
      <alignment horizontal="right"/>
    </xf>
    <xf numFmtId="3" fontId="8" fillId="0" borderId="3" xfId="8" applyNumberFormat="1" applyFont="1" applyBorder="1" applyAlignment="1">
      <alignment horizontal="left" vertical="center"/>
    </xf>
    <xf numFmtId="3" fontId="8" fillId="0" borderId="3" xfId="8" applyNumberFormat="1" applyFont="1" applyBorder="1" applyAlignment="1">
      <alignment horizontal="right" vertical="center"/>
    </xf>
    <xf numFmtId="3" fontId="59" fillId="0" borderId="3" xfId="8" applyNumberFormat="1" applyFont="1" applyBorder="1" applyAlignment="1">
      <alignment horizontal="right" vertical="center"/>
    </xf>
    <xf numFmtId="3" fontId="8" fillId="0" borderId="3" xfId="14" applyNumberFormat="1" applyFont="1" applyBorder="1"/>
    <xf numFmtId="0" fontId="52" fillId="0" borderId="2" xfId="10" applyFont="1" applyBorder="1"/>
    <xf numFmtId="37" fontId="52" fillId="0" borderId="2" xfId="10" applyNumberFormat="1" applyFont="1" applyBorder="1" applyAlignment="1">
      <alignment horizontal="right"/>
    </xf>
    <xf numFmtId="37" fontId="52" fillId="0" borderId="2" xfId="10" applyNumberFormat="1" applyFont="1" applyBorder="1"/>
    <xf numFmtId="3" fontId="51" fillId="0" borderId="2" xfId="2" applyNumberFormat="1" applyFont="1" applyBorder="1" applyAlignment="1">
      <alignment horizontal="right"/>
    </xf>
    <xf numFmtId="0" fontId="51" fillId="0" borderId="2" xfId="2" applyFont="1" applyBorder="1" applyAlignment="1">
      <alignment horizontal="right"/>
    </xf>
    <xf numFmtId="0" fontId="59" fillId="0" borderId="2" xfId="10" applyFont="1" applyBorder="1"/>
    <xf numFmtId="3" fontId="59" fillId="0" borderId="2" xfId="10" applyNumberFormat="1" applyFont="1" applyBorder="1" applyAlignment="1">
      <alignment horizontal="right"/>
    </xf>
    <xf numFmtId="37" fontId="59" fillId="0" borderId="2" xfId="10" applyNumberFormat="1" applyFont="1" applyBorder="1" applyAlignment="1">
      <alignment vertical="center"/>
    </xf>
    <xf numFmtId="0" fontId="5" fillId="0" borderId="2" xfId="10" applyFont="1" applyBorder="1"/>
    <xf numFmtId="0" fontId="5" fillId="0" borderId="2" xfId="10" applyFont="1" applyBorder="1" applyAlignment="1">
      <alignment horizontal="right"/>
    </xf>
    <xf numFmtId="37" fontId="8" fillId="6" borderId="2" xfId="10" applyNumberFormat="1" applyFont="1" applyFill="1" applyBorder="1" applyAlignment="1">
      <alignment horizontal="right" vertical="center"/>
    </xf>
    <xf numFmtId="37" fontId="8" fillId="6" borderId="2" xfId="10" applyNumberFormat="1" applyFont="1" applyFill="1" applyBorder="1" applyAlignment="1">
      <alignment vertical="center"/>
    </xf>
    <xf numFmtId="37" fontId="59" fillId="0" borderId="2" xfId="10" applyNumberFormat="1" applyFont="1" applyBorder="1" applyAlignment="1">
      <alignment horizontal="right" vertical="center"/>
    </xf>
    <xf numFmtId="3" fontId="59" fillId="0" borderId="2" xfId="10" applyNumberFormat="1" applyFont="1" applyBorder="1" applyAlignment="1">
      <alignment horizontal="right" vertical="center"/>
    </xf>
    <xf numFmtId="0" fontId="5" fillId="0" borderId="3" xfId="10" applyFont="1" applyBorder="1"/>
    <xf numFmtId="37" fontId="5" fillId="0" borderId="3" xfId="10" applyNumberFormat="1" applyFont="1" applyBorder="1" applyAlignment="1">
      <alignment horizontal="right" vertical="center"/>
    </xf>
    <xf numFmtId="3" fontId="5" fillId="0" borderId="3" xfId="10" applyNumberFormat="1" applyFont="1" applyBorder="1" applyAlignment="1">
      <alignment horizontal="right" vertical="center"/>
    </xf>
    <xf numFmtId="37" fontId="5" fillId="0" borderId="3" xfId="10" applyNumberFormat="1" applyFont="1" applyBorder="1"/>
    <xf numFmtId="3" fontId="52" fillId="0" borderId="2" xfId="10" applyNumberFormat="1" applyFont="1" applyBorder="1" applyAlignment="1">
      <alignment horizontal="right"/>
    </xf>
    <xf numFmtId="3" fontId="15" fillId="5" borderId="2" xfId="10" applyNumberFormat="1" applyFont="1" applyFill="1" applyBorder="1" applyAlignment="1">
      <alignment horizontal="right"/>
    </xf>
    <xf numFmtId="37" fontId="8" fillId="0" borderId="2" xfId="10" applyNumberFormat="1" applyFont="1" applyBorder="1" applyAlignment="1">
      <alignment vertical="center"/>
    </xf>
    <xf numFmtId="3" fontId="8" fillId="6" borderId="2" xfId="10" applyNumberFormat="1" applyFont="1" applyFill="1" applyBorder="1" applyAlignment="1">
      <alignment horizontal="right" vertical="center"/>
    </xf>
    <xf numFmtId="3" fontId="5" fillId="0" borderId="3" xfId="10" applyNumberFormat="1" applyFont="1" applyBorder="1" applyAlignment="1">
      <alignment horizontal="right"/>
    </xf>
    <xf numFmtId="37" fontId="5" fillId="0" borderId="3" xfId="10" applyNumberFormat="1" applyFont="1" applyBorder="1" applyAlignment="1">
      <alignment horizontal="right"/>
    </xf>
    <xf numFmtId="3" fontId="22" fillId="0" borderId="2" xfId="10" applyNumberFormat="1" applyFont="1" applyBorder="1" applyAlignment="1">
      <alignment horizontal="right"/>
    </xf>
    <xf numFmtId="37" fontId="22" fillId="0" borderId="2" xfId="10" applyNumberFormat="1" applyFont="1" applyBorder="1" applyAlignment="1">
      <alignment horizontal="right"/>
    </xf>
    <xf numFmtId="0" fontId="22" fillId="0" borderId="2" xfId="10" applyFont="1" applyBorder="1" applyAlignment="1">
      <alignment horizontal="right"/>
    </xf>
    <xf numFmtId="3" fontId="21" fillId="0" borderId="2" xfId="10" applyNumberFormat="1" applyFont="1" applyBorder="1" applyAlignment="1">
      <alignment horizontal="right"/>
    </xf>
    <xf numFmtId="37" fontId="21" fillId="0" borderId="2" xfId="10" applyNumberFormat="1" applyFont="1" applyBorder="1" applyAlignment="1">
      <alignment horizontal="right"/>
    </xf>
    <xf numFmtId="0" fontId="5" fillId="0" borderId="2" xfId="10" applyFont="1" applyBorder="1" applyAlignment="1">
      <alignment horizontal="left" indent="2"/>
    </xf>
    <xf numFmtId="37" fontId="53" fillId="0" borderId="2" xfId="10" applyNumberFormat="1" applyFont="1" applyBorder="1" applyAlignment="1">
      <alignment horizontal="right"/>
    </xf>
    <xf numFmtId="3" fontId="5" fillId="0" borderId="2" xfId="10" applyNumberFormat="1" applyFont="1" applyBorder="1"/>
    <xf numFmtId="3" fontId="53" fillId="0" borderId="2" xfId="10" applyNumberFormat="1" applyFont="1" applyBorder="1" applyAlignment="1">
      <alignment horizontal="right"/>
    </xf>
    <xf numFmtId="0" fontId="53" fillId="0" borderId="2" xfId="10" applyFont="1" applyBorder="1" applyAlignment="1">
      <alignment horizontal="right"/>
    </xf>
    <xf numFmtId="3" fontId="21" fillId="6" borderId="2" xfId="10" applyNumberFormat="1" applyFont="1" applyFill="1" applyBorder="1" applyAlignment="1">
      <alignment horizontal="right" vertical="center"/>
    </xf>
    <xf numFmtId="3" fontId="53" fillId="0" borderId="3" xfId="10" applyNumberFormat="1" applyFont="1" applyBorder="1" applyAlignment="1">
      <alignment horizontal="right"/>
    </xf>
    <xf numFmtId="37" fontId="53" fillId="0" borderId="3" xfId="10" applyNumberFormat="1" applyFont="1" applyBorder="1" applyAlignment="1">
      <alignment horizontal="right"/>
    </xf>
    <xf numFmtId="3" fontId="55" fillId="0" borderId="2" xfId="12" applyNumberFormat="1" applyFont="1" applyBorder="1" applyAlignment="1">
      <alignment horizontal="right"/>
    </xf>
    <xf numFmtId="3" fontId="60" fillId="0" borderId="2" xfId="12" applyNumberFormat="1" applyFont="1" applyBorder="1" applyAlignment="1">
      <alignment horizontal="right"/>
    </xf>
    <xf numFmtId="3" fontId="58" fillId="0" borderId="2" xfId="10" applyNumberFormat="1" applyFont="1" applyBorder="1" applyAlignment="1">
      <alignment horizontal="right"/>
    </xf>
    <xf numFmtId="3" fontId="58" fillId="0" borderId="2" xfId="12" applyNumberFormat="1" applyFont="1" applyBorder="1"/>
    <xf numFmtId="3" fontId="19" fillId="0" borderId="3" xfId="2" applyNumberFormat="1" applyFont="1" applyBorder="1" applyAlignment="1">
      <alignment horizontal="right"/>
    </xf>
    <xf numFmtId="0" fontId="19" fillId="0" borderId="3" xfId="2" applyFont="1" applyBorder="1" applyAlignment="1">
      <alignment horizontal="right"/>
    </xf>
    <xf numFmtId="3" fontId="55" fillId="3" borderId="2" xfId="12" applyNumberFormat="1" applyFont="1" applyFill="1" applyBorder="1" applyAlignment="1">
      <alignment horizontal="right"/>
    </xf>
    <xf numFmtId="172" fontId="60" fillId="3" borderId="2" xfId="12" applyNumberFormat="1" applyFont="1" applyFill="1" applyBorder="1" applyAlignment="1">
      <alignment horizontal="right"/>
    </xf>
    <xf numFmtId="3" fontId="5" fillId="3" borderId="2" xfId="0" applyNumberFormat="1" applyFont="1" applyFill="1" applyBorder="1" applyAlignment="1">
      <alignment horizontal="right"/>
    </xf>
    <xf numFmtId="3" fontId="19" fillId="3" borderId="2" xfId="2" applyNumberFormat="1" applyFont="1" applyFill="1" applyBorder="1" applyAlignment="1">
      <alignment horizontal="right"/>
    </xf>
    <xf numFmtId="3" fontId="19" fillId="3" borderId="3" xfId="2" applyNumberFormat="1" applyFont="1" applyFill="1" applyBorder="1" applyAlignment="1">
      <alignment horizontal="right"/>
    </xf>
    <xf numFmtId="0" fontId="19" fillId="3" borderId="3" xfId="2" applyFont="1" applyFill="1" applyBorder="1" applyAlignment="1">
      <alignment horizontal="right"/>
    </xf>
    <xf numFmtId="3" fontId="5" fillId="0" borderId="2" xfId="0" applyNumberFormat="1" applyFont="1" applyBorder="1" applyAlignment="1">
      <alignment vertical="center" wrapText="1"/>
    </xf>
    <xf numFmtId="3" fontId="19" fillId="0" borderId="2" xfId="0" applyNumberFormat="1" applyFont="1" applyBorder="1" applyAlignment="1">
      <alignment vertical="center" wrapText="1"/>
    </xf>
    <xf numFmtId="3" fontId="52" fillId="0" borderId="2" xfId="12" applyNumberFormat="1" applyFont="1" applyBorder="1" applyAlignment="1">
      <alignment horizontal="left"/>
    </xf>
    <xf numFmtId="3" fontId="8" fillId="0" borderId="2" xfId="14" applyNumberFormat="1" applyFont="1" applyBorder="1"/>
    <xf numFmtId="3" fontId="19" fillId="0" borderId="2" xfId="0" applyNumberFormat="1" applyFont="1" applyBorder="1" applyAlignment="1">
      <alignment horizontal="right" vertical="center" wrapText="1"/>
    </xf>
    <xf numFmtId="3" fontId="5" fillId="0" borderId="2" xfId="14" applyNumberFormat="1" applyFont="1" applyBorder="1"/>
    <xf numFmtId="3" fontId="5" fillId="0" borderId="2" xfId="10" applyNumberFormat="1" applyFont="1" applyBorder="1" applyAlignment="1">
      <alignment horizontal="left"/>
    </xf>
    <xf numFmtId="3" fontId="8" fillId="3" borderId="2" xfId="10" applyNumberFormat="1" applyFont="1" applyFill="1" applyBorder="1"/>
    <xf numFmtId="3" fontId="8" fillId="0" borderId="2" xfId="10" applyNumberFormat="1" applyFont="1" applyBorder="1"/>
    <xf numFmtId="3" fontId="62" fillId="0" borderId="2" xfId="10" applyNumberFormat="1" applyFont="1" applyBorder="1" applyAlignment="1">
      <alignment horizontal="right"/>
    </xf>
    <xf numFmtId="3" fontId="62" fillId="0" borderId="2" xfId="10" applyNumberFormat="1" applyFont="1" applyBorder="1"/>
    <xf numFmtId="3" fontId="5" fillId="0" borderId="2" xfId="10" quotePrefix="1" applyNumberFormat="1" applyFont="1" applyBorder="1" applyAlignment="1">
      <alignment horizontal="left"/>
    </xf>
    <xf numFmtId="3" fontId="5" fillId="0" borderId="2" xfId="14" applyNumberFormat="1" applyFont="1" applyBorder="1" applyAlignment="1">
      <alignment horizontal="right"/>
    </xf>
    <xf numFmtId="3" fontId="13" fillId="6" borderId="3" xfId="10" applyNumberFormat="1" applyFont="1" applyFill="1" applyBorder="1" applyAlignment="1">
      <alignment horizontal="right"/>
    </xf>
    <xf numFmtId="3" fontId="13" fillId="6" borderId="3" xfId="10" applyNumberFormat="1" applyFont="1" applyFill="1" applyBorder="1"/>
    <xf numFmtId="3" fontId="8" fillId="6" borderId="3" xfId="10" applyNumberFormat="1" applyFont="1" applyFill="1" applyBorder="1"/>
    <xf numFmtId="3" fontId="5" fillId="0" borderId="2" xfId="0" applyNumberFormat="1" applyFont="1" applyBorder="1" applyAlignment="1">
      <alignment vertical="center"/>
    </xf>
    <xf numFmtId="37" fontId="52" fillId="0" borderId="2" xfId="14" applyNumberFormat="1" applyFont="1" applyBorder="1" applyAlignment="1">
      <alignment vertical="center" wrapText="1"/>
    </xf>
    <xf numFmtId="3" fontId="8" fillId="0" borderId="97" xfId="10" applyNumberFormat="1" applyFont="1" applyBorder="1" applyAlignment="1">
      <alignment horizontal="right"/>
    </xf>
    <xf numFmtId="37" fontId="8" fillId="0" borderId="97" xfId="10" applyNumberFormat="1" applyFont="1" applyBorder="1" applyAlignment="1">
      <alignment horizontal="right"/>
    </xf>
    <xf numFmtId="3" fontId="5" fillId="0" borderId="97" xfId="10" applyNumberFormat="1" applyFont="1" applyBorder="1" applyAlignment="1">
      <alignment horizontal="right"/>
    </xf>
    <xf numFmtId="37" fontId="5" fillId="0" borderId="97" xfId="10" applyNumberFormat="1" applyFont="1" applyBorder="1" applyAlignment="1">
      <alignment horizontal="right"/>
    </xf>
    <xf numFmtId="37" fontId="27" fillId="0" borderId="97" xfId="10" applyNumberFormat="1" applyFont="1" applyBorder="1" applyAlignment="1">
      <alignment horizontal="right" vertical="center"/>
    </xf>
    <xf numFmtId="37" fontId="5" fillId="0" borderId="97" xfId="10" applyNumberFormat="1" applyFont="1" applyBorder="1" applyAlignment="1">
      <alignment horizontal="right" vertical="center"/>
    </xf>
    <xf numFmtId="3" fontId="5" fillId="0" borderId="97" xfId="10" applyNumberFormat="1" applyFont="1" applyBorder="1" applyAlignment="1">
      <alignment horizontal="right" vertical="center"/>
    </xf>
    <xf numFmtId="3" fontId="8" fillId="0" borderId="97" xfId="10" applyNumberFormat="1" applyFont="1" applyBorder="1" applyAlignment="1">
      <alignment horizontal="right" vertical="center" wrapText="1"/>
    </xf>
    <xf numFmtId="37" fontId="8" fillId="0" borderId="97" xfId="10" applyNumberFormat="1" applyFont="1" applyBorder="1" applyAlignment="1">
      <alignment horizontal="right" vertical="center" wrapText="1"/>
    </xf>
    <xf numFmtId="37" fontId="8" fillId="0" borderId="98" xfId="10" applyNumberFormat="1" applyFont="1" applyBorder="1" applyAlignment="1">
      <alignment vertical="center" wrapText="1"/>
    </xf>
    <xf numFmtId="0" fontId="5" fillId="0" borderId="98" xfId="10" quotePrefix="1" applyFont="1" applyBorder="1" applyAlignment="1">
      <alignment horizontal="left" vertical="center"/>
    </xf>
    <xf numFmtId="3" fontId="27" fillId="0" borderId="97" xfId="10" applyNumberFormat="1" applyFont="1" applyBorder="1" applyAlignment="1">
      <alignment horizontal="right"/>
    </xf>
    <xf numFmtId="37" fontId="27" fillId="0" borderId="97" xfId="10" applyNumberFormat="1" applyFont="1" applyBorder="1" applyAlignment="1">
      <alignment horizontal="right"/>
    </xf>
    <xf numFmtId="171" fontId="22" fillId="0" borderId="98" xfId="12" applyFont="1" applyBorder="1" applyAlignment="1">
      <alignment horizontal="left"/>
    </xf>
    <xf numFmtId="3" fontId="56" fillId="0" borderId="98" xfId="12" applyNumberFormat="1" applyFont="1" applyBorder="1" applyAlignment="1">
      <alignment horizontal="right"/>
    </xf>
    <xf numFmtId="172" fontId="52" fillId="0" borderId="98" xfId="12" applyNumberFormat="1" applyFont="1" applyBorder="1" applyAlignment="1">
      <alignment horizontal="right"/>
    </xf>
    <xf numFmtId="3" fontId="52" fillId="0" borderId="98" xfId="12" applyNumberFormat="1" applyFont="1" applyBorder="1" applyAlignment="1">
      <alignment horizontal="right"/>
    </xf>
    <xf numFmtId="172" fontId="5" fillId="0" borderId="98" xfId="12" applyNumberFormat="1" applyFont="1" applyBorder="1" applyAlignment="1">
      <alignment horizontal="right"/>
    </xf>
    <xf numFmtId="3" fontId="13" fillId="0" borderId="98" xfId="12" applyNumberFormat="1" applyFont="1" applyBorder="1" applyAlignment="1">
      <alignment horizontal="left"/>
    </xf>
    <xf numFmtId="3" fontId="8" fillId="0" borderId="98" xfId="0" applyNumberFormat="1" applyFont="1" applyBorder="1" applyAlignment="1">
      <alignment horizontal="right"/>
    </xf>
    <xf numFmtId="172" fontId="8" fillId="0" borderId="98" xfId="0" applyNumberFormat="1" applyFont="1" applyBorder="1" applyAlignment="1">
      <alignment horizontal="right"/>
    </xf>
    <xf numFmtId="3" fontId="8" fillId="0" borderId="98" xfId="12" applyNumberFormat="1" applyFont="1" applyBorder="1" applyAlignment="1">
      <alignment horizontal="right"/>
    </xf>
    <xf numFmtId="3" fontId="58" fillId="0" borderId="98" xfId="12" applyNumberFormat="1" applyFont="1" applyBorder="1" applyAlignment="1">
      <alignment horizontal="left"/>
    </xf>
    <xf numFmtId="3" fontId="5" fillId="0" borderId="98" xfId="0" applyNumberFormat="1" applyFont="1" applyBorder="1" applyAlignment="1">
      <alignment horizontal="right"/>
    </xf>
    <xf numFmtId="172" fontId="5" fillId="0" borderId="98" xfId="0" applyNumberFormat="1" applyFont="1" applyBorder="1" applyAlignment="1">
      <alignment horizontal="right"/>
    </xf>
    <xf numFmtId="3" fontId="66" fillId="0" borderId="98" xfId="12" applyNumberFormat="1" applyFont="1" applyBorder="1" applyAlignment="1">
      <alignment horizontal="left"/>
    </xf>
    <xf numFmtId="3" fontId="59" fillId="0" borderId="98" xfId="12" applyNumberFormat="1" applyFont="1" applyBorder="1" applyAlignment="1">
      <alignment horizontal="right"/>
    </xf>
    <xf numFmtId="175" fontId="67" fillId="0" borderId="98" xfId="12" applyNumberFormat="1" applyFont="1" applyBorder="1" applyAlignment="1">
      <alignment horizontal="center"/>
    </xf>
    <xf numFmtId="3" fontId="66" fillId="0" borderId="98" xfId="12" applyNumberFormat="1" applyFont="1" applyBorder="1" applyAlignment="1">
      <alignment horizontal="right"/>
    </xf>
    <xf numFmtId="175" fontId="66" fillId="0" borderId="98" xfId="12" applyNumberFormat="1" applyFont="1" applyBorder="1" applyAlignment="1">
      <alignment horizontal="center"/>
    </xf>
    <xf numFmtId="3" fontId="8" fillId="6" borderId="98" xfId="10" quotePrefix="1" applyNumberFormat="1" applyFont="1" applyFill="1" applyBorder="1" applyAlignment="1">
      <alignment horizontal="left"/>
    </xf>
    <xf numFmtId="3" fontId="13" fillId="6" borderId="98" xfId="12" applyNumberFormat="1" applyFont="1" applyFill="1" applyBorder="1" applyAlignment="1">
      <alignment horizontal="right" vertical="center"/>
    </xf>
    <xf numFmtId="172" fontId="13" fillId="6" borderId="98" xfId="12" applyNumberFormat="1" applyFont="1" applyFill="1" applyBorder="1" applyAlignment="1">
      <alignment horizontal="right" vertical="center"/>
    </xf>
    <xf numFmtId="3" fontId="13" fillId="0" borderId="98" xfId="12" applyNumberFormat="1" applyFont="1" applyBorder="1" applyAlignment="1">
      <alignment horizontal="center" vertical="center"/>
    </xf>
    <xf numFmtId="3" fontId="13" fillId="0" borderId="98" xfId="12" applyNumberFormat="1" applyFont="1" applyBorder="1" applyAlignment="1">
      <alignment horizontal="right" vertical="center"/>
    </xf>
    <xf numFmtId="3" fontId="27" fillId="3" borderId="98" xfId="12" applyNumberFormat="1" applyFont="1" applyFill="1" applyBorder="1" applyAlignment="1">
      <alignment horizontal="right"/>
    </xf>
    <xf numFmtId="171" fontId="8" fillId="0" borderId="99" xfId="8" applyFont="1" applyBorder="1" applyAlignment="1">
      <alignment horizontal="center" vertical="center" wrapText="1"/>
    </xf>
    <xf numFmtId="0" fontId="52" fillId="0" borderId="99" xfId="2" applyFont="1" applyBorder="1"/>
    <xf numFmtId="3" fontId="52" fillId="0" borderId="98" xfId="2" applyNumberFormat="1" applyFont="1" applyBorder="1" applyAlignment="1">
      <alignment horizontal="right"/>
    </xf>
    <xf numFmtId="0" fontId="5" fillId="0" borderId="99" xfId="2" applyFont="1" applyBorder="1"/>
    <xf numFmtId="3" fontId="5" fillId="0" borderId="98" xfId="2" applyNumberFormat="1" applyFont="1" applyBorder="1" applyAlignment="1">
      <alignment horizontal="right"/>
    </xf>
    <xf numFmtId="175" fontId="19" fillId="0" borderId="98" xfId="12" applyNumberFormat="1" applyFont="1" applyBorder="1" applyAlignment="1">
      <alignment horizontal="center"/>
    </xf>
    <xf numFmtId="3" fontId="8" fillId="12" borderId="98" xfId="10" quotePrefix="1" applyNumberFormat="1" applyFont="1" applyFill="1" applyBorder="1" applyAlignment="1">
      <alignment horizontal="left"/>
    </xf>
    <xf numFmtId="3" fontId="8" fillId="12" borderId="98" xfId="2" applyNumberFormat="1" applyFont="1" applyFill="1" applyBorder="1" applyAlignment="1">
      <alignment horizontal="right" vertical="center"/>
    </xf>
    <xf numFmtId="172" fontId="8" fillId="12" borderId="98" xfId="2" applyNumberFormat="1" applyFont="1" applyFill="1" applyBorder="1" applyAlignment="1">
      <alignment horizontal="right" vertical="center"/>
    </xf>
    <xf numFmtId="3" fontId="19" fillId="0" borderId="98" xfId="12" applyNumberFormat="1" applyFont="1" applyBorder="1" applyAlignment="1">
      <alignment horizontal="left"/>
    </xf>
    <xf numFmtId="3" fontId="5" fillId="0" borderId="98" xfId="12" applyNumberFormat="1" applyFont="1" applyBorder="1" applyAlignment="1">
      <alignment horizontal="right"/>
    </xf>
    <xf numFmtId="171" fontId="51" fillId="0" borderId="98" xfId="8" applyFont="1" applyBorder="1" applyAlignment="1">
      <alignment horizontal="left"/>
    </xf>
    <xf numFmtId="3" fontId="8" fillId="12" borderId="98" xfId="10" applyNumberFormat="1" applyFont="1" applyFill="1" applyBorder="1" applyAlignment="1">
      <alignment horizontal="right"/>
    </xf>
    <xf numFmtId="172" fontId="8" fillId="12" borderId="98" xfId="10" applyNumberFormat="1" applyFont="1" applyFill="1" applyBorder="1" applyAlignment="1">
      <alignment horizontal="right"/>
    </xf>
    <xf numFmtId="171" fontId="56" fillId="0" borderId="98" xfId="12" applyFont="1" applyBorder="1" applyAlignment="1">
      <alignment horizontal="left"/>
    </xf>
    <xf numFmtId="3" fontId="56" fillId="0" borderId="98" xfId="10" applyNumberFormat="1" applyFont="1" applyBorder="1" applyAlignment="1">
      <alignment horizontal="right"/>
    </xf>
    <xf numFmtId="172" fontId="68" fillId="0" borderId="98" xfId="12" applyNumberFormat="1" applyFont="1" applyBorder="1" applyAlignment="1">
      <alignment horizontal="left"/>
    </xf>
    <xf numFmtId="3" fontId="68" fillId="0" borderId="98" xfId="12" applyNumberFormat="1" applyFont="1" applyBorder="1" applyAlignment="1">
      <alignment horizontal="right"/>
    </xf>
    <xf numFmtId="172" fontId="56" fillId="0" borderId="98" xfId="12" applyNumberFormat="1" applyFont="1" applyBorder="1" applyAlignment="1">
      <alignment horizontal="left"/>
    </xf>
    <xf numFmtId="171" fontId="19" fillId="0" borderId="98" xfId="12" applyFont="1" applyBorder="1" applyAlignment="1">
      <alignment horizontal="left"/>
    </xf>
    <xf numFmtId="3" fontId="19" fillId="0" borderId="98" xfId="10" applyNumberFormat="1" applyFont="1" applyBorder="1" applyAlignment="1">
      <alignment horizontal="right"/>
    </xf>
    <xf numFmtId="3" fontId="69" fillId="0" borderId="98" xfId="12" applyNumberFormat="1" applyFont="1" applyBorder="1" applyAlignment="1">
      <alignment horizontal="right"/>
    </xf>
    <xf numFmtId="175" fontId="69" fillId="0" borderId="98" xfId="12" applyNumberFormat="1" applyFont="1" applyBorder="1" applyAlignment="1">
      <alignment horizontal="center"/>
    </xf>
    <xf numFmtId="3" fontId="19" fillId="0" borderId="98" xfId="12" applyNumberFormat="1" applyFont="1" applyBorder="1" applyAlignment="1">
      <alignment horizontal="right"/>
    </xf>
    <xf numFmtId="3" fontId="8" fillId="12" borderId="98" xfId="10" quotePrefix="1" applyNumberFormat="1" applyFont="1" applyFill="1" applyBorder="1" applyAlignment="1">
      <alignment horizontal="left" vertical="center"/>
    </xf>
    <xf numFmtId="3" fontId="8" fillId="12" borderId="98" xfId="10" quotePrefix="1" applyNumberFormat="1" applyFont="1" applyFill="1" applyBorder="1" applyAlignment="1">
      <alignment horizontal="right" vertical="center"/>
    </xf>
    <xf numFmtId="172" fontId="8" fillId="12" borderId="98" xfId="10" quotePrefix="1" applyNumberFormat="1" applyFont="1" applyFill="1" applyBorder="1" applyAlignment="1">
      <alignment horizontal="right" vertical="center"/>
    </xf>
    <xf numFmtId="3" fontId="59" fillId="12" borderId="98" xfId="10" quotePrefix="1" applyNumberFormat="1" applyFont="1" applyFill="1" applyBorder="1" applyAlignment="1">
      <alignment horizontal="left" vertical="center"/>
    </xf>
    <xf numFmtId="3" fontId="59" fillId="12" borderId="98" xfId="10" quotePrefix="1" applyNumberFormat="1" applyFont="1" applyFill="1" applyBorder="1" applyAlignment="1">
      <alignment horizontal="right" vertical="center"/>
    </xf>
    <xf numFmtId="172" fontId="59" fillId="12" borderId="98" xfId="10" quotePrefix="1" applyNumberFormat="1" applyFont="1" applyFill="1" applyBorder="1" applyAlignment="1">
      <alignment horizontal="right" vertical="center"/>
    </xf>
    <xf numFmtId="171" fontId="8" fillId="0" borderId="98" xfId="12" applyFont="1" applyBorder="1" applyAlignment="1">
      <alignment horizontal="left" vertical="center" wrapText="1"/>
    </xf>
    <xf numFmtId="172" fontId="13" fillId="0" borderId="98" xfId="12" applyNumberFormat="1" applyFont="1" applyBorder="1" applyAlignment="1">
      <alignment horizontal="right" vertical="center"/>
    </xf>
    <xf numFmtId="172" fontId="19" fillId="0" borderId="98" xfId="10" applyNumberFormat="1" applyFont="1" applyBorder="1" applyAlignment="1">
      <alignment horizontal="right"/>
    </xf>
    <xf numFmtId="171" fontId="8" fillId="0" borderId="98" xfId="8" applyFont="1" applyBorder="1" applyAlignment="1">
      <alignment horizontal="left"/>
    </xf>
    <xf numFmtId="3" fontId="52" fillId="0" borderId="98" xfId="10" applyNumberFormat="1" applyFont="1" applyBorder="1" applyAlignment="1">
      <alignment horizontal="right"/>
    </xf>
    <xf numFmtId="3" fontId="5" fillId="0" borderId="98" xfId="8" applyNumberFormat="1" applyFont="1" applyBorder="1" applyAlignment="1">
      <alignment horizontal="left"/>
    </xf>
    <xf numFmtId="3" fontId="5" fillId="0" borderId="98" xfId="2" applyNumberFormat="1" applyFont="1" applyBorder="1" applyAlignment="1">
      <alignment horizontal="left"/>
    </xf>
    <xf numFmtId="175" fontId="19" fillId="0" borderId="98" xfId="2" applyNumberFormat="1" applyFont="1" applyBorder="1" applyAlignment="1">
      <alignment horizontal="center"/>
    </xf>
    <xf numFmtId="3" fontId="8" fillId="0" borderId="98" xfId="8" applyNumberFormat="1" applyFont="1" applyBorder="1" applyAlignment="1">
      <alignment horizontal="left" vertical="center"/>
    </xf>
    <xf numFmtId="3" fontId="5" fillId="0" borderId="98" xfId="10" applyNumberFormat="1" applyFont="1" applyBorder="1" applyAlignment="1">
      <alignment horizontal="right"/>
    </xf>
    <xf numFmtId="3" fontId="8" fillId="0" borderId="98" xfId="12" applyNumberFormat="1" applyFont="1" applyBorder="1" applyAlignment="1">
      <alignment horizontal="right" vertical="center" wrapText="1"/>
    </xf>
    <xf numFmtId="175" fontId="13" fillId="0" borderId="98" xfId="12" applyNumberFormat="1" applyFont="1" applyBorder="1" applyAlignment="1">
      <alignment horizontal="center" vertical="center" wrapText="1"/>
    </xf>
    <xf numFmtId="172" fontId="8" fillId="0" borderId="98" xfId="12" applyNumberFormat="1" applyFont="1" applyBorder="1" applyAlignment="1">
      <alignment horizontal="right"/>
    </xf>
    <xf numFmtId="172" fontId="59" fillId="0" borderId="98" xfId="12" applyNumberFormat="1" applyFont="1" applyBorder="1" applyAlignment="1">
      <alignment horizontal="right"/>
    </xf>
    <xf numFmtId="0" fontId="19" fillId="0" borderId="98" xfId="2" applyFont="1" applyBorder="1"/>
    <xf numFmtId="172" fontId="5" fillId="0" borderId="98" xfId="2" applyNumberFormat="1" applyFont="1" applyBorder="1" applyAlignment="1">
      <alignment horizontal="right"/>
    </xf>
    <xf numFmtId="172" fontId="27" fillId="3" borderId="98" xfId="12" applyNumberFormat="1" applyFont="1" applyFill="1" applyBorder="1" applyAlignment="1">
      <alignment horizontal="right"/>
    </xf>
    <xf numFmtId="3" fontId="19" fillId="0" borderId="98" xfId="2" applyNumberFormat="1" applyFont="1" applyBorder="1" applyAlignment="1">
      <alignment horizontal="left"/>
    </xf>
    <xf numFmtId="175" fontId="58" fillId="0" borderId="98" xfId="12" applyNumberFormat="1" applyFont="1" applyBorder="1" applyAlignment="1">
      <alignment horizontal="center"/>
    </xf>
    <xf numFmtId="3" fontId="8" fillId="6" borderId="98" xfId="12" applyNumberFormat="1" applyFont="1" applyFill="1" applyBorder="1" applyAlignment="1">
      <alignment horizontal="right" vertical="center"/>
    </xf>
    <xf numFmtId="172" fontId="8" fillId="6" borderId="98" xfId="12" applyNumberFormat="1" applyFont="1" applyFill="1" applyBorder="1" applyAlignment="1">
      <alignment horizontal="right" vertical="center"/>
    </xf>
    <xf numFmtId="3" fontId="8" fillId="0" borderId="98" xfId="12" applyNumberFormat="1" applyFont="1" applyBorder="1" applyAlignment="1">
      <alignment horizontal="right" vertical="center"/>
    </xf>
    <xf numFmtId="3" fontId="27" fillId="0" borderId="98" xfId="12" applyNumberFormat="1" applyFont="1" applyBorder="1" applyAlignment="1">
      <alignment horizontal="right"/>
    </xf>
    <xf numFmtId="3" fontId="8" fillId="0" borderId="98" xfId="2" applyNumberFormat="1" applyFont="1" applyBorder="1" applyAlignment="1">
      <alignment vertical="center"/>
    </xf>
    <xf numFmtId="3" fontId="52" fillId="0" borderId="98" xfId="8" applyNumberFormat="1" applyFont="1" applyBorder="1" applyAlignment="1">
      <alignment horizontal="right" vertical="center"/>
    </xf>
    <xf numFmtId="3" fontId="52" fillId="0" borderId="98" xfId="2" applyNumberFormat="1" applyFont="1" applyBorder="1"/>
    <xf numFmtId="3" fontId="5" fillId="0" borderId="98" xfId="2" applyNumberFormat="1" applyFont="1" applyBorder="1"/>
    <xf numFmtId="3" fontId="8" fillId="6" borderId="98" xfId="8" applyNumberFormat="1" applyFont="1" applyFill="1" applyBorder="1" applyAlignment="1">
      <alignment horizontal="right"/>
    </xf>
    <xf numFmtId="172" fontId="8" fillId="6" borderId="98" xfId="8" applyNumberFormat="1" applyFont="1" applyFill="1" applyBorder="1" applyAlignment="1">
      <alignment horizontal="right"/>
    </xf>
    <xf numFmtId="3" fontId="5" fillId="0" borderId="98" xfId="8" applyNumberFormat="1" applyFont="1" applyBorder="1" applyAlignment="1">
      <alignment horizontal="right"/>
    </xf>
    <xf numFmtId="3" fontId="52" fillId="0" borderId="98" xfId="12" applyNumberFormat="1" applyFont="1" applyBorder="1"/>
    <xf numFmtId="3" fontId="8" fillId="0" borderId="98" xfId="12" applyNumberFormat="1" applyFont="1" applyBorder="1"/>
    <xf numFmtId="3" fontId="27" fillId="0" borderId="98" xfId="0" applyNumberFormat="1" applyFont="1" applyBorder="1"/>
    <xf numFmtId="3" fontId="59" fillId="0" borderId="98" xfId="0" applyNumberFormat="1" applyFont="1" applyBorder="1"/>
    <xf numFmtId="3" fontId="8" fillId="0" borderId="98" xfId="0" applyNumberFormat="1" applyFont="1" applyBorder="1"/>
    <xf numFmtId="3" fontId="59" fillId="0" borderId="98" xfId="12" applyNumberFormat="1" applyFont="1" applyBorder="1"/>
    <xf numFmtId="175" fontId="5" fillId="0" borderId="98" xfId="2" applyNumberFormat="1" applyFont="1" applyBorder="1" applyAlignment="1">
      <alignment horizontal="center"/>
    </xf>
    <xf numFmtId="3" fontId="8" fillId="6" borderId="98" xfId="12" applyNumberFormat="1" applyFont="1" applyFill="1" applyBorder="1" applyAlignment="1">
      <alignment vertical="center"/>
    </xf>
    <xf numFmtId="172" fontId="8" fillId="6" borderId="98" xfId="12" applyNumberFormat="1" applyFont="1" applyFill="1" applyBorder="1" applyAlignment="1">
      <alignment vertical="center"/>
    </xf>
    <xf numFmtId="3" fontId="8" fillId="0" borderId="98" xfId="12" applyNumberFormat="1" applyFont="1" applyBorder="1" applyAlignment="1">
      <alignment vertical="center"/>
    </xf>
    <xf numFmtId="3" fontId="27" fillId="0" borderId="98" xfId="12" applyNumberFormat="1" applyFont="1" applyBorder="1"/>
    <xf numFmtId="171" fontId="8" fillId="0" borderId="1" xfId="8" applyFont="1" applyBorder="1" applyAlignment="1">
      <alignment horizontal="center" vertical="center" wrapText="1"/>
    </xf>
    <xf numFmtId="3" fontId="8" fillId="0" borderId="1" xfId="8" applyNumberFormat="1" applyFont="1" applyBorder="1" applyAlignment="1">
      <alignment horizontal="center" vertical="center" wrapText="1"/>
    </xf>
    <xf numFmtId="0" fontId="13" fillId="0" borderId="0" xfId="2" applyFont="1" applyAlignment="1">
      <alignment horizontal="center"/>
    </xf>
    <xf numFmtId="0" fontId="35" fillId="0" borderId="16" xfId="0" applyFont="1" applyBorder="1" applyAlignment="1">
      <alignment horizontal="left" vertical="center" wrapText="1" indent="3" readingOrder="1"/>
    </xf>
    <xf numFmtId="0" fontId="35" fillId="0" borderId="26" xfId="0" applyFont="1" applyBorder="1" applyAlignment="1">
      <alignment horizontal="left" vertical="center" wrapText="1" indent="3" readingOrder="1"/>
    </xf>
    <xf numFmtId="0" fontId="34" fillId="0" borderId="13" xfId="0" applyFont="1" applyBorder="1" applyAlignment="1">
      <alignment horizontal="left" vertical="center" wrapText="1" readingOrder="1"/>
    </xf>
    <xf numFmtId="0" fontId="34" fillId="0" borderId="59" xfId="0" applyFont="1" applyBorder="1" applyAlignment="1">
      <alignment horizontal="left" vertical="center" wrapText="1" readingOrder="1"/>
    </xf>
    <xf numFmtId="0" fontId="35" fillId="0" borderId="45" xfId="0" applyFont="1" applyBorder="1" applyAlignment="1">
      <alignment horizontal="left" vertical="center" wrapText="1" indent="3" readingOrder="1"/>
    </xf>
    <xf numFmtId="0" fontId="35" fillId="0" borderId="73" xfId="0" applyFont="1" applyBorder="1" applyAlignment="1">
      <alignment horizontal="left" vertical="center" wrapText="1" indent="3" readingOrder="1"/>
    </xf>
    <xf numFmtId="0" fontId="34" fillId="0" borderId="38" xfId="0" applyFont="1" applyBorder="1" applyAlignment="1">
      <alignment horizontal="left" vertical="center" wrapText="1" readingOrder="1"/>
    </xf>
    <xf numFmtId="0" fontId="34" fillId="0" borderId="39" xfId="0" applyFont="1" applyBorder="1" applyAlignment="1">
      <alignment horizontal="left" vertical="center" wrapText="1" readingOrder="1"/>
    </xf>
    <xf numFmtId="0" fontId="34" fillId="0" borderId="40" xfId="0" applyFont="1" applyBorder="1" applyAlignment="1">
      <alignment horizontal="left" vertical="center" wrapText="1" readingOrder="1"/>
    </xf>
    <xf numFmtId="0" fontId="34" fillId="7" borderId="64" xfId="0" applyFont="1" applyFill="1" applyBorder="1" applyAlignment="1">
      <alignment horizontal="center" vertical="center" wrapText="1" readingOrder="1"/>
    </xf>
    <xf numFmtId="0" fontId="34" fillId="7" borderId="65" xfId="0" applyFont="1" applyFill="1" applyBorder="1" applyAlignment="1">
      <alignment horizontal="center" vertical="center" wrapText="1" readingOrder="1"/>
    </xf>
    <xf numFmtId="0" fontId="34" fillId="0" borderId="31" xfId="0" applyFont="1" applyBorder="1" applyAlignment="1">
      <alignment horizontal="left" vertical="center" wrapText="1" readingOrder="1"/>
    </xf>
    <xf numFmtId="0" fontId="34" fillId="0" borderId="33" xfId="0" applyFont="1" applyBorder="1" applyAlignment="1">
      <alignment horizontal="left" vertical="center" wrapText="1" readingOrder="1"/>
    </xf>
    <xf numFmtId="0" fontId="34" fillId="0" borderId="28" xfId="0" applyFont="1" applyBorder="1" applyAlignment="1">
      <alignment horizontal="left" vertical="center" wrapText="1" readingOrder="1"/>
    </xf>
    <xf numFmtId="0" fontId="34" fillId="0" borderId="26" xfId="0" applyFont="1" applyBorder="1" applyAlignment="1">
      <alignment horizontal="left" vertical="center" wrapText="1" readingOrder="1"/>
    </xf>
    <xf numFmtId="0" fontId="34" fillId="0" borderId="45" xfId="0" applyFont="1" applyBorder="1" applyAlignment="1">
      <alignment horizontal="left" vertical="center" wrapText="1" readingOrder="1"/>
    </xf>
    <xf numFmtId="0" fontId="35" fillId="0" borderId="13" xfId="0" applyFont="1" applyBorder="1" applyAlignment="1">
      <alignment horizontal="left" vertical="center" wrapText="1" indent="3" readingOrder="1"/>
    </xf>
    <xf numFmtId="0" fontId="34" fillId="7" borderId="28" xfId="0" applyFont="1" applyFill="1" applyBorder="1" applyAlignment="1">
      <alignment horizontal="center" vertical="center" wrapText="1" readingOrder="1"/>
    </xf>
    <xf numFmtId="0" fontId="34" fillId="7" borderId="30" xfId="0" applyFont="1" applyFill="1" applyBorder="1" applyAlignment="1">
      <alignment horizontal="center" vertical="center" wrapText="1" readingOrder="1"/>
    </xf>
    <xf numFmtId="0" fontId="34" fillId="7" borderId="33" xfId="0" applyFont="1" applyFill="1" applyBorder="1" applyAlignment="1">
      <alignment horizontal="center" vertical="center" wrapText="1" readingOrder="1"/>
    </xf>
    <xf numFmtId="0" fontId="34" fillId="7" borderId="35" xfId="0" applyFont="1" applyFill="1" applyBorder="1" applyAlignment="1">
      <alignment horizontal="center" vertical="center" wrapText="1" readingOrder="1"/>
    </xf>
    <xf numFmtId="0" fontId="34" fillId="7" borderId="12" xfId="0" applyFont="1" applyFill="1" applyBorder="1" applyAlignment="1">
      <alignment horizontal="center" vertical="center" wrapText="1" readingOrder="1"/>
    </xf>
    <xf numFmtId="0" fontId="34" fillId="7" borderId="66" xfId="0" applyFont="1" applyFill="1" applyBorder="1" applyAlignment="1">
      <alignment horizontal="center" vertical="center" wrapText="1" readingOrder="1"/>
    </xf>
    <xf numFmtId="0" fontId="34" fillId="7" borderId="62" xfId="0" applyFont="1" applyFill="1" applyBorder="1" applyAlignment="1">
      <alignment horizontal="center" vertical="center" wrapText="1" readingOrder="1"/>
    </xf>
    <xf numFmtId="0" fontId="34" fillId="7" borderId="54" xfId="0" applyFont="1" applyFill="1" applyBorder="1" applyAlignment="1">
      <alignment horizontal="center" vertical="center" wrapText="1" readingOrder="1"/>
    </xf>
    <xf numFmtId="0" fontId="34" fillId="7" borderId="11" xfId="0" applyFont="1" applyFill="1" applyBorder="1" applyAlignment="1">
      <alignment horizontal="center" vertical="center" wrapText="1" readingOrder="1"/>
    </xf>
    <xf numFmtId="0" fontId="34" fillId="7" borderId="63" xfId="0" applyFont="1" applyFill="1" applyBorder="1" applyAlignment="1">
      <alignment horizontal="center" vertical="center" wrapText="1" readingOrder="1"/>
    </xf>
    <xf numFmtId="0" fontId="34" fillId="7" borderId="31" xfId="0" applyFont="1" applyFill="1" applyBorder="1" applyAlignment="1">
      <alignment horizontal="center" vertical="center" wrapText="1" readingOrder="1"/>
    </xf>
    <xf numFmtId="0" fontId="34" fillId="0" borderId="16" xfId="0" applyFont="1" applyBorder="1" applyAlignment="1">
      <alignment horizontal="left" vertical="center" wrapText="1" readingOrder="1"/>
    </xf>
    <xf numFmtId="0" fontId="34" fillId="7" borderId="76" xfId="0" applyFont="1" applyFill="1" applyBorder="1" applyAlignment="1">
      <alignment horizontal="center" vertical="center" wrapText="1" readingOrder="1"/>
    </xf>
    <xf numFmtId="0" fontId="34" fillId="7" borderId="82" xfId="0" applyFont="1" applyFill="1" applyBorder="1" applyAlignment="1">
      <alignment horizontal="center" vertical="center" wrapText="1" readingOrder="1"/>
    </xf>
    <xf numFmtId="0" fontId="34" fillId="0" borderId="38" xfId="0" applyFont="1" applyBorder="1" applyAlignment="1">
      <alignment horizontal="center" vertical="center" wrapText="1" readingOrder="1"/>
    </xf>
    <xf numFmtId="0" fontId="34" fillId="0" borderId="39" xfId="0" applyFont="1" applyBorder="1" applyAlignment="1">
      <alignment horizontal="center" vertical="center" wrapText="1" readingOrder="1"/>
    </xf>
    <xf numFmtId="0" fontId="34" fillId="0" borderId="40" xfId="0" applyFont="1" applyBorder="1" applyAlignment="1">
      <alignment horizontal="center" vertical="center" wrapText="1" readingOrder="1"/>
    </xf>
    <xf numFmtId="0" fontId="29" fillId="0" borderId="0" xfId="0" applyFont="1" applyAlignment="1">
      <alignment horizontal="center" vertical="center"/>
    </xf>
    <xf numFmtId="0" fontId="2" fillId="14" borderId="7" xfId="0" applyFont="1" applyFill="1" applyBorder="1" applyAlignment="1">
      <alignment horizontal="center"/>
    </xf>
    <xf numFmtId="3" fontId="29" fillId="0" borderId="1" xfId="0" applyNumberFormat="1" applyFont="1" applyBorder="1" applyAlignment="1">
      <alignment horizontal="right" vertical="center"/>
    </xf>
    <xf numFmtId="3" fontId="29" fillId="0" borderId="3" xfId="0" applyNumberFormat="1" applyFont="1" applyBorder="1" applyAlignment="1">
      <alignment horizontal="right" vertical="center"/>
    </xf>
    <xf numFmtId="0" fontId="0" fillId="0" borderId="28" xfId="0" applyBorder="1" applyAlignment="1">
      <alignment horizontal="center" vertical="center"/>
    </xf>
    <xf numFmtId="0" fontId="0" fillId="0" borderId="31" xfId="0" applyBorder="1" applyAlignment="1">
      <alignment horizontal="center" vertical="center"/>
    </xf>
    <xf numFmtId="0" fontId="0" fillId="0" borderId="33" xfId="0" applyBorder="1" applyAlignment="1">
      <alignment horizontal="center" vertical="center"/>
    </xf>
    <xf numFmtId="0" fontId="0" fillId="0" borderId="0" xfId="0" applyAlignment="1">
      <alignment horizontal="center" vertical="center"/>
    </xf>
    <xf numFmtId="0" fontId="28" fillId="0" borderId="0" xfId="0" applyFont="1" applyAlignment="1">
      <alignment horizontal="left"/>
    </xf>
    <xf numFmtId="0" fontId="0" fillId="0" borderId="9" xfId="0" applyBorder="1" applyAlignment="1">
      <alignment horizontal="center"/>
    </xf>
    <xf numFmtId="0" fontId="2" fillId="0" borderId="7" xfId="0" applyFont="1" applyBorder="1" applyAlignment="1">
      <alignment horizontal="left"/>
    </xf>
    <xf numFmtId="0" fontId="2" fillId="0" borderId="10" xfId="0" applyFont="1" applyBorder="1" applyAlignment="1">
      <alignment horizontal="left"/>
    </xf>
    <xf numFmtId="0" fontId="8" fillId="3" borderId="0" xfId="2" applyFont="1" applyFill="1" applyAlignment="1">
      <alignment horizontal="center" vertical="center"/>
    </xf>
    <xf numFmtId="0" fontId="13" fillId="0" borderId="0" xfId="2" applyFont="1" applyAlignment="1">
      <alignment horizontal="center" vertical="center"/>
    </xf>
    <xf numFmtId="0" fontId="8" fillId="0" borderId="0" xfId="2" applyFont="1" applyAlignment="1">
      <alignment horizontal="center" vertical="center"/>
    </xf>
    <xf numFmtId="171" fontId="8" fillId="5" borderId="1" xfId="8" applyFont="1" applyFill="1" applyBorder="1" applyAlignment="1">
      <alignment horizontal="right" vertical="center" wrapText="1"/>
    </xf>
    <xf numFmtId="171" fontId="8" fillId="5" borderId="3" xfId="8" applyFont="1" applyFill="1" applyBorder="1" applyAlignment="1">
      <alignment horizontal="right" vertical="center" wrapText="1"/>
    </xf>
    <xf numFmtId="171" fontId="8" fillId="5" borderId="1" xfId="8" applyFont="1" applyFill="1" applyBorder="1" applyAlignment="1">
      <alignment horizontal="center" vertical="center" wrapText="1"/>
    </xf>
    <xf numFmtId="171" fontId="8" fillId="5" borderId="3" xfId="8" applyFont="1" applyFill="1" applyBorder="1" applyAlignment="1">
      <alignment horizontal="center" vertical="center" wrapText="1"/>
    </xf>
    <xf numFmtId="171" fontId="8" fillId="0" borderId="1" xfId="8" applyFont="1" applyBorder="1" applyAlignment="1">
      <alignment horizontal="center" vertical="center" wrapText="1"/>
    </xf>
    <xf numFmtId="0" fontId="21" fillId="0" borderId="0" xfId="2" applyFont="1" applyAlignment="1">
      <alignment horizontal="center" vertical="center"/>
    </xf>
    <xf numFmtId="0" fontId="19" fillId="0" borderId="87" xfId="0" applyFont="1" applyBorder="1" applyAlignment="1">
      <alignment horizontal="center" vertical="center" wrapText="1"/>
    </xf>
    <xf numFmtId="3" fontId="8" fillId="0" borderId="1" xfId="8" applyNumberFormat="1" applyFont="1" applyBorder="1" applyAlignment="1">
      <alignment horizontal="center" vertical="center" wrapText="1"/>
    </xf>
    <xf numFmtId="0" fontId="19" fillId="0" borderId="3" xfId="0" applyFont="1" applyBorder="1" applyAlignment="1">
      <alignment horizontal="right" vertical="center" wrapText="1"/>
    </xf>
    <xf numFmtId="0" fontId="19" fillId="0" borderId="3" xfId="0" applyFont="1" applyBorder="1" applyAlignment="1">
      <alignment horizontal="center" vertical="center" wrapText="1"/>
    </xf>
    <xf numFmtId="171" fontId="8" fillId="0" borderId="3" xfId="8" applyFont="1" applyBorder="1" applyAlignment="1">
      <alignment horizontal="center" vertical="center" wrapText="1"/>
    </xf>
    <xf numFmtId="0" fontId="19" fillId="0" borderId="2" xfId="0" applyFont="1" applyBorder="1" applyAlignment="1">
      <alignment horizontal="center" vertical="center" wrapText="1"/>
    </xf>
    <xf numFmtId="0" fontId="2" fillId="0" borderId="80" xfId="28" applyFont="1" applyBorder="1" applyAlignment="1">
      <alignment horizontal="left"/>
    </xf>
    <xf numFmtId="169" fontId="86" fillId="0" borderId="80" xfId="26" applyFont="1" applyBorder="1" applyAlignment="1">
      <alignment horizontal="center"/>
    </xf>
    <xf numFmtId="169" fontId="76" fillId="0" borderId="80" xfId="26" applyFont="1" applyBorder="1" applyAlignment="1">
      <alignment horizontal="center"/>
    </xf>
    <xf numFmtId="0" fontId="2" fillId="0" borderId="80" xfId="28" applyFont="1" applyBorder="1"/>
    <xf numFmtId="169" fontId="75" fillId="0" borderId="0" xfId="26" applyFont="1" applyAlignment="1">
      <alignment horizontal="center" vertical="center"/>
    </xf>
    <xf numFmtId="0" fontId="48" fillId="0" borderId="80" xfId="28" applyFont="1" applyBorder="1" applyAlignment="1">
      <alignment horizontal="left"/>
    </xf>
    <xf numFmtId="3" fontId="8" fillId="0" borderId="3" xfId="8" applyNumberFormat="1" applyFont="1" applyBorder="1" applyAlignment="1">
      <alignment horizontal="center" vertical="center" wrapText="1"/>
    </xf>
    <xf numFmtId="0" fontId="19" fillId="0" borderId="2" xfId="0" applyFont="1" applyBorder="1" applyAlignment="1">
      <alignment horizontal="right" vertical="center" wrapText="1"/>
    </xf>
    <xf numFmtId="0" fontId="91" fillId="0" borderId="41" xfId="2" applyFont="1" applyBorder="1" applyAlignment="1">
      <alignment horizontal="left" vertical="center"/>
    </xf>
    <xf numFmtId="0" fontId="91" fillId="0" borderId="42" xfId="2" applyFont="1" applyBorder="1" applyAlignment="1">
      <alignment horizontal="left" vertical="center"/>
    </xf>
    <xf numFmtId="0" fontId="8" fillId="0" borderId="0" xfId="2" applyFont="1" applyAlignment="1">
      <alignment horizontal="center"/>
    </xf>
    <xf numFmtId="0" fontId="19" fillId="0" borderId="98" xfId="0" applyFont="1" applyBorder="1" applyAlignment="1">
      <alignment horizontal="center" vertical="center" wrapText="1"/>
    </xf>
    <xf numFmtId="0" fontId="13" fillId="0" borderId="10" xfId="2" applyFont="1" applyBorder="1" applyAlignment="1">
      <alignment horizontal="right" vertical="center"/>
    </xf>
    <xf numFmtId="0" fontId="13" fillId="0" borderId="41" xfId="2" applyFont="1" applyBorder="1" applyAlignment="1">
      <alignment horizontal="right" vertical="center"/>
    </xf>
    <xf numFmtId="0" fontId="13" fillId="0" borderId="0" xfId="2" applyFont="1" applyAlignment="1">
      <alignment horizontal="center"/>
    </xf>
    <xf numFmtId="0" fontId="8" fillId="0" borderId="0" xfId="2" applyFont="1" applyAlignment="1">
      <alignment horizontal="center" vertical="center" wrapText="1"/>
    </xf>
    <xf numFmtId="0" fontId="92" fillId="0" borderId="0" xfId="2" applyFont="1" applyAlignment="1">
      <alignment horizontal="center" vertical="center"/>
    </xf>
    <xf numFmtId="1" fontId="4" fillId="0" borderId="0" xfId="2" applyNumberFormat="1" applyFont="1"/>
    <xf numFmtId="3" fontId="102" fillId="0" borderId="79" xfId="9" applyNumberFormat="1" applyFont="1" applyBorder="1" applyAlignment="1">
      <alignment horizontal="right" vertical="top" wrapText="1"/>
    </xf>
    <xf numFmtId="3" fontId="103" fillId="0" borderId="79" xfId="9" applyNumberFormat="1" applyFont="1" applyBorder="1" applyAlignment="1">
      <alignment horizontal="right" vertical="top" wrapText="1"/>
    </xf>
    <xf numFmtId="3" fontId="103" fillId="0" borderId="79" xfId="0" applyNumberFormat="1" applyFont="1" applyBorder="1" applyAlignment="1">
      <alignment horizontal="right" vertical="top" wrapText="1"/>
    </xf>
    <xf numFmtId="3" fontId="8" fillId="11" borderId="79" xfId="8" applyNumberFormat="1" applyFont="1" applyFill="1" applyBorder="1" applyAlignment="1">
      <alignment horizontal="right"/>
    </xf>
    <xf numFmtId="3" fontId="104" fillId="5" borderId="79" xfId="10" applyNumberFormat="1" applyFont="1" applyFill="1" applyBorder="1" applyAlignment="1">
      <alignment horizontal="right"/>
    </xf>
    <xf numFmtId="3" fontId="103" fillId="0" borderId="79" xfId="2" applyNumberFormat="1" applyFont="1" applyBorder="1" applyAlignment="1">
      <alignment horizontal="right"/>
    </xf>
    <xf numFmtId="3" fontId="103" fillId="5" borderId="79" xfId="10" applyNumberFormat="1" applyFont="1" applyFill="1" applyBorder="1" applyAlignment="1">
      <alignment horizontal="right"/>
    </xf>
    <xf numFmtId="3" fontId="103" fillId="0" borderId="79" xfId="10" applyNumberFormat="1" applyFont="1" applyBorder="1" applyAlignment="1">
      <alignment horizontal="right"/>
    </xf>
    <xf numFmtId="3" fontId="8" fillId="11" borderId="79" xfId="10" applyNumberFormat="1" applyFont="1" applyFill="1" applyBorder="1" applyAlignment="1">
      <alignment horizontal="right" vertical="center"/>
    </xf>
    <xf numFmtId="3" fontId="5" fillId="0" borderId="79" xfId="10" applyNumberFormat="1" applyFont="1" applyBorder="1" applyAlignment="1">
      <alignment horizontal="right" vertical="center"/>
    </xf>
    <xf numFmtId="3" fontId="15" fillId="0" borderId="79" xfId="0" applyNumberFormat="1" applyFont="1" applyBorder="1" applyAlignment="1">
      <alignment horizontal="right"/>
    </xf>
    <xf numFmtId="3" fontId="27" fillId="0" borderId="79" xfId="10" applyNumberFormat="1" applyFont="1" applyBorder="1" applyAlignment="1">
      <alignment horizontal="right"/>
    </xf>
    <xf numFmtId="3" fontId="8" fillId="5" borderId="1" xfId="8" applyNumberFormat="1" applyFont="1" applyFill="1" applyBorder="1" applyAlignment="1">
      <alignment horizontal="right" vertical="center" wrapText="1"/>
    </xf>
    <xf numFmtId="3" fontId="102" fillId="0" borderId="79" xfId="8" applyNumberFormat="1" applyFont="1" applyBorder="1" applyAlignment="1">
      <alignment horizontal="right"/>
    </xf>
    <xf numFmtId="3" fontId="103" fillId="0" borderId="79" xfId="8" applyNumberFormat="1" applyFont="1" applyBorder="1" applyAlignment="1">
      <alignment horizontal="right"/>
    </xf>
    <xf numFmtId="3" fontId="8" fillId="0" borderId="79" xfId="8" applyNumberFormat="1" applyFont="1" applyBorder="1" applyAlignment="1">
      <alignment horizontal="right" vertical="center" wrapText="1"/>
    </xf>
    <xf numFmtId="3" fontId="105" fillId="0" borderId="79" xfId="13" applyNumberFormat="1" applyFont="1" applyBorder="1" applyAlignment="1">
      <alignment horizontal="right"/>
    </xf>
    <xf numFmtId="3" fontId="8" fillId="11" borderId="79" xfId="2" applyNumberFormat="1" applyFont="1" applyFill="1" applyBorder="1" applyAlignment="1">
      <alignment horizontal="right" vertical="center"/>
    </xf>
    <xf numFmtId="3" fontId="8" fillId="11" borderId="79" xfId="8" applyNumberFormat="1" applyFont="1" applyFill="1" applyBorder="1" applyAlignment="1">
      <alignment horizontal="right" vertical="center"/>
    </xf>
    <xf numFmtId="3" fontId="8" fillId="0" borderId="1" xfId="8" applyNumberFormat="1" applyFont="1" applyBorder="1" applyAlignment="1">
      <alignment horizontal="right" vertical="center" wrapText="1"/>
    </xf>
    <xf numFmtId="3" fontId="8" fillId="0" borderId="1" xfId="14" applyNumberFormat="1" applyFont="1" applyBorder="1" applyAlignment="1">
      <alignment horizontal="right" vertical="center" wrapText="1"/>
    </xf>
    <xf numFmtId="3" fontId="21" fillId="0" borderId="1" xfId="14" applyNumberFormat="1" applyFont="1" applyBorder="1" applyAlignment="1">
      <alignment horizontal="right" vertical="center" wrapText="1"/>
    </xf>
    <xf numFmtId="3" fontId="21" fillId="11" borderId="79" xfId="10" applyNumberFormat="1" applyFont="1" applyFill="1" applyBorder="1" applyAlignment="1">
      <alignment horizontal="right" vertical="center"/>
    </xf>
    <xf numFmtId="3" fontId="19" fillId="0" borderId="1" xfId="2" applyNumberFormat="1" applyFont="1" applyBorder="1" applyAlignment="1">
      <alignment horizontal="right"/>
    </xf>
    <xf numFmtId="3" fontId="25" fillId="0" borderId="79" xfId="0" applyNumberFormat="1" applyFont="1" applyBorder="1" applyAlignment="1">
      <alignment horizontal="right"/>
    </xf>
    <xf numFmtId="3" fontId="58" fillId="0" borderId="79" xfId="12" applyNumberFormat="1" applyFont="1" applyBorder="1" applyAlignment="1">
      <alignment horizontal="right"/>
    </xf>
    <xf numFmtId="3" fontId="13" fillId="11" borderId="79" xfId="12" applyNumberFormat="1" applyFont="1" applyFill="1" applyBorder="1" applyAlignment="1">
      <alignment horizontal="right" vertical="center"/>
    </xf>
    <xf numFmtId="3" fontId="19" fillId="3" borderId="1" xfId="2" applyNumberFormat="1" applyFont="1" applyFill="1" applyBorder="1" applyAlignment="1">
      <alignment horizontal="right"/>
    </xf>
    <xf numFmtId="3" fontId="15" fillId="3" borderId="79" xfId="0" applyNumberFormat="1" applyFont="1" applyFill="1" applyBorder="1" applyAlignment="1">
      <alignment horizontal="right"/>
    </xf>
    <xf numFmtId="3" fontId="19" fillId="3" borderId="79" xfId="0" applyNumberFormat="1" applyFont="1" applyFill="1" applyBorder="1" applyAlignment="1">
      <alignment horizontal="right"/>
    </xf>
    <xf numFmtId="3" fontId="25" fillId="3" borderId="79" xfId="0" applyNumberFormat="1" applyFont="1" applyFill="1" applyBorder="1" applyAlignment="1">
      <alignment horizontal="right"/>
    </xf>
    <xf numFmtId="3" fontId="25" fillId="0" borderId="79" xfId="12" applyNumberFormat="1" applyFont="1" applyBorder="1" applyAlignment="1">
      <alignment horizontal="right"/>
    </xf>
    <xf numFmtId="3" fontId="25" fillId="3" borderId="79" xfId="12" applyNumberFormat="1" applyFont="1" applyFill="1" applyBorder="1" applyAlignment="1">
      <alignment horizontal="right"/>
    </xf>
    <xf numFmtId="3" fontId="5" fillId="3" borderId="0" xfId="10" applyNumberFormat="1" applyFont="1" applyFill="1"/>
    <xf numFmtId="3" fontId="15" fillId="0" borderId="79" xfId="14" applyNumberFormat="1" applyFont="1" applyBorder="1" applyAlignment="1">
      <alignment horizontal="right"/>
    </xf>
    <xf numFmtId="3" fontId="15" fillId="0" borderId="79" xfId="10" applyNumberFormat="1" applyFont="1" applyBorder="1" applyAlignment="1">
      <alignment horizontal="right"/>
    </xf>
    <xf numFmtId="3" fontId="8" fillId="5" borderId="1" xfId="8" applyNumberFormat="1" applyFont="1" applyFill="1" applyBorder="1" applyAlignment="1">
      <alignment horizontal="center" vertical="center" wrapText="1"/>
    </xf>
    <xf numFmtId="3" fontId="52" fillId="0" borderId="78" xfId="14" applyNumberFormat="1" applyFont="1" applyBorder="1" applyAlignment="1">
      <alignment horizontal="right" vertical="center" wrapText="1"/>
    </xf>
    <xf numFmtId="3" fontId="15" fillId="0" borderId="78" xfId="10" applyNumberFormat="1" applyFont="1" applyBorder="1" applyAlignment="1">
      <alignment horizontal="right"/>
    </xf>
    <xf numFmtId="3" fontId="25" fillId="0" borderId="78" xfId="10" applyNumberFormat="1" applyFont="1" applyBorder="1" applyAlignment="1">
      <alignment horizontal="right"/>
    </xf>
    <xf numFmtId="3" fontId="63" fillId="0" borderId="78" xfId="10" applyNumberFormat="1" applyFont="1" applyBorder="1" applyAlignment="1">
      <alignment horizontal="right"/>
    </xf>
    <xf numFmtId="3" fontId="13" fillId="0" borderId="78" xfId="10" applyNumberFormat="1" applyFont="1" applyBorder="1" applyAlignment="1">
      <alignment horizontal="right"/>
    </xf>
    <xf numFmtId="3" fontId="27" fillId="0" borderId="78" xfId="10" applyNumberFormat="1" applyFont="1" applyBorder="1" applyAlignment="1">
      <alignment horizontal="right" vertical="center"/>
    </xf>
    <xf numFmtId="3" fontId="8" fillId="11" borderId="79" xfId="10" applyNumberFormat="1" applyFont="1" applyFill="1" applyBorder="1" applyAlignment="1">
      <alignment horizontal="right" vertical="center" wrapText="1"/>
    </xf>
    <xf numFmtId="3" fontId="5" fillId="0" borderId="75" xfId="10" applyNumberFormat="1" applyFont="1" applyBorder="1" applyAlignment="1">
      <alignment horizontal="right"/>
    </xf>
    <xf numFmtId="3" fontId="8" fillId="5" borderId="3" xfId="8" applyNumberFormat="1" applyFont="1" applyFill="1" applyBorder="1" applyAlignment="1">
      <alignment horizontal="right" vertical="center" wrapText="1"/>
    </xf>
    <xf numFmtId="3" fontId="27" fillId="3" borderId="1" xfId="10" applyNumberFormat="1" applyFont="1" applyFill="1" applyBorder="1" applyAlignment="1">
      <alignment horizontal="right"/>
    </xf>
    <xf numFmtId="3" fontId="15" fillId="3" borderId="2" xfId="0" applyNumberFormat="1" applyFont="1" applyFill="1" applyBorder="1" applyAlignment="1">
      <alignment horizontal="right"/>
    </xf>
    <xf numFmtId="3" fontId="8" fillId="3" borderId="79" xfId="10" applyNumberFormat="1" applyFont="1" applyFill="1" applyBorder="1" applyAlignment="1">
      <alignment horizontal="right" vertical="center" wrapText="1"/>
    </xf>
    <xf numFmtId="3" fontId="5" fillId="3" borderId="79" xfId="10" applyNumberFormat="1" applyFont="1" applyFill="1" applyBorder="1" applyAlignment="1">
      <alignment horizontal="right"/>
    </xf>
    <xf numFmtId="3" fontId="8" fillId="11" borderId="79" xfId="10" applyNumberFormat="1" applyFont="1" applyFill="1" applyBorder="1" applyAlignment="1">
      <alignment horizontal="right"/>
    </xf>
    <xf numFmtId="3" fontId="52" fillId="0" borderId="1" xfId="14" applyNumberFormat="1" applyFont="1" applyBorder="1" applyAlignment="1">
      <alignment horizontal="right" vertical="center" wrapText="1"/>
    </xf>
    <xf numFmtId="3" fontId="63" fillId="0" borderId="79" xfId="10" applyNumberFormat="1" applyFont="1" applyBorder="1" applyAlignment="1">
      <alignment horizontal="right"/>
    </xf>
    <xf numFmtId="3" fontId="8" fillId="5" borderId="3" xfId="8" applyNumberFormat="1" applyFont="1" applyFill="1" applyBorder="1" applyAlignment="1">
      <alignment horizontal="center" vertical="center" wrapText="1"/>
    </xf>
    <xf numFmtId="3" fontId="5" fillId="0" borderId="1" xfId="13" applyNumberFormat="1" applyFont="1" applyBorder="1" applyAlignment="1">
      <alignment horizontal="right"/>
    </xf>
    <xf numFmtId="3" fontId="5" fillId="0" borderId="1" xfId="15" applyNumberFormat="1" applyFont="1" applyBorder="1" applyAlignment="1">
      <alignment horizontal="right"/>
    </xf>
    <xf numFmtId="3" fontId="8" fillId="11" borderId="3" xfId="15" applyNumberFormat="1" applyFont="1" applyFill="1" applyBorder="1" applyAlignment="1">
      <alignment horizontal="right" vertical="center"/>
    </xf>
    <xf numFmtId="3" fontId="19" fillId="0" borderId="79" xfId="8" applyNumberFormat="1" applyFont="1" applyBorder="1" applyAlignment="1">
      <alignment horizontal="right"/>
    </xf>
    <xf numFmtId="3" fontId="8" fillId="5" borderId="7" xfId="8" applyNumberFormat="1" applyFont="1" applyFill="1" applyBorder="1" applyAlignment="1">
      <alignment horizontal="center" vertical="center" wrapText="1"/>
    </xf>
    <xf numFmtId="3" fontId="8" fillId="11" borderId="79" xfId="8" applyNumberFormat="1" applyFont="1" applyFill="1" applyBorder="1" applyAlignment="1">
      <alignment vertical="center"/>
    </xf>
    <xf numFmtId="3" fontId="59" fillId="0" borderId="0" xfId="2" applyNumberFormat="1" applyFont="1" applyAlignment="1">
      <alignment horizontal="center"/>
    </xf>
    <xf numFmtId="3" fontId="51" fillId="0" borderId="1" xfId="2" applyNumberFormat="1" applyFont="1" applyBorder="1" applyAlignment="1">
      <alignment horizontal="right"/>
    </xf>
    <xf numFmtId="171" fontId="51" fillId="0" borderId="79" xfId="8" applyFont="1" applyBorder="1" applyAlignment="1">
      <alignment horizontal="left"/>
    </xf>
    <xf numFmtId="3" fontId="102" fillId="0" borderId="79" xfId="0" applyNumberFormat="1" applyFont="1" applyBorder="1" applyAlignment="1">
      <alignment horizontal="right" vertical="top" wrapText="1"/>
    </xf>
    <xf numFmtId="171" fontId="19" fillId="0" borderId="79" xfId="8" applyFont="1" applyBorder="1" applyAlignment="1">
      <alignment horizontal="left"/>
    </xf>
    <xf numFmtId="3" fontId="8" fillId="11" borderId="79" xfId="8" applyNumberFormat="1" applyFont="1" applyFill="1" applyBorder="1"/>
    <xf numFmtId="171" fontId="53" fillId="0" borderId="79" xfId="8" applyFont="1" applyBorder="1" applyAlignment="1">
      <alignment horizontal="left" indent="1"/>
    </xf>
    <xf numFmtId="3" fontId="102" fillId="0" borderId="79" xfId="11" applyNumberFormat="1" applyFont="1" applyBorder="1" applyAlignment="1">
      <alignment horizontal="right"/>
    </xf>
    <xf numFmtId="3" fontId="103" fillId="0" borderId="79" xfId="8" quotePrefix="1" applyNumberFormat="1" applyFont="1" applyBorder="1" applyAlignment="1">
      <alignment horizontal="right"/>
    </xf>
    <xf numFmtId="3" fontId="13" fillId="11" borderId="3" xfId="12" applyNumberFormat="1" applyFont="1" applyFill="1" applyBorder="1" applyAlignment="1">
      <alignment horizontal="right" vertical="center"/>
    </xf>
    <xf numFmtId="3" fontId="8" fillId="11" borderId="3" xfId="8" applyNumberFormat="1" applyFont="1" applyFill="1" applyBorder="1"/>
    <xf numFmtId="3" fontId="8" fillId="0" borderId="0" xfId="2" applyNumberFormat="1" applyFont="1" applyAlignment="1">
      <alignment vertical="center"/>
    </xf>
    <xf numFmtId="3" fontId="8" fillId="0" borderId="79" xfId="8" applyNumberFormat="1" applyFont="1" applyBorder="1" applyAlignment="1">
      <alignment vertical="center" wrapText="1"/>
    </xf>
    <xf numFmtId="0" fontId="58" fillId="0" borderId="99" xfId="13" applyFont="1" applyBorder="1"/>
    <xf numFmtId="0" fontId="105" fillId="0" borderId="99" xfId="13" applyFont="1" applyBorder="1"/>
    <xf numFmtId="3" fontId="105" fillId="0" borderId="79" xfId="2" applyNumberFormat="1" applyFont="1" applyBorder="1" applyAlignment="1">
      <alignment horizontal="right"/>
    </xf>
    <xf numFmtId="3" fontId="8" fillId="11" borderId="79" xfId="2" applyNumberFormat="1" applyFont="1" applyFill="1" applyBorder="1" applyAlignment="1">
      <alignment vertical="center"/>
    </xf>
    <xf numFmtId="3" fontId="15" fillId="0" borderId="0" xfId="0" applyNumberFormat="1" applyFont="1" applyAlignment="1">
      <alignment horizontal="right"/>
    </xf>
    <xf numFmtId="3" fontId="8" fillId="0" borderId="1" xfId="8" applyNumberFormat="1" applyFont="1" applyBorder="1" applyAlignment="1">
      <alignment vertical="center" wrapText="1"/>
    </xf>
    <xf numFmtId="3" fontId="52" fillId="0" borderId="79" xfId="10" applyNumberFormat="1" applyFont="1" applyBorder="1"/>
    <xf numFmtId="3" fontId="51" fillId="0" borderId="79" xfId="2" applyNumberFormat="1" applyFont="1" applyBorder="1"/>
    <xf numFmtId="3" fontId="104" fillId="0" borderId="79" xfId="10" applyNumberFormat="1" applyFont="1" applyBorder="1" applyAlignment="1">
      <alignment horizontal="right"/>
    </xf>
    <xf numFmtId="3" fontId="59" fillId="0" borderId="79" xfId="10" applyNumberFormat="1" applyFont="1" applyBorder="1" applyAlignment="1">
      <alignment vertical="center"/>
    </xf>
    <xf numFmtId="3" fontId="10" fillId="0" borderId="0" xfId="2" applyNumberFormat="1" applyFont="1" applyAlignment="1">
      <alignment horizontal="right"/>
    </xf>
    <xf numFmtId="3" fontId="5" fillId="0" borderId="79" xfId="10" applyNumberFormat="1" applyFont="1" applyBorder="1" applyAlignment="1">
      <alignment vertical="center"/>
    </xf>
    <xf numFmtId="3" fontId="107" fillId="0" borderId="79" xfId="2" applyNumberFormat="1" applyFont="1" applyBorder="1" applyAlignment="1">
      <alignment horizontal="right"/>
    </xf>
    <xf numFmtId="3" fontId="108" fillId="0" borderId="79" xfId="10" applyNumberFormat="1" applyFont="1" applyBorder="1" applyAlignment="1">
      <alignment horizontal="right"/>
    </xf>
    <xf numFmtId="3" fontId="8" fillId="11" borderId="79" xfId="10" applyNumberFormat="1" applyFont="1" applyFill="1" applyBorder="1" applyAlignment="1">
      <alignment vertical="center"/>
    </xf>
    <xf numFmtId="3" fontId="5" fillId="0" borderId="3" xfId="10" applyNumberFormat="1" applyFont="1" applyBorder="1"/>
    <xf numFmtId="0" fontId="109" fillId="0" borderId="0" xfId="2" applyFont="1"/>
    <xf numFmtId="3" fontId="8" fillId="0" borderId="1" xfId="10" applyNumberFormat="1" applyFont="1" applyBorder="1" applyAlignment="1">
      <alignment horizontal="right" vertical="center" wrapText="1"/>
    </xf>
    <xf numFmtId="3" fontId="8" fillId="0" borderId="1" xfId="2" applyNumberFormat="1" applyFont="1" applyBorder="1" applyAlignment="1">
      <alignment horizontal="right" vertical="center" wrapText="1"/>
    </xf>
    <xf numFmtId="3" fontId="8" fillId="0" borderId="1" xfId="10" applyNumberFormat="1" applyFont="1" applyBorder="1" applyAlignment="1">
      <alignment vertical="center" wrapText="1"/>
    </xf>
    <xf numFmtId="3" fontId="110" fillId="0" borderId="79" xfId="10" applyNumberFormat="1" applyFont="1" applyBorder="1" applyAlignment="1">
      <alignment horizontal="right"/>
    </xf>
    <xf numFmtId="3" fontId="8" fillId="0" borderId="79" xfId="10" applyNumberFormat="1" applyFont="1" applyBorder="1" applyAlignment="1">
      <alignment vertical="center"/>
    </xf>
    <xf numFmtId="0" fontId="21" fillId="0" borderId="0" xfId="2" applyFont="1" applyAlignment="1">
      <alignment horizontal="center"/>
    </xf>
    <xf numFmtId="0" fontId="21" fillId="0" borderId="1" xfId="10" applyFont="1" applyBorder="1" applyAlignment="1">
      <alignment horizontal="center" vertical="center" wrapText="1"/>
    </xf>
    <xf numFmtId="3" fontId="21" fillId="0" borderId="1" xfId="10" applyNumberFormat="1" applyFont="1" applyBorder="1" applyAlignment="1">
      <alignment horizontal="right" vertical="center" wrapText="1"/>
    </xf>
    <xf numFmtId="3" fontId="8" fillId="0" borderId="1" xfId="14" applyNumberFormat="1" applyFont="1" applyBorder="1" applyAlignment="1">
      <alignment vertical="center" wrapText="1"/>
    </xf>
    <xf numFmtId="0" fontId="22" fillId="0" borderId="79" xfId="10" applyFont="1" applyBorder="1"/>
    <xf numFmtId="0" fontId="21" fillId="0" borderId="79" xfId="10" applyFont="1" applyBorder="1"/>
    <xf numFmtId="0" fontId="53" fillId="0" borderId="79" xfId="10" applyFont="1" applyBorder="1" applyAlignment="1">
      <alignment horizontal="left" indent="2"/>
    </xf>
    <xf numFmtId="0" fontId="53" fillId="0" borderId="79" xfId="10" applyFont="1" applyBorder="1"/>
    <xf numFmtId="171" fontId="103" fillId="0" borderId="0" xfId="8" applyFont="1" applyAlignment="1">
      <alignment horizontal="left"/>
    </xf>
    <xf numFmtId="3" fontId="8" fillId="0" borderId="1" xfId="8" applyNumberFormat="1" applyFont="1" applyBorder="1" applyAlignment="1">
      <alignment horizontal="right" vertical="center" wrapText="1"/>
    </xf>
    <xf numFmtId="3" fontId="8" fillId="0" borderId="3" xfId="8" applyNumberFormat="1" applyFont="1" applyBorder="1" applyAlignment="1">
      <alignment horizontal="right" vertical="center" wrapText="1"/>
    </xf>
    <xf numFmtId="3" fontId="60" fillId="0" borderId="1" xfId="12" applyNumberFormat="1" applyFont="1" applyBorder="1" applyAlignment="1">
      <alignment horizontal="right"/>
    </xf>
    <xf numFmtId="3" fontId="19" fillId="0" borderId="1" xfId="2" applyNumberFormat="1" applyFont="1" applyBorder="1"/>
    <xf numFmtId="171" fontId="56" fillId="0" borderId="79" xfId="12" applyFont="1" applyBorder="1" applyAlignment="1">
      <alignment horizontal="left"/>
    </xf>
    <xf numFmtId="171" fontId="13" fillId="0" borderId="79" xfId="12" applyFont="1" applyBorder="1" applyAlignment="1">
      <alignment horizontal="left"/>
    </xf>
    <xf numFmtId="171" fontId="19" fillId="0" borderId="79" xfId="12" applyFont="1" applyBorder="1" applyAlignment="1">
      <alignment horizontal="left"/>
    </xf>
    <xf numFmtId="3" fontId="58" fillId="0" borderId="79" xfId="12" applyNumberFormat="1" applyFont="1" applyBorder="1" applyAlignment="1">
      <alignment horizontal="left"/>
    </xf>
    <xf numFmtId="3" fontId="8" fillId="11" borderId="79" xfId="12" applyNumberFormat="1" applyFont="1" applyFill="1" applyBorder="1" applyAlignment="1">
      <alignment vertical="center"/>
    </xf>
    <xf numFmtId="3" fontId="19" fillId="0" borderId="79" xfId="2" applyNumberFormat="1" applyFont="1" applyBorder="1" applyAlignment="1">
      <alignment horizontal="center"/>
    </xf>
    <xf numFmtId="0" fontId="19" fillId="0" borderId="3" xfId="2" applyFont="1" applyBorder="1"/>
    <xf numFmtId="3" fontId="51" fillId="0" borderId="0" xfId="8" applyNumberFormat="1" applyFont="1"/>
    <xf numFmtId="3" fontId="60" fillId="3" borderId="1" xfId="12" applyNumberFormat="1" applyFont="1" applyFill="1" applyBorder="1" applyAlignment="1">
      <alignment horizontal="right"/>
    </xf>
    <xf numFmtId="3" fontId="60" fillId="3" borderId="79" xfId="12" applyNumberFormat="1" applyFont="1" applyFill="1" applyBorder="1" applyAlignment="1">
      <alignment horizontal="right"/>
    </xf>
    <xf numFmtId="3" fontId="56" fillId="0" borderId="79" xfId="12" applyNumberFormat="1" applyFont="1" applyBorder="1" applyAlignment="1">
      <alignment horizontal="left"/>
    </xf>
    <xf numFmtId="3" fontId="15" fillId="0" borderId="79" xfId="14" applyNumberFormat="1" applyFont="1" applyBorder="1"/>
    <xf numFmtId="3" fontId="19" fillId="0" borderId="79" xfId="10" applyNumberFormat="1" applyFont="1" applyBorder="1"/>
    <xf numFmtId="3" fontId="15" fillId="0" borderId="79" xfId="10" applyNumberFormat="1" applyFont="1" applyBorder="1"/>
    <xf numFmtId="3" fontId="13" fillId="11" borderId="3" xfId="10" applyNumberFormat="1" applyFont="1" applyFill="1" applyBorder="1" applyAlignment="1">
      <alignment horizontal="right"/>
    </xf>
    <xf numFmtId="3" fontId="13" fillId="11" borderId="3" xfId="10" applyNumberFormat="1" applyFont="1" applyFill="1" applyBorder="1"/>
    <xf numFmtId="3" fontId="8" fillId="11" borderId="3" xfId="10" applyNumberFormat="1" applyFont="1" applyFill="1" applyBorder="1"/>
    <xf numFmtId="3" fontId="5" fillId="0" borderId="0" xfId="10" applyNumberFormat="1" applyFont="1"/>
    <xf numFmtId="3" fontId="19" fillId="0" borderId="1" xfId="0" applyNumberFormat="1" applyFont="1" applyBorder="1" applyAlignment="1">
      <alignment horizontal="right"/>
    </xf>
    <xf numFmtId="3" fontId="52" fillId="0" borderId="79" xfId="14" applyNumberFormat="1" applyFont="1" applyBorder="1" applyAlignment="1">
      <alignment vertical="center" wrapText="1"/>
    </xf>
    <xf numFmtId="0" fontId="5" fillId="0" borderId="79" xfId="10" quotePrefix="1" applyFont="1" applyBorder="1" applyAlignment="1">
      <alignment horizontal="left"/>
    </xf>
    <xf numFmtId="0" fontId="27" fillId="0" borderId="79" xfId="10" applyFont="1" applyBorder="1" applyAlignment="1">
      <alignment horizontal="left"/>
    </xf>
    <xf numFmtId="0" fontId="63" fillId="0" borderId="79" xfId="10" applyFont="1" applyBorder="1" applyAlignment="1">
      <alignment horizontal="left"/>
    </xf>
    <xf numFmtId="3" fontId="63" fillId="0" borderId="78" xfId="2" applyNumberFormat="1" applyFont="1" applyBorder="1" applyAlignment="1">
      <alignment horizontal="right"/>
    </xf>
    <xf numFmtId="3" fontId="63" fillId="0" borderId="0" xfId="2" applyNumberFormat="1" applyFont="1" applyAlignment="1">
      <alignment horizontal="right"/>
    </xf>
    <xf numFmtId="3" fontId="63" fillId="0" borderId="79" xfId="10" applyNumberFormat="1" applyFont="1" applyBorder="1"/>
    <xf numFmtId="3" fontId="15" fillId="0" borderId="78" xfId="10" applyNumberFormat="1" applyFont="1" applyBorder="1" applyAlignment="1">
      <alignment horizontal="right" vertical="center"/>
    </xf>
    <xf numFmtId="171" fontId="58" fillId="0" borderId="79" xfId="12" applyFont="1" applyBorder="1" applyAlignment="1">
      <alignment horizontal="left"/>
    </xf>
    <xf numFmtId="171" fontId="5" fillId="0" borderId="79" xfId="8" applyFont="1" applyBorder="1" applyAlignment="1">
      <alignment horizontal="left" vertical="center"/>
    </xf>
    <xf numFmtId="3" fontId="8" fillId="11" borderId="79" xfId="10" applyNumberFormat="1" applyFont="1" applyFill="1" applyBorder="1" applyAlignment="1">
      <alignment vertical="center" wrapText="1"/>
    </xf>
    <xf numFmtId="0" fontId="8" fillId="0" borderId="79" xfId="10" applyFont="1" applyBorder="1" applyAlignment="1">
      <alignment vertical="center" wrapText="1"/>
    </xf>
    <xf numFmtId="3" fontId="8" fillId="0" borderId="79" xfId="10" applyNumberFormat="1" applyFont="1" applyBorder="1" applyAlignment="1">
      <alignment vertical="center" wrapText="1"/>
    </xf>
    <xf numFmtId="3" fontId="5" fillId="0" borderId="100" xfId="10" applyNumberFormat="1" applyFont="1" applyBorder="1" applyAlignment="1">
      <alignment horizontal="right"/>
    </xf>
    <xf numFmtId="3" fontId="27" fillId="0" borderId="79" xfId="10" applyNumberFormat="1" applyFont="1" applyBorder="1"/>
    <xf numFmtId="3" fontId="5" fillId="0" borderId="101" xfId="10" applyNumberFormat="1" applyFont="1" applyBorder="1" applyAlignment="1">
      <alignment horizontal="right"/>
    </xf>
    <xf numFmtId="3" fontId="27" fillId="0" borderId="3" xfId="10" applyNumberFormat="1" applyFont="1" applyBorder="1"/>
    <xf numFmtId="3" fontId="27" fillId="0" borderId="0" xfId="10" applyNumberFormat="1" applyFont="1"/>
    <xf numFmtId="3" fontId="27" fillId="0" borderId="6" xfId="10" applyNumberFormat="1" applyFont="1" applyBorder="1" applyAlignment="1">
      <alignment horizontal="right"/>
    </xf>
    <xf numFmtId="3" fontId="27" fillId="0" borderId="1" xfId="10" applyNumberFormat="1" applyFont="1" applyBorder="1"/>
    <xf numFmtId="0" fontId="8" fillId="0" borderId="99" xfId="10" applyFont="1" applyBorder="1"/>
    <xf numFmtId="3" fontId="8" fillId="0" borderId="2" xfId="10" applyNumberFormat="1" applyFont="1" applyBorder="1" applyAlignment="1">
      <alignment vertical="center" wrapText="1"/>
    </xf>
    <xf numFmtId="0" fontId="8" fillId="0" borderId="99" xfId="10" applyFont="1" applyBorder="1" applyAlignment="1">
      <alignment vertical="center" wrapText="1"/>
    </xf>
    <xf numFmtId="0" fontId="5" fillId="0" borderId="99" xfId="10" applyFont="1" applyBorder="1"/>
    <xf numFmtId="3" fontId="15" fillId="3" borderId="2" xfId="10" applyNumberFormat="1" applyFont="1" applyFill="1" applyBorder="1" applyAlignment="1">
      <alignment horizontal="right"/>
    </xf>
    <xf numFmtId="3" fontId="5" fillId="0" borderId="2" xfId="10" applyNumberFormat="1" applyFont="1" applyBorder="1" applyAlignment="1">
      <alignment vertical="center" wrapText="1"/>
    </xf>
    <xf numFmtId="3" fontId="5" fillId="0" borderId="79" xfId="10" applyNumberFormat="1" applyFont="1" applyBorder="1" applyAlignment="1">
      <alignment vertical="center" wrapText="1"/>
    </xf>
    <xf numFmtId="3" fontId="5" fillId="0" borderId="99" xfId="8" applyNumberFormat="1" applyFont="1" applyBorder="1" applyAlignment="1">
      <alignment horizontal="left"/>
    </xf>
    <xf numFmtId="0" fontId="19" fillId="0" borderId="99" xfId="0" applyFont="1" applyBorder="1"/>
    <xf numFmtId="3" fontId="19" fillId="0" borderId="2" xfId="0" applyNumberFormat="1" applyFont="1" applyBorder="1"/>
    <xf numFmtId="3" fontId="5" fillId="0" borderId="3" xfId="10" applyNumberFormat="1" applyFont="1" applyBorder="1" applyAlignment="1">
      <alignment vertical="center" wrapText="1"/>
    </xf>
    <xf numFmtId="3" fontId="52" fillId="0" borderId="1" xfId="8" applyNumberFormat="1" applyFont="1" applyBorder="1" applyAlignment="1">
      <alignment horizontal="right"/>
    </xf>
    <xf numFmtId="3" fontId="52" fillId="0" borderId="1" xfId="8" applyNumberFormat="1" applyFont="1" applyBorder="1"/>
    <xf numFmtId="3" fontId="15" fillId="0" borderId="2" xfId="10" applyNumberFormat="1" applyFont="1" applyBorder="1" applyAlignment="1">
      <alignment horizontal="right"/>
    </xf>
    <xf numFmtId="3" fontId="5" fillId="0" borderId="2" xfId="10" quotePrefix="1" applyNumberFormat="1" applyFont="1" applyBorder="1" applyAlignment="1">
      <alignment horizontal="right"/>
    </xf>
    <xf numFmtId="3" fontId="63" fillId="0" borderId="2" xfId="10" applyNumberFormat="1" applyFont="1" applyBorder="1" applyAlignment="1">
      <alignment horizontal="right"/>
    </xf>
    <xf numFmtId="3" fontId="5" fillId="0" borderId="2" xfId="10" applyNumberFormat="1" applyFont="1" applyBorder="1" applyAlignment="1">
      <alignment vertical="center"/>
    </xf>
    <xf numFmtId="3" fontId="8" fillId="11" borderId="2" xfId="10" applyNumberFormat="1" applyFont="1" applyFill="1" applyBorder="1" applyAlignment="1">
      <alignment horizontal="right" vertical="center" wrapText="1"/>
    </xf>
    <xf numFmtId="3" fontId="8" fillId="11" borderId="2" xfId="10" applyNumberFormat="1" applyFont="1" applyFill="1" applyBorder="1" applyAlignment="1">
      <alignment vertical="center" wrapText="1"/>
    </xf>
    <xf numFmtId="3" fontId="27" fillId="0" borderId="2" xfId="10" applyNumberFormat="1" applyFont="1" applyBorder="1"/>
    <xf numFmtId="171" fontId="56" fillId="0" borderId="2" xfId="12" applyFont="1" applyBorder="1" applyAlignment="1">
      <alignment horizontal="left"/>
    </xf>
    <xf numFmtId="172" fontId="56" fillId="0" borderId="2" xfId="12" applyNumberFormat="1" applyFont="1" applyBorder="1" applyAlignment="1">
      <alignment horizontal="center"/>
    </xf>
    <xf numFmtId="171" fontId="19" fillId="0" borderId="2" xfId="12" applyFont="1" applyBorder="1" applyAlignment="1">
      <alignment horizontal="left"/>
    </xf>
    <xf numFmtId="3" fontId="13" fillId="11" borderId="2" xfId="12" applyNumberFormat="1" applyFont="1" applyFill="1" applyBorder="1" applyAlignment="1">
      <alignment horizontal="right" vertical="center"/>
    </xf>
    <xf numFmtId="3" fontId="8" fillId="11" borderId="2" xfId="12" applyNumberFormat="1" applyFont="1" applyFill="1" applyBorder="1" applyAlignment="1">
      <alignment vertical="center"/>
    </xf>
    <xf numFmtId="171" fontId="19" fillId="0" borderId="3" xfId="12" applyFont="1" applyBorder="1" applyAlignment="1">
      <alignment horizontal="left"/>
    </xf>
    <xf numFmtId="3" fontId="5" fillId="0" borderId="0" xfId="13" applyNumberFormat="1" applyFont="1"/>
    <xf numFmtId="3" fontId="5" fillId="0" borderId="1" xfId="13" applyNumberFormat="1" applyFont="1" applyBorder="1"/>
    <xf numFmtId="3" fontId="58" fillId="0" borderId="2" xfId="12" applyNumberFormat="1" applyFont="1" applyBorder="1" applyAlignment="1">
      <alignment horizontal="left"/>
    </xf>
    <xf numFmtId="3" fontId="25" fillId="0" borderId="2" xfId="8" applyNumberFormat="1" applyFont="1" applyBorder="1" applyAlignment="1">
      <alignment horizontal="right"/>
    </xf>
    <xf numFmtId="3" fontId="8" fillId="11" borderId="2" xfId="8" applyNumberFormat="1" applyFont="1" applyFill="1" applyBorder="1" applyAlignment="1">
      <alignment horizontal="right" vertical="center"/>
    </xf>
    <xf numFmtId="3" fontId="8" fillId="11" borderId="2" xfId="8" applyNumberFormat="1" applyFont="1" applyFill="1" applyBorder="1" applyAlignment="1">
      <alignment vertical="center"/>
    </xf>
    <xf numFmtId="3" fontId="15" fillId="0" borderId="2" xfId="12" applyNumberFormat="1" applyFont="1" applyBorder="1" applyAlignment="1">
      <alignment horizontal="right"/>
    </xf>
    <xf numFmtId="3" fontId="15" fillId="0" borderId="2" xfId="8" applyNumberFormat="1" applyFont="1" applyBorder="1" applyAlignment="1">
      <alignment horizontal="right"/>
    </xf>
    <xf numFmtId="3" fontId="24" fillId="0" borderId="2" xfId="12" applyNumberFormat="1" applyFont="1" applyBorder="1" applyAlignment="1">
      <alignment horizontal="right"/>
    </xf>
    <xf numFmtId="3" fontId="8" fillId="0" borderId="1" xfId="15" applyNumberFormat="1" applyFont="1" applyBorder="1" applyAlignment="1">
      <alignment horizontal="right"/>
    </xf>
    <xf numFmtId="171" fontId="22" fillId="0" borderId="2" xfId="8" applyFont="1" applyBorder="1" applyAlignment="1">
      <alignment horizontal="left"/>
    </xf>
    <xf numFmtId="3" fontId="21" fillId="0" borderId="2" xfId="8" applyNumberFormat="1" applyFont="1" applyBorder="1" applyAlignment="1">
      <alignment horizontal="left"/>
    </xf>
    <xf numFmtId="3" fontId="53" fillId="0" borderId="2" xfId="8" applyNumberFormat="1" applyFont="1" applyBorder="1" applyAlignment="1">
      <alignment horizontal="left"/>
    </xf>
    <xf numFmtId="173" fontId="19" fillId="0" borderId="2" xfId="15" applyNumberFormat="1" applyFont="1" applyBorder="1"/>
    <xf numFmtId="173" fontId="5" fillId="0" borderId="99" xfId="15" applyNumberFormat="1" applyFont="1" applyBorder="1"/>
    <xf numFmtId="173" fontId="59" fillId="10" borderId="99" xfId="15" applyNumberFormat="1" applyFont="1" applyFill="1" applyBorder="1"/>
    <xf numFmtId="3" fontId="106" fillId="10" borderId="2" xfId="15" applyNumberFormat="1" applyFont="1" applyFill="1" applyBorder="1" applyAlignment="1">
      <alignment horizontal="right"/>
    </xf>
    <xf numFmtId="171" fontId="21" fillId="0" borderId="2" xfId="8" applyFont="1" applyBorder="1" applyAlignment="1">
      <alignment horizontal="left"/>
    </xf>
    <xf numFmtId="3" fontId="51" fillId="0" borderId="2" xfId="2" applyNumberFormat="1" applyFont="1" applyBorder="1"/>
    <xf numFmtId="3" fontId="8" fillId="11" borderId="3" xfId="15" applyNumberFormat="1" applyFont="1" applyFill="1" applyBorder="1" applyAlignment="1">
      <alignment vertical="center"/>
    </xf>
    <xf numFmtId="171" fontId="21" fillId="0" borderId="99" xfId="8" applyFont="1" applyBorder="1" applyAlignment="1">
      <alignment horizontal="left"/>
    </xf>
    <xf numFmtId="171" fontId="22" fillId="0" borderId="99" xfId="8" applyFont="1" applyBorder="1" applyAlignment="1">
      <alignment horizontal="left"/>
    </xf>
    <xf numFmtId="0" fontId="19" fillId="0" borderId="2" xfId="0" applyFont="1" applyBorder="1" applyAlignment="1">
      <alignment horizontal="left" indent="1"/>
    </xf>
    <xf numFmtId="3" fontId="19" fillId="0" borderId="2" xfId="10" applyNumberFormat="1" applyFont="1" applyBorder="1"/>
    <xf numFmtId="3" fontId="51" fillId="0" borderId="0" xfId="2" applyNumberFormat="1" applyFont="1" applyAlignment="1">
      <alignment horizontal="right"/>
    </xf>
    <xf numFmtId="3" fontId="64" fillId="0" borderId="2" xfId="15" applyNumberFormat="1" applyFont="1" applyBorder="1" applyAlignment="1">
      <alignment horizontal="right"/>
    </xf>
    <xf numFmtId="3" fontId="8" fillId="5" borderId="2" xfId="8" applyNumberFormat="1" applyFont="1" applyFill="1" applyBorder="1" applyAlignment="1">
      <alignment horizontal="right" vertical="center" wrapText="1"/>
    </xf>
    <xf numFmtId="173" fontId="5" fillId="0" borderId="99" xfId="15" applyNumberFormat="1" applyFont="1" applyBorder="1" applyAlignment="1">
      <alignment horizontal="left"/>
    </xf>
    <xf numFmtId="3" fontId="24" fillId="0" borderId="2" xfId="0" applyNumberFormat="1" applyFont="1" applyBorder="1" applyAlignment="1">
      <alignment horizontal="right"/>
    </xf>
    <xf numFmtId="171" fontId="52" fillId="0" borderId="99" xfId="8" applyFont="1" applyBorder="1" applyAlignment="1">
      <alignment horizontal="left"/>
    </xf>
    <xf numFmtId="3" fontId="21" fillId="11" borderId="2" xfId="8" applyNumberFormat="1" applyFont="1" applyFill="1" applyBorder="1" applyAlignment="1">
      <alignment horizontal="right"/>
    </xf>
    <xf numFmtId="0" fontId="19" fillId="0" borderId="2" xfId="2" applyFont="1" applyBorder="1"/>
    <xf numFmtId="3" fontId="19" fillId="0" borderId="0" xfId="2" applyNumberFormat="1" applyFont="1" applyAlignment="1">
      <alignment horizontal="right"/>
    </xf>
    <xf numFmtId="171" fontId="22" fillId="0" borderId="2" xfId="12" applyFont="1" applyBorder="1" applyAlignment="1">
      <alignment horizontal="left"/>
    </xf>
    <xf numFmtId="3" fontId="13" fillId="0" borderId="2" xfId="12" applyNumberFormat="1" applyFont="1" applyBorder="1" applyAlignment="1">
      <alignment horizontal="left"/>
    </xf>
    <xf numFmtId="3" fontId="66" fillId="0" borderId="2" xfId="12" applyNumberFormat="1" applyFont="1" applyBorder="1" applyAlignment="1">
      <alignment horizontal="left"/>
    </xf>
    <xf numFmtId="3" fontId="19" fillId="0" borderId="2" xfId="2" applyNumberFormat="1" applyFont="1" applyBorder="1" applyAlignment="1">
      <alignment horizontal="left"/>
    </xf>
    <xf numFmtId="3" fontId="13" fillId="0" borderId="2" xfId="12" applyNumberFormat="1" applyFont="1" applyBorder="1" applyAlignment="1">
      <alignment horizontal="center" vertical="center"/>
    </xf>
    <xf numFmtId="3" fontId="66" fillId="0" borderId="3" xfId="12" applyNumberFormat="1" applyFont="1" applyBorder="1" applyAlignment="1">
      <alignment horizontal="left"/>
    </xf>
    <xf numFmtId="3" fontId="27" fillId="0" borderId="0" xfId="2" applyNumberFormat="1" applyFont="1"/>
    <xf numFmtId="3" fontId="59" fillId="0" borderId="0" xfId="2" applyNumberFormat="1" applyFont="1"/>
    <xf numFmtId="3" fontId="8" fillId="0" borderId="2" xfId="8" applyNumberFormat="1" applyFont="1" applyBorder="1" applyAlignment="1">
      <alignment horizontal="right" vertical="center" wrapText="1"/>
    </xf>
    <xf numFmtId="3" fontId="28" fillId="0" borderId="2" xfId="8" applyNumberFormat="1" applyFont="1" applyBorder="1" applyAlignment="1">
      <alignment horizontal="center" vertical="center" wrapText="1"/>
    </xf>
    <xf numFmtId="3" fontId="8" fillId="0" borderId="2" xfId="8" applyNumberFormat="1" applyFont="1" applyBorder="1" applyAlignment="1">
      <alignment horizontal="center" vertical="center" wrapText="1"/>
    </xf>
    <xf numFmtId="3" fontId="8" fillId="0" borderId="1" xfId="12" applyNumberFormat="1" applyFont="1" applyBorder="1" applyAlignment="1">
      <alignment horizontal="center" vertical="center" wrapText="1"/>
    </xf>
    <xf numFmtId="3" fontId="13" fillId="11" borderId="2" xfId="8" applyNumberFormat="1" applyFont="1" applyFill="1" applyBorder="1" applyAlignment="1">
      <alignment horizontal="right"/>
    </xf>
    <xf numFmtId="3" fontId="8" fillId="11" borderId="2" xfId="12" applyNumberFormat="1" applyFont="1" applyFill="1" applyBorder="1" applyAlignment="1">
      <alignment horizontal="right" vertical="center"/>
    </xf>
    <xf numFmtId="3" fontId="58" fillId="0" borderId="3" xfId="8" applyNumberFormat="1" applyFont="1" applyBorder="1" applyAlignment="1">
      <alignment horizontal="right"/>
    </xf>
    <xf numFmtId="3" fontId="19" fillId="0" borderId="0" xfId="2" applyNumberFormat="1" applyFont="1" applyAlignment="1">
      <alignment horizontal="center"/>
    </xf>
    <xf numFmtId="3" fontId="28" fillId="0" borderId="1" xfId="8" applyNumberFormat="1" applyFont="1" applyBorder="1" applyAlignment="1">
      <alignment horizontal="right" vertical="center" wrapText="1"/>
    </xf>
    <xf numFmtId="3" fontId="25" fillId="0" borderId="2" xfId="12" applyNumberFormat="1" applyFont="1" applyBorder="1" applyAlignment="1">
      <alignment horizontal="right"/>
    </xf>
    <xf numFmtId="3" fontId="61" fillId="0" borderId="2" xfId="12" applyNumberFormat="1" applyFont="1" applyBorder="1" applyAlignment="1">
      <alignment horizontal="right"/>
    </xf>
    <xf numFmtId="3" fontId="13" fillId="0" borderId="2" xfId="2" applyNumberFormat="1" applyFont="1" applyBorder="1" applyAlignment="1">
      <alignment horizontal="right" vertical="center"/>
    </xf>
    <xf numFmtId="3" fontId="13" fillId="0" borderId="2" xfId="2" applyNumberFormat="1" applyFont="1" applyBorder="1" applyAlignment="1">
      <alignment vertical="center"/>
    </xf>
    <xf numFmtId="3" fontId="106" fillId="0" borderId="2" xfId="12" applyNumberFormat="1" applyFont="1" applyBorder="1" applyAlignment="1">
      <alignment horizontal="right"/>
    </xf>
    <xf numFmtId="3" fontId="28" fillId="0" borderId="2" xfId="0" applyNumberFormat="1" applyFont="1" applyBorder="1" applyAlignment="1">
      <alignment horizontal="right"/>
    </xf>
    <xf numFmtId="3" fontId="25" fillId="3" borderId="2" xfId="12" applyNumberFormat="1" applyFont="1" applyFill="1" applyBorder="1" applyAlignment="1">
      <alignment horizontal="right"/>
    </xf>
    <xf numFmtId="3" fontId="27" fillId="0" borderId="2" xfId="2" applyNumberFormat="1" applyFont="1" applyBorder="1" applyAlignment="1">
      <alignment horizontal="right"/>
    </xf>
    <xf numFmtId="3" fontId="8" fillId="0" borderId="2" xfId="12" applyNumberFormat="1" applyFont="1" applyBorder="1" applyAlignment="1">
      <alignment horizontal="center" vertical="center" wrapText="1"/>
    </xf>
    <xf numFmtId="3" fontId="15" fillId="0" borderId="2" xfId="0" applyNumberFormat="1" applyFont="1" applyBorder="1"/>
    <xf numFmtId="3" fontId="15" fillId="0" borderId="2" xfId="8" applyNumberFormat="1" applyFont="1" applyBorder="1"/>
    <xf numFmtId="3" fontId="8" fillId="0" borderId="2" xfId="12" applyNumberFormat="1" applyFont="1" applyBorder="1" applyAlignment="1">
      <alignment horizontal="right" vertical="center"/>
    </xf>
    <xf numFmtId="3" fontId="5" fillId="0" borderId="3" xfId="12" applyNumberFormat="1" applyFont="1" applyBorder="1" applyAlignment="1">
      <alignment horizontal="right"/>
    </xf>
    <xf numFmtId="3" fontId="67" fillId="0" borderId="2" xfId="12" applyNumberFormat="1" applyFont="1" applyBorder="1" applyAlignment="1">
      <alignment horizontal="right"/>
    </xf>
    <xf numFmtId="3" fontId="5" fillId="0" borderId="8" xfId="2" applyNumberFormat="1" applyFont="1" applyBorder="1" applyAlignment="1">
      <alignment horizontal="center"/>
    </xf>
    <xf numFmtId="171" fontId="21" fillId="0" borderId="2" xfId="12" applyFont="1" applyBorder="1" applyAlignment="1">
      <alignment horizontal="left"/>
    </xf>
    <xf numFmtId="3" fontId="19" fillId="0" borderId="2" xfId="12" applyNumberFormat="1" applyFont="1" applyBorder="1" applyAlignment="1">
      <alignment horizontal="left"/>
    </xf>
    <xf numFmtId="3" fontId="15" fillId="0" borderId="2" xfId="12" applyNumberFormat="1" applyFont="1" applyBorder="1" applyAlignment="1">
      <alignment horizontal="right" wrapText="1"/>
    </xf>
    <xf numFmtId="3" fontId="0" fillId="18" borderId="7" xfId="0" applyNumberFormat="1" applyFill="1" applyBorder="1" applyAlignment="1">
      <alignment horizontal="center" vertical="center"/>
    </xf>
    <xf numFmtId="3" fontId="0" fillId="18" borderId="7" xfId="0" applyNumberFormat="1" applyFill="1" applyBorder="1"/>
    <xf numFmtId="3" fontId="0" fillId="18" borderId="7" xfId="0" applyNumberFormat="1" applyFill="1" applyBorder="1" applyAlignment="1">
      <alignment horizontal="center"/>
    </xf>
  </cellXfs>
  <cellStyles count="31">
    <cellStyle name="Milliers" xfId="1" builtinId="3"/>
    <cellStyle name="Milliers [0]" xfId="30" builtinId="6"/>
    <cellStyle name="Milliers [0] 2" xfId="6" xr:uid="{00000000-0005-0000-0000-000001000000}"/>
    <cellStyle name="Milliers 2" xfId="5" xr:uid="{00000000-0005-0000-0000-000002000000}"/>
    <cellStyle name="Milliers 2 2" xfId="7" xr:uid="{00000000-0005-0000-0000-000003000000}"/>
    <cellStyle name="Milliers 2 3" xfId="20" xr:uid="{00000000-0005-0000-0000-000004000000}"/>
    <cellStyle name="Milliers 2 3 2" xfId="27" xr:uid="{CBF3FCD7-2DA0-49D8-AE8A-B58E7627828C}"/>
    <cellStyle name="Milliers 3" xfId="18" xr:uid="{00000000-0005-0000-0000-000005000000}"/>
    <cellStyle name="Milliers 31" xfId="29" xr:uid="{4BEBC605-D6B4-46FA-BEBA-6829A32E4704}"/>
    <cellStyle name="Milliers 4" xfId="21" xr:uid="{00000000-0005-0000-0000-000006000000}"/>
    <cellStyle name="Milliers 5" xfId="17" xr:uid="{00000000-0005-0000-0000-000007000000}"/>
    <cellStyle name="Milliers 6" xfId="23" xr:uid="{00000000-0005-0000-0000-000008000000}"/>
    <cellStyle name="Milliers 7" xfId="24" xr:uid="{00000000-0005-0000-0000-000009000000}"/>
    <cellStyle name="Milliers 8" xfId="25" xr:uid="{00000000-0005-0000-0000-00000A000000}"/>
    <cellStyle name="Normal" xfId="0" builtinId="0"/>
    <cellStyle name="Normal 16 3 2" xfId="4" xr:uid="{00000000-0005-0000-0000-00000C000000}"/>
    <cellStyle name="Normal 16 3 2 3" xfId="28" xr:uid="{A4FEE9C6-42C0-4488-899D-EB7F245E576A}"/>
    <cellStyle name="Normal 2" xfId="19" xr:uid="{00000000-0005-0000-0000-00000D000000}"/>
    <cellStyle name="Normal 2 2 2" xfId="2" xr:uid="{00000000-0005-0000-0000-00000E000000}"/>
    <cellStyle name="Normal 2 2 3" xfId="3" xr:uid="{00000000-0005-0000-0000-00000F000000}"/>
    <cellStyle name="Normal 2 2 3 2" xfId="9" xr:uid="{00000000-0005-0000-0000-000010000000}"/>
    <cellStyle name="Normal 2 2 3 2 2" xfId="26" xr:uid="{C8763771-414A-4044-A30B-C9751A21178B}"/>
    <cellStyle name="Normal 3" xfId="22" xr:uid="{00000000-0005-0000-0000-000011000000}"/>
    <cellStyle name="Normal 3 2 2" xfId="13" xr:uid="{00000000-0005-0000-0000-000012000000}"/>
    <cellStyle name="Normal 3 4" xfId="11" xr:uid="{00000000-0005-0000-0000-000013000000}"/>
    <cellStyle name="Normal_act98 2 2" xfId="10" xr:uid="{00000000-0005-0000-0000-000014000000}"/>
    <cellStyle name="Normal_mar-pc 2" xfId="15" xr:uid="{00000000-0005-0000-0000-000015000000}"/>
    <cellStyle name="Normal_synth-act97 2 2" xfId="14" xr:uid="{00000000-0005-0000-0000-000016000000}"/>
    <cellStyle name="Normal_TRAFIC 97_1_TRAFIC 98" xfId="8" xr:uid="{00000000-0005-0000-0000-000017000000}"/>
    <cellStyle name="Normal_TRAFIC 97_1_TRAFIC 98 2 2" xfId="12" xr:uid="{00000000-0005-0000-0000-000018000000}"/>
    <cellStyle name="Pourcentage" xfId="16" builtinId="5"/>
  </cellStyles>
  <dxfs count="26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ill>
        <patternFill>
          <bgColor rgb="FFFFFF00"/>
        </patternFill>
      </fill>
    </dxf>
  </dxfs>
  <tableStyles count="0" defaultTableStyle="TableStyleMedium2" defaultPivotStyle="PivotStyleLight16"/>
  <colors>
    <mruColors>
      <color rgb="FFF786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Coefficients</a:t>
            </a:r>
            <a:r>
              <a:rPr lang="en-US" b="1" baseline="0"/>
              <a:t> saisonniers du trafic de conteneurs transbordés 2023</a:t>
            </a:r>
            <a:endParaRPr lang="en-US" b="1"/>
          </a:p>
        </c:rich>
      </c:tx>
      <c:overlay val="0"/>
      <c:spPr>
        <a:noFill/>
        <a:ln>
          <a:noFill/>
        </a:ln>
        <a:effectLst/>
      </c:spPr>
    </c:title>
    <c:autoTitleDeleted val="0"/>
    <c:plotArea>
      <c:layout>
        <c:manualLayout>
          <c:layoutTarget val="inner"/>
          <c:xMode val="edge"/>
          <c:yMode val="edge"/>
          <c:x val="5.6477760127393181E-2"/>
          <c:y val="0.17061581414509147"/>
          <c:w val="0.94352223987260686"/>
          <c:h val="0.67945989779202476"/>
        </c:manualLayout>
      </c:layout>
      <c:lineChart>
        <c:grouping val="stacked"/>
        <c:varyColors val="0"/>
        <c:ser>
          <c:idx val="0"/>
          <c:order val="0"/>
          <c:marker>
            <c:symbol val="circle"/>
            <c:size val="5"/>
            <c:spPr>
              <a:solidFill>
                <a:schemeClr val="accent1"/>
              </a:solidFill>
              <a:ln w="9525">
                <a:solidFill>
                  <a:schemeClr val="accent1"/>
                </a:solidFill>
              </a:ln>
              <a:effectLst/>
            </c:spPr>
          </c:marker>
          <c:cat>
            <c:strRef>
              <c:f>COEFFICIENTS_SAISONNIERS_2026!$C$185:$N$185</c:f>
              <c:strCache>
                <c:ptCount val="12"/>
                <c:pt idx="0">
                  <c:v>Janvier</c:v>
                </c:pt>
                <c:pt idx="1">
                  <c:v>Février</c:v>
                </c:pt>
                <c:pt idx="2">
                  <c:v>Mars</c:v>
                </c:pt>
                <c:pt idx="3">
                  <c:v>Avril</c:v>
                </c:pt>
                <c:pt idx="4">
                  <c:v>Mai</c:v>
                </c:pt>
                <c:pt idx="5">
                  <c:v>Juin</c:v>
                </c:pt>
                <c:pt idx="6">
                  <c:v>Juillet</c:v>
                </c:pt>
                <c:pt idx="7">
                  <c:v>Août</c:v>
                </c:pt>
                <c:pt idx="8">
                  <c:v>Septembre</c:v>
                </c:pt>
                <c:pt idx="9">
                  <c:v>Octobre</c:v>
                </c:pt>
                <c:pt idx="10">
                  <c:v>Novembre</c:v>
                </c:pt>
                <c:pt idx="11">
                  <c:v>Décembre</c:v>
                </c:pt>
              </c:strCache>
            </c:strRef>
          </c:cat>
          <c:val>
            <c:numRef>
              <c:f>COEFFICIENTS_SAISONNIERS_2026!$C$193:$N$193</c:f>
              <c:numCache>
                <c:formatCode>#,##0.00_ ;\-#,##0.00\ </c:formatCode>
                <c:ptCount val="12"/>
                <c:pt idx="0">
                  <c:v>0.8125473404163478</c:v>
                </c:pt>
                <c:pt idx="1">
                  <c:v>0.88426230025065544</c:v>
                </c:pt>
                <c:pt idx="2">
                  <c:v>0.85170635692177876</c:v>
                </c:pt>
                <c:pt idx="3">
                  <c:v>0.88432535824824865</c:v>
                </c:pt>
                <c:pt idx="4">
                  <c:v>1.0649955296383846</c:v>
                </c:pt>
                <c:pt idx="5">
                  <c:v>0.94444665481076218</c:v>
                </c:pt>
                <c:pt idx="6">
                  <c:v>1.0842462354750781</c:v>
                </c:pt>
                <c:pt idx="7">
                  <c:v>1.1721671006908603</c:v>
                </c:pt>
                <c:pt idx="8">
                  <c:v>1.0250257674496117</c:v>
                </c:pt>
                <c:pt idx="9">
                  <c:v>1.0414208468238662</c:v>
                </c:pt>
                <c:pt idx="10">
                  <c:v>1.0538973220619665</c:v>
                </c:pt>
                <c:pt idx="11">
                  <c:v>1.1809591872124385</c:v>
                </c:pt>
              </c:numCache>
            </c:numRef>
          </c:val>
          <c:smooth val="0"/>
          <c:extLst>
            <c:ext xmlns:c16="http://schemas.microsoft.com/office/drawing/2014/chart" uri="{C3380CC4-5D6E-409C-BE32-E72D297353CC}">
              <c16:uniqueId val="{00000000-D7F8-4838-B408-E8E4D2E13554}"/>
            </c:ext>
          </c:extLst>
        </c:ser>
        <c:dLbls>
          <c:showLegendKey val="0"/>
          <c:showVal val="0"/>
          <c:showCatName val="0"/>
          <c:showSerName val="0"/>
          <c:showPercent val="0"/>
          <c:showBubbleSize val="0"/>
        </c:dLbls>
        <c:marker val="1"/>
        <c:smooth val="0"/>
        <c:axId val="386944608"/>
        <c:axId val="386933632"/>
      </c:lineChart>
      <c:catAx>
        <c:axId val="386944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6933632"/>
        <c:crosses val="autoZero"/>
        <c:auto val="1"/>
        <c:lblAlgn val="ctr"/>
        <c:lblOffset val="100"/>
        <c:noMultiLvlLbl val="0"/>
      </c:catAx>
      <c:valAx>
        <c:axId val="386933632"/>
        <c:scaling>
          <c:orientation val="minMax"/>
          <c:max val="1.8"/>
          <c:min val="0.70000000000000007"/>
        </c:scaling>
        <c:delete val="0"/>
        <c:axPos val="l"/>
        <c:majorGridlines>
          <c:spPr>
            <a:ln w="9525" cap="flat" cmpd="sng" algn="ctr">
              <a:solidFill>
                <a:schemeClr val="tx1">
                  <a:lumMod val="15000"/>
                  <a:lumOff val="85000"/>
                </a:schemeClr>
              </a:solidFill>
              <a:round/>
            </a:ln>
            <a:effectLst/>
          </c:spPr>
        </c:majorGridlines>
        <c:numFmt formatCode="#,##0.00_ ;\-#,##0.0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6944608"/>
        <c:crosses val="autoZero"/>
        <c:crossBetween val="between"/>
        <c:majorUnit val="0.30000000000000004"/>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0000000000002" l="0.70000000000000062" r="0.70000000000000062" t="0.750000000000002"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Coefficients</a:t>
            </a:r>
            <a:r>
              <a:rPr lang="en-US" b="1" baseline="0"/>
              <a:t> saisonniers du trafic des escales navires 2023</a:t>
            </a:r>
            <a:endParaRPr lang="en-US" b="1"/>
          </a:p>
        </c:rich>
      </c:tx>
      <c:overlay val="0"/>
      <c:spPr>
        <a:noFill/>
        <a:ln>
          <a:noFill/>
        </a:ln>
        <a:effectLst/>
      </c:spPr>
    </c:title>
    <c:autoTitleDeleted val="0"/>
    <c:plotArea>
      <c:layout/>
      <c:lineChart>
        <c:grouping val="stacke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COEFFICIENTS_SAISONNIERS_2026!$C$5:$N$5</c:f>
              <c:strCache>
                <c:ptCount val="12"/>
                <c:pt idx="0">
                  <c:v>Janvier</c:v>
                </c:pt>
                <c:pt idx="1">
                  <c:v>Février</c:v>
                </c:pt>
                <c:pt idx="2">
                  <c:v>Mars</c:v>
                </c:pt>
                <c:pt idx="3">
                  <c:v>Avril</c:v>
                </c:pt>
                <c:pt idx="4">
                  <c:v>Mai</c:v>
                </c:pt>
                <c:pt idx="5">
                  <c:v>Juin</c:v>
                </c:pt>
                <c:pt idx="6">
                  <c:v>Juillet</c:v>
                </c:pt>
                <c:pt idx="7">
                  <c:v>Août</c:v>
                </c:pt>
                <c:pt idx="8">
                  <c:v>Septembre</c:v>
                </c:pt>
                <c:pt idx="9">
                  <c:v>Octobre</c:v>
                </c:pt>
                <c:pt idx="10">
                  <c:v>Novembre</c:v>
                </c:pt>
                <c:pt idx="11">
                  <c:v>Décembre</c:v>
                </c:pt>
              </c:strCache>
            </c:strRef>
          </c:cat>
          <c:val>
            <c:numRef>
              <c:f>COEFFICIENTS_SAISONNIERS_2026!$C$13:$N$13</c:f>
              <c:numCache>
                <c:formatCode>#,##0.00_ ;\-#,##0.00\ </c:formatCode>
                <c:ptCount val="12"/>
                <c:pt idx="0">
                  <c:v>1.0238248551191242</c:v>
                </c:pt>
                <c:pt idx="1">
                  <c:v>0.94558918222794586</c:v>
                </c:pt>
                <c:pt idx="2">
                  <c:v>0.98615582743077901</c:v>
                </c:pt>
                <c:pt idx="3">
                  <c:v>0.98036059240180284</c:v>
                </c:pt>
                <c:pt idx="4">
                  <c:v>1.0267224726336122</c:v>
                </c:pt>
                <c:pt idx="5">
                  <c:v>0.94075981970379907</c:v>
                </c:pt>
                <c:pt idx="6">
                  <c:v>1.0238248551191242</c:v>
                </c:pt>
                <c:pt idx="7">
                  <c:v>0.97263361236316792</c:v>
                </c:pt>
                <c:pt idx="8">
                  <c:v>0.97456535737282668</c:v>
                </c:pt>
                <c:pt idx="9">
                  <c:v>1.0209272376046361</c:v>
                </c:pt>
                <c:pt idx="10">
                  <c:v>1.0228589826142949</c:v>
                </c:pt>
                <c:pt idx="11">
                  <c:v>1.0817772054088859</c:v>
                </c:pt>
              </c:numCache>
            </c:numRef>
          </c:val>
          <c:smooth val="0"/>
          <c:extLst>
            <c:ext xmlns:c16="http://schemas.microsoft.com/office/drawing/2014/chart" uri="{C3380CC4-5D6E-409C-BE32-E72D297353CC}">
              <c16:uniqueId val="{00000000-A0E5-47A5-84E1-62781930C854}"/>
            </c:ext>
          </c:extLst>
        </c:ser>
        <c:dLbls>
          <c:showLegendKey val="0"/>
          <c:showVal val="0"/>
          <c:showCatName val="0"/>
          <c:showSerName val="0"/>
          <c:showPercent val="0"/>
          <c:showBubbleSize val="0"/>
        </c:dLbls>
        <c:marker val="1"/>
        <c:smooth val="0"/>
        <c:axId val="385986824"/>
        <c:axId val="385989176"/>
      </c:lineChart>
      <c:catAx>
        <c:axId val="385986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5989176"/>
        <c:crosses val="autoZero"/>
        <c:auto val="1"/>
        <c:lblAlgn val="ctr"/>
        <c:lblOffset val="100"/>
        <c:noMultiLvlLbl val="0"/>
      </c:catAx>
      <c:valAx>
        <c:axId val="385989176"/>
        <c:scaling>
          <c:orientation val="minMax"/>
          <c:min val="0.8"/>
        </c:scaling>
        <c:delete val="0"/>
        <c:axPos val="l"/>
        <c:majorGridlines>
          <c:spPr>
            <a:ln w="9525" cap="flat" cmpd="sng" algn="ctr">
              <a:solidFill>
                <a:schemeClr val="tx1">
                  <a:lumMod val="15000"/>
                  <a:lumOff val="85000"/>
                </a:schemeClr>
              </a:solidFill>
              <a:round/>
            </a:ln>
            <a:effectLst/>
          </c:spPr>
        </c:majorGridlines>
        <c:numFmt formatCode="#,##0.00_ ;\-#,##0.0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5986824"/>
        <c:crosses val="autoZero"/>
        <c:crossBetween val="between"/>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0000000000002" l="0.70000000000000062" r="0.70000000000000062" t="0.750000000000002"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Coefficients</a:t>
            </a:r>
            <a:r>
              <a:rPr lang="en-US" b="1" baseline="0"/>
              <a:t> saisonniers du trafic global 2023</a:t>
            </a:r>
            <a:endParaRPr lang="en-US" b="1"/>
          </a:p>
        </c:rich>
      </c:tx>
      <c:overlay val="0"/>
      <c:spPr>
        <a:noFill/>
        <a:ln>
          <a:noFill/>
        </a:ln>
        <a:effectLst/>
      </c:spPr>
    </c:title>
    <c:autoTitleDeleted val="0"/>
    <c:plotArea>
      <c:layout/>
      <c:lineChart>
        <c:grouping val="stacked"/>
        <c:varyColors val="0"/>
        <c:ser>
          <c:idx val="0"/>
          <c:order val="0"/>
          <c:spPr>
            <a:ln w="28575" cap="rnd">
              <a:solidFill>
                <a:schemeClr val="accent1"/>
              </a:solidFill>
              <a:round/>
            </a:ln>
            <a:effectLst/>
          </c:spPr>
          <c:marker>
            <c:symbol val="circle"/>
            <c:size val="5"/>
          </c:marker>
          <c:cat>
            <c:strRef>
              <c:f>COEFFICIENTS_SAISONNIERS_2026!$C$25:$N$25</c:f>
              <c:strCache>
                <c:ptCount val="12"/>
                <c:pt idx="0">
                  <c:v>Janvier</c:v>
                </c:pt>
                <c:pt idx="1">
                  <c:v>Février</c:v>
                </c:pt>
                <c:pt idx="2">
                  <c:v>Mars</c:v>
                </c:pt>
                <c:pt idx="3">
                  <c:v>Avril</c:v>
                </c:pt>
                <c:pt idx="4">
                  <c:v>Mai</c:v>
                </c:pt>
                <c:pt idx="5">
                  <c:v>Juin</c:v>
                </c:pt>
                <c:pt idx="6">
                  <c:v>Juillet</c:v>
                </c:pt>
                <c:pt idx="7">
                  <c:v>Août</c:v>
                </c:pt>
                <c:pt idx="8">
                  <c:v>Septembre</c:v>
                </c:pt>
                <c:pt idx="9">
                  <c:v>Octobre</c:v>
                </c:pt>
                <c:pt idx="10">
                  <c:v>Novembre</c:v>
                </c:pt>
                <c:pt idx="11">
                  <c:v>Décembre</c:v>
                </c:pt>
              </c:strCache>
            </c:strRef>
          </c:cat>
          <c:val>
            <c:numRef>
              <c:f>COEFFICIENTS_SAISONNIERS_2026!$C$33:$N$33</c:f>
              <c:numCache>
                <c:formatCode>#,##0.00_ ;\-#,##0.00\ </c:formatCode>
                <c:ptCount val="12"/>
                <c:pt idx="0">
                  <c:v>0.93227320986598805</c:v>
                </c:pt>
                <c:pt idx="1">
                  <c:v>0.9437895179699145</c:v>
                </c:pt>
                <c:pt idx="2">
                  <c:v>0.97210680774890745</c:v>
                </c:pt>
                <c:pt idx="3">
                  <c:v>1.0232585735556459</c:v>
                </c:pt>
                <c:pt idx="4">
                  <c:v>1.0711208167126134</c:v>
                </c:pt>
                <c:pt idx="5">
                  <c:v>0.94098288308481437</c:v>
                </c:pt>
                <c:pt idx="6">
                  <c:v>1.059098208124734</c:v>
                </c:pt>
                <c:pt idx="7">
                  <c:v>1.0131449835300632</c:v>
                </c:pt>
                <c:pt idx="8">
                  <c:v>0.9943016594596138</c:v>
                </c:pt>
                <c:pt idx="9">
                  <c:v>0.99456776580847184</c:v>
                </c:pt>
                <c:pt idx="10">
                  <c:v>1.0040523890688244</c:v>
                </c:pt>
                <c:pt idx="11">
                  <c:v>1.0513031850704111</c:v>
                </c:pt>
              </c:numCache>
            </c:numRef>
          </c:val>
          <c:smooth val="0"/>
          <c:extLst>
            <c:ext xmlns:c16="http://schemas.microsoft.com/office/drawing/2014/chart" uri="{C3380CC4-5D6E-409C-BE32-E72D297353CC}">
              <c16:uniqueId val="{00000000-9F5D-411A-A700-D4F1739E0AA2}"/>
            </c:ext>
          </c:extLst>
        </c:ser>
        <c:dLbls>
          <c:showLegendKey val="0"/>
          <c:showVal val="0"/>
          <c:showCatName val="0"/>
          <c:showSerName val="0"/>
          <c:showPercent val="0"/>
          <c:showBubbleSize val="0"/>
        </c:dLbls>
        <c:marker val="1"/>
        <c:smooth val="0"/>
        <c:axId val="385989568"/>
        <c:axId val="385986432"/>
      </c:lineChart>
      <c:catAx>
        <c:axId val="385989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5986432"/>
        <c:crosses val="autoZero"/>
        <c:auto val="1"/>
        <c:lblAlgn val="ctr"/>
        <c:lblOffset val="100"/>
        <c:noMultiLvlLbl val="0"/>
      </c:catAx>
      <c:valAx>
        <c:axId val="385986432"/>
        <c:scaling>
          <c:orientation val="minMax"/>
          <c:min val="0.70000000000000007"/>
        </c:scaling>
        <c:delete val="0"/>
        <c:axPos val="l"/>
        <c:majorGridlines>
          <c:spPr>
            <a:ln w="9525" cap="flat" cmpd="sng" algn="ctr">
              <a:solidFill>
                <a:schemeClr val="tx1">
                  <a:lumMod val="15000"/>
                  <a:lumOff val="85000"/>
                </a:schemeClr>
              </a:solidFill>
              <a:round/>
            </a:ln>
            <a:effectLst/>
          </c:spPr>
        </c:majorGridlines>
        <c:numFmt formatCode="#,##0.00_ ;\-#,##0.0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5989568"/>
        <c:crosses val="autoZero"/>
        <c:crossBetween val="between"/>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0000000000002" l="0.70000000000000062" r="0.70000000000000062" t="0.750000000000002"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Coefficients</a:t>
            </a:r>
            <a:r>
              <a:rPr lang="en-US" b="1" baseline="0"/>
              <a:t> saisonniers du trafic </a:t>
            </a:r>
            <a:r>
              <a:rPr lang="en-US" sz="1400" b="1" i="0" u="none" strike="noStrike" baseline="0">
                <a:effectLst/>
              </a:rPr>
              <a:t>national et transit des</a:t>
            </a:r>
            <a:r>
              <a:rPr lang="en-US" b="1" baseline="0"/>
              <a:t> produits pétroliers 2023</a:t>
            </a:r>
            <a:endParaRPr lang="en-US" b="1"/>
          </a:p>
        </c:rich>
      </c:tx>
      <c:overlay val="0"/>
      <c:spPr>
        <a:noFill/>
        <a:ln>
          <a:noFill/>
        </a:ln>
        <a:effectLst/>
      </c:spPr>
    </c:title>
    <c:autoTitleDeleted val="0"/>
    <c:plotArea>
      <c:layout/>
      <c:lineChart>
        <c:grouping val="stacke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COEFFICIENTS_SAISONNIERS_2026!$C$45:$N$45</c:f>
              <c:strCache>
                <c:ptCount val="12"/>
                <c:pt idx="0">
                  <c:v>Janvier</c:v>
                </c:pt>
                <c:pt idx="1">
                  <c:v>Février</c:v>
                </c:pt>
                <c:pt idx="2">
                  <c:v>Mars</c:v>
                </c:pt>
                <c:pt idx="3">
                  <c:v>Avril</c:v>
                </c:pt>
                <c:pt idx="4">
                  <c:v>Mai</c:v>
                </c:pt>
                <c:pt idx="5">
                  <c:v>Juin</c:v>
                </c:pt>
                <c:pt idx="6">
                  <c:v>Juillet</c:v>
                </c:pt>
                <c:pt idx="7">
                  <c:v>Août</c:v>
                </c:pt>
                <c:pt idx="8">
                  <c:v>Septembre</c:v>
                </c:pt>
                <c:pt idx="9">
                  <c:v>Octobre</c:v>
                </c:pt>
                <c:pt idx="10">
                  <c:v>Novembre</c:v>
                </c:pt>
                <c:pt idx="11">
                  <c:v>Décembre</c:v>
                </c:pt>
              </c:strCache>
            </c:strRef>
          </c:cat>
          <c:val>
            <c:numRef>
              <c:f>COEFFICIENTS_SAISONNIERS_2026!$C$53:$N$53</c:f>
              <c:numCache>
                <c:formatCode>#,##0.00_ ;\-#,##0.00\ </c:formatCode>
                <c:ptCount val="12"/>
                <c:pt idx="0">
                  <c:v>1.03066106773288</c:v>
                </c:pt>
                <c:pt idx="1">
                  <c:v>1.0186225767209152</c:v>
                </c:pt>
                <c:pt idx="2">
                  <c:v>0.89680725884380275</c:v>
                </c:pt>
                <c:pt idx="3">
                  <c:v>1.0075040062144462</c:v>
                </c:pt>
                <c:pt idx="4">
                  <c:v>0.99065130044503447</c:v>
                </c:pt>
                <c:pt idx="5">
                  <c:v>0.91717107987740576</c:v>
                </c:pt>
                <c:pt idx="6">
                  <c:v>1.0217104871010227</c:v>
                </c:pt>
                <c:pt idx="7">
                  <c:v>1.0057368099792965</c:v>
                </c:pt>
                <c:pt idx="8">
                  <c:v>1.0616270177968765</c:v>
                </c:pt>
                <c:pt idx="9">
                  <c:v>0.99932724414517904</c:v>
                </c:pt>
                <c:pt idx="10">
                  <c:v>1.0242622288612944</c:v>
                </c:pt>
                <c:pt idx="11">
                  <c:v>1.0259189222818426</c:v>
                </c:pt>
              </c:numCache>
            </c:numRef>
          </c:val>
          <c:smooth val="0"/>
          <c:extLst>
            <c:ext xmlns:c16="http://schemas.microsoft.com/office/drawing/2014/chart" uri="{C3380CC4-5D6E-409C-BE32-E72D297353CC}">
              <c16:uniqueId val="{00000000-2152-4B3B-85E6-0B1443EB2E85}"/>
            </c:ext>
          </c:extLst>
        </c:ser>
        <c:dLbls>
          <c:showLegendKey val="0"/>
          <c:showVal val="0"/>
          <c:showCatName val="0"/>
          <c:showSerName val="0"/>
          <c:showPercent val="0"/>
          <c:showBubbleSize val="0"/>
        </c:dLbls>
        <c:marker val="1"/>
        <c:smooth val="0"/>
        <c:axId val="385988000"/>
        <c:axId val="386938336"/>
      </c:lineChart>
      <c:catAx>
        <c:axId val="385988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6938336"/>
        <c:crosses val="autoZero"/>
        <c:auto val="1"/>
        <c:lblAlgn val="ctr"/>
        <c:lblOffset val="100"/>
        <c:noMultiLvlLbl val="0"/>
      </c:catAx>
      <c:valAx>
        <c:axId val="386938336"/>
        <c:scaling>
          <c:orientation val="minMax"/>
          <c:min val="0.70000000000000007"/>
        </c:scaling>
        <c:delete val="0"/>
        <c:axPos val="l"/>
        <c:majorGridlines>
          <c:spPr>
            <a:ln w="9525" cap="flat" cmpd="sng" algn="ctr">
              <a:solidFill>
                <a:schemeClr val="tx1">
                  <a:lumMod val="15000"/>
                  <a:lumOff val="85000"/>
                </a:schemeClr>
              </a:solidFill>
              <a:round/>
            </a:ln>
            <a:effectLst/>
          </c:spPr>
        </c:majorGridlines>
        <c:numFmt formatCode="#,##0.00_ ;\-#,##0.0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5988000"/>
        <c:crosses val="autoZero"/>
        <c:crossBetween val="between"/>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0000000000002" l="0.70000000000000062" r="0.70000000000000062" t="0.750000000000002"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Coefficients</a:t>
            </a:r>
            <a:r>
              <a:rPr lang="en-US" b="1" baseline="0"/>
              <a:t> saisonniers du trafic </a:t>
            </a:r>
            <a:r>
              <a:rPr lang="en-US" sz="1400" b="1" i="0" u="none" strike="noStrike" baseline="0">
                <a:effectLst/>
              </a:rPr>
              <a:t>national et transit des</a:t>
            </a:r>
            <a:r>
              <a:rPr lang="en-US" b="1" baseline="0"/>
              <a:t> marchandises générales 2023</a:t>
            </a:r>
            <a:endParaRPr lang="en-US" b="1"/>
          </a:p>
        </c:rich>
      </c:tx>
      <c:overlay val="0"/>
      <c:spPr>
        <a:noFill/>
        <a:ln>
          <a:noFill/>
        </a:ln>
        <a:effectLst/>
      </c:spPr>
    </c:title>
    <c:autoTitleDeleted val="0"/>
    <c:plotArea>
      <c:layout>
        <c:manualLayout>
          <c:layoutTarget val="inner"/>
          <c:xMode val="edge"/>
          <c:yMode val="edge"/>
          <c:x val="2.5088211948551938E-2"/>
          <c:y val="0.3625318550365314"/>
          <c:w val="0.95598993864180604"/>
          <c:h val="0.45481622518796161"/>
        </c:manualLayout>
      </c:layout>
      <c:lineChart>
        <c:grouping val="stacked"/>
        <c:varyColors val="0"/>
        <c:ser>
          <c:idx val="0"/>
          <c:order val="0"/>
          <c:marker>
            <c:symbol val="circle"/>
            <c:size val="5"/>
            <c:spPr>
              <a:solidFill>
                <a:schemeClr val="accent1"/>
              </a:solidFill>
              <a:ln w="9525">
                <a:solidFill>
                  <a:schemeClr val="accent1"/>
                </a:solidFill>
              </a:ln>
              <a:effectLst/>
            </c:spPr>
          </c:marker>
          <c:cat>
            <c:strRef>
              <c:f>COEFFICIENTS_SAISONNIERS_2026!$C$65:$N$65</c:f>
              <c:strCache>
                <c:ptCount val="12"/>
                <c:pt idx="0">
                  <c:v>Janvier</c:v>
                </c:pt>
                <c:pt idx="1">
                  <c:v>Février</c:v>
                </c:pt>
                <c:pt idx="2">
                  <c:v>Mars</c:v>
                </c:pt>
                <c:pt idx="3">
                  <c:v>Avril</c:v>
                </c:pt>
                <c:pt idx="4">
                  <c:v>Mai</c:v>
                </c:pt>
                <c:pt idx="5">
                  <c:v>Juin</c:v>
                </c:pt>
                <c:pt idx="6">
                  <c:v>Juillet</c:v>
                </c:pt>
                <c:pt idx="7">
                  <c:v>Août</c:v>
                </c:pt>
                <c:pt idx="8">
                  <c:v>Septembre</c:v>
                </c:pt>
                <c:pt idx="9">
                  <c:v>Octobre</c:v>
                </c:pt>
                <c:pt idx="10">
                  <c:v>Novembre</c:v>
                </c:pt>
                <c:pt idx="11">
                  <c:v>Décembre</c:v>
                </c:pt>
              </c:strCache>
            </c:strRef>
          </c:cat>
          <c:val>
            <c:numRef>
              <c:f>COEFFICIENTS_SAISONNIERS_2026!$C$73:$N$73</c:f>
              <c:numCache>
                <c:formatCode>#,##0.00_ ;\-#,##0.00\ </c:formatCode>
                <c:ptCount val="12"/>
                <c:pt idx="0">
                  <c:v>0.91075155976033484</c:v>
                </c:pt>
                <c:pt idx="1">
                  <c:v>0.93119510894600244</c:v>
                </c:pt>
                <c:pt idx="2">
                  <c:v>1.0269716184811826</c:v>
                </c:pt>
                <c:pt idx="3">
                  <c:v>1.0579559340482005</c:v>
                </c:pt>
                <c:pt idx="4">
                  <c:v>1.1000160628411073</c:v>
                </c:pt>
                <c:pt idx="5">
                  <c:v>0.94752166429759543</c:v>
                </c:pt>
                <c:pt idx="6">
                  <c:v>1.068621527966336</c:v>
                </c:pt>
                <c:pt idx="7">
                  <c:v>0.99377887722533231</c:v>
                </c:pt>
                <c:pt idx="8">
                  <c:v>0.96538927185316559</c:v>
                </c:pt>
                <c:pt idx="9">
                  <c:v>0.97742390096262455</c:v>
                </c:pt>
                <c:pt idx="10">
                  <c:v>0.98398493927767416</c:v>
                </c:pt>
                <c:pt idx="11">
                  <c:v>1.0363895343404448</c:v>
                </c:pt>
              </c:numCache>
            </c:numRef>
          </c:val>
          <c:smooth val="0"/>
          <c:extLst>
            <c:ext xmlns:c16="http://schemas.microsoft.com/office/drawing/2014/chart" uri="{C3380CC4-5D6E-409C-BE32-E72D297353CC}">
              <c16:uniqueId val="{00000000-C7C2-455C-8DC5-4882E3C91F6B}"/>
            </c:ext>
          </c:extLst>
        </c:ser>
        <c:dLbls>
          <c:showLegendKey val="0"/>
          <c:showVal val="0"/>
          <c:showCatName val="0"/>
          <c:showSerName val="0"/>
          <c:showPercent val="0"/>
          <c:showBubbleSize val="0"/>
        </c:dLbls>
        <c:marker val="1"/>
        <c:smooth val="0"/>
        <c:axId val="386939904"/>
        <c:axId val="386940296"/>
      </c:lineChart>
      <c:catAx>
        <c:axId val="386939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6940296"/>
        <c:crosses val="autoZero"/>
        <c:auto val="1"/>
        <c:lblAlgn val="ctr"/>
        <c:lblOffset val="100"/>
        <c:noMultiLvlLbl val="0"/>
      </c:catAx>
      <c:valAx>
        <c:axId val="386940296"/>
        <c:scaling>
          <c:orientation val="minMax"/>
          <c:min val="0.9"/>
        </c:scaling>
        <c:delete val="0"/>
        <c:axPos val="l"/>
        <c:majorGridlines>
          <c:spPr>
            <a:ln w="9525" cap="flat" cmpd="sng" algn="ctr">
              <a:solidFill>
                <a:schemeClr val="tx1">
                  <a:lumMod val="15000"/>
                  <a:lumOff val="85000"/>
                </a:schemeClr>
              </a:solidFill>
              <a:round/>
            </a:ln>
            <a:effectLst/>
          </c:spPr>
        </c:majorGridlines>
        <c:numFmt formatCode="#,##0.00_ ;\-#,##0.0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6939904"/>
        <c:crosses val="autoZero"/>
        <c:crossBetween val="between"/>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0000000000002" l="0.70000000000000062" r="0.70000000000000062" t="0.750000000000002"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Coefficients</a:t>
            </a:r>
            <a:r>
              <a:rPr lang="en-US" b="1" baseline="0"/>
              <a:t> saisonniers du trafic des produits de pêche sans le transbordement du Port de Commerce 2023</a:t>
            </a:r>
            <a:endParaRPr lang="en-US" b="1"/>
          </a:p>
        </c:rich>
      </c:tx>
      <c:overlay val="0"/>
      <c:spPr>
        <a:noFill/>
        <a:ln>
          <a:noFill/>
        </a:ln>
        <a:effectLst/>
      </c:spPr>
    </c:title>
    <c:autoTitleDeleted val="0"/>
    <c:plotArea>
      <c:layout>
        <c:manualLayout>
          <c:layoutTarget val="inner"/>
          <c:xMode val="edge"/>
          <c:yMode val="edge"/>
          <c:x val="2.8635297623061044E-2"/>
          <c:y val="0.32211007645355505"/>
          <c:w val="0.95773651126534531"/>
          <c:h val="0.43034735924242828"/>
        </c:manualLayout>
      </c:layout>
      <c:lineChart>
        <c:grouping val="stacke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COEFFICIENTS_SAISONNIERS_2026!$C$85:$N$85</c:f>
              <c:strCache>
                <c:ptCount val="12"/>
                <c:pt idx="0">
                  <c:v>Janvier</c:v>
                </c:pt>
                <c:pt idx="1">
                  <c:v>Février</c:v>
                </c:pt>
                <c:pt idx="2">
                  <c:v>Mars</c:v>
                </c:pt>
                <c:pt idx="3">
                  <c:v>Avril</c:v>
                </c:pt>
                <c:pt idx="4">
                  <c:v>Mai</c:v>
                </c:pt>
                <c:pt idx="5">
                  <c:v>Juin</c:v>
                </c:pt>
                <c:pt idx="6">
                  <c:v>Juillet</c:v>
                </c:pt>
                <c:pt idx="7">
                  <c:v>Août</c:v>
                </c:pt>
                <c:pt idx="8">
                  <c:v>Septembre</c:v>
                </c:pt>
                <c:pt idx="9">
                  <c:v>Octobre</c:v>
                </c:pt>
                <c:pt idx="10">
                  <c:v>Novembre</c:v>
                </c:pt>
                <c:pt idx="11">
                  <c:v>Décembre</c:v>
                </c:pt>
              </c:strCache>
            </c:strRef>
          </c:cat>
          <c:val>
            <c:numRef>
              <c:f>COEFFICIENTS_SAISONNIERS_2026!$C$93:$N$93</c:f>
              <c:numCache>
                <c:formatCode>#,##0.00_ ;\-#,##0.00\ </c:formatCode>
                <c:ptCount val="12"/>
                <c:pt idx="0">
                  <c:v>1.1133250009929914</c:v>
                </c:pt>
                <c:pt idx="1">
                  <c:v>0.81068926381554351</c:v>
                </c:pt>
                <c:pt idx="2">
                  <c:v>0.84598170870703659</c:v>
                </c:pt>
                <c:pt idx="3">
                  <c:v>0.99183445526360559</c:v>
                </c:pt>
                <c:pt idx="4">
                  <c:v>1.1356642954418181</c:v>
                </c:pt>
                <c:pt idx="5">
                  <c:v>1.0223030831706923</c:v>
                </c:pt>
                <c:pt idx="6">
                  <c:v>0.94872811661687628</c:v>
                </c:pt>
                <c:pt idx="7">
                  <c:v>0.90039807968722885</c:v>
                </c:pt>
                <c:pt idx="8">
                  <c:v>0.99191759212194264</c:v>
                </c:pt>
                <c:pt idx="9">
                  <c:v>1.0405358200161334</c:v>
                </c:pt>
                <c:pt idx="10">
                  <c:v>1.0909576969648982</c:v>
                </c:pt>
                <c:pt idx="11">
                  <c:v>1.1076648872012327</c:v>
                </c:pt>
              </c:numCache>
            </c:numRef>
          </c:val>
          <c:smooth val="0"/>
          <c:extLst>
            <c:ext xmlns:c16="http://schemas.microsoft.com/office/drawing/2014/chart" uri="{C3380CC4-5D6E-409C-BE32-E72D297353CC}">
              <c16:uniqueId val="{00000000-64CD-471E-92A2-78593E6716AF}"/>
            </c:ext>
          </c:extLst>
        </c:ser>
        <c:dLbls>
          <c:showLegendKey val="0"/>
          <c:showVal val="0"/>
          <c:showCatName val="0"/>
          <c:showSerName val="0"/>
          <c:showPercent val="0"/>
          <c:showBubbleSize val="0"/>
        </c:dLbls>
        <c:marker val="1"/>
        <c:smooth val="0"/>
        <c:axId val="386932848"/>
        <c:axId val="386945000"/>
      </c:lineChart>
      <c:catAx>
        <c:axId val="386932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6945000"/>
        <c:crosses val="autoZero"/>
        <c:auto val="1"/>
        <c:lblAlgn val="ctr"/>
        <c:lblOffset val="100"/>
        <c:noMultiLvlLbl val="0"/>
      </c:catAx>
      <c:valAx>
        <c:axId val="386945000"/>
        <c:scaling>
          <c:orientation val="minMax"/>
          <c:min val="0.60000000000000009"/>
        </c:scaling>
        <c:delete val="0"/>
        <c:axPos val="l"/>
        <c:majorGridlines>
          <c:spPr>
            <a:ln w="9525" cap="flat" cmpd="sng" algn="ctr">
              <a:solidFill>
                <a:schemeClr val="tx1">
                  <a:lumMod val="15000"/>
                  <a:lumOff val="85000"/>
                </a:schemeClr>
              </a:solidFill>
              <a:round/>
            </a:ln>
            <a:effectLst/>
          </c:spPr>
        </c:majorGridlines>
        <c:numFmt formatCode="#,##0.00_ ;\-#,##0.0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6932848"/>
        <c:crosses val="autoZero"/>
        <c:crossBetween val="between"/>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0000000000002" l="0.70000000000000062" r="0.70000000000000062" t="0.750000000000002"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Coefficients</a:t>
            </a:r>
            <a:r>
              <a:rPr lang="en-US" b="1" baseline="0"/>
              <a:t> saisonniers du trafic national 2023</a:t>
            </a:r>
            <a:endParaRPr lang="en-US" b="1"/>
          </a:p>
        </c:rich>
      </c:tx>
      <c:overlay val="0"/>
      <c:spPr>
        <a:noFill/>
        <a:ln>
          <a:noFill/>
        </a:ln>
        <a:effectLst/>
      </c:spPr>
    </c:title>
    <c:autoTitleDeleted val="0"/>
    <c:plotArea>
      <c:layout/>
      <c:lineChart>
        <c:grouping val="stacked"/>
        <c:varyColors val="0"/>
        <c:ser>
          <c:idx val="0"/>
          <c:order val="0"/>
          <c:cat>
            <c:strRef>
              <c:f>COEFFICIENTS_SAISONNIERS_2026!$C$105:$N$105</c:f>
              <c:strCache>
                <c:ptCount val="12"/>
                <c:pt idx="0">
                  <c:v>Janvier</c:v>
                </c:pt>
                <c:pt idx="1">
                  <c:v>Février</c:v>
                </c:pt>
                <c:pt idx="2">
                  <c:v>Mars</c:v>
                </c:pt>
                <c:pt idx="3">
                  <c:v>Avril</c:v>
                </c:pt>
                <c:pt idx="4">
                  <c:v>Mai</c:v>
                </c:pt>
                <c:pt idx="5">
                  <c:v>Juin</c:v>
                </c:pt>
                <c:pt idx="6">
                  <c:v>Juillet</c:v>
                </c:pt>
                <c:pt idx="7">
                  <c:v>Août</c:v>
                </c:pt>
                <c:pt idx="8">
                  <c:v>Septembre</c:v>
                </c:pt>
                <c:pt idx="9">
                  <c:v>Octobre</c:v>
                </c:pt>
                <c:pt idx="10">
                  <c:v>Novembre</c:v>
                </c:pt>
                <c:pt idx="11">
                  <c:v>Décembre</c:v>
                </c:pt>
              </c:strCache>
            </c:strRef>
          </c:cat>
          <c:val>
            <c:numRef>
              <c:f>COEFFICIENTS_SAISONNIERS_2026!$C$113:$N$113</c:f>
              <c:numCache>
                <c:formatCode>#,##0.00_ ;\-#,##0.00\ </c:formatCode>
                <c:ptCount val="12"/>
                <c:pt idx="0">
                  <c:v>0.94067090233758388</c:v>
                </c:pt>
                <c:pt idx="1">
                  <c:v>0.95335062553847671</c:v>
                </c:pt>
                <c:pt idx="2">
                  <c:v>0.98947572687715457</c:v>
                </c:pt>
                <c:pt idx="3">
                  <c:v>1.0384997292902514</c:v>
                </c:pt>
                <c:pt idx="4">
                  <c:v>1.0600970466389918</c:v>
                </c:pt>
                <c:pt idx="5">
                  <c:v>0.95785227547240492</c:v>
                </c:pt>
                <c:pt idx="6">
                  <c:v>1.0549337891383253</c:v>
                </c:pt>
                <c:pt idx="7">
                  <c:v>0.99506810823470471</c:v>
                </c:pt>
                <c:pt idx="8">
                  <c:v>0.98826467367624038</c:v>
                </c:pt>
                <c:pt idx="9">
                  <c:v>0.98036126325852191</c:v>
                </c:pt>
                <c:pt idx="10">
                  <c:v>1.0036123648715483</c:v>
                </c:pt>
                <c:pt idx="11">
                  <c:v>1.0378134946657951</c:v>
                </c:pt>
              </c:numCache>
            </c:numRef>
          </c:val>
          <c:smooth val="0"/>
          <c:extLst>
            <c:ext xmlns:c16="http://schemas.microsoft.com/office/drawing/2014/chart" uri="{C3380CC4-5D6E-409C-BE32-E72D297353CC}">
              <c16:uniqueId val="{00000000-BEAE-4701-886E-95ECCC5F9E8F}"/>
            </c:ext>
          </c:extLst>
        </c:ser>
        <c:dLbls>
          <c:showLegendKey val="0"/>
          <c:showVal val="0"/>
          <c:showCatName val="0"/>
          <c:showSerName val="0"/>
          <c:showPercent val="0"/>
          <c:showBubbleSize val="0"/>
        </c:dLbls>
        <c:marker val="1"/>
        <c:smooth val="0"/>
        <c:axId val="386941080"/>
        <c:axId val="386943040"/>
      </c:lineChart>
      <c:catAx>
        <c:axId val="386941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6943040"/>
        <c:crosses val="autoZero"/>
        <c:auto val="1"/>
        <c:lblAlgn val="ctr"/>
        <c:lblOffset val="100"/>
        <c:noMultiLvlLbl val="0"/>
      </c:catAx>
      <c:valAx>
        <c:axId val="386943040"/>
        <c:scaling>
          <c:orientation val="minMax"/>
          <c:min val="0.8"/>
        </c:scaling>
        <c:delete val="0"/>
        <c:axPos val="l"/>
        <c:majorGridlines>
          <c:spPr>
            <a:ln w="9525" cap="flat" cmpd="sng" algn="ctr">
              <a:solidFill>
                <a:schemeClr val="tx1">
                  <a:lumMod val="15000"/>
                  <a:lumOff val="85000"/>
                </a:schemeClr>
              </a:solidFill>
              <a:round/>
            </a:ln>
            <a:effectLst/>
          </c:spPr>
        </c:majorGridlines>
        <c:numFmt formatCode="#,##0.00_ ;\-#,##0.0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6941080"/>
        <c:crosses val="autoZero"/>
        <c:crossBetween val="between"/>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0000000000002" l="0.70000000000000062" r="0.70000000000000062" t="0.750000000000002" header="0.30000000000000032" footer="0.30000000000000032"/>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Coefficients</a:t>
            </a:r>
            <a:r>
              <a:rPr lang="en-US" b="1" baseline="0"/>
              <a:t> saisonniers du trafic de transbordement 2023</a:t>
            </a:r>
            <a:endParaRPr lang="en-US" b="1"/>
          </a:p>
        </c:rich>
      </c:tx>
      <c:overlay val="0"/>
      <c:spPr>
        <a:noFill/>
        <a:ln>
          <a:noFill/>
        </a:ln>
        <a:effectLst/>
      </c:spPr>
    </c:title>
    <c:autoTitleDeleted val="0"/>
    <c:plotArea>
      <c:layout/>
      <c:lineChart>
        <c:grouping val="stacked"/>
        <c:varyColors val="0"/>
        <c:ser>
          <c:idx val="0"/>
          <c:order val="0"/>
          <c:cat>
            <c:strRef>
              <c:f>COEFFICIENTS_SAISONNIERS_2026!$C$125:$N$125</c:f>
              <c:strCache>
                <c:ptCount val="12"/>
                <c:pt idx="0">
                  <c:v>Janvier</c:v>
                </c:pt>
                <c:pt idx="1">
                  <c:v>Février</c:v>
                </c:pt>
                <c:pt idx="2">
                  <c:v>Mars</c:v>
                </c:pt>
                <c:pt idx="3">
                  <c:v>Avril</c:v>
                </c:pt>
                <c:pt idx="4">
                  <c:v>Mai</c:v>
                </c:pt>
                <c:pt idx="5">
                  <c:v>Juin</c:v>
                </c:pt>
                <c:pt idx="6">
                  <c:v>Juillet</c:v>
                </c:pt>
                <c:pt idx="7">
                  <c:v>Août</c:v>
                </c:pt>
                <c:pt idx="8">
                  <c:v>Septembre</c:v>
                </c:pt>
                <c:pt idx="9">
                  <c:v>Octobre</c:v>
                </c:pt>
                <c:pt idx="10">
                  <c:v>Novembre</c:v>
                </c:pt>
                <c:pt idx="11">
                  <c:v>Décembre</c:v>
                </c:pt>
              </c:strCache>
            </c:strRef>
          </c:cat>
          <c:val>
            <c:numRef>
              <c:f>COEFFICIENTS_SAISONNIERS_2026!$C$133:$N$133</c:f>
              <c:numCache>
                <c:formatCode>#,##0.00_ ;\-#,##0.00\ </c:formatCode>
                <c:ptCount val="12"/>
                <c:pt idx="0">
                  <c:v>0.83027082516543083</c:v>
                </c:pt>
                <c:pt idx="1">
                  <c:v>0.88244549430255503</c:v>
                </c:pt>
                <c:pt idx="2">
                  <c:v>0.86555018655009497</c:v>
                </c:pt>
                <c:pt idx="3">
                  <c:v>0.89874659142430435</c:v>
                </c:pt>
                <c:pt idx="4">
                  <c:v>1.0799137496194018</c:v>
                </c:pt>
                <c:pt idx="5">
                  <c:v>0.93821144364651454</c:v>
                </c:pt>
                <c:pt idx="6">
                  <c:v>1.0983529458894041</c:v>
                </c:pt>
                <c:pt idx="7">
                  <c:v>1.1412351056205059</c:v>
                </c:pt>
                <c:pt idx="8">
                  <c:v>0.99750677050524084</c:v>
                </c:pt>
                <c:pt idx="9">
                  <c:v>1.0585309038109245</c:v>
                </c:pt>
                <c:pt idx="10">
                  <c:v>1.0447479338426933</c:v>
                </c:pt>
                <c:pt idx="11">
                  <c:v>1.1644880496229328</c:v>
                </c:pt>
              </c:numCache>
            </c:numRef>
          </c:val>
          <c:smooth val="0"/>
          <c:extLst>
            <c:ext xmlns:c16="http://schemas.microsoft.com/office/drawing/2014/chart" uri="{C3380CC4-5D6E-409C-BE32-E72D297353CC}">
              <c16:uniqueId val="{00000000-2BE3-43E4-9449-C817574540DC}"/>
            </c:ext>
          </c:extLst>
        </c:ser>
        <c:dLbls>
          <c:showLegendKey val="0"/>
          <c:showVal val="0"/>
          <c:showCatName val="0"/>
          <c:showSerName val="0"/>
          <c:showPercent val="0"/>
          <c:showBubbleSize val="0"/>
        </c:dLbls>
        <c:marker val="1"/>
        <c:smooth val="0"/>
        <c:axId val="386941080"/>
        <c:axId val="386943040"/>
      </c:lineChart>
      <c:catAx>
        <c:axId val="386941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6943040"/>
        <c:crosses val="autoZero"/>
        <c:auto val="1"/>
        <c:lblAlgn val="ctr"/>
        <c:lblOffset val="100"/>
        <c:noMultiLvlLbl val="0"/>
      </c:catAx>
      <c:valAx>
        <c:axId val="386943040"/>
        <c:scaling>
          <c:orientation val="minMax"/>
          <c:min val="0.60000000000000009"/>
        </c:scaling>
        <c:delete val="0"/>
        <c:axPos val="l"/>
        <c:majorGridlines>
          <c:spPr>
            <a:ln w="9525" cap="flat" cmpd="sng" algn="ctr">
              <a:solidFill>
                <a:schemeClr val="tx1">
                  <a:lumMod val="15000"/>
                  <a:lumOff val="85000"/>
                </a:schemeClr>
              </a:solidFill>
              <a:round/>
            </a:ln>
            <a:effectLst/>
          </c:spPr>
        </c:majorGridlines>
        <c:numFmt formatCode="#,##0.00_ ;\-#,##0.0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6941080"/>
        <c:crosses val="autoZero"/>
        <c:crossBetween val="between"/>
        <c:majorUnit val="0.4"/>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0000000000002" l="0.70000000000000062" r="0.70000000000000062" t="0.750000000000002" header="0.30000000000000032" footer="0.30000000000000032"/>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Coefficients</a:t>
            </a:r>
            <a:r>
              <a:rPr lang="en-US" b="1" baseline="0"/>
              <a:t> saisonniers du trafic de transit 2023</a:t>
            </a:r>
            <a:endParaRPr lang="en-US" b="1"/>
          </a:p>
        </c:rich>
      </c:tx>
      <c:overlay val="0"/>
      <c:spPr>
        <a:noFill/>
        <a:ln>
          <a:noFill/>
        </a:ln>
        <a:effectLst/>
      </c:spPr>
    </c:title>
    <c:autoTitleDeleted val="0"/>
    <c:plotArea>
      <c:layout/>
      <c:lineChart>
        <c:grouping val="stacked"/>
        <c:varyColors val="0"/>
        <c:ser>
          <c:idx val="0"/>
          <c:order val="0"/>
          <c:cat>
            <c:strRef>
              <c:f>COEFFICIENTS_SAISONNIERS_2026!$C$145:$N$145</c:f>
              <c:strCache>
                <c:ptCount val="12"/>
                <c:pt idx="0">
                  <c:v>Janvier</c:v>
                </c:pt>
                <c:pt idx="1">
                  <c:v>Février</c:v>
                </c:pt>
                <c:pt idx="2">
                  <c:v>Mars</c:v>
                </c:pt>
                <c:pt idx="3">
                  <c:v>Avril</c:v>
                </c:pt>
                <c:pt idx="4">
                  <c:v>Mai</c:v>
                </c:pt>
                <c:pt idx="5">
                  <c:v>Juin</c:v>
                </c:pt>
                <c:pt idx="6">
                  <c:v>Juillet</c:v>
                </c:pt>
                <c:pt idx="7">
                  <c:v>Août</c:v>
                </c:pt>
                <c:pt idx="8">
                  <c:v>Septembre</c:v>
                </c:pt>
                <c:pt idx="9">
                  <c:v>Octobre</c:v>
                </c:pt>
                <c:pt idx="10">
                  <c:v>Novembre</c:v>
                </c:pt>
                <c:pt idx="11">
                  <c:v>Décembre</c:v>
                </c:pt>
              </c:strCache>
            </c:strRef>
          </c:cat>
          <c:val>
            <c:numRef>
              <c:f>COEFFICIENTS_SAISONNIERS_2026!$C$153:$N$153</c:f>
              <c:numCache>
                <c:formatCode>#,##0.00_ ;\-#,##0.00\ </c:formatCode>
                <c:ptCount val="12"/>
                <c:pt idx="0">
                  <c:v>1.0008762013159345</c:v>
                </c:pt>
                <c:pt idx="1">
                  <c:v>0.94476757614201523</c:v>
                </c:pt>
                <c:pt idx="2">
                  <c:v>0.96701062852162101</c:v>
                </c:pt>
                <c:pt idx="3">
                  <c:v>1.0624389691086056</c:v>
                </c:pt>
                <c:pt idx="4">
                  <c:v>1.1571816314186563</c:v>
                </c:pt>
                <c:pt idx="5">
                  <c:v>0.79424581509625769</c:v>
                </c:pt>
                <c:pt idx="6">
                  <c:v>1.0410251236262296</c:v>
                </c:pt>
                <c:pt idx="7">
                  <c:v>0.99424964015709394</c:v>
                </c:pt>
                <c:pt idx="8">
                  <c:v>1.0436981623197537</c:v>
                </c:pt>
                <c:pt idx="9">
                  <c:v>1.0313846560542017</c:v>
                </c:pt>
                <c:pt idx="10">
                  <c:v>0.95069333283099233</c:v>
                </c:pt>
                <c:pt idx="11">
                  <c:v>1.0124282634086377</c:v>
                </c:pt>
              </c:numCache>
            </c:numRef>
          </c:val>
          <c:smooth val="0"/>
          <c:extLst>
            <c:ext xmlns:c16="http://schemas.microsoft.com/office/drawing/2014/chart" uri="{C3380CC4-5D6E-409C-BE32-E72D297353CC}">
              <c16:uniqueId val="{00000000-B27C-417A-B6D9-34F2A0E1EB99}"/>
            </c:ext>
          </c:extLst>
        </c:ser>
        <c:dLbls>
          <c:showLegendKey val="0"/>
          <c:showVal val="0"/>
          <c:showCatName val="0"/>
          <c:showSerName val="0"/>
          <c:showPercent val="0"/>
          <c:showBubbleSize val="0"/>
        </c:dLbls>
        <c:marker val="1"/>
        <c:smooth val="0"/>
        <c:axId val="386941080"/>
        <c:axId val="386943040"/>
      </c:lineChart>
      <c:catAx>
        <c:axId val="386941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6943040"/>
        <c:crosses val="autoZero"/>
        <c:auto val="1"/>
        <c:lblAlgn val="ctr"/>
        <c:lblOffset val="100"/>
        <c:noMultiLvlLbl val="0"/>
      </c:catAx>
      <c:valAx>
        <c:axId val="386943040"/>
        <c:scaling>
          <c:orientation val="minMax"/>
          <c:min val="0.70000000000000007"/>
        </c:scaling>
        <c:delete val="0"/>
        <c:axPos val="l"/>
        <c:majorGridlines>
          <c:spPr>
            <a:ln w="9525" cap="flat" cmpd="sng" algn="ctr">
              <a:solidFill>
                <a:schemeClr val="tx1">
                  <a:lumMod val="15000"/>
                  <a:lumOff val="85000"/>
                </a:schemeClr>
              </a:solidFill>
              <a:round/>
            </a:ln>
            <a:effectLst/>
          </c:spPr>
        </c:majorGridlines>
        <c:numFmt formatCode="#,##0.00_ ;\-#,##0.0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6941080"/>
        <c:crosses val="autoZero"/>
        <c:crossBetween val="between"/>
        <c:majorUnit val="0.2"/>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0000000000002" l="0.70000000000000062" r="0.70000000000000062" t="0.750000000000002" header="0.30000000000000032" footer="0.30000000000000032"/>
    <c:pageSetup orientation="portrait"/>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Coefficients</a:t>
            </a:r>
            <a:r>
              <a:rPr lang="en-US" b="1" baseline="0"/>
              <a:t> saisonniers du trafic total de conteneurs 2023</a:t>
            </a:r>
            <a:endParaRPr lang="en-US" b="1"/>
          </a:p>
        </c:rich>
      </c:tx>
      <c:overlay val="0"/>
      <c:spPr>
        <a:noFill/>
        <a:ln>
          <a:noFill/>
        </a:ln>
        <a:effectLst/>
      </c:spPr>
    </c:title>
    <c:autoTitleDeleted val="0"/>
    <c:plotArea>
      <c:layout/>
      <c:lineChart>
        <c:grouping val="stacked"/>
        <c:varyColors val="0"/>
        <c:ser>
          <c:idx val="0"/>
          <c:order val="0"/>
          <c:cat>
            <c:strRef>
              <c:f>COEFFICIENTS_SAISONNIERS_2026!$C$165:$N$165</c:f>
              <c:strCache>
                <c:ptCount val="12"/>
                <c:pt idx="0">
                  <c:v>Janvier</c:v>
                </c:pt>
                <c:pt idx="1">
                  <c:v>Février</c:v>
                </c:pt>
                <c:pt idx="2">
                  <c:v>Mars</c:v>
                </c:pt>
                <c:pt idx="3">
                  <c:v>Avril</c:v>
                </c:pt>
                <c:pt idx="4">
                  <c:v>Mai</c:v>
                </c:pt>
                <c:pt idx="5">
                  <c:v>Juin</c:v>
                </c:pt>
                <c:pt idx="6">
                  <c:v>Juillet</c:v>
                </c:pt>
                <c:pt idx="7">
                  <c:v>Août</c:v>
                </c:pt>
                <c:pt idx="8">
                  <c:v>Septembre</c:v>
                </c:pt>
                <c:pt idx="9">
                  <c:v>Octobre</c:v>
                </c:pt>
                <c:pt idx="10">
                  <c:v>Novembre</c:v>
                </c:pt>
                <c:pt idx="11">
                  <c:v>Décembre</c:v>
                </c:pt>
              </c:strCache>
            </c:strRef>
          </c:cat>
          <c:val>
            <c:numRef>
              <c:f>COEFFICIENTS_SAISONNIERS_2026!$C$173:$N$173</c:f>
              <c:numCache>
                <c:formatCode>#,##0.00_ ;\-#,##0.00\ </c:formatCode>
                <c:ptCount val="12"/>
                <c:pt idx="0">
                  <c:v>0.93040910885990247</c:v>
                </c:pt>
                <c:pt idx="1">
                  <c:v>0.83840048142367174</c:v>
                </c:pt>
                <c:pt idx="2">
                  <c:v>0.95330373619294362</c:v>
                </c:pt>
                <c:pt idx="3">
                  <c:v>0.97390311445047351</c:v>
                </c:pt>
                <c:pt idx="4">
                  <c:v>1.0456286836698332</c:v>
                </c:pt>
                <c:pt idx="5">
                  <c:v>0.97526097608842299</c:v>
                </c:pt>
                <c:pt idx="6">
                  <c:v>1.0500050871591906</c:v>
                </c:pt>
                <c:pt idx="7">
                  <c:v>1.0671480903383033</c:v>
                </c:pt>
                <c:pt idx="8">
                  <c:v>0.98143500322347477</c:v>
                </c:pt>
                <c:pt idx="9">
                  <c:v>1.0698194516572808</c:v>
                </c:pt>
                <c:pt idx="10">
                  <c:v>1.0246840536606088</c:v>
                </c:pt>
                <c:pt idx="11">
                  <c:v>1.0900022132758942</c:v>
                </c:pt>
              </c:numCache>
            </c:numRef>
          </c:val>
          <c:smooth val="0"/>
          <c:extLst>
            <c:ext xmlns:c16="http://schemas.microsoft.com/office/drawing/2014/chart" uri="{C3380CC4-5D6E-409C-BE32-E72D297353CC}">
              <c16:uniqueId val="{00000000-D407-47E8-BD86-7EED3C68E3B0}"/>
            </c:ext>
          </c:extLst>
        </c:ser>
        <c:dLbls>
          <c:showLegendKey val="0"/>
          <c:showVal val="0"/>
          <c:showCatName val="0"/>
          <c:showSerName val="0"/>
          <c:showPercent val="0"/>
          <c:showBubbleSize val="0"/>
        </c:dLbls>
        <c:marker val="1"/>
        <c:smooth val="0"/>
        <c:axId val="386941080"/>
        <c:axId val="386943040"/>
      </c:lineChart>
      <c:catAx>
        <c:axId val="386941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6943040"/>
        <c:crosses val="autoZero"/>
        <c:auto val="1"/>
        <c:lblAlgn val="ctr"/>
        <c:lblOffset val="100"/>
        <c:noMultiLvlLbl val="0"/>
      </c:catAx>
      <c:valAx>
        <c:axId val="386943040"/>
        <c:scaling>
          <c:orientation val="minMax"/>
          <c:max val="1.1000000000000001"/>
          <c:min val="0.9"/>
        </c:scaling>
        <c:delete val="0"/>
        <c:axPos val="l"/>
        <c:majorGridlines>
          <c:spPr>
            <a:ln w="9525" cap="flat" cmpd="sng" algn="ctr">
              <a:solidFill>
                <a:schemeClr val="tx1">
                  <a:lumMod val="15000"/>
                  <a:lumOff val="85000"/>
                </a:schemeClr>
              </a:solidFill>
              <a:round/>
            </a:ln>
            <a:effectLst/>
          </c:spPr>
        </c:majorGridlines>
        <c:numFmt formatCode="#,##0.00_ ;\-#,##0.0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6941080"/>
        <c:crosses val="autoZero"/>
        <c:crossBetween val="between"/>
        <c:majorUnit val="0.1"/>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0000000000002" l="0.70000000000000062" r="0.70000000000000062" t="0.750000000000002" header="0.30000000000000032" footer="0.30000000000000032"/>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Coefficients</a:t>
            </a:r>
            <a:r>
              <a:rPr lang="en-US" b="1" baseline="0"/>
              <a:t> saisonniers du trafic de conteneurs transbordés 2024</a:t>
            </a:r>
            <a:endParaRPr lang="en-US" b="1"/>
          </a:p>
        </c:rich>
      </c:tx>
      <c:overlay val="0"/>
      <c:spPr>
        <a:noFill/>
        <a:ln>
          <a:noFill/>
        </a:ln>
        <a:effectLst/>
      </c:spPr>
    </c:title>
    <c:autoTitleDeleted val="0"/>
    <c:plotArea>
      <c:layout>
        <c:manualLayout>
          <c:layoutTarget val="inner"/>
          <c:xMode val="edge"/>
          <c:yMode val="edge"/>
          <c:x val="5.6477760127393181E-2"/>
          <c:y val="0.17061581414509147"/>
          <c:w val="0.94352223987260686"/>
          <c:h val="0.67945989779202476"/>
        </c:manualLayout>
      </c:layout>
      <c:lineChart>
        <c:grouping val="stacked"/>
        <c:varyColors val="0"/>
        <c:ser>
          <c:idx val="0"/>
          <c:order val="0"/>
          <c:marker>
            <c:symbol val="circle"/>
            <c:size val="5"/>
            <c:spPr>
              <a:solidFill>
                <a:schemeClr val="accent1"/>
              </a:solidFill>
              <a:ln w="9525">
                <a:solidFill>
                  <a:schemeClr val="accent1"/>
                </a:solidFill>
              </a:ln>
              <a:effectLst/>
            </c:spPr>
          </c:marker>
          <c:cat>
            <c:strLit>
              <c:ptCount val="12"/>
              <c:pt idx="0">
                <c:v>Janvier</c:v>
              </c:pt>
              <c:pt idx="1">
                <c:v>Février</c:v>
              </c:pt>
              <c:pt idx="2">
                <c:v>Mars</c:v>
              </c:pt>
              <c:pt idx="3">
                <c:v>Avril</c:v>
              </c:pt>
              <c:pt idx="4">
                <c:v>Mai</c:v>
              </c:pt>
              <c:pt idx="5">
                <c:v>Juin</c:v>
              </c:pt>
              <c:pt idx="6">
                <c:v>Juillet</c:v>
              </c:pt>
              <c:pt idx="7">
                <c:v>Août</c:v>
              </c:pt>
              <c:pt idx="8">
                <c:v>Septembre</c:v>
              </c:pt>
              <c:pt idx="9">
                <c:v>Octobre</c:v>
              </c:pt>
              <c:pt idx="10">
                <c:v>Novembre</c:v>
              </c:pt>
              <c:pt idx="11">
                <c:v>Décembre</c:v>
              </c:pt>
            </c:strLit>
          </c:cat>
          <c:val>
            <c:numLit>
              <c:formatCode>#,##0.00_ ;\-#,##0.00\ </c:formatCode>
              <c:ptCount val="12"/>
              <c:pt idx="0">
                <c:v>0.50588098288109939</c:v>
              </c:pt>
              <c:pt idx="1">
                <c:v>0.35460579946430654</c:v>
              </c:pt>
              <c:pt idx="2">
                <c:v>0.31132331819416947</c:v>
              </c:pt>
              <c:pt idx="3">
                <c:v>0.46255968324211016</c:v>
              </c:pt>
              <c:pt idx="4">
                <c:v>0.75439618027250499</c:v>
              </c:pt>
              <c:pt idx="5">
                <c:v>0.89868405729591239</c:v>
              </c:pt>
              <c:pt idx="6">
                <c:v>1.4099219750786072</c:v>
              </c:pt>
              <c:pt idx="7">
                <c:v>1.5731920344707115</c:v>
              </c:pt>
              <c:pt idx="8">
                <c:v>1.5177982221187065</c:v>
              </c:pt>
              <c:pt idx="9">
                <c:v>1.5744730406428322</c:v>
              </c:pt>
              <c:pt idx="10">
                <c:v>1.3226582818989947</c:v>
              </c:pt>
              <c:pt idx="11">
                <c:v>1.3145064244400451</c:v>
              </c:pt>
            </c:numLit>
          </c:val>
          <c:smooth val="0"/>
          <c:extLst>
            <c:ext xmlns:c16="http://schemas.microsoft.com/office/drawing/2014/chart" uri="{C3380CC4-5D6E-409C-BE32-E72D297353CC}">
              <c16:uniqueId val="{00000000-0FF7-46CB-8965-75C9D74B80D3}"/>
            </c:ext>
          </c:extLst>
        </c:ser>
        <c:dLbls>
          <c:showLegendKey val="0"/>
          <c:showVal val="0"/>
          <c:showCatName val="0"/>
          <c:showSerName val="0"/>
          <c:showPercent val="0"/>
          <c:showBubbleSize val="0"/>
        </c:dLbls>
        <c:marker val="1"/>
        <c:smooth val="0"/>
        <c:axId val="386944608"/>
        <c:axId val="386933632"/>
      </c:lineChart>
      <c:catAx>
        <c:axId val="386944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6933632"/>
        <c:crosses val="autoZero"/>
        <c:auto val="1"/>
        <c:lblAlgn val="ctr"/>
        <c:lblOffset val="100"/>
        <c:noMultiLvlLbl val="0"/>
      </c:catAx>
      <c:valAx>
        <c:axId val="386933632"/>
        <c:scaling>
          <c:orientation val="minMax"/>
          <c:max val="1.8"/>
          <c:min val="0.2"/>
        </c:scaling>
        <c:delete val="0"/>
        <c:axPos val="l"/>
        <c:majorGridlines>
          <c:spPr>
            <a:ln w="9525" cap="flat" cmpd="sng" algn="ctr">
              <a:solidFill>
                <a:schemeClr val="tx1">
                  <a:lumMod val="15000"/>
                  <a:lumOff val="85000"/>
                </a:schemeClr>
              </a:solidFill>
              <a:round/>
            </a:ln>
            <a:effectLst/>
          </c:spPr>
        </c:majorGridlines>
        <c:numFmt formatCode="#,##0.00_ ;\-#,##0.0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6944608"/>
        <c:crosses val="autoZero"/>
        <c:crossBetween val="between"/>
        <c:majorUnit val="0.30000000000000004"/>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0000000000002" l="0.70000000000000062" r="0.70000000000000062" t="0.750000000000002"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Coefficients</a:t>
            </a:r>
            <a:r>
              <a:rPr lang="en-US" b="1" baseline="0"/>
              <a:t> saisonniers du trafic des escales navires 2024</a:t>
            </a:r>
            <a:endParaRPr lang="en-US" b="1"/>
          </a:p>
        </c:rich>
      </c:tx>
      <c:overlay val="0"/>
      <c:spPr>
        <a:noFill/>
        <a:ln>
          <a:noFill/>
        </a:ln>
        <a:effectLst/>
      </c:spPr>
    </c:title>
    <c:autoTitleDeleted val="0"/>
    <c:plotArea>
      <c:layout/>
      <c:lineChart>
        <c:grouping val="stacke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12"/>
              <c:pt idx="0">
                <c:v>Janvier</c:v>
              </c:pt>
              <c:pt idx="1">
                <c:v>Février</c:v>
              </c:pt>
              <c:pt idx="2">
                <c:v>Mars</c:v>
              </c:pt>
              <c:pt idx="3">
                <c:v>Avril</c:v>
              </c:pt>
              <c:pt idx="4">
                <c:v>Mai</c:v>
              </c:pt>
              <c:pt idx="5">
                <c:v>Juin</c:v>
              </c:pt>
              <c:pt idx="6">
                <c:v>Juillet</c:v>
              </c:pt>
              <c:pt idx="7">
                <c:v>Août</c:v>
              </c:pt>
              <c:pt idx="8">
                <c:v>Septembre</c:v>
              </c:pt>
              <c:pt idx="9">
                <c:v>Octobre</c:v>
              </c:pt>
              <c:pt idx="10">
                <c:v>Novembre</c:v>
              </c:pt>
              <c:pt idx="11">
                <c:v>Décembre</c:v>
              </c:pt>
            </c:strLit>
          </c:cat>
          <c:val>
            <c:numLit>
              <c:formatCode>#,##0.00_ ;\-#,##0.00\ </c:formatCode>
              <c:ptCount val="12"/>
              <c:pt idx="0">
                <c:v>1.0350891885101752</c:v>
              </c:pt>
              <c:pt idx="1">
                <c:v>0.94564944309521815</c:v>
              </c:pt>
              <c:pt idx="2">
                <c:v>1.0240348379532704</c:v>
              </c:pt>
              <c:pt idx="3">
                <c:v>0.97479273092705809</c:v>
              </c:pt>
              <c:pt idx="4">
                <c:v>1.0009211958797422</c:v>
              </c:pt>
              <c:pt idx="5">
                <c:v>0.92856544678000186</c:v>
              </c:pt>
              <c:pt idx="6">
                <c:v>1.0370990704296124</c:v>
              </c:pt>
              <c:pt idx="7">
                <c:v>0.99489155012143049</c:v>
              </c:pt>
              <c:pt idx="8">
                <c:v>0.98785696340340012</c:v>
              </c:pt>
              <c:pt idx="9">
                <c:v>1.0029310777991793</c:v>
              </c:pt>
              <c:pt idx="10">
                <c:v>0.9908717862825559</c:v>
              </c:pt>
              <c:pt idx="11">
                <c:v>1.0772967088183569</c:v>
              </c:pt>
            </c:numLit>
          </c:val>
          <c:smooth val="0"/>
          <c:extLst>
            <c:ext xmlns:c16="http://schemas.microsoft.com/office/drawing/2014/chart" uri="{C3380CC4-5D6E-409C-BE32-E72D297353CC}">
              <c16:uniqueId val="{00000000-B3FB-42AA-A7F6-3318FFD823DD}"/>
            </c:ext>
          </c:extLst>
        </c:ser>
        <c:dLbls>
          <c:showLegendKey val="0"/>
          <c:showVal val="0"/>
          <c:showCatName val="0"/>
          <c:showSerName val="0"/>
          <c:showPercent val="0"/>
          <c:showBubbleSize val="0"/>
        </c:dLbls>
        <c:marker val="1"/>
        <c:smooth val="0"/>
        <c:axId val="385986824"/>
        <c:axId val="385989176"/>
      </c:lineChart>
      <c:catAx>
        <c:axId val="385986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5989176"/>
        <c:crosses val="autoZero"/>
        <c:auto val="1"/>
        <c:lblAlgn val="ctr"/>
        <c:lblOffset val="100"/>
        <c:noMultiLvlLbl val="0"/>
      </c:catAx>
      <c:valAx>
        <c:axId val="385989176"/>
        <c:scaling>
          <c:orientation val="minMax"/>
          <c:min val="0.8"/>
        </c:scaling>
        <c:delete val="0"/>
        <c:axPos val="l"/>
        <c:majorGridlines>
          <c:spPr>
            <a:ln w="9525" cap="flat" cmpd="sng" algn="ctr">
              <a:solidFill>
                <a:schemeClr val="tx1">
                  <a:lumMod val="15000"/>
                  <a:lumOff val="85000"/>
                </a:schemeClr>
              </a:solidFill>
              <a:round/>
            </a:ln>
            <a:effectLst/>
          </c:spPr>
        </c:majorGridlines>
        <c:numFmt formatCode="#,##0.00_ ;\-#,##0.0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5986824"/>
        <c:crosses val="autoZero"/>
        <c:crossBetween val="between"/>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0000000000002" l="0.70000000000000062" r="0.70000000000000062" t="0.750000000000002"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Coefficients</a:t>
            </a:r>
            <a:r>
              <a:rPr lang="en-US" b="1" baseline="0"/>
              <a:t> saisonniers du trafic global 2024</a:t>
            </a:r>
            <a:endParaRPr lang="en-US" b="1"/>
          </a:p>
        </c:rich>
      </c:tx>
      <c:overlay val="0"/>
      <c:spPr>
        <a:noFill/>
        <a:ln>
          <a:noFill/>
        </a:ln>
        <a:effectLst/>
      </c:spPr>
    </c:title>
    <c:autoTitleDeleted val="0"/>
    <c:plotArea>
      <c:layout/>
      <c:lineChart>
        <c:grouping val="stacked"/>
        <c:varyColors val="0"/>
        <c:ser>
          <c:idx val="0"/>
          <c:order val="0"/>
          <c:spPr>
            <a:ln w="28575" cap="rnd">
              <a:solidFill>
                <a:schemeClr val="accent1"/>
              </a:solidFill>
              <a:round/>
            </a:ln>
            <a:effectLst/>
          </c:spPr>
          <c:marker>
            <c:symbol val="circle"/>
            <c:size val="5"/>
          </c:marker>
          <c:cat>
            <c:strLit>
              <c:ptCount val="12"/>
              <c:pt idx="0">
                <c:v>Janvier</c:v>
              </c:pt>
              <c:pt idx="1">
                <c:v>Février</c:v>
              </c:pt>
              <c:pt idx="2">
                <c:v>Mars</c:v>
              </c:pt>
              <c:pt idx="3">
                <c:v>Avril</c:v>
              </c:pt>
              <c:pt idx="4">
                <c:v>Mai</c:v>
              </c:pt>
              <c:pt idx="5">
                <c:v>Juin</c:v>
              </c:pt>
              <c:pt idx="6">
                <c:v>Juillet</c:v>
              </c:pt>
              <c:pt idx="7">
                <c:v>Août</c:v>
              </c:pt>
              <c:pt idx="8">
                <c:v>Septembre</c:v>
              </c:pt>
              <c:pt idx="9">
                <c:v>Octobre</c:v>
              </c:pt>
              <c:pt idx="10">
                <c:v>Novembre</c:v>
              </c:pt>
              <c:pt idx="11">
                <c:v>Décembre</c:v>
              </c:pt>
            </c:strLit>
          </c:cat>
          <c:val>
            <c:numLit>
              <c:formatCode>#,##0.00_ ;\-#,##0.00\ </c:formatCode>
              <c:ptCount val="12"/>
              <c:pt idx="0">
                <c:v>0.95342134753952645</c:v>
              </c:pt>
              <c:pt idx="1">
                <c:v>0.96986166201606239</c:v>
              </c:pt>
              <c:pt idx="2">
                <c:v>1.0109456429084211</c:v>
              </c:pt>
              <c:pt idx="3">
                <c:v>1.0423369165561236</c:v>
              </c:pt>
              <c:pt idx="4">
                <c:v>1.0409146205544415</c:v>
              </c:pt>
              <c:pt idx="5">
                <c:v>0.94064640379895992</c:v>
              </c:pt>
              <c:pt idx="6">
                <c:v>1.0907604728230027</c:v>
              </c:pt>
              <c:pt idx="7">
                <c:v>0.99166492175076959</c:v>
              </c:pt>
              <c:pt idx="8">
                <c:v>0.94414841815747808</c:v>
              </c:pt>
              <c:pt idx="9">
                <c:v>1.0174154883177078</c:v>
              </c:pt>
              <c:pt idx="10">
                <c:v>0.98680858540326943</c:v>
              </c:pt>
              <c:pt idx="11">
                <c:v>1.0110755201742374</c:v>
              </c:pt>
            </c:numLit>
          </c:val>
          <c:smooth val="0"/>
          <c:extLst>
            <c:ext xmlns:c16="http://schemas.microsoft.com/office/drawing/2014/chart" uri="{C3380CC4-5D6E-409C-BE32-E72D297353CC}">
              <c16:uniqueId val="{00000000-E047-41F7-B770-81F02A6FF1BE}"/>
            </c:ext>
          </c:extLst>
        </c:ser>
        <c:dLbls>
          <c:showLegendKey val="0"/>
          <c:showVal val="0"/>
          <c:showCatName val="0"/>
          <c:showSerName val="0"/>
          <c:showPercent val="0"/>
          <c:showBubbleSize val="0"/>
        </c:dLbls>
        <c:marker val="1"/>
        <c:smooth val="0"/>
        <c:axId val="385989568"/>
        <c:axId val="385986432"/>
      </c:lineChart>
      <c:catAx>
        <c:axId val="385989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5986432"/>
        <c:crosses val="autoZero"/>
        <c:auto val="1"/>
        <c:lblAlgn val="ctr"/>
        <c:lblOffset val="100"/>
        <c:noMultiLvlLbl val="0"/>
      </c:catAx>
      <c:valAx>
        <c:axId val="385986432"/>
        <c:scaling>
          <c:orientation val="minMax"/>
          <c:min val="0.70000000000000007"/>
        </c:scaling>
        <c:delete val="0"/>
        <c:axPos val="l"/>
        <c:majorGridlines>
          <c:spPr>
            <a:ln w="9525" cap="flat" cmpd="sng" algn="ctr">
              <a:solidFill>
                <a:schemeClr val="tx1">
                  <a:lumMod val="15000"/>
                  <a:lumOff val="85000"/>
                </a:schemeClr>
              </a:solidFill>
              <a:round/>
            </a:ln>
            <a:effectLst/>
          </c:spPr>
        </c:majorGridlines>
        <c:numFmt formatCode="#,##0.00_ ;\-#,##0.0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5989568"/>
        <c:crosses val="autoZero"/>
        <c:crossBetween val="between"/>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0000000000002" l="0.70000000000000062" r="0.70000000000000062" t="0.750000000000002" header="0.30000000000000032" footer="0.3000000000000003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Coefficients</a:t>
            </a:r>
            <a:r>
              <a:rPr lang="en-US" b="1" baseline="0"/>
              <a:t> saisonniers du trafic </a:t>
            </a:r>
            <a:r>
              <a:rPr lang="en-US" sz="1400" b="1" i="0" u="none" strike="noStrike" baseline="0">
                <a:effectLst/>
              </a:rPr>
              <a:t>national et transit des</a:t>
            </a:r>
            <a:r>
              <a:rPr lang="en-US" b="1" baseline="0"/>
              <a:t> produits pétroliers 2024</a:t>
            </a:r>
            <a:endParaRPr lang="en-US" b="1"/>
          </a:p>
        </c:rich>
      </c:tx>
      <c:overlay val="0"/>
      <c:spPr>
        <a:noFill/>
        <a:ln>
          <a:noFill/>
        </a:ln>
        <a:effectLst/>
      </c:spPr>
    </c:title>
    <c:autoTitleDeleted val="0"/>
    <c:plotArea>
      <c:layout/>
      <c:lineChart>
        <c:grouping val="stacke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12"/>
              <c:pt idx="0">
                <c:v>Janvier</c:v>
              </c:pt>
              <c:pt idx="1">
                <c:v>Février</c:v>
              </c:pt>
              <c:pt idx="2">
                <c:v>Mars</c:v>
              </c:pt>
              <c:pt idx="3">
                <c:v>Avril</c:v>
              </c:pt>
              <c:pt idx="4">
                <c:v>Mai</c:v>
              </c:pt>
              <c:pt idx="5">
                <c:v>Juin</c:v>
              </c:pt>
              <c:pt idx="6">
                <c:v>Juillet</c:v>
              </c:pt>
              <c:pt idx="7">
                <c:v>Août</c:v>
              </c:pt>
              <c:pt idx="8">
                <c:v>Septembre</c:v>
              </c:pt>
              <c:pt idx="9">
                <c:v>Octobre</c:v>
              </c:pt>
              <c:pt idx="10">
                <c:v>Novembre</c:v>
              </c:pt>
              <c:pt idx="11">
                <c:v>Décembre</c:v>
              </c:pt>
            </c:strLit>
          </c:cat>
          <c:val>
            <c:numLit>
              <c:formatCode>#,##0.00_ ;\-#,##0.00\ </c:formatCode>
              <c:ptCount val="12"/>
              <c:pt idx="0">
                <c:v>0.93756619224093574</c:v>
              </c:pt>
              <c:pt idx="1">
                <c:v>1.0985263239448466</c:v>
              </c:pt>
              <c:pt idx="2">
                <c:v>0.97063189408164485</c:v>
              </c:pt>
              <c:pt idx="3">
                <c:v>1.1106287168493654</c:v>
              </c:pt>
              <c:pt idx="4">
                <c:v>0.99821229939789557</c:v>
              </c:pt>
              <c:pt idx="5">
                <c:v>0.90399513006375432</c:v>
              </c:pt>
              <c:pt idx="6">
                <c:v>1.0196502817997126</c:v>
              </c:pt>
              <c:pt idx="7">
                <c:v>0.92215077859285655</c:v>
              </c:pt>
              <c:pt idx="8">
                <c:v>0.91292598101285471</c:v>
              </c:pt>
              <c:pt idx="9">
                <c:v>1.1234692851067198</c:v>
              </c:pt>
              <c:pt idx="10">
                <c:v>1.0433236476031456</c:v>
              </c:pt>
              <c:pt idx="11">
                <c:v>0.95891946930626815</c:v>
              </c:pt>
            </c:numLit>
          </c:val>
          <c:smooth val="0"/>
          <c:extLst>
            <c:ext xmlns:c16="http://schemas.microsoft.com/office/drawing/2014/chart" uri="{C3380CC4-5D6E-409C-BE32-E72D297353CC}">
              <c16:uniqueId val="{00000000-8173-4365-84CB-32D321AD4EF5}"/>
            </c:ext>
          </c:extLst>
        </c:ser>
        <c:dLbls>
          <c:showLegendKey val="0"/>
          <c:showVal val="0"/>
          <c:showCatName val="0"/>
          <c:showSerName val="0"/>
          <c:showPercent val="0"/>
          <c:showBubbleSize val="0"/>
        </c:dLbls>
        <c:marker val="1"/>
        <c:smooth val="0"/>
        <c:axId val="385988000"/>
        <c:axId val="386938336"/>
      </c:lineChart>
      <c:catAx>
        <c:axId val="385988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6938336"/>
        <c:crosses val="autoZero"/>
        <c:auto val="1"/>
        <c:lblAlgn val="ctr"/>
        <c:lblOffset val="100"/>
        <c:noMultiLvlLbl val="0"/>
      </c:catAx>
      <c:valAx>
        <c:axId val="386938336"/>
        <c:scaling>
          <c:orientation val="minMax"/>
          <c:min val="0.70000000000000007"/>
        </c:scaling>
        <c:delete val="0"/>
        <c:axPos val="l"/>
        <c:majorGridlines>
          <c:spPr>
            <a:ln w="9525" cap="flat" cmpd="sng" algn="ctr">
              <a:solidFill>
                <a:schemeClr val="tx1">
                  <a:lumMod val="15000"/>
                  <a:lumOff val="85000"/>
                </a:schemeClr>
              </a:solidFill>
              <a:round/>
            </a:ln>
            <a:effectLst/>
          </c:spPr>
        </c:majorGridlines>
        <c:numFmt formatCode="#,##0.00_ ;\-#,##0.0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5988000"/>
        <c:crosses val="autoZero"/>
        <c:crossBetween val="between"/>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0000000000002" l="0.70000000000000062" r="0.70000000000000062" t="0.750000000000002" header="0.30000000000000032" footer="0.3000000000000003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Coefficients</a:t>
            </a:r>
            <a:r>
              <a:rPr lang="en-US" b="1" baseline="0"/>
              <a:t> saisonniers du trafic </a:t>
            </a:r>
            <a:r>
              <a:rPr lang="en-US" sz="1400" b="1" i="0" u="none" strike="noStrike" baseline="0">
                <a:effectLst/>
              </a:rPr>
              <a:t>national et transit des</a:t>
            </a:r>
            <a:r>
              <a:rPr lang="en-US" b="1" baseline="0"/>
              <a:t> marchandises générales 2024</a:t>
            </a:r>
            <a:endParaRPr lang="en-US" b="1"/>
          </a:p>
        </c:rich>
      </c:tx>
      <c:overlay val="0"/>
      <c:spPr>
        <a:noFill/>
        <a:ln>
          <a:noFill/>
        </a:ln>
        <a:effectLst/>
      </c:spPr>
    </c:title>
    <c:autoTitleDeleted val="0"/>
    <c:plotArea>
      <c:layout>
        <c:manualLayout>
          <c:layoutTarget val="inner"/>
          <c:xMode val="edge"/>
          <c:yMode val="edge"/>
          <c:x val="2.5088211948551938E-2"/>
          <c:y val="0.3625318550365314"/>
          <c:w val="0.95598993864180604"/>
          <c:h val="0.45481622518796161"/>
        </c:manualLayout>
      </c:layout>
      <c:lineChart>
        <c:grouping val="stacked"/>
        <c:varyColors val="0"/>
        <c:ser>
          <c:idx val="0"/>
          <c:order val="0"/>
          <c:marker>
            <c:symbol val="circle"/>
            <c:size val="5"/>
            <c:spPr>
              <a:solidFill>
                <a:schemeClr val="accent1"/>
              </a:solidFill>
              <a:ln w="9525">
                <a:solidFill>
                  <a:schemeClr val="accent1"/>
                </a:solidFill>
              </a:ln>
              <a:effectLst/>
            </c:spPr>
          </c:marker>
          <c:cat>
            <c:strLit>
              <c:ptCount val="12"/>
              <c:pt idx="0">
                <c:v>Janvier</c:v>
              </c:pt>
              <c:pt idx="1">
                <c:v>Février</c:v>
              </c:pt>
              <c:pt idx="2">
                <c:v>Mars</c:v>
              </c:pt>
              <c:pt idx="3">
                <c:v>Avril</c:v>
              </c:pt>
              <c:pt idx="4">
                <c:v>Mai</c:v>
              </c:pt>
              <c:pt idx="5">
                <c:v>Juin</c:v>
              </c:pt>
              <c:pt idx="6">
                <c:v>Juillet</c:v>
              </c:pt>
              <c:pt idx="7">
                <c:v>Août</c:v>
              </c:pt>
              <c:pt idx="8">
                <c:v>Septembre</c:v>
              </c:pt>
              <c:pt idx="9">
                <c:v>Octobre</c:v>
              </c:pt>
              <c:pt idx="10">
                <c:v>Novembre</c:v>
              </c:pt>
              <c:pt idx="11">
                <c:v>Décembre</c:v>
              </c:pt>
            </c:strLit>
          </c:cat>
          <c:val>
            <c:numLit>
              <c:formatCode>#,##0.00_ ;\-#,##0.00\ </c:formatCode>
              <c:ptCount val="12"/>
              <c:pt idx="0">
                <c:v>0.97880562163369522</c:v>
              </c:pt>
              <c:pt idx="1">
                <c:v>0.95995462458454539</c:v>
              </c:pt>
              <c:pt idx="2">
                <c:v>1.0598546285042225</c:v>
              </c:pt>
              <c:pt idx="3">
                <c:v>1.051045177719919</c:v>
              </c:pt>
              <c:pt idx="4">
                <c:v>1.0734652901302151</c:v>
              </c:pt>
              <c:pt idx="5">
                <c:v>0.95644156840499006</c:v>
              </c:pt>
              <c:pt idx="6">
                <c:v>1.1014495787512144</c:v>
              </c:pt>
              <c:pt idx="7">
                <c:v>0.99189315853768778</c:v>
              </c:pt>
              <c:pt idx="8">
                <c:v>0.92750604097399614</c:v>
              </c:pt>
              <c:pt idx="9">
                <c:v>0.94693332303607269</c:v>
              </c:pt>
              <c:pt idx="10">
                <c:v>0.94894463363956072</c:v>
              </c:pt>
              <c:pt idx="11">
                <c:v>1.0037063540838818</c:v>
              </c:pt>
            </c:numLit>
          </c:val>
          <c:smooth val="0"/>
          <c:extLst>
            <c:ext xmlns:c16="http://schemas.microsoft.com/office/drawing/2014/chart" uri="{C3380CC4-5D6E-409C-BE32-E72D297353CC}">
              <c16:uniqueId val="{00000000-F025-4DE1-8B2F-356A18BD63B4}"/>
            </c:ext>
          </c:extLst>
        </c:ser>
        <c:dLbls>
          <c:showLegendKey val="0"/>
          <c:showVal val="0"/>
          <c:showCatName val="0"/>
          <c:showSerName val="0"/>
          <c:showPercent val="0"/>
          <c:showBubbleSize val="0"/>
        </c:dLbls>
        <c:marker val="1"/>
        <c:smooth val="0"/>
        <c:axId val="386939904"/>
        <c:axId val="386940296"/>
      </c:lineChart>
      <c:catAx>
        <c:axId val="386939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6940296"/>
        <c:crosses val="autoZero"/>
        <c:auto val="1"/>
        <c:lblAlgn val="ctr"/>
        <c:lblOffset val="100"/>
        <c:noMultiLvlLbl val="0"/>
      </c:catAx>
      <c:valAx>
        <c:axId val="386940296"/>
        <c:scaling>
          <c:orientation val="minMax"/>
          <c:min val="0.9"/>
        </c:scaling>
        <c:delete val="0"/>
        <c:axPos val="l"/>
        <c:majorGridlines>
          <c:spPr>
            <a:ln w="9525" cap="flat" cmpd="sng" algn="ctr">
              <a:solidFill>
                <a:schemeClr val="tx1">
                  <a:lumMod val="15000"/>
                  <a:lumOff val="85000"/>
                </a:schemeClr>
              </a:solidFill>
              <a:round/>
            </a:ln>
            <a:effectLst/>
          </c:spPr>
        </c:majorGridlines>
        <c:numFmt formatCode="#,##0.00_ ;\-#,##0.0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6939904"/>
        <c:crosses val="autoZero"/>
        <c:crossBetween val="between"/>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0000000000002" l="0.70000000000000062" r="0.70000000000000062" t="0.750000000000002" header="0.30000000000000032" footer="0.3000000000000003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Coefficients</a:t>
            </a:r>
            <a:r>
              <a:rPr lang="en-US" b="1" baseline="0"/>
              <a:t> saisonniers du trafic des produits de pêche sans le transbordement du Port de Commerce 2024</a:t>
            </a:r>
            <a:endParaRPr lang="en-US" b="1"/>
          </a:p>
        </c:rich>
      </c:tx>
      <c:overlay val="0"/>
      <c:spPr>
        <a:noFill/>
        <a:ln>
          <a:noFill/>
        </a:ln>
        <a:effectLst/>
      </c:spPr>
    </c:title>
    <c:autoTitleDeleted val="0"/>
    <c:plotArea>
      <c:layout>
        <c:manualLayout>
          <c:layoutTarget val="inner"/>
          <c:xMode val="edge"/>
          <c:yMode val="edge"/>
          <c:x val="2.8635297623061044E-2"/>
          <c:y val="0.32211007645355505"/>
          <c:w val="0.95773651126534531"/>
          <c:h val="0.43034735924242828"/>
        </c:manualLayout>
      </c:layout>
      <c:lineChart>
        <c:grouping val="stacke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12"/>
              <c:pt idx="0">
                <c:v>Janvier</c:v>
              </c:pt>
              <c:pt idx="1">
                <c:v>Février</c:v>
              </c:pt>
              <c:pt idx="2">
                <c:v>Mars</c:v>
              </c:pt>
              <c:pt idx="3">
                <c:v>Avril</c:v>
              </c:pt>
              <c:pt idx="4">
                <c:v>Mai</c:v>
              </c:pt>
              <c:pt idx="5">
                <c:v>Juin</c:v>
              </c:pt>
              <c:pt idx="6">
                <c:v>Juillet</c:v>
              </c:pt>
              <c:pt idx="7">
                <c:v>Août</c:v>
              </c:pt>
              <c:pt idx="8">
                <c:v>Septembre</c:v>
              </c:pt>
              <c:pt idx="9">
                <c:v>Octobre</c:v>
              </c:pt>
              <c:pt idx="10">
                <c:v>Novembre</c:v>
              </c:pt>
              <c:pt idx="11">
                <c:v>Décembre</c:v>
              </c:pt>
            </c:strLit>
          </c:cat>
          <c:val>
            <c:numLit>
              <c:formatCode>#,##0.00_ ;\-#,##0.00\ </c:formatCode>
              <c:ptCount val="12"/>
              <c:pt idx="0">
                <c:v>1.0682796991063022</c:v>
              </c:pt>
              <c:pt idx="1">
                <c:v>0.79144309993739892</c:v>
              </c:pt>
              <c:pt idx="2">
                <c:v>0.88767279054870218</c:v>
              </c:pt>
              <c:pt idx="3">
                <c:v>1.0167436493999484</c:v>
              </c:pt>
              <c:pt idx="4">
                <c:v>1.080179926922948</c:v>
              </c:pt>
              <c:pt idx="5">
                <c:v>1.0041638768548562</c:v>
              </c:pt>
              <c:pt idx="6">
                <c:v>1.0085407869325183</c:v>
              </c:pt>
              <c:pt idx="7">
                <c:v>0.93468305518990735</c:v>
              </c:pt>
              <c:pt idx="8">
                <c:v>0.97677765717287668</c:v>
              </c:pt>
              <c:pt idx="9">
                <c:v>1.0025580629020103</c:v>
              </c:pt>
              <c:pt idx="10">
                <c:v>1.0327802370554529</c:v>
              </c:pt>
              <c:pt idx="11">
                <c:v>1.1961771579770804</c:v>
              </c:pt>
            </c:numLit>
          </c:val>
          <c:smooth val="0"/>
          <c:extLst>
            <c:ext xmlns:c16="http://schemas.microsoft.com/office/drawing/2014/chart" uri="{C3380CC4-5D6E-409C-BE32-E72D297353CC}">
              <c16:uniqueId val="{00000000-0946-4D1F-A382-A7AF3AF3B9C2}"/>
            </c:ext>
          </c:extLst>
        </c:ser>
        <c:dLbls>
          <c:showLegendKey val="0"/>
          <c:showVal val="0"/>
          <c:showCatName val="0"/>
          <c:showSerName val="0"/>
          <c:showPercent val="0"/>
          <c:showBubbleSize val="0"/>
        </c:dLbls>
        <c:marker val="1"/>
        <c:smooth val="0"/>
        <c:axId val="386932848"/>
        <c:axId val="386945000"/>
      </c:lineChart>
      <c:catAx>
        <c:axId val="386932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6945000"/>
        <c:crosses val="autoZero"/>
        <c:auto val="1"/>
        <c:lblAlgn val="ctr"/>
        <c:lblOffset val="100"/>
        <c:noMultiLvlLbl val="0"/>
      </c:catAx>
      <c:valAx>
        <c:axId val="386945000"/>
        <c:scaling>
          <c:orientation val="minMax"/>
          <c:min val="0.60000000000000009"/>
        </c:scaling>
        <c:delete val="0"/>
        <c:axPos val="l"/>
        <c:majorGridlines>
          <c:spPr>
            <a:ln w="9525" cap="flat" cmpd="sng" algn="ctr">
              <a:solidFill>
                <a:schemeClr val="tx1">
                  <a:lumMod val="15000"/>
                  <a:lumOff val="85000"/>
                </a:schemeClr>
              </a:solidFill>
              <a:round/>
            </a:ln>
            <a:effectLst/>
          </c:spPr>
        </c:majorGridlines>
        <c:numFmt formatCode="#,##0.00_ ;\-#,##0.0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6932848"/>
        <c:crosses val="autoZero"/>
        <c:crossBetween val="between"/>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0000000000002" l="0.70000000000000062" r="0.70000000000000062" t="0.750000000000002" header="0.30000000000000032" footer="0.3000000000000003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Coefficients</a:t>
            </a:r>
            <a:r>
              <a:rPr lang="en-US" b="1" baseline="0"/>
              <a:t> saisonniers du trafic national 2024</a:t>
            </a:r>
            <a:endParaRPr lang="en-US" b="1"/>
          </a:p>
        </c:rich>
      </c:tx>
      <c:overlay val="0"/>
      <c:spPr>
        <a:noFill/>
        <a:ln>
          <a:noFill/>
        </a:ln>
        <a:effectLst/>
      </c:spPr>
    </c:title>
    <c:autoTitleDeleted val="0"/>
    <c:plotArea>
      <c:layout/>
      <c:lineChart>
        <c:grouping val="stacked"/>
        <c:varyColors val="0"/>
        <c:ser>
          <c:idx val="0"/>
          <c:order val="0"/>
          <c:cat>
            <c:strLit>
              <c:ptCount val="12"/>
              <c:pt idx="0">
                <c:v>Janvier</c:v>
              </c:pt>
              <c:pt idx="1">
                <c:v>Février</c:v>
              </c:pt>
              <c:pt idx="2">
                <c:v>Mars</c:v>
              </c:pt>
              <c:pt idx="3">
                <c:v>Avril</c:v>
              </c:pt>
              <c:pt idx="4">
                <c:v>Mai</c:v>
              </c:pt>
              <c:pt idx="5">
                <c:v>Juin</c:v>
              </c:pt>
              <c:pt idx="6">
                <c:v>Juillet</c:v>
              </c:pt>
              <c:pt idx="7">
                <c:v>Août</c:v>
              </c:pt>
              <c:pt idx="8">
                <c:v>Septembre</c:v>
              </c:pt>
              <c:pt idx="9">
                <c:v>Octobre</c:v>
              </c:pt>
              <c:pt idx="10">
                <c:v>Novembre</c:v>
              </c:pt>
              <c:pt idx="11">
                <c:v>Décembre</c:v>
              </c:pt>
            </c:strLit>
          </c:cat>
          <c:val>
            <c:numLit>
              <c:formatCode>#,##0.00_ ;\-#,##0.00\ </c:formatCode>
              <c:ptCount val="12"/>
              <c:pt idx="0">
                <c:v>0.95079702733926885</c:v>
              </c:pt>
              <c:pt idx="1">
                <c:v>0.99726345463858124</c:v>
              </c:pt>
              <c:pt idx="2">
                <c:v>1.0284674467351447</c:v>
              </c:pt>
              <c:pt idx="3">
                <c:v>1.0685117150487442</c:v>
              </c:pt>
              <c:pt idx="4">
                <c:v>1.0448478365156768</c:v>
              </c:pt>
              <c:pt idx="5">
                <c:v>0.96100575659376508</c:v>
              </c:pt>
              <c:pt idx="6">
                <c:v>1.084204777076019</c:v>
              </c:pt>
              <c:pt idx="7">
                <c:v>0.98376463278959225</c:v>
              </c:pt>
              <c:pt idx="8">
                <c:v>0.91441959292495356</c:v>
              </c:pt>
              <c:pt idx="9">
                <c:v>0.99118122003188369</c:v>
              </c:pt>
              <c:pt idx="10">
                <c:v>0.97974745884346259</c:v>
              </c:pt>
              <c:pt idx="11">
                <c:v>0.99578908146290745</c:v>
              </c:pt>
            </c:numLit>
          </c:val>
          <c:smooth val="0"/>
          <c:extLst>
            <c:ext xmlns:c16="http://schemas.microsoft.com/office/drawing/2014/chart" uri="{C3380CC4-5D6E-409C-BE32-E72D297353CC}">
              <c16:uniqueId val="{00000000-0553-4226-9A6F-C16EED5AA396}"/>
            </c:ext>
          </c:extLst>
        </c:ser>
        <c:dLbls>
          <c:showLegendKey val="0"/>
          <c:showVal val="0"/>
          <c:showCatName val="0"/>
          <c:showSerName val="0"/>
          <c:showPercent val="0"/>
          <c:showBubbleSize val="0"/>
        </c:dLbls>
        <c:marker val="1"/>
        <c:smooth val="0"/>
        <c:axId val="386941080"/>
        <c:axId val="386943040"/>
      </c:lineChart>
      <c:catAx>
        <c:axId val="386941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6943040"/>
        <c:crosses val="autoZero"/>
        <c:auto val="1"/>
        <c:lblAlgn val="ctr"/>
        <c:lblOffset val="100"/>
        <c:noMultiLvlLbl val="0"/>
      </c:catAx>
      <c:valAx>
        <c:axId val="386943040"/>
        <c:scaling>
          <c:orientation val="minMax"/>
          <c:min val="0.8"/>
        </c:scaling>
        <c:delete val="0"/>
        <c:axPos val="l"/>
        <c:majorGridlines>
          <c:spPr>
            <a:ln w="9525" cap="flat" cmpd="sng" algn="ctr">
              <a:solidFill>
                <a:schemeClr val="tx1">
                  <a:lumMod val="15000"/>
                  <a:lumOff val="85000"/>
                </a:schemeClr>
              </a:solidFill>
              <a:round/>
            </a:ln>
            <a:effectLst/>
          </c:spPr>
        </c:majorGridlines>
        <c:numFmt formatCode="#,##0.00_ ;\-#,##0.0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6941080"/>
        <c:crosses val="autoZero"/>
        <c:crossBetween val="between"/>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0000000000002" l="0.70000000000000062" r="0.70000000000000062" t="0.750000000000002" header="0.30000000000000032" footer="0.30000000000000032"/>
    <c:pageSetup orientation="portrait"/>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Coefficients</a:t>
            </a:r>
            <a:r>
              <a:rPr lang="en-US" b="1" baseline="0"/>
              <a:t> saisonniers du trafic de transbordement 2024</a:t>
            </a:r>
            <a:endParaRPr lang="en-US" b="1"/>
          </a:p>
        </c:rich>
      </c:tx>
      <c:overlay val="0"/>
      <c:spPr>
        <a:noFill/>
        <a:ln>
          <a:noFill/>
        </a:ln>
        <a:effectLst/>
      </c:spPr>
    </c:title>
    <c:autoTitleDeleted val="0"/>
    <c:plotArea>
      <c:layout/>
      <c:lineChart>
        <c:grouping val="stacked"/>
        <c:varyColors val="0"/>
        <c:ser>
          <c:idx val="0"/>
          <c:order val="0"/>
          <c:cat>
            <c:strLit>
              <c:ptCount val="12"/>
              <c:pt idx="0">
                <c:v>Janvier</c:v>
              </c:pt>
              <c:pt idx="1">
                <c:v>Février</c:v>
              </c:pt>
              <c:pt idx="2">
                <c:v>Mars</c:v>
              </c:pt>
              <c:pt idx="3">
                <c:v>Avril</c:v>
              </c:pt>
              <c:pt idx="4">
                <c:v>Mai</c:v>
              </c:pt>
              <c:pt idx="5">
                <c:v>Juin</c:v>
              </c:pt>
              <c:pt idx="6">
                <c:v>Juillet</c:v>
              </c:pt>
              <c:pt idx="7">
                <c:v>Août</c:v>
              </c:pt>
              <c:pt idx="8">
                <c:v>Septembre</c:v>
              </c:pt>
              <c:pt idx="9">
                <c:v>Octobre</c:v>
              </c:pt>
              <c:pt idx="10">
                <c:v>Novembre</c:v>
              </c:pt>
              <c:pt idx="11">
                <c:v>Décembre</c:v>
              </c:pt>
            </c:strLit>
          </c:cat>
          <c:val>
            <c:numLit>
              <c:formatCode>#,##0.00_ ;\-#,##0.00\ </c:formatCode>
              <c:ptCount val="12"/>
              <c:pt idx="0">
                <c:v>0.65624691454231054</c:v>
              </c:pt>
              <c:pt idx="1">
                <c:v>0.45963253189322828</c:v>
              </c:pt>
              <c:pt idx="2">
                <c:v>0.55539871750753089</c:v>
              </c:pt>
              <c:pt idx="3">
                <c:v>0.53767376148995349</c:v>
              </c:pt>
              <c:pt idx="4">
                <c:v>0.77276454900457348</c:v>
              </c:pt>
              <c:pt idx="5">
                <c:v>0.84577831627958711</c:v>
              </c:pt>
              <c:pt idx="6">
                <c:v>1.3603652214653446</c:v>
              </c:pt>
              <c:pt idx="7">
                <c:v>1.4260497144332323</c:v>
              </c:pt>
              <c:pt idx="8">
                <c:v>1.3357128658339892</c:v>
              </c:pt>
              <c:pt idx="9">
                <c:v>1.4941495098335071</c:v>
              </c:pt>
              <c:pt idx="10">
                <c:v>1.2223653115807598</c:v>
              </c:pt>
              <c:pt idx="11">
                <c:v>1.333862586135981</c:v>
              </c:pt>
            </c:numLit>
          </c:val>
          <c:smooth val="0"/>
          <c:extLst>
            <c:ext xmlns:c16="http://schemas.microsoft.com/office/drawing/2014/chart" uri="{C3380CC4-5D6E-409C-BE32-E72D297353CC}">
              <c16:uniqueId val="{00000000-00FF-41F2-826B-7AAC98E76578}"/>
            </c:ext>
          </c:extLst>
        </c:ser>
        <c:dLbls>
          <c:showLegendKey val="0"/>
          <c:showVal val="0"/>
          <c:showCatName val="0"/>
          <c:showSerName val="0"/>
          <c:showPercent val="0"/>
          <c:showBubbleSize val="0"/>
        </c:dLbls>
        <c:marker val="1"/>
        <c:smooth val="0"/>
        <c:axId val="386941080"/>
        <c:axId val="386943040"/>
      </c:lineChart>
      <c:catAx>
        <c:axId val="386941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6943040"/>
        <c:crosses val="autoZero"/>
        <c:auto val="1"/>
        <c:lblAlgn val="ctr"/>
        <c:lblOffset val="100"/>
        <c:noMultiLvlLbl val="0"/>
      </c:catAx>
      <c:valAx>
        <c:axId val="386943040"/>
        <c:scaling>
          <c:orientation val="minMax"/>
          <c:min val="0.2"/>
        </c:scaling>
        <c:delete val="0"/>
        <c:axPos val="l"/>
        <c:majorGridlines>
          <c:spPr>
            <a:ln w="9525" cap="flat" cmpd="sng" algn="ctr">
              <a:solidFill>
                <a:schemeClr val="tx1">
                  <a:lumMod val="15000"/>
                  <a:lumOff val="85000"/>
                </a:schemeClr>
              </a:solidFill>
              <a:round/>
            </a:ln>
            <a:effectLst/>
          </c:spPr>
        </c:majorGridlines>
        <c:numFmt formatCode="#,##0.00_ ;\-#,##0.0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6941080"/>
        <c:crosses val="autoZero"/>
        <c:crossBetween val="between"/>
        <c:majorUnit val="0.4"/>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0000000000002" l="0.70000000000000062" r="0.70000000000000062" t="0.750000000000002" header="0.30000000000000032" footer="0.30000000000000032"/>
    <c:pageSetup orientation="portrait"/>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Coefficients</a:t>
            </a:r>
            <a:r>
              <a:rPr lang="en-US" b="1" baseline="0"/>
              <a:t> saisonniers du trafic de transit 2024</a:t>
            </a:r>
            <a:endParaRPr lang="en-US" b="1"/>
          </a:p>
        </c:rich>
      </c:tx>
      <c:overlay val="0"/>
      <c:spPr>
        <a:noFill/>
        <a:ln>
          <a:noFill/>
        </a:ln>
        <a:effectLst/>
      </c:spPr>
    </c:title>
    <c:autoTitleDeleted val="0"/>
    <c:plotArea>
      <c:layout/>
      <c:lineChart>
        <c:grouping val="stacked"/>
        <c:varyColors val="0"/>
        <c:ser>
          <c:idx val="0"/>
          <c:order val="0"/>
          <c:cat>
            <c:strLit>
              <c:ptCount val="12"/>
              <c:pt idx="0">
                <c:v>Janvier</c:v>
              </c:pt>
              <c:pt idx="1">
                <c:v>Février</c:v>
              </c:pt>
              <c:pt idx="2">
                <c:v>Mars</c:v>
              </c:pt>
              <c:pt idx="3">
                <c:v>Avril</c:v>
              </c:pt>
              <c:pt idx="4">
                <c:v>Mai</c:v>
              </c:pt>
              <c:pt idx="5">
                <c:v>Juin</c:v>
              </c:pt>
              <c:pt idx="6">
                <c:v>Juillet</c:v>
              </c:pt>
              <c:pt idx="7">
                <c:v>Août</c:v>
              </c:pt>
              <c:pt idx="8">
                <c:v>Septembre</c:v>
              </c:pt>
              <c:pt idx="9">
                <c:v>Octobre</c:v>
              </c:pt>
              <c:pt idx="10">
                <c:v>Novembre</c:v>
              </c:pt>
              <c:pt idx="11">
                <c:v>Décembre</c:v>
              </c:pt>
            </c:strLit>
          </c:cat>
          <c:val>
            <c:numLit>
              <c:formatCode>#,##0.00_ ;\-#,##0.00\ </c:formatCode>
              <c:ptCount val="12"/>
              <c:pt idx="0">
                <c:v>1.1145924234414337</c:v>
              </c:pt>
              <c:pt idx="1">
                <c:v>0.9510727537684206</c:v>
              </c:pt>
              <c:pt idx="2">
                <c:v>1.0584750036850494</c:v>
              </c:pt>
              <c:pt idx="3">
                <c:v>1.0323482462594697</c:v>
              </c:pt>
              <c:pt idx="4">
                <c:v>1.1279862599255335</c:v>
              </c:pt>
              <c:pt idx="5">
                <c:v>0.79578240445954496</c:v>
              </c:pt>
              <c:pt idx="6">
                <c:v>1.0273067273932066</c:v>
              </c:pt>
              <c:pt idx="7">
                <c:v>0.86477317487961858</c:v>
              </c:pt>
              <c:pt idx="8">
                <c:v>1.0391409400577478</c:v>
              </c:pt>
              <c:pt idx="9">
                <c:v>1.0408179289995161</c:v>
              </c:pt>
              <c:pt idx="10">
                <c:v>0.943716943243888</c:v>
              </c:pt>
              <c:pt idx="11">
                <c:v>1.0039871938865705</c:v>
              </c:pt>
            </c:numLit>
          </c:val>
          <c:smooth val="0"/>
          <c:extLst>
            <c:ext xmlns:c16="http://schemas.microsoft.com/office/drawing/2014/chart" uri="{C3380CC4-5D6E-409C-BE32-E72D297353CC}">
              <c16:uniqueId val="{00000000-06C3-4A16-B23F-F7569728420B}"/>
            </c:ext>
          </c:extLst>
        </c:ser>
        <c:dLbls>
          <c:showLegendKey val="0"/>
          <c:showVal val="0"/>
          <c:showCatName val="0"/>
          <c:showSerName val="0"/>
          <c:showPercent val="0"/>
          <c:showBubbleSize val="0"/>
        </c:dLbls>
        <c:marker val="1"/>
        <c:smooth val="0"/>
        <c:axId val="386941080"/>
        <c:axId val="386943040"/>
      </c:lineChart>
      <c:catAx>
        <c:axId val="386941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6943040"/>
        <c:crosses val="autoZero"/>
        <c:auto val="1"/>
        <c:lblAlgn val="ctr"/>
        <c:lblOffset val="100"/>
        <c:noMultiLvlLbl val="0"/>
      </c:catAx>
      <c:valAx>
        <c:axId val="386943040"/>
        <c:scaling>
          <c:orientation val="minMax"/>
          <c:min val="0.70000000000000007"/>
        </c:scaling>
        <c:delete val="0"/>
        <c:axPos val="l"/>
        <c:majorGridlines>
          <c:spPr>
            <a:ln w="9525" cap="flat" cmpd="sng" algn="ctr">
              <a:solidFill>
                <a:schemeClr val="tx1">
                  <a:lumMod val="15000"/>
                  <a:lumOff val="85000"/>
                </a:schemeClr>
              </a:solidFill>
              <a:round/>
            </a:ln>
            <a:effectLst/>
          </c:spPr>
        </c:majorGridlines>
        <c:numFmt formatCode="#,##0.00_ ;\-#,##0.0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6941080"/>
        <c:crosses val="autoZero"/>
        <c:crossBetween val="between"/>
        <c:majorUnit val="0.2"/>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0000000000002" l="0.70000000000000062" r="0.70000000000000062" t="0.750000000000002" header="0.30000000000000032" footer="0.30000000000000032"/>
    <c:pageSetup orientation="portrait"/>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Coefficients</a:t>
            </a:r>
            <a:r>
              <a:rPr lang="en-US" b="1" baseline="0"/>
              <a:t> saisonniers du trafic total de conteneurs 2024</a:t>
            </a:r>
            <a:endParaRPr lang="en-US" b="1"/>
          </a:p>
        </c:rich>
      </c:tx>
      <c:overlay val="0"/>
      <c:spPr>
        <a:noFill/>
        <a:ln>
          <a:noFill/>
        </a:ln>
        <a:effectLst/>
      </c:spPr>
    </c:title>
    <c:autoTitleDeleted val="0"/>
    <c:plotArea>
      <c:layout/>
      <c:lineChart>
        <c:grouping val="stacked"/>
        <c:varyColors val="0"/>
        <c:ser>
          <c:idx val="0"/>
          <c:order val="0"/>
          <c:cat>
            <c:strLit>
              <c:ptCount val="12"/>
              <c:pt idx="0">
                <c:v>Janvier</c:v>
              </c:pt>
              <c:pt idx="1">
                <c:v>Février</c:v>
              </c:pt>
              <c:pt idx="2">
                <c:v>Mars</c:v>
              </c:pt>
              <c:pt idx="3">
                <c:v>Avril</c:v>
              </c:pt>
              <c:pt idx="4">
                <c:v>Mai</c:v>
              </c:pt>
              <c:pt idx="5">
                <c:v>Juin</c:v>
              </c:pt>
              <c:pt idx="6">
                <c:v>Juillet</c:v>
              </c:pt>
              <c:pt idx="7">
                <c:v>Août</c:v>
              </c:pt>
              <c:pt idx="8">
                <c:v>Septembre</c:v>
              </c:pt>
              <c:pt idx="9">
                <c:v>Octobre</c:v>
              </c:pt>
              <c:pt idx="10">
                <c:v>Novembre</c:v>
              </c:pt>
              <c:pt idx="11">
                <c:v>Décembre</c:v>
              </c:pt>
            </c:strLit>
          </c:cat>
          <c:val>
            <c:numLit>
              <c:formatCode>#,##0.00_ ;\-#,##0.00\ </c:formatCode>
              <c:ptCount val="12"/>
              <c:pt idx="0">
                <c:v>0.88708720467321911</c:v>
              </c:pt>
              <c:pt idx="1">
                <c:v>0.83469595775539129</c:v>
              </c:pt>
              <c:pt idx="2">
                <c:v>0.95320009979547438</c:v>
              </c:pt>
              <c:pt idx="3">
                <c:v>0.95058081287407525</c:v>
              </c:pt>
              <c:pt idx="4">
                <c:v>1.0115763209301269</c:v>
              </c:pt>
              <c:pt idx="5">
                <c:v>1.0321367592773871</c:v>
              </c:pt>
              <c:pt idx="6">
                <c:v>1.0902706068588501</c:v>
              </c:pt>
              <c:pt idx="7">
                <c:v>1.0529120287286107</c:v>
              </c:pt>
              <c:pt idx="8">
                <c:v>1.0329905752033952</c:v>
              </c:pt>
              <c:pt idx="9">
                <c:v>1.0995909716769519</c:v>
              </c:pt>
              <c:pt idx="10">
                <c:v>0.99163283344553066</c:v>
              </c:pt>
              <c:pt idx="11">
                <c:v>1.0633258287809872</c:v>
              </c:pt>
            </c:numLit>
          </c:val>
          <c:smooth val="0"/>
          <c:extLst>
            <c:ext xmlns:c16="http://schemas.microsoft.com/office/drawing/2014/chart" uri="{C3380CC4-5D6E-409C-BE32-E72D297353CC}">
              <c16:uniqueId val="{00000000-9263-4509-BD8A-E70198D6FA92}"/>
            </c:ext>
          </c:extLst>
        </c:ser>
        <c:dLbls>
          <c:showLegendKey val="0"/>
          <c:showVal val="0"/>
          <c:showCatName val="0"/>
          <c:showSerName val="0"/>
          <c:showPercent val="0"/>
          <c:showBubbleSize val="0"/>
        </c:dLbls>
        <c:marker val="1"/>
        <c:smooth val="0"/>
        <c:axId val="386941080"/>
        <c:axId val="386943040"/>
      </c:lineChart>
      <c:catAx>
        <c:axId val="386941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6943040"/>
        <c:crosses val="autoZero"/>
        <c:auto val="1"/>
        <c:lblAlgn val="ctr"/>
        <c:lblOffset val="100"/>
        <c:noMultiLvlLbl val="0"/>
      </c:catAx>
      <c:valAx>
        <c:axId val="386943040"/>
        <c:scaling>
          <c:orientation val="minMax"/>
          <c:max val="1.1000000000000001"/>
          <c:min val="0.70000000000000007"/>
        </c:scaling>
        <c:delete val="0"/>
        <c:axPos val="l"/>
        <c:majorGridlines>
          <c:spPr>
            <a:ln w="9525" cap="flat" cmpd="sng" algn="ctr">
              <a:solidFill>
                <a:schemeClr val="tx1">
                  <a:lumMod val="15000"/>
                  <a:lumOff val="85000"/>
                </a:schemeClr>
              </a:solidFill>
              <a:round/>
            </a:ln>
            <a:effectLst/>
          </c:spPr>
        </c:majorGridlines>
        <c:numFmt formatCode="#,##0.00_ ;\-#,##0.0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6941080"/>
        <c:crosses val="autoZero"/>
        <c:crossBetween val="between"/>
        <c:majorUnit val="0.1"/>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0000000000002" l="0.70000000000000062" r="0.70000000000000062" t="0.750000000000002" header="0.30000000000000032" footer="0.30000000000000032"/>
    <c:pageSetup orientation="portrait"/>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Coefficients</a:t>
            </a:r>
            <a:r>
              <a:rPr lang="en-US" b="1" baseline="0"/>
              <a:t> saisonniers du trafic de conteneurs transbordés 2024</a:t>
            </a:r>
            <a:endParaRPr lang="en-US" b="1"/>
          </a:p>
        </c:rich>
      </c:tx>
      <c:overlay val="0"/>
      <c:spPr>
        <a:noFill/>
        <a:ln>
          <a:noFill/>
        </a:ln>
        <a:effectLst/>
      </c:spPr>
    </c:title>
    <c:autoTitleDeleted val="0"/>
    <c:plotArea>
      <c:layout>
        <c:manualLayout>
          <c:layoutTarget val="inner"/>
          <c:xMode val="edge"/>
          <c:yMode val="edge"/>
          <c:x val="5.6477760127393181E-2"/>
          <c:y val="0.17061581414509147"/>
          <c:w val="0.94352223987260686"/>
          <c:h val="0.67945989779202476"/>
        </c:manualLayout>
      </c:layout>
      <c:lineChart>
        <c:grouping val="stacked"/>
        <c:varyColors val="0"/>
        <c:ser>
          <c:idx val="0"/>
          <c:order val="0"/>
          <c:marker>
            <c:symbol val="circle"/>
            <c:size val="5"/>
            <c:spPr>
              <a:solidFill>
                <a:schemeClr val="accent1"/>
              </a:solidFill>
              <a:ln w="9525">
                <a:solidFill>
                  <a:schemeClr val="accent1"/>
                </a:solidFill>
              </a:ln>
              <a:effectLst/>
            </c:spPr>
          </c:marker>
          <c:cat>
            <c:strRef>
              <c:f>[1]Coefficients_saisonniers!$C$185:$N$185</c:f>
              <c:strCache>
                <c:ptCount val="12"/>
                <c:pt idx="0">
                  <c:v>Janvier</c:v>
                </c:pt>
                <c:pt idx="1">
                  <c:v>Février</c:v>
                </c:pt>
                <c:pt idx="2">
                  <c:v>Mars</c:v>
                </c:pt>
                <c:pt idx="3">
                  <c:v>Avril</c:v>
                </c:pt>
                <c:pt idx="4">
                  <c:v>Mai</c:v>
                </c:pt>
                <c:pt idx="5">
                  <c:v>Juin</c:v>
                </c:pt>
                <c:pt idx="6">
                  <c:v>Juillet</c:v>
                </c:pt>
                <c:pt idx="7">
                  <c:v>Août</c:v>
                </c:pt>
                <c:pt idx="8">
                  <c:v>Septembre</c:v>
                </c:pt>
                <c:pt idx="9">
                  <c:v>Octobre</c:v>
                </c:pt>
                <c:pt idx="10">
                  <c:v>Novembre</c:v>
                </c:pt>
                <c:pt idx="11">
                  <c:v>Décembre</c:v>
                </c:pt>
              </c:strCache>
            </c:strRef>
          </c:cat>
          <c:val>
            <c:numRef>
              <c:f>[1]Coefficients_saisonniers!$C$193:$N$193</c:f>
              <c:numCache>
                <c:formatCode>General</c:formatCode>
                <c:ptCount val="12"/>
                <c:pt idx="0">
                  <c:v>0.58723419665976573</c:v>
                </c:pt>
                <c:pt idx="1">
                  <c:v>0.67777180900185308</c:v>
                </c:pt>
                <c:pt idx="2">
                  <c:v>0.63683432220525482</c:v>
                </c:pt>
                <c:pt idx="3">
                  <c:v>0.83267079920568343</c:v>
                </c:pt>
                <c:pt idx="4">
                  <c:v>0.96004635525751914</c:v>
                </c:pt>
                <c:pt idx="5">
                  <c:v>0.94138836410606186</c:v>
                </c:pt>
                <c:pt idx="6">
                  <c:v>1.1289967828968415</c:v>
                </c:pt>
                <c:pt idx="7">
                  <c:v>1.3098257452754456</c:v>
                </c:pt>
                <c:pt idx="8">
                  <c:v>1.2259661872197107</c:v>
                </c:pt>
                <c:pt idx="9">
                  <c:v>1.2867495186416946</c:v>
                </c:pt>
                <c:pt idx="10">
                  <c:v>1.187998334107933</c:v>
                </c:pt>
                <c:pt idx="11">
                  <c:v>1.2245175854222374</c:v>
                </c:pt>
              </c:numCache>
            </c:numRef>
          </c:val>
          <c:smooth val="0"/>
          <c:extLst>
            <c:ext xmlns:c16="http://schemas.microsoft.com/office/drawing/2014/chart" uri="{C3380CC4-5D6E-409C-BE32-E72D297353CC}">
              <c16:uniqueId val="{00000000-6B2D-430B-977E-83ED4DFD7395}"/>
            </c:ext>
          </c:extLst>
        </c:ser>
        <c:dLbls>
          <c:showLegendKey val="0"/>
          <c:showVal val="0"/>
          <c:showCatName val="0"/>
          <c:showSerName val="0"/>
          <c:showPercent val="0"/>
          <c:showBubbleSize val="0"/>
        </c:dLbls>
        <c:marker val="1"/>
        <c:smooth val="0"/>
        <c:axId val="386944608"/>
        <c:axId val="386933632"/>
      </c:lineChart>
      <c:catAx>
        <c:axId val="386944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6933632"/>
        <c:crosses val="autoZero"/>
        <c:auto val="1"/>
        <c:lblAlgn val="ctr"/>
        <c:lblOffset val="100"/>
        <c:noMultiLvlLbl val="0"/>
      </c:catAx>
      <c:valAx>
        <c:axId val="386933632"/>
        <c:scaling>
          <c:orientation val="minMax"/>
          <c:max val="1.8"/>
          <c:min val="0.2"/>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6944608"/>
        <c:crosses val="autoZero"/>
        <c:crossBetween val="between"/>
        <c:majorUnit val="0.30000000000000004"/>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0000000000002" l="0.70000000000000062" r="0.70000000000000062" t="0.750000000000002" header="0.30000000000000032" footer="0.30000000000000032"/>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Coefficients</a:t>
            </a:r>
            <a:r>
              <a:rPr lang="en-US" b="1" baseline="0"/>
              <a:t> saisonniers du trafic des escales navires 2024</a:t>
            </a:r>
            <a:endParaRPr lang="en-US" b="1"/>
          </a:p>
        </c:rich>
      </c:tx>
      <c:overlay val="0"/>
      <c:spPr>
        <a:noFill/>
        <a:ln>
          <a:noFill/>
        </a:ln>
        <a:effectLst/>
      </c:spPr>
    </c:title>
    <c:autoTitleDeleted val="0"/>
    <c:plotArea>
      <c:layout/>
      <c:lineChart>
        <c:grouping val="stacke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[1]Coefficients_saisonniers!$C$5:$N$5</c:f>
              <c:strCache>
                <c:ptCount val="12"/>
                <c:pt idx="0">
                  <c:v>Janvier</c:v>
                </c:pt>
                <c:pt idx="1">
                  <c:v>Février</c:v>
                </c:pt>
                <c:pt idx="2">
                  <c:v>Mars</c:v>
                </c:pt>
                <c:pt idx="3">
                  <c:v>Avril</c:v>
                </c:pt>
                <c:pt idx="4">
                  <c:v>Mai</c:v>
                </c:pt>
                <c:pt idx="5">
                  <c:v>Juin</c:v>
                </c:pt>
                <c:pt idx="6">
                  <c:v>Juillet</c:v>
                </c:pt>
                <c:pt idx="7">
                  <c:v>Août</c:v>
                </c:pt>
                <c:pt idx="8">
                  <c:v>Septembre</c:v>
                </c:pt>
                <c:pt idx="9">
                  <c:v>Octobre</c:v>
                </c:pt>
                <c:pt idx="10">
                  <c:v>Novembre</c:v>
                </c:pt>
                <c:pt idx="11">
                  <c:v>Décembre</c:v>
                </c:pt>
              </c:strCache>
            </c:strRef>
          </c:cat>
          <c:val>
            <c:numRef>
              <c:f>[1]Coefficients_saisonniers!$C$13:$N$13</c:f>
              <c:numCache>
                <c:formatCode>General</c:formatCode>
                <c:ptCount val="12"/>
                <c:pt idx="0">
                  <c:v>1.0292573143285821</c:v>
                </c:pt>
                <c:pt idx="1">
                  <c:v>0.94323580895223791</c:v>
                </c:pt>
                <c:pt idx="2">
                  <c:v>0.9962490622655662</c:v>
                </c:pt>
                <c:pt idx="3">
                  <c:v>0.94623655913978477</c:v>
                </c:pt>
                <c:pt idx="4">
                  <c:v>0.99924981245311328</c:v>
                </c:pt>
                <c:pt idx="5">
                  <c:v>0.94223555888972232</c:v>
                </c:pt>
                <c:pt idx="6">
                  <c:v>1.0342585646411602</c:v>
                </c:pt>
                <c:pt idx="7">
                  <c:v>0.98224556139034758</c:v>
                </c:pt>
                <c:pt idx="8">
                  <c:v>1.010252563140785</c:v>
                </c:pt>
                <c:pt idx="9">
                  <c:v>1.0282570642660664</c:v>
                </c:pt>
                <c:pt idx="10">
                  <c:v>1.0092523130782696</c:v>
                </c:pt>
                <c:pt idx="11">
                  <c:v>1.0792698174543636</c:v>
                </c:pt>
              </c:numCache>
            </c:numRef>
          </c:val>
          <c:smooth val="0"/>
          <c:extLst>
            <c:ext xmlns:c16="http://schemas.microsoft.com/office/drawing/2014/chart" uri="{C3380CC4-5D6E-409C-BE32-E72D297353CC}">
              <c16:uniqueId val="{00000000-7AA8-4566-841B-A53FC2C2CABA}"/>
            </c:ext>
          </c:extLst>
        </c:ser>
        <c:dLbls>
          <c:showLegendKey val="0"/>
          <c:showVal val="0"/>
          <c:showCatName val="0"/>
          <c:showSerName val="0"/>
          <c:showPercent val="0"/>
          <c:showBubbleSize val="0"/>
        </c:dLbls>
        <c:marker val="1"/>
        <c:smooth val="0"/>
        <c:axId val="385986824"/>
        <c:axId val="385989176"/>
      </c:lineChart>
      <c:catAx>
        <c:axId val="385986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5989176"/>
        <c:crosses val="autoZero"/>
        <c:auto val="1"/>
        <c:lblAlgn val="ctr"/>
        <c:lblOffset val="100"/>
        <c:noMultiLvlLbl val="0"/>
      </c:catAx>
      <c:valAx>
        <c:axId val="385989176"/>
        <c:scaling>
          <c:orientation val="minMax"/>
          <c:min val="0.8"/>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5986824"/>
        <c:crosses val="autoZero"/>
        <c:crossBetween val="between"/>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0000000000002" l="0.70000000000000062" r="0.70000000000000062" t="0.750000000000002" header="0.30000000000000032" footer="0.3000000000000003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Coefficients</a:t>
            </a:r>
            <a:r>
              <a:rPr lang="en-US" b="1" baseline="0"/>
              <a:t> saisonniers du trafic global 2024</a:t>
            </a:r>
            <a:endParaRPr lang="en-US" b="1"/>
          </a:p>
        </c:rich>
      </c:tx>
      <c:overlay val="0"/>
      <c:spPr>
        <a:noFill/>
        <a:ln>
          <a:noFill/>
        </a:ln>
        <a:effectLst/>
      </c:spPr>
    </c:title>
    <c:autoTitleDeleted val="0"/>
    <c:plotArea>
      <c:layout/>
      <c:lineChart>
        <c:grouping val="stacked"/>
        <c:varyColors val="0"/>
        <c:ser>
          <c:idx val="0"/>
          <c:order val="0"/>
          <c:spPr>
            <a:ln w="28575" cap="rnd">
              <a:solidFill>
                <a:schemeClr val="accent1"/>
              </a:solidFill>
              <a:round/>
            </a:ln>
            <a:effectLst/>
          </c:spPr>
          <c:marker>
            <c:symbol val="circle"/>
            <c:size val="5"/>
          </c:marker>
          <c:cat>
            <c:strRef>
              <c:f>[1]Coefficients_saisonniers!$C$25:$N$25</c:f>
              <c:strCache>
                <c:ptCount val="12"/>
                <c:pt idx="0">
                  <c:v>Janvier</c:v>
                </c:pt>
                <c:pt idx="1">
                  <c:v>Février</c:v>
                </c:pt>
                <c:pt idx="2">
                  <c:v>Mars</c:v>
                </c:pt>
                <c:pt idx="3">
                  <c:v>Avril</c:v>
                </c:pt>
                <c:pt idx="4">
                  <c:v>Mai</c:v>
                </c:pt>
                <c:pt idx="5">
                  <c:v>Juin</c:v>
                </c:pt>
                <c:pt idx="6">
                  <c:v>Juillet</c:v>
                </c:pt>
                <c:pt idx="7">
                  <c:v>Août</c:v>
                </c:pt>
                <c:pt idx="8">
                  <c:v>Septembre</c:v>
                </c:pt>
                <c:pt idx="9">
                  <c:v>Octobre</c:v>
                </c:pt>
                <c:pt idx="10">
                  <c:v>Novembre</c:v>
                </c:pt>
                <c:pt idx="11">
                  <c:v>Décembre</c:v>
                </c:pt>
              </c:strCache>
            </c:strRef>
          </c:cat>
          <c:val>
            <c:numRef>
              <c:f>[1]Coefficients_saisonniers!$C$33:$N$33</c:f>
              <c:numCache>
                <c:formatCode>General</c:formatCode>
                <c:ptCount val="12"/>
                <c:pt idx="0">
                  <c:v>0.91706532573190602</c:v>
                </c:pt>
                <c:pt idx="1">
                  <c:v>0.96989460806087635</c:v>
                </c:pt>
                <c:pt idx="2">
                  <c:v>0.98019077722053427</c:v>
                </c:pt>
                <c:pt idx="3">
                  <c:v>1.013605090951484</c:v>
                </c:pt>
                <c:pt idx="4">
                  <c:v>1.0717007315636287</c:v>
                </c:pt>
                <c:pt idx="5">
                  <c:v>0.93793040784615445</c:v>
                </c:pt>
                <c:pt idx="6">
                  <c:v>1.0668442369797992</c:v>
                </c:pt>
                <c:pt idx="7">
                  <c:v>0.99035000509640525</c:v>
                </c:pt>
                <c:pt idx="8">
                  <c:v>0.97918633527955401</c:v>
                </c:pt>
                <c:pt idx="9">
                  <c:v>1.0146211602572071</c:v>
                </c:pt>
                <c:pt idx="10">
                  <c:v>1.0180422894739112</c:v>
                </c:pt>
                <c:pt idx="11">
                  <c:v>1.0405690315385399</c:v>
                </c:pt>
              </c:numCache>
            </c:numRef>
          </c:val>
          <c:smooth val="0"/>
          <c:extLst>
            <c:ext xmlns:c16="http://schemas.microsoft.com/office/drawing/2014/chart" uri="{C3380CC4-5D6E-409C-BE32-E72D297353CC}">
              <c16:uniqueId val="{00000000-9730-4AF7-BC73-945ED13BC6BB}"/>
            </c:ext>
          </c:extLst>
        </c:ser>
        <c:dLbls>
          <c:showLegendKey val="0"/>
          <c:showVal val="0"/>
          <c:showCatName val="0"/>
          <c:showSerName val="0"/>
          <c:showPercent val="0"/>
          <c:showBubbleSize val="0"/>
        </c:dLbls>
        <c:marker val="1"/>
        <c:smooth val="0"/>
        <c:axId val="385989568"/>
        <c:axId val="385986432"/>
      </c:lineChart>
      <c:catAx>
        <c:axId val="385989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5986432"/>
        <c:crosses val="autoZero"/>
        <c:auto val="1"/>
        <c:lblAlgn val="ctr"/>
        <c:lblOffset val="100"/>
        <c:noMultiLvlLbl val="0"/>
      </c:catAx>
      <c:valAx>
        <c:axId val="385986432"/>
        <c:scaling>
          <c:orientation val="minMax"/>
          <c:min val="0.70000000000000007"/>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5989568"/>
        <c:crosses val="autoZero"/>
        <c:crossBetween val="between"/>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0000000000002" l="0.70000000000000062" r="0.70000000000000062" t="0.750000000000002" header="0.30000000000000032" footer="0.30000000000000032"/>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Coefficients</a:t>
            </a:r>
            <a:r>
              <a:rPr lang="en-US" b="1" baseline="0"/>
              <a:t> saisonniers du trafic </a:t>
            </a:r>
            <a:r>
              <a:rPr lang="en-US" sz="1400" b="1" i="0" u="none" strike="noStrike" baseline="0">
                <a:effectLst/>
              </a:rPr>
              <a:t>national et transit des</a:t>
            </a:r>
            <a:r>
              <a:rPr lang="en-US" b="1" baseline="0"/>
              <a:t> produits pétroliers 2024</a:t>
            </a:r>
            <a:endParaRPr lang="en-US" b="1"/>
          </a:p>
        </c:rich>
      </c:tx>
      <c:overlay val="0"/>
      <c:spPr>
        <a:noFill/>
        <a:ln>
          <a:noFill/>
        </a:ln>
        <a:effectLst/>
      </c:spPr>
    </c:title>
    <c:autoTitleDeleted val="0"/>
    <c:plotArea>
      <c:layout/>
      <c:lineChart>
        <c:grouping val="stacke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[1]Coefficients_saisonniers!$C$45:$N$45</c:f>
              <c:strCache>
                <c:ptCount val="12"/>
                <c:pt idx="0">
                  <c:v>Janvier</c:v>
                </c:pt>
                <c:pt idx="1">
                  <c:v>Février</c:v>
                </c:pt>
                <c:pt idx="2">
                  <c:v>Mars</c:v>
                </c:pt>
                <c:pt idx="3">
                  <c:v>Avril</c:v>
                </c:pt>
                <c:pt idx="4">
                  <c:v>Mai</c:v>
                </c:pt>
                <c:pt idx="5">
                  <c:v>Juin</c:v>
                </c:pt>
                <c:pt idx="6">
                  <c:v>Juillet</c:v>
                </c:pt>
                <c:pt idx="7">
                  <c:v>Août</c:v>
                </c:pt>
                <c:pt idx="8">
                  <c:v>Septembre</c:v>
                </c:pt>
                <c:pt idx="9">
                  <c:v>Octobre</c:v>
                </c:pt>
                <c:pt idx="10">
                  <c:v>Novembre</c:v>
                </c:pt>
                <c:pt idx="11">
                  <c:v>Décembre</c:v>
                </c:pt>
              </c:strCache>
            </c:strRef>
          </c:cat>
          <c:val>
            <c:numRef>
              <c:f>[1]Coefficients_saisonniers!$C$53:$N$53</c:f>
              <c:numCache>
                <c:formatCode>General</c:formatCode>
                <c:ptCount val="12"/>
                <c:pt idx="0">
                  <c:v>0.95245149208650159</c:v>
                </c:pt>
                <c:pt idx="1">
                  <c:v>1.1595145906243365</c:v>
                </c:pt>
                <c:pt idx="2">
                  <c:v>0.95619939823121081</c:v>
                </c:pt>
                <c:pt idx="3">
                  <c:v>0.97246799032745368</c:v>
                </c:pt>
                <c:pt idx="4">
                  <c:v>1.0761330396475381</c:v>
                </c:pt>
                <c:pt idx="5">
                  <c:v>0.87252623646452343</c:v>
                </c:pt>
                <c:pt idx="6">
                  <c:v>1.0463033403548905</c:v>
                </c:pt>
                <c:pt idx="7">
                  <c:v>0.94037058674759744</c:v>
                </c:pt>
                <c:pt idx="8">
                  <c:v>1.0082900370865704</c:v>
                </c:pt>
                <c:pt idx="9">
                  <c:v>1.0341441250224015</c:v>
                </c:pt>
                <c:pt idx="10">
                  <c:v>1.0401039310711238</c:v>
                </c:pt>
                <c:pt idx="11">
                  <c:v>0.94149523233585231</c:v>
                </c:pt>
              </c:numCache>
            </c:numRef>
          </c:val>
          <c:smooth val="0"/>
          <c:extLst>
            <c:ext xmlns:c16="http://schemas.microsoft.com/office/drawing/2014/chart" uri="{C3380CC4-5D6E-409C-BE32-E72D297353CC}">
              <c16:uniqueId val="{00000000-D963-48E1-9AF0-540A31EA85C9}"/>
            </c:ext>
          </c:extLst>
        </c:ser>
        <c:dLbls>
          <c:showLegendKey val="0"/>
          <c:showVal val="0"/>
          <c:showCatName val="0"/>
          <c:showSerName val="0"/>
          <c:showPercent val="0"/>
          <c:showBubbleSize val="0"/>
        </c:dLbls>
        <c:marker val="1"/>
        <c:smooth val="0"/>
        <c:axId val="385988000"/>
        <c:axId val="386938336"/>
      </c:lineChart>
      <c:catAx>
        <c:axId val="385988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6938336"/>
        <c:crosses val="autoZero"/>
        <c:auto val="1"/>
        <c:lblAlgn val="ctr"/>
        <c:lblOffset val="100"/>
        <c:noMultiLvlLbl val="0"/>
      </c:catAx>
      <c:valAx>
        <c:axId val="386938336"/>
        <c:scaling>
          <c:orientation val="minMax"/>
          <c:min val="0.70000000000000007"/>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5988000"/>
        <c:crosses val="autoZero"/>
        <c:crossBetween val="between"/>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0000000000002" l="0.70000000000000062" r="0.70000000000000062" t="0.750000000000002" header="0.30000000000000032" footer="0.30000000000000032"/>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Coefficients</a:t>
            </a:r>
            <a:r>
              <a:rPr lang="en-US" b="1" baseline="0"/>
              <a:t> saisonniers du trafic </a:t>
            </a:r>
            <a:r>
              <a:rPr lang="en-US" sz="1400" b="1" i="0" u="none" strike="noStrike" baseline="0">
                <a:effectLst/>
              </a:rPr>
              <a:t>national et transit des</a:t>
            </a:r>
            <a:r>
              <a:rPr lang="en-US" b="1" baseline="0"/>
              <a:t> marchandises générales 2024</a:t>
            </a:r>
            <a:endParaRPr lang="en-US" b="1"/>
          </a:p>
        </c:rich>
      </c:tx>
      <c:overlay val="0"/>
      <c:spPr>
        <a:noFill/>
        <a:ln>
          <a:noFill/>
        </a:ln>
        <a:effectLst/>
      </c:spPr>
    </c:title>
    <c:autoTitleDeleted val="0"/>
    <c:plotArea>
      <c:layout>
        <c:manualLayout>
          <c:layoutTarget val="inner"/>
          <c:xMode val="edge"/>
          <c:yMode val="edge"/>
          <c:x val="2.5088211948551938E-2"/>
          <c:y val="0.3625318550365314"/>
          <c:w val="0.95598993864180604"/>
          <c:h val="0.45481622518796161"/>
        </c:manualLayout>
      </c:layout>
      <c:lineChart>
        <c:grouping val="stacked"/>
        <c:varyColors val="0"/>
        <c:ser>
          <c:idx val="0"/>
          <c:order val="0"/>
          <c:marker>
            <c:symbol val="circle"/>
            <c:size val="5"/>
            <c:spPr>
              <a:solidFill>
                <a:schemeClr val="accent1"/>
              </a:solidFill>
              <a:ln w="9525">
                <a:solidFill>
                  <a:schemeClr val="accent1"/>
                </a:solidFill>
              </a:ln>
              <a:effectLst/>
            </c:spPr>
          </c:marker>
          <c:cat>
            <c:strRef>
              <c:f>[1]Coefficients_saisonniers!$C$65:$N$65</c:f>
              <c:strCache>
                <c:ptCount val="12"/>
                <c:pt idx="0">
                  <c:v>Janvier</c:v>
                </c:pt>
                <c:pt idx="1">
                  <c:v>Février</c:v>
                </c:pt>
                <c:pt idx="2">
                  <c:v>Mars</c:v>
                </c:pt>
                <c:pt idx="3">
                  <c:v>Avril</c:v>
                </c:pt>
                <c:pt idx="4">
                  <c:v>Mai</c:v>
                </c:pt>
                <c:pt idx="5">
                  <c:v>Juin</c:v>
                </c:pt>
                <c:pt idx="6">
                  <c:v>Juillet</c:v>
                </c:pt>
                <c:pt idx="7">
                  <c:v>Août</c:v>
                </c:pt>
                <c:pt idx="8">
                  <c:v>Septembre</c:v>
                </c:pt>
                <c:pt idx="9">
                  <c:v>Octobre</c:v>
                </c:pt>
                <c:pt idx="10">
                  <c:v>Novembre</c:v>
                </c:pt>
                <c:pt idx="11">
                  <c:v>Décembre</c:v>
                </c:pt>
              </c:strCache>
            </c:strRef>
          </c:cat>
          <c:val>
            <c:numRef>
              <c:f>[1]Coefficients_saisonniers!$C$73:$N$73</c:f>
              <c:numCache>
                <c:formatCode>General</c:formatCode>
                <c:ptCount val="12"/>
                <c:pt idx="0">
                  <c:v>0.93993976019347558</c:v>
                </c:pt>
                <c:pt idx="1">
                  <c:v>0.94506510637099228</c:v>
                </c:pt>
                <c:pt idx="2">
                  <c:v>1.0399670785557622</c:v>
                </c:pt>
                <c:pt idx="3">
                  <c:v>1.0543235596058711</c:v>
                </c:pt>
                <c:pt idx="4">
                  <c:v>1.0844270620210623</c:v>
                </c:pt>
                <c:pt idx="5">
                  <c:v>0.96020530013107808</c:v>
                </c:pt>
                <c:pt idx="6">
                  <c:v>1.06455138637563</c:v>
                </c:pt>
                <c:pt idx="7">
                  <c:v>0.97446808619390757</c:v>
                </c:pt>
                <c:pt idx="8">
                  <c:v>0.93912011736749379</c:v>
                </c:pt>
                <c:pt idx="9">
                  <c:v>0.96644515156020161</c:v>
                </c:pt>
                <c:pt idx="10">
                  <c:v>0.98446005546894622</c:v>
                </c:pt>
                <c:pt idx="11">
                  <c:v>1.047027336155582</c:v>
                </c:pt>
              </c:numCache>
            </c:numRef>
          </c:val>
          <c:smooth val="0"/>
          <c:extLst>
            <c:ext xmlns:c16="http://schemas.microsoft.com/office/drawing/2014/chart" uri="{C3380CC4-5D6E-409C-BE32-E72D297353CC}">
              <c16:uniqueId val="{00000000-34C0-4352-984F-ACB53AA046C9}"/>
            </c:ext>
          </c:extLst>
        </c:ser>
        <c:dLbls>
          <c:showLegendKey val="0"/>
          <c:showVal val="0"/>
          <c:showCatName val="0"/>
          <c:showSerName val="0"/>
          <c:showPercent val="0"/>
          <c:showBubbleSize val="0"/>
        </c:dLbls>
        <c:marker val="1"/>
        <c:smooth val="0"/>
        <c:axId val="386939904"/>
        <c:axId val="386940296"/>
      </c:lineChart>
      <c:catAx>
        <c:axId val="386939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6940296"/>
        <c:crosses val="autoZero"/>
        <c:auto val="1"/>
        <c:lblAlgn val="ctr"/>
        <c:lblOffset val="100"/>
        <c:noMultiLvlLbl val="0"/>
      </c:catAx>
      <c:valAx>
        <c:axId val="386940296"/>
        <c:scaling>
          <c:orientation val="minMax"/>
          <c:min val="0.9"/>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6939904"/>
        <c:crosses val="autoZero"/>
        <c:crossBetween val="between"/>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0000000000002" l="0.70000000000000062" r="0.70000000000000062" t="0.750000000000002" header="0.30000000000000032" footer="0.30000000000000032"/>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Coefficients</a:t>
            </a:r>
            <a:r>
              <a:rPr lang="en-US" b="1" baseline="0"/>
              <a:t> saisonniers du trafic des produits de pêche sans le transbordement du Port de Commerce 2024</a:t>
            </a:r>
            <a:endParaRPr lang="en-US" b="1"/>
          </a:p>
        </c:rich>
      </c:tx>
      <c:overlay val="0"/>
      <c:spPr>
        <a:noFill/>
        <a:ln>
          <a:noFill/>
        </a:ln>
        <a:effectLst/>
      </c:spPr>
    </c:title>
    <c:autoTitleDeleted val="0"/>
    <c:plotArea>
      <c:layout>
        <c:manualLayout>
          <c:layoutTarget val="inner"/>
          <c:xMode val="edge"/>
          <c:yMode val="edge"/>
          <c:x val="2.8635297623061044E-2"/>
          <c:y val="0.32211007645355505"/>
          <c:w val="0.95773651126534531"/>
          <c:h val="0.43034735924242828"/>
        </c:manualLayout>
      </c:layout>
      <c:lineChart>
        <c:grouping val="stacke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[1]Coefficients_saisonniers!$C$85:$N$85</c:f>
              <c:strCache>
                <c:ptCount val="12"/>
                <c:pt idx="0">
                  <c:v>Janvier</c:v>
                </c:pt>
                <c:pt idx="1">
                  <c:v>Février</c:v>
                </c:pt>
                <c:pt idx="2">
                  <c:v>Mars</c:v>
                </c:pt>
                <c:pt idx="3">
                  <c:v>Avril</c:v>
                </c:pt>
                <c:pt idx="4">
                  <c:v>Mai</c:v>
                </c:pt>
                <c:pt idx="5">
                  <c:v>Juin</c:v>
                </c:pt>
                <c:pt idx="6">
                  <c:v>Juillet</c:v>
                </c:pt>
                <c:pt idx="7">
                  <c:v>Août</c:v>
                </c:pt>
                <c:pt idx="8">
                  <c:v>Septembre</c:v>
                </c:pt>
                <c:pt idx="9">
                  <c:v>Octobre</c:v>
                </c:pt>
                <c:pt idx="10">
                  <c:v>Novembre</c:v>
                </c:pt>
                <c:pt idx="11">
                  <c:v>Décembre</c:v>
                </c:pt>
              </c:strCache>
            </c:strRef>
          </c:cat>
          <c:val>
            <c:numRef>
              <c:f>[1]Coefficients_saisonniers!$C$93:$N$93</c:f>
              <c:numCache>
                <c:formatCode>General</c:formatCode>
                <c:ptCount val="12"/>
                <c:pt idx="0">
                  <c:v>1.0623248745976916</c:v>
                </c:pt>
                <c:pt idx="1">
                  <c:v>0.78547166440947058</c:v>
                </c:pt>
                <c:pt idx="2">
                  <c:v>0.86771721321354289</c:v>
                </c:pt>
                <c:pt idx="3">
                  <c:v>0.97228861858801474</c:v>
                </c:pt>
                <c:pt idx="4">
                  <c:v>1.0931855926007275</c:v>
                </c:pt>
                <c:pt idx="5">
                  <c:v>1.0030976642729286</c:v>
                </c:pt>
                <c:pt idx="6">
                  <c:v>1.0163642944788867</c:v>
                </c:pt>
                <c:pt idx="7">
                  <c:v>0.94168828259855597</c:v>
                </c:pt>
                <c:pt idx="8">
                  <c:v>0.99334893977001149</c:v>
                </c:pt>
                <c:pt idx="9">
                  <c:v>1.0287618269370848</c:v>
                </c:pt>
                <c:pt idx="10">
                  <c:v>1.07864919985893</c:v>
                </c:pt>
                <c:pt idx="11">
                  <c:v>1.1571018286741546</c:v>
                </c:pt>
              </c:numCache>
            </c:numRef>
          </c:val>
          <c:smooth val="0"/>
          <c:extLst>
            <c:ext xmlns:c16="http://schemas.microsoft.com/office/drawing/2014/chart" uri="{C3380CC4-5D6E-409C-BE32-E72D297353CC}">
              <c16:uniqueId val="{00000000-340E-48D2-9FAB-5722062DDD2E}"/>
            </c:ext>
          </c:extLst>
        </c:ser>
        <c:dLbls>
          <c:showLegendKey val="0"/>
          <c:showVal val="0"/>
          <c:showCatName val="0"/>
          <c:showSerName val="0"/>
          <c:showPercent val="0"/>
          <c:showBubbleSize val="0"/>
        </c:dLbls>
        <c:marker val="1"/>
        <c:smooth val="0"/>
        <c:axId val="386932848"/>
        <c:axId val="386945000"/>
      </c:lineChart>
      <c:catAx>
        <c:axId val="386932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6945000"/>
        <c:crosses val="autoZero"/>
        <c:auto val="1"/>
        <c:lblAlgn val="ctr"/>
        <c:lblOffset val="100"/>
        <c:noMultiLvlLbl val="0"/>
      </c:catAx>
      <c:valAx>
        <c:axId val="386945000"/>
        <c:scaling>
          <c:orientation val="minMax"/>
          <c:min val="0.60000000000000009"/>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6932848"/>
        <c:crosses val="autoZero"/>
        <c:crossBetween val="between"/>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0000000000002" l="0.70000000000000062" r="0.70000000000000062" t="0.750000000000002" header="0.30000000000000032" footer="0.30000000000000032"/>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Coefficients</a:t>
            </a:r>
            <a:r>
              <a:rPr lang="en-US" b="1" baseline="0"/>
              <a:t> saisonniers du trafic national 2024</a:t>
            </a:r>
            <a:endParaRPr lang="en-US" b="1"/>
          </a:p>
        </c:rich>
      </c:tx>
      <c:overlay val="0"/>
      <c:spPr>
        <a:noFill/>
        <a:ln>
          <a:noFill/>
        </a:ln>
        <a:effectLst/>
      </c:spPr>
    </c:title>
    <c:autoTitleDeleted val="0"/>
    <c:plotArea>
      <c:layout/>
      <c:lineChart>
        <c:grouping val="stacked"/>
        <c:varyColors val="0"/>
        <c:ser>
          <c:idx val="0"/>
          <c:order val="0"/>
          <c:cat>
            <c:strRef>
              <c:f>[1]Coefficients_saisonniers!$C$105:$N$105</c:f>
              <c:strCache>
                <c:ptCount val="12"/>
                <c:pt idx="0">
                  <c:v>Janvier</c:v>
                </c:pt>
                <c:pt idx="1">
                  <c:v>Février</c:v>
                </c:pt>
                <c:pt idx="2">
                  <c:v>Mars</c:v>
                </c:pt>
                <c:pt idx="3">
                  <c:v>Avril</c:v>
                </c:pt>
                <c:pt idx="4">
                  <c:v>Mai</c:v>
                </c:pt>
                <c:pt idx="5">
                  <c:v>Juin</c:v>
                </c:pt>
                <c:pt idx="6">
                  <c:v>Juillet</c:v>
                </c:pt>
                <c:pt idx="7">
                  <c:v>Août</c:v>
                </c:pt>
                <c:pt idx="8">
                  <c:v>Septembre</c:v>
                </c:pt>
                <c:pt idx="9">
                  <c:v>Octobre</c:v>
                </c:pt>
                <c:pt idx="10">
                  <c:v>Novembre</c:v>
                </c:pt>
                <c:pt idx="11">
                  <c:v>Décembre</c:v>
                </c:pt>
              </c:strCache>
            </c:strRef>
          </c:cat>
          <c:val>
            <c:numRef>
              <c:f>[1]Coefficients_saisonniers!$C$113:$N$113</c:f>
              <c:numCache>
                <c:formatCode>General</c:formatCode>
                <c:ptCount val="12"/>
                <c:pt idx="0">
                  <c:v>0.93668206225467299</c:v>
                </c:pt>
                <c:pt idx="1">
                  <c:v>1.001054162503443</c:v>
                </c:pt>
                <c:pt idx="2">
                  <c:v>1.0068909477303243</c:v>
                </c:pt>
                <c:pt idx="3">
                  <c:v>1.0309746039473553</c:v>
                </c:pt>
                <c:pt idx="4">
                  <c:v>1.07532210249442</c:v>
                </c:pt>
                <c:pt idx="5">
                  <c:v>0.9542600743673163</c:v>
                </c:pt>
                <c:pt idx="6">
                  <c:v>1.073383976700133</c:v>
                </c:pt>
                <c:pt idx="7">
                  <c:v>0.96701775271257695</c:v>
                </c:pt>
                <c:pt idx="8">
                  <c:v>0.94474817010893042</c:v>
                </c:pt>
                <c:pt idx="9">
                  <c:v>0.9834766617449856</c:v>
                </c:pt>
                <c:pt idx="10">
                  <c:v>1.0024417439856621</c:v>
                </c:pt>
                <c:pt idx="11">
                  <c:v>1.0237477414501797</c:v>
                </c:pt>
              </c:numCache>
            </c:numRef>
          </c:val>
          <c:smooth val="0"/>
          <c:extLst>
            <c:ext xmlns:c16="http://schemas.microsoft.com/office/drawing/2014/chart" uri="{C3380CC4-5D6E-409C-BE32-E72D297353CC}">
              <c16:uniqueId val="{00000000-328D-4F77-B30D-77339A41FCD7}"/>
            </c:ext>
          </c:extLst>
        </c:ser>
        <c:dLbls>
          <c:showLegendKey val="0"/>
          <c:showVal val="0"/>
          <c:showCatName val="0"/>
          <c:showSerName val="0"/>
          <c:showPercent val="0"/>
          <c:showBubbleSize val="0"/>
        </c:dLbls>
        <c:marker val="1"/>
        <c:smooth val="0"/>
        <c:axId val="386941080"/>
        <c:axId val="386943040"/>
      </c:lineChart>
      <c:catAx>
        <c:axId val="386941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6943040"/>
        <c:crosses val="autoZero"/>
        <c:auto val="1"/>
        <c:lblAlgn val="ctr"/>
        <c:lblOffset val="100"/>
        <c:noMultiLvlLbl val="0"/>
      </c:catAx>
      <c:valAx>
        <c:axId val="386943040"/>
        <c:scaling>
          <c:orientation val="minMax"/>
          <c:min val="0.8"/>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6941080"/>
        <c:crosses val="autoZero"/>
        <c:crossBetween val="between"/>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0000000000002" l="0.70000000000000062" r="0.70000000000000062" t="0.750000000000002" header="0.30000000000000032" footer="0.30000000000000032"/>
    <c:pageSetup orientation="portrait"/>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Coefficients</a:t>
            </a:r>
            <a:r>
              <a:rPr lang="en-US" b="1" baseline="0"/>
              <a:t> saisonniers du trafic de transbordement 2024</a:t>
            </a:r>
            <a:endParaRPr lang="en-US" b="1"/>
          </a:p>
        </c:rich>
      </c:tx>
      <c:overlay val="0"/>
      <c:spPr>
        <a:noFill/>
        <a:ln>
          <a:noFill/>
        </a:ln>
        <a:effectLst/>
      </c:spPr>
    </c:title>
    <c:autoTitleDeleted val="0"/>
    <c:plotArea>
      <c:layout/>
      <c:lineChart>
        <c:grouping val="stacked"/>
        <c:varyColors val="0"/>
        <c:ser>
          <c:idx val="0"/>
          <c:order val="0"/>
          <c:cat>
            <c:strRef>
              <c:f>[1]Coefficients_saisonniers!$C$125:$N$125</c:f>
              <c:strCache>
                <c:ptCount val="12"/>
                <c:pt idx="0">
                  <c:v>Janvier</c:v>
                </c:pt>
                <c:pt idx="1">
                  <c:v>Février</c:v>
                </c:pt>
                <c:pt idx="2">
                  <c:v>Mars</c:v>
                </c:pt>
                <c:pt idx="3">
                  <c:v>Avril</c:v>
                </c:pt>
                <c:pt idx="4">
                  <c:v>Mai</c:v>
                </c:pt>
                <c:pt idx="5">
                  <c:v>Juin</c:v>
                </c:pt>
                <c:pt idx="6">
                  <c:v>Juillet</c:v>
                </c:pt>
                <c:pt idx="7">
                  <c:v>Août</c:v>
                </c:pt>
                <c:pt idx="8">
                  <c:v>Septembre</c:v>
                </c:pt>
                <c:pt idx="9">
                  <c:v>Octobre</c:v>
                </c:pt>
                <c:pt idx="10">
                  <c:v>Novembre</c:v>
                </c:pt>
                <c:pt idx="11">
                  <c:v>Décembre</c:v>
                </c:pt>
              </c:strCache>
            </c:strRef>
          </c:cat>
          <c:val>
            <c:numRef>
              <c:f>[1]Coefficients_saisonniers!$C$133:$N$133</c:f>
              <c:numCache>
                <c:formatCode>General</c:formatCode>
                <c:ptCount val="12"/>
                <c:pt idx="0">
                  <c:v>0.63920286080739785</c:v>
                </c:pt>
                <c:pt idx="1">
                  <c:v>0.6803408868616907</c:v>
                </c:pt>
                <c:pt idx="2">
                  <c:v>0.64256869519192672</c:v>
                </c:pt>
                <c:pt idx="3">
                  <c:v>0.86055504994420773</c:v>
                </c:pt>
                <c:pt idx="4">
                  <c:v>0.9700454134912917</c:v>
                </c:pt>
                <c:pt idx="5">
                  <c:v>0.93531965715480303</c:v>
                </c:pt>
                <c:pt idx="6">
                  <c:v>1.1371911289594339</c:v>
                </c:pt>
                <c:pt idx="7">
                  <c:v>1.2505843197144635</c:v>
                </c:pt>
                <c:pt idx="8">
                  <c:v>1.169261704758167</c:v>
                </c:pt>
                <c:pt idx="9">
                  <c:v>1.3019302005791775</c:v>
                </c:pt>
                <c:pt idx="10">
                  <c:v>1.1825274683591473</c:v>
                </c:pt>
                <c:pt idx="11">
                  <c:v>1.2304726141782931</c:v>
                </c:pt>
              </c:numCache>
            </c:numRef>
          </c:val>
          <c:smooth val="0"/>
          <c:extLst>
            <c:ext xmlns:c16="http://schemas.microsoft.com/office/drawing/2014/chart" uri="{C3380CC4-5D6E-409C-BE32-E72D297353CC}">
              <c16:uniqueId val="{00000000-277E-4501-9B6F-646F2539354B}"/>
            </c:ext>
          </c:extLst>
        </c:ser>
        <c:dLbls>
          <c:showLegendKey val="0"/>
          <c:showVal val="0"/>
          <c:showCatName val="0"/>
          <c:showSerName val="0"/>
          <c:showPercent val="0"/>
          <c:showBubbleSize val="0"/>
        </c:dLbls>
        <c:marker val="1"/>
        <c:smooth val="0"/>
        <c:axId val="386941080"/>
        <c:axId val="386943040"/>
      </c:lineChart>
      <c:catAx>
        <c:axId val="386941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6943040"/>
        <c:crosses val="autoZero"/>
        <c:auto val="1"/>
        <c:lblAlgn val="ctr"/>
        <c:lblOffset val="100"/>
        <c:noMultiLvlLbl val="0"/>
      </c:catAx>
      <c:valAx>
        <c:axId val="386943040"/>
        <c:scaling>
          <c:orientation val="minMax"/>
          <c:min val="0.2"/>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6941080"/>
        <c:crosses val="autoZero"/>
        <c:crossBetween val="between"/>
        <c:majorUnit val="0.4"/>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0000000000002" l="0.70000000000000062" r="0.70000000000000062" t="0.750000000000002" header="0.30000000000000032" footer="0.30000000000000032"/>
    <c:pageSetup orientation="portrait"/>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Coefficients</a:t>
            </a:r>
            <a:r>
              <a:rPr lang="en-US" b="1" baseline="0"/>
              <a:t> saisonniers du trafic de transit 2024</a:t>
            </a:r>
            <a:endParaRPr lang="en-US" b="1"/>
          </a:p>
        </c:rich>
      </c:tx>
      <c:overlay val="0"/>
      <c:spPr>
        <a:noFill/>
        <a:ln>
          <a:noFill/>
        </a:ln>
        <a:effectLst/>
      </c:spPr>
    </c:title>
    <c:autoTitleDeleted val="0"/>
    <c:plotArea>
      <c:layout/>
      <c:lineChart>
        <c:grouping val="stacked"/>
        <c:varyColors val="0"/>
        <c:ser>
          <c:idx val="0"/>
          <c:order val="0"/>
          <c:cat>
            <c:strRef>
              <c:f>[1]Coefficients_saisonniers!$C$145:$N$145</c:f>
              <c:strCache>
                <c:ptCount val="12"/>
                <c:pt idx="0">
                  <c:v>Janvier</c:v>
                </c:pt>
                <c:pt idx="1">
                  <c:v>Février</c:v>
                </c:pt>
                <c:pt idx="2">
                  <c:v>Mars</c:v>
                </c:pt>
                <c:pt idx="3">
                  <c:v>Avril</c:v>
                </c:pt>
                <c:pt idx="4">
                  <c:v>Mai</c:v>
                </c:pt>
                <c:pt idx="5">
                  <c:v>Juin</c:v>
                </c:pt>
                <c:pt idx="6">
                  <c:v>Juillet</c:v>
                </c:pt>
                <c:pt idx="7">
                  <c:v>Août</c:v>
                </c:pt>
                <c:pt idx="8">
                  <c:v>Septembre</c:v>
                </c:pt>
                <c:pt idx="9">
                  <c:v>Octobre</c:v>
                </c:pt>
                <c:pt idx="10">
                  <c:v>Novembre</c:v>
                </c:pt>
                <c:pt idx="11">
                  <c:v>Décembre</c:v>
                </c:pt>
              </c:strCache>
            </c:strRef>
          </c:cat>
          <c:val>
            <c:numRef>
              <c:f>[1]Coefficients_saisonniers!$C$153:$N$153</c:f>
              <c:numCache>
                <c:formatCode>General</c:formatCode>
                <c:ptCount val="12"/>
                <c:pt idx="0">
                  <c:v>1.0164459690034771</c:v>
                </c:pt>
                <c:pt idx="1">
                  <c:v>0.9762498345524786</c:v>
                </c:pt>
                <c:pt idx="2">
                  <c:v>1.0749643221992153</c:v>
                </c:pt>
                <c:pt idx="3">
                  <c:v>1.0088063849114204</c:v>
                </c:pt>
                <c:pt idx="4">
                  <c:v>1.140306009893534</c:v>
                </c:pt>
                <c:pt idx="5">
                  <c:v>0.79242608809854775</c:v>
                </c:pt>
                <c:pt idx="6">
                  <c:v>0.93732335764963737</c:v>
                </c:pt>
                <c:pt idx="7">
                  <c:v>0.94226176281401475</c:v>
                </c:pt>
                <c:pt idx="8">
                  <c:v>1.1018465227160592</c:v>
                </c:pt>
                <c:pt idx="9">
                  <c:v>1.010369547238287</c:v>
                </c:pt>
                <c:pt idx="10">
                  <c:v>0.99538432669670163</c:v>
                </c:pt>
                <c:pt idx="11">
                  <c:v>1.0036158742266266</c:v>
                </c:pt>
              </c:numCache>
            </c:numRef>
          </c:val>
          <c:smooth val="0"/>
          <c:extLst>
            <c:ext xmlns:c16="http://schemas.microsoft.com/office/drawing/2014/chart" uri="{C3380CC4-5D6E-409C-BE32-E72D297353CC}">
              <c16:uniqueId val="{00000000-EB6C-46B2-BFD1-B14ACE0321E7}"/>
            </c:ext>
          </c:extLst>
        </c:ser>
        <c:dLbls>
          <c:showLegendKey val="0"/>
          <c:showVal val="0"/>
          <c:showCatName val="0"/>
          <c:showSerName val="0"/>
          <c:showPercent val="0"/>
          <c:showBubbleSize val="0"/>
        </c:dLbls>
        <c:marker val="1"/>
        <c:smooth val="0"/>
        <c:axId val="386941080"/>
        <c:axId val="386943040"/>
      </c:lineChart>
      <c:catAx>
        <c:axId val="386941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6943040"/>
        <c:crosses val="autoZero"/>
        <c:auto val="1"/>
        <c:lblAlgn val="ctr"/>
        <c:lblOffset val="100"/>
        <c:noMultiLvlLbl val="0"/>
      </c:catAx>
      <c:valAx>
        <c:axId val="386943040"/>
        <c:scaling>
          <c:orientation val="minMax"/>
          <c:min val="0.70000000000000007"/>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6941080"/>
        <c:crosses val="autoZero"/>
        <c:crossBetween val="between"/>
        <c:majorUnit val="0.2"/>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0000000000002" l="0.70000000000000062" r="0.70000000000000062" t="0.750000000000002" header="0.30000000000000032" footer="0.30000000000000032"/>
    <c:pageSetup orientation="portrait"/>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Coefficients</a:t>
            </a:r>
            <a:r>
              <a:rPr lang="en-US" b="1" baseline="0"/>
              <a:t> saisonniers du trafic total de conteneurs 2024</a:t>
            </a:r>
            <a:endParaRPr lang="en-US" b="1"/>
          </a:p>
        </c:rich>
      </c:tx>
      <c:overlay val="0"/>
      <c:spPr>
        <a:noFill/>
        <a:ln>
          <a:noFill/>
        </a:ln>
        <a:effectLst/>
      </c:spPr>
    </c:title>
    <c:autoTitleDeleted val="0"/>
    <c:plotArea>
      <c:layout/>
      <c:lineChart>
        <c:grouping val="stacked"/>
        <c:varyColors val="0"/>
        <c:ser>
          <c:idx val="0"/>
          <c:order val="0"/>
          <c:cat>
            <c:strRef>
              <c:f>[1]Coefficients_saisonniers!$C$165:$N$165</c:f>
              <c:strCache>
                <c:ptCount val="12"/>
                <c:pt idx="0">
                  <c:v>Janvier</c:v>
                </c:pt>
                <c:pt idx="1">
                  <c:v>Février</c:v>
                </c:pt>
                <c:pt idx="2">
                  <c:v>Mars</c:v>
                </c:pt>
                <c:pt idx="3">
                  <c:v>Avril</c:v>
                </c:pt>
                <c:pt idx="4">
                  <c:v>Mai</c:v>
                </c:pt>
                <c:pt idx="5">
                  <c:v>Juin</c:v>
                </c:pt>
                <c:pt idx="6">
                  <c:v>Juillet</c:v>
                </c:pt>
                <c:pt idx="7">
                  <c:v>Août</c:v>
                </c:pt>
                <c:pt idx="8">
                  <c:v>Septembre</c:v>
                </c:pt>
                <c:pt idx="9">
                  <c:v>Octobre</c:v>
                </c:pt>
                <c:pt idx="10">
                  <c:v>Novembre</c:v>
                </c:pt>
                <c:pt idx="11">
                  <c:v>Décembre</c:v>
                </c:pt>
              </c:strCache>
            </c:strRef>
          </c:cat>
          <c:val>
            <c:numRef>
              <c:f>[1]Coefficients_saisonniers!$C$173:$N$173</c:f>
              <c:numCache>
                <c:formatCode>General</c:formatCode>
                <c:ptCount val="12"/>
                <c:pt idx="0">
                  <c:v>0.87358896955231691</c:v>
                </c:pt>
                <c:pt idx="1">
                  <c:v>0.81077341045461759</c:v>
                </c:pt>
                <c:pt idx="2">
                  <c:v>0.93094893623155206</c:v>
                </c:pt>
                <c:pt idx="3">
                  <c:v>0.95084125068185432</c:v>
                </c:pt>
                <c:pt idx="4">
                  <c:v>1.0055929115990707</c:v>
                </c:pt>
                <c:pt idx="5">
                  <c:v>1.0035968521284855</c:v>
                </c:pt>
                <c:pt idx="6">
                  <c:v>1.0821988063093992</c:v>
                </c:pt>
                <c:pt idx="7">
                  <c:v>1.073431621496749</c:v>
                </c:pt>
                <c:pt idx="8">
                  <c:v>1.0053607587301998</c:v>
                </c:pt>
                <c:pt idx="9">
                  <c:v>1.1089396303913903</c:v>
                </c:pt>
                <c:pt idx="10">
                  <c:v>1.0488894216434757</c:v>
                </c:pt>
                <c:pt idx="11">
                  <c:v>1.1058374307808911</c:v>
                </c:pt>
              </c:numCache>
            </c:numRef>
          </c:val>
          <c:smooth val="0"/>
          <c:extLst>
            <c:ext xmlns:c16="http://schemas.microsoft.com/office/drawing/2014/chart" uri="{C3380CC4-5D6E-409C-BE32-E72D297353CC}">
              <c16:uniqueId val="{00000000-0EE7-4A42-99FB-FBA8ECEFF099}"/>
            </c:ext>
          </c:extLst>
        </c:ser>
        <c:dLbls>
          <c:showLegendKey val="0"/>
          <c:showVal val="0"/>
          <c:showCatName val="0"/>
          <c:showSerName val="0"/>
          <c:showPercent val="0"/>
          <c:showBubbleSize val="0"/>
        </c:dLbls>
        <c:marker val="1"/>
        <c:smooth val="0"/>
        <c:axId val="386941080"/>
        <c:axId val="386943040"/>
      </c:lineChart>
      <c:catAx>
        <c:axId val="386941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6943040"/>
        <c:crosses val="autoZero"/>
        <c:auto val="1"/>
        <c:lblAlgn val="ctr"/>
        <c:lblOffset val="100"/>
        <c:noMultiLvlLbl val="0"/>
      </c:catAx>
      <c:valAx>
        <c:axId val="386943040"/>
        <c:scaling>
          <c:orientation val="minMax"/>
          <c:max val="1.1000000000000001"/>
          <c:min val="0.70000000000000007"/>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6941080"/>
        <c:crosses val="autoZero"/>
        <c:crossBetween val="between"/>
        <c:majorUnit val="0.1"/>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0000000000002" l="0.70000000000000062" r="0.70000000000000062" t="0.750000000000002" header="0.30000000000000032" footer="0.30000000000000032"/>
    <c:pageSetup orientation="portrait"/>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Coefficients</a:t>
            </a:r>
            <a:r>
              <a:rPr lang="en-US" b="1" baseline="0"/>
              <a:t> saisonniers du trafic de conteneurs transbordés 2024</a:t>
            </a:r>
            <a:endParaRPr lang="en-US" b="1"/>
          </a:p>
        </c:rich>
      </c:tx>
      <c:overlay val="0"/>
      <c:spPr>
        <a:noFill/>
        <a:ln>
          <a:noFill/>
        </a:ln>
        <a:effectLst/>
      </c:spPr>
    </c:title>
    <c:autoTitleDeleted val="0"/>
    <c:plotArea>
      <c:layout>
        <c:manualLayout>
          <c:layoutTarget val="inner"/>
          <c:xMode val="edge"/>
          <c:yMode val="edge"/>
          <c:x val="5.6477760127393181E-2"/>
          <c:y val="0.17061581414509147"/>
          <c:w val="0.94352223987260686"/>
          <c:h val="0.67945989779202476"/>
        </c:manualLayout>
      </c:layout>
      <c:lineChart>
        <c:grouping val="stacked"/>
        <c:varyColors val="0"/>
        <c:ser>
          <c:idx val="0"/>
          <c:order val="0"/>
          <c:marker>
            <c:symbol val="circle"/>
            <c:size val="5"/>
            <c:spPr>
              <a:solidFill>
                <a:schemeClr val="accent1"/>
              </a:solidFill>
              <a:ln w="9525">
                <a:solidFill>
                  <a:schemeClr val="accent1"/>
                </a:solidFill>
              </a:ln>
              <a:effectLst/>
            </c:spPr>
          </c:marker>
          <c:cat>
            <c:strRef>
              <c:f>[2]Coefficients_saisonniers!$C$185:$N$185</c:f>
              <c:strCache>
                <c:ptCount val="12"/>
                <c:pt idx="0">
                  <c:v>Janvier</c:v>
                </c:pt>
                <c:pt idx="1">
                  <c:v>Février</c:v>
                </c:pt>
                <c:pt idx="2">
                  <c:v>Mars</c:v>
                </c:pt>
                <c:pt idx="3">
                  <c:v>Avril</c:v>
                </c:pt>
                <c:pt idx="4">
                  <c:v>Mai</c:v>
                </c:pt>
                <c:pt idx="5">
                  <c:v>Juin</c:v>
                </c:pt>
                <c:pt idx="6">
                  <c:v>Juillet</c:v>
                </c:pt>
                <c:pt idx="7">
                  <c:v>Août</c:v>
                </c:pt>
                <c:pt idx="8">
                  <c:v>Septembre</c:v>
                </c:pt>
                <c:pt idx="9">
                  <c:v>Octobre</c:v>
                </c:pt>
                <c:pt idx="10">
                  <c:v>Novembre</c:v>
                </c:pt>
                <c:pt idx="11">
                  <c:v>Décembre</c:v>
                </c:pt>
              </c:strCache>
            </c:strRef>
          </c:cat>
          <c:val>
            <c:numRef>
              <c:f>[2]Coefficients_saisonniers!$C$193:$N$193</c:f>
              <c:numCache>
                <c:formatCode>General</c:formatCode>
                <c:ptCount val="12"/>
                <c:pt idx="0">
                  <c:v>0.8125473404163478</c:v>
                </c:pt>
                <c:pt idx="1">
                  <c:v>0.88426230025065544</c:v>
                </c:pt>
                <c:pt idx="2">
                  <c:v>0.85170635692177876</c:v>
                </c:pt>
                <c:pt idx="3">
                  <c:v>0.88432535824824865</c:v>
                </c:pt>
                <c:pt idx="4">
                  <c:v>1.0649955296383846</c:v>
                </c:pt>
                <c:pt idx="5">
                  <c:v>0.94444665481076218</c:v>
                </c:pt>
                <c:pt idx="6">
                  <c:v>1.0842462354750781</c:v>
                </c:pt>
                <c:pt idx="7">
                  <c:v>1.1721671006908603</c:v>
                </c:pt>
                <c:pt idx="8">
                  <c:v>1.0250257674496117</c:v>
                </c:pt>
                <c:pt idx="9">
                  <c:v>1.0414208468238662</c:v>
                </c:pt>
                <c:pt idx="10">
                  <c:v>1.0538973220619665</c:v>
                </c:pt>
                <c:pt idx="11">
                  <c:v>1.1809591872124385</c:v>
                </c:pt>
              </c:numCache>
            </c:numRef>
          </c:val>
          <c:smooth val="0"/>
          <c:extLst>
            <c:ext xmlns:c16="http://schemas.microsoft.com/office/drawing/2014/chart" uri="{C3380CC4-5D6E-409C-BE32-E72D297353CC}">
              <c16:uniqueId val="{00000000-6948-4BB4-B3F0-4DDBE91C4F00}"/>
            </c:ext>
          </c:extLst>
        </c:ser>
        <c:dLbls>
          <c:showLegendKey val="0"/>
          <c:showVal val="0"/>
          <c:showCatName val="0"/>
          <c:showSerName val="0"/>
          <c:showPercent val="0"/>
          <c:showBubbleSize val="0"/>
        </c:dLbls>
        <c:marker val="1"/>
        <c:smooth val="0"/>
        <c:axId val="386944608"/>
        <c:axId val="386933632"/>
      </c:lineChart>
      <c:catAx>
        <c:axId val="386944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6933632"/>
        <c:crosses val="autoZero"/>
        <c:auto val="1"/>
        <c:lblAlgn val="ctr"/>
        <c:lblOffset val="100"/>
        <c:noMultiLvlLbl val="0"/>
      </c:catAx>
      <c:valAx>
        <c:axId val="386933632"/>
        <c:scaling>
          <c:orientation val="minMax"/>
          <c:max val="1.8"/>
          <c:min val="0.2"/>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6944608"/>
        <c:crosses val="autoZero"/>
        <c:crossBetween val="between"/>
        <c:majorUnit val="0.30000000000000004"/>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0000000000002" l="0.70000000000000062" r="0.70000000000000062" t="0.750000000000002" header="0.30000000000000032" footer="0.30000000000000032"/>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Coefficients</a:t>
            </a:r>
            <a:r>
              <a:rPr lang="en-US" b="1" baseline="0"/>
              <a:t> saisonniers du trafic des escales navires 2024</a:t>
            </a:r>
            <a:endParaRPr lang="en-US" b="1"/>
          </a:p>
        </c:rich>
      </c:tx>
      <c:overlay val="0"/>
      <c:spPr>
        <a:noFill/>
        <a:ln>
          <a:noFill/>
        </a:ln>
        <a:effectLst/>
      </c:spPr>
    </c:title>
    <c:autoTitleDeleted val="0"/>
    <c:plotArea>
      <c:layout/>
      <c:lineChart>
        <c:grouping val="stacke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[2]Coefficients_saisonniers!$C$5:$N$5</c:f>
              <c:strCache>
                <c:ptCount val="12"/>
                <c:pt idx="0">
                  <c:v>Janvier</c:v>
                </c:pt>
                <c:pt idx="1">
                  <c:v>Février</c:v>
                </c:pt>
                <c:pt idx="2">
                  <c:v>Mars</c:v>
                </c:pt>
                <c:pt idx="3">
                  <c:v>Avril</c:v>
                </c:pt>
                <c:pt idx="4">
                  <c:v>Mai</c:v>
                </c:pt>
                <c:pt idx="5">
                  <c:v>Juin</c:v>
                </c:pt>
                <c:pt idx="6">
                  <c:v>Juillet</c:v>
                </c:pt>
                <c:pt idx="7">
                  <c:v>Août</c:v>
                </c:pt>
                <c:pt idx="8">
                  <c:v>Septembre</c:v>
                </c:pt>
                <c:pt idx="9">
                  <c:v>Octobre</c:v>
                </c:pt>
                <c:pt idx="10">
                  <c:v>Novembre</c:v>
                </c:pt>
                <c:pt idx="11">
                  <c:v>Décembre</c:v>
                </c:pt>
              </c:strCache>
            </c:strRef>
          </c:cat>
          <c:val>
            <c:numRef>
              <c:f>[2]Coefficients_saisonniers!$C$13:$N$13</c:f>
              <c:numCache>
                <c:formatCode>General</c:formatCode>
                <c:ptCount val="12"/>
                <c:pt idx="0">
                  <c:v>1.0238248551191242</c:v>
                </c:pt>
                <c:pt idx="1">
                  <c:v>0.94558918222794586</c:v>
                </c:pt>
                <c:pt idx="2">
                  <c:v>0.98615582743077901</c:v>
                </c:pt>
                <c:pt idx="3">
                  <c:v>0.98036059240180284</c:v>
                </c:pt>
                <c:pt idx="4">
                  <c:v>1.0267224726336122</c:v>
                </c:pt>
                <c:pt idx="5">
                  <c:v>0.94075981970379907</c:v>
                </c:pt>
                <c:pt idx="6">
                  <c:v>1.0238248551191242</c:v>
                </c:pt>
                <c:pt idx="7">
                  <c:v>0.97263361236316792</c:v>
                </c:pt>
                <c:pt idx="8">
                  <c:v>0.97456535737282668</c:v>
                </c:pt>
                <c:pt idx="9">
                  <c:v>1.0209272376046361</c:v>
                </c:pt>
                <c:pt idx="10">
                  <c:v>1.0228589826142949</c:v>
                </c:pt>
                <c:pt idx="11">
                  <c:v>1.0817772054088859</c:v>
                </c:pt>
              </c:numCache>
            </c:numRef>
          </c:val>
          <c:smooth val="0"/>
          <c:extLst>
            <c:ext xmlns:c16="http://schemas.microsoft.com/office/drawing/2014/chart" uri="{C3380CC4-5D6E-409C-BE32-E72D297353CC}">
              <c16:uniqueId val="{00000000-35F5-4BE2-9AA1-6EBB2540AAB5}"/>
            </c:ext>
          </c:extLst>
        </c:ser>
        <c:dLbls>
          <c:showLegendKey val="0"/>
          <c:showVal val="0"/>
          <c:showCatName val="0"/>
          <c:showSerName val="0"/>
          <c:showPercent val="0"/>
          <c:showBubbleSize val="0"/>
        </c:dLbls>
        <c:marker val="1"/>
        <c:smooth val="0"/>
        <c:axId val="385986824"/>
        <c:axId val="385989176"/>
      </c:lineChart>
      <c:catAx>
        <c:axId val="385986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5989176"/>
        <c:crosses val="autoZero"/>
        <c:auto val="1"/>
        <c:lblAlgn val="ctr"/>
        <c:lblOffset val="100"/>
        <c:noMultiLvlLbl val="0"/>
      </c:catAx>
      <c:valAx>
        <c:axId val="385989176"/>
        <c:scaling>
          <c:orientation val="minMax"/>
          <c:min val="0.8"/>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5986824"/>
        <c:crosses val="autoZero"/>
        <c:crossBetween val="between"/>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0000000000002" l="0.70000000000000062" r="0.70000000000000062" t="0.750000000000002" header="0.30000000000000032" footer="0.30000000000000032"/>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Coefficients</a:t>
            </a:r>
            <a:r>
              <a:rPr lang="en-US" b="1" baseline="0"/>
              <a:t> saisonniers du trafic global 2024</a:t>
            </a:r>
            <a:endParaRPr lang="en-US" b="1"/>
          </a:p>
        </c:rich>
      </c:tx>
      <c:overlay val="0"/>
      <c:spPr>
        <a:noFill/>
        <a:ln>
          <a:noFill/>
        </a:ln>
        <a:effectLst/>
      </c:spPr>
    </c:title>
    <c:autoTitleDeleted val="0"/>
    <c:plotArea>
      <c:layout/>
      <c:lineChart>
        <c:grouping val="stacked"/>
        <c:varyColors val="0"/>
        <c:ser>
          <c:idx val="0"/>
          <c:order val="0"/>
          <c:spPr>
            <a:ln w="28575" cap="rnd">
              <a:solidFill>
                <a:schemeClr val="accent1"/>
              </a:solidFill>
              <a:round/>
            </a:ln>
            <a:effectLst/>
          </c:spPr>
          <c:marker>
            <c:symbol val="circle"/>
            <c:size val="5"/>
          </c:marker>
          <c:cat>
            <c:strRef>
              <c:f>[2]Coefficients_saisonniers!$C$25:$N$25</c:f>
              <c:strCache>
                <c:ptCount val="12"/>
                <c:pt idx="0">
                  <c:v>Janvier</c:v>
                </c:pt>
                <c:pt idx="1">
                  <c:v>Février</c:v>
                </c:pt>
                <c:pt idx="2">
                  <c:v>Mars</c:v>
                </c:pt>
                <c:pt idx="3">
                  <c:v>Avril</c:v>
                </c:pt>
                <c:pt idx="4">
                  <c:v>Mai</c:v>
                </c:pt>
                <c:pt idx="5">
                  <c:v>Juin</c:v>
                </c:pt>
                <c:pt idx="6">
                  <c:v>Juillet</c:v>
                </c:pt>
                <c:pt idx="7">
                  <c:v>Août</c:v>
                </c:pt>
                <c:pt idx="8">
                  <c:v>Septembre</c:v>
                </c:pt>
                <c:pt idx="9">
                  <c:v>Octobre</c:v>
                </c:pt>
                <c:pt idx="10">
                  <c:v>Novembre</c:v>
                </c:pt>
                <c:pt idx="11">
                  <c:v>Décembre</c:v>
                </c:pt>
              </c:strCache>
            </c:strRef>
          </c:cat>
          <c:val>
            <c:numRef>
              <c:f>[2]Coefficients_saisonniers!$C$33:$N$33</c:f>
              <c:numCache>
                <c:formatCode>General</c:formatCode>
                <c:ptCount val="12"/>
                <c:pt idx="0">
                  <c:v>0.93227320986598805</c:v>
                </c:pt>
                <c:pt idx="1">
                  <c:v>0.9437895179699145</c:v>
                </c:pt>
                <c:pt idx="2">
                  <c:v>0.97210680774890745</c:v>
                </c:pt>
                <c:pt idx="3">
                  <c:v>1.0232585735556459</c:v>
                </c:pt>
                <c:pt idx="4">
                  <c:v>1.0711208167126134</c:v>
                </c:pt>
                <c:pt idx="5">
                  <c:v>0.94098288308481437</c:v>
                </c:pt>
                <c:pt idx="6">
                  <c:v>1.059098208124734</c:v>
                </c:pt>
                <c:pt idx="7">
                  <c:v>1.0131449835300632</c:v>
                </c:pt>
                <c:pt idx="8">
                  <c:v>0.9943016594596138</c:v>
                </c:pt>
                <c:pt idx="9">
                  <c:v>0.99456776580847184</c:v>
                </c:pt>
                <c:pt idx="10">
                  <c:v>1.0040523890688244</c:v>
                </c:pt>
                <c:pt idx="11">
                  <c:v>1.0513031850704111</c:v>
                </c:pt>
              </c:numCache>
            </c:numRef>
          </c:val>
          <c:smooth val="0"/>
          <c:extLst>
            <c:ext xmlns:c16="http://schemas.microsoft.com/office/drawing/2014/chart" uri="{C3380CC4-5D6E-409C-BE32-E72D297353CC}">
              <c16:uniqueId val="{00000000-86A2-455F-B207-A9C44EC5CFFF}"/>
            </c:ext>
          </c:extLst>
        </c:ser>
        <c:dLbls>
          <c:showLegendKey val="0"/>
          <c:showVal val="0"/>
          <c:showCatName val="0"/>
          <c:showSerName val="0"/>
          <c:showPercent val="0"/>
          <c:showBubbleSize val="0"/>
        </c:dLbls>
        <c:marker val="1"/>
        <c:smooth val="0"/>
        <c:axId val="385989568"/>
        <c:axId val="385986432"/>
      </c:lineChart>
      <c:catAx>
        <c:axId val="385989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5986432"/>
        <c:crosses val="autoZero"/>
        <c:auto val="1"/>
        <c:lblAlgn val="ctr"/>
        <c:lblOffset val="100"/>
        <c:noMultiLvlLbl val="0"/>
      </c:catAx>
      <c:valAx>
        <c:axId val="385986432"/>
        <c:scaling>
          <c:orientation val="minMax"/>
          <c:min val="0.70000000000000007"/>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5989568"/>
        <c:crosses val="autoZero"/>
        <c:crossBetween val="between"/>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0000000000002" l="0.70000000000000062" r="0.70000000000000062" t="0.750000000000002" header="0.30000000000000032" footer="0.30000000000000032"/>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Coefficients</a:t>
            </a:r>
            <a:r>
              <a:rPr lang="en-US" b="1" baseline="0"/>
              <a:t> saisonniers du trafic </a:t>
            </a:r>
            <a:r>
              <a:rPr lang="en-US" sz="1400" b="1" i="0" u="none" strike="noStrike" baseline="0">
                <a:effectLst/>
              </a:rPr>
              <a:t>national et transit des</a:t>
            </a:r>
            <a:r>
              <a:rPr lang="en-US" b="1" baseline="0"/>
              <a:t> produits pétroliers 2024</a:t>
            </a:r>
            <a:endParaRPr lang="en-US" b="1"/>
          </a:p>
        </c:rich>
      </c:tx>
      <c:overlay val="0"/>
      <c:spPr>
        <a:noFill/>
        <a:ln>
          <a:noFill/>
        </a:ln>
        <a:effectLst/>
      </c:spPr>
    </c:title>
    <c:autoTitleDeleted val="0"/>
    <c:plotArea>
      <c:layout/>
      <c:lineChart>
        <c:grouping val="stacke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[2]Coefficients_saisonniers!$C$45:$N$45</c:f>
              <c:strCache>
                <c:ptCount val="12"/>
                <c:pt idx="0">
                  <c:v>Janvier</c:v>
                </c:pt>
                <c:pt idx="1">
                  <c:v>Février</c:v>
                </c:pt>
                <c:pt idx="2">
                  <c:v>Mars</c:v>
                </c:pt>
                <c:pt idx="3">
                  <c:v>Avril</c:v>
                </c:pt>
                <c:pt idx="4">
                  <c:v>Mai</c:v>
                </c:pt>
                <c:pt idx="5">
                  <c:v>Juin</c:v>
                </c:pt>
                <c:pt idx="6">
                  <c:v>Juillet</c:v>
                </c:pt>
                <c:pt idx="7">
                  <c:v>Août</c:v>
                </c:pt>
                <c:pt idx="8">
                  <c:v>Septembre</c:v>
                </c:pt>
                <c:pt idx="9">
                  <c:v>Octobre</c:v>
                </c:pt>
                <c:pt idx="10">
                  <c:v>Novembre</c:v>
                </c:pt>
                <c:pt idx="11">
                  <c:v>Décembre</c:v>
                </c:pt>
              </c:strCache>
            </c:strRef>
          </c:cat>
          <c:val>
            <c:numRef>
              <c:f>[2]Coefficients_saisonniers!$C$53:$N$53</c:f>
              <c:numCache>
                <c:formatCode>General</c:formatCode>
                <c:ptCount val="12"/>
                <c:pt idx="0">
                  <c:v>1.03066106773288</c:v>
                </c:pt>
                <c:pt idx="1">
                  <c:v>1.0186225767209152</c:v>
                </c:pt>
                <c:pt idx="2">
                  <c:v>0.89680725884380275</c:v>
                </c:pt>
                <c:pt idx="3">
                  <c:v>1.0075040062144462</c:v>
                </c:pt>
                <c:pt idx="4">
                  <c:v>0.99065130044503447</c:v>
                </c:pt>
                <c:pt idx="5">
                  <c:v>0.91717107987740576</c:v>
                </c:pt>
                <c:pt idx="6">
                  <c:v>1.0217104871010227</c:v>
                </c:pt>
                <c:pt idx="7">
                  <c:v>1.0057368099792965</c:v>
                </c:pt>
                <c:pt idx="8">
                  <c:v>1.0616270177968765</c:v>
                </c:pt>
                <c:pt idx="9">
                  <c:v>0.99932724414517904</c:v>
                </c:pt>
                <c:pt idx="10">
                  <c:v>1.0242622288612944</c:v>
                </c:pt>
                <c:pt idx="11">
                  <c:v>1.0259189222818426</c:v>
                </c:pt>
              </c:numCache>
            </c:numRef>
          </c:val>
          <c:smooth val="0"/>
          <c:extLst>
            <c:ext xmlns:c16="http://schemas.microsoft.com/office/drawing/2014/chart" uri="{C3380CC4-5D6E-409C-BE32-E72D297353CC}">
              <c16:uniqueId val="{00000000-CBB0-4D58-840E-E97B81A4770C}"/>
            </c:ext>
          </c:extLst>
        </c:ser>
        <c:dLbls>
          <c:showLegendKey val="0"/>
          <c:showVal val="0"/>
          <c:showCatName val="0"/>
          <c:showSerName val="0"/>
          <c:showPercent val="0"/>
          <c:showBubbleSize val="0"/>
        </c:dLbls>
        <c:marker val="1"/>
        <c:smooth val="0"/>
        <c:axId val="385988000"/>
        <c:axId val="386938336"/>
      </c:lineChart>
      <c:catAx>
        <c:axId val="385988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6938336"/>
        <c:crosses val="autoZero"/>
        <c:auto val="1"/>
        <c:lblAlgn val="ctr"/>
        <c:lblOffset val="100"/>
        <c:noMultiLvlLbl val="0"/>
      </c:catAx>
      <c:valAx>
        <c:axId val="386938336"/>
        <c:scaling>
          <c:orientation val="minMax"/>
          <c:min val="0.70000000000000007"/>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5988000"/>
        <c:crosses val="autoZero"/>
        <c:crossBetween val="between"/>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0000000000002" l="0.70000000000000062" r="0.70000000000000062" t="0.750000000000002" header="0.30000000000000032" footer="0.30000000000000032"/>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Coefficients</a:t>
            </a:r>
            <a:r>
              <a:rPr lang="en-US" b="1" baseline="0"/>
              <a:t> saisonniers du trafic </a:t>
            </a:r>
            <a:r>
              <a:rPr lang="en-US" sz="1400" b="1" i="0" u="none" strike="noStrike" baseline="0">
                <a:effectLst/>
              </a:rPr>
              <a:t>national et transit des</a:t>
            </a:r>
            <a:r>
              <a:rPr lang="en-US" b="1" baseline="0"/>
              <a:t> marchandises générales 2024</a:t>
            </a:r>
            <a:endParaRPr lang="en-US" b="1"/>
          </a:p>
        </c:rich>
      </c:tx>
      <c:overlay val="0"/>
      <c:spPr>
        <a:noFill/>
        <a:ln>
          <a:noFill/>
        </a:ln>
        <a:effectLst/>
      </c:spPr>
    </c:title>
    <c:autoTitleDeleted val="0"/>
    <c:plotArea>
      <c:layout>
        <c:manualLayout>
          <c:layoutTarget val="inner"/>
          <c:xMode val="edge"/>
          <c:yMode val="edge"/>
          <c:x val="2.5088211948551938E-2"/>
          <c:y val="0.3625318550365314"/>
          <c:w val="0.95598993864180604"/>
          <c:h val="0.45481622518796161"/>
        </c:manualLayout>
      </c:layout>
      <c:lineChart>
        <c:grouping val="stacked"/>
        <c:varyColors val="0"/>
        <c:ser>
          <c:idx val="0"/>
          <c:order val="0"/>
          <c:marker>
            <c:symbol val="circle"/>
            <c:size val="5"/>
            <c:spPr>
              <a:solidFill>
                <a:schemeClr val="accent1"/>
              </a:solidFill>
              <a:ln w="9525">
                <a:solidFill>
                  <a:schemeClr val="accent1"/>
                </a:solidFill>
              </a:ln>
              <a:effectLst/>
            </c:spPr>
          </c:marker>
          <c:cat>
            <c:strRef>
              <c:f>[2]Coefficients_saisonniers!$C$65:$N$65</c:f>
              <c:strCache>
                <c:ptCount val="12"/>
                <c:pt idx="0">
                  <c:v>Janvier</c:v>
                </c:pt>
                <c:pt idx="1">
                  <c:v>Février</c:v>
                </c:pt>
                <c:pt idx="2">
                  <c:v>Mars</c:v>
                </c:pt>
                <c:pt idx="3">
                  <c:v>Avril</c:v>
                </c:pt>
                <c:pt idx="4">
                  <c:v>Mai</c:v>
                </c:pt>
                <c:pt idx="5">
                  <c:v>Juin</c:v>
                </c:pt>
                <c:pt idx="6">
                  <c:v>Juillet</c:v>
                </c:pt>
                <c:pt idx="7">
                  <c:v>Août</c:v>
                </c:pt>
                <c:pt idx="8">
                  <c:v>Septembre</c:v>
                </c:pt>
                <c:pt idx="9">
                  <c:v>Octobre</c:v>
                </c:pt>
                <c:pt idx="10">
                  <c:v>Novembre</c:v>
                </c:pt>
                <c:pt idx="11">
                  <c:v>Décembre</c:v>
                </c:pt>
              </c:strCache>
            </c:strRef>
          </c:cat>
          <c:val>
            <c:numRef>
              <c:f>[2]Coefficients_saisonniers!$C$73:$N$73</c:f>
              <c:numCache>
                <c:formatCode>General</c:formatCode>
                <c:ptCount val="12"/>
                <c:pt idx="0">
                  <c:v>0.91075155976033484</c:v>
                </c:pt>
                <c:pt idx="1">
                  <c:v>0.93119510894600244</c:v>
                </c:pt>
                <c:pt idx="2">
                  <c:v>1.0269716184811826</c:v>
                </c:pt>
                <c:pt idx="3">
                  <c:v>1.0579559340482005</c:v>
                </c:pt>
                <c:pt idx="4">
                  <c:v>1.1000160628411073</c:v>
                </c:pt>
                <c:pt idx="5">
                  <c:v>0.94752166429759543</c:v>
                </c:pt>
                <c:pt idx="6">
                  <c:v>1.068621527966336</c:v>
                </c:pt>
                <c:pt idx="7">
                  <c:v>0.99377887722533231</c:v>
                </c:pt>
                <c:pt idx="8">
                  <c:v>0.96538927185316559</c:v>
                </c:pt>
                <c:pt idx="9">
                  <c:v>0.97742390096262455</c:v>
                </c:pt>
                <c:pt idx="10">
                  <c:v>0.98398493927767416</c:v>
                </c:pt>
                <c:pt idx="11">
                  <c:v>1.0363895343404448</c:v>
                </c:pt>
              </c:numCache>
            </c:numRef>
          </c:val>
          <c:smooth val="0"/>
          <c:extLst>
            <c:ext xmlns:c16="http://schemas.microsoft.com/office/drawing/2014/chart" uri="{C3380CC4-5D6E-409C-BE32-E72D297353CC}">
              <c16:uniqueId val="{00000000-C833-4B36-BB7A-FFEECDC831ED}"/>
            </c:ext>
          </c:extLst>
        </c:ser>
        <c:dLbls>
          <c:showLegendKey val="0"/>
          <c:showVal val="0"/>
          <c:showCatName val="0"/>
          <c:showSerName val="0"/>
          <c:showPercent val="0"/>
          <c:showBubbleSize val="0"/>
        </c:dLbls>
        <c:marker val="1"/>
        <c:smooth val="0"/>
        <c:axId val="386939904"/>
        <c:axId val="386940296"/>
      </c:lineChart>
      <c:catAx>
        <c:axId val="386939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6940296"/>
        <c:crosses val="autoZero"/>
        <c:auto val="1"/>
        <c:lblAlgn val="ctr"/>
        <c:lblOffset val="100"/>
        <c:noMultiLvlLbl val="0"/>
      </c:catAx>
      <c:valAx>
        <c:axId val="386940296"/>
        <c:scaling>
          <c:orientation val="minMax"/>
          <c:min val="0.9"/>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6939904"/>
        <c:crosses val="autoZero"/>
        <c:crossBetween val="between"/>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0000000000002" l="0.70000000000000062" r="0.70000000000000062" t="0.750000000000002" header="0.30000000000000032" footer="0.30000000000000032"/>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Coefficients</a:t>
            </a:r>
            <a:r>
              <a:rPr lang="en-US" b="1" baseline="0"/>
              <a:t> saisonniers du trafic des produits de pêche sans le transbordement du Port de Commerce 2024</a:t>
            </a:r>
            <a:endParaRPr lang="en-US" b="1"/>
          </a:p>
        </c:rich>
      </c:tx>
      <c:overlay val="0"/>
      <c:spPr>
        <a:noFill/>
        <a:ln>
          <a:noFill/>
        </a:ln>
        <a:effectLst/>
      </c:spPr>
    </c:title>
    <c:autoTitleDeleted val="0"/>
    <c:plotArea>
      <c:layout>
        <c:manualLayout>
          <c:layoutTarget val="inner"/>
          <c:xMode val="edge"/>
          <c:yMode val="edge"/>
          <c:x val="2.8635297623061044E-2"/>
          <c:y val="0.32211007645355505"/>
          <c:w val="0.95773651126534531"/>
          <c:h val="0.43034735924242828"/>
        </c:manualLayout>
      </c:layout>
      <c:lineChart>
        <c:grouping val="stacke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[2]Coefficients_saisonniers!$C$85:$N$85</c:f>
              <c:strCache>
                <c:ptCount val="12"/>
                <c:pt idx="0">
                  <c:v>Janvier</c:v>
                </c:pt>
                <c:pt idx="1">
                  <c:v>Février</c:v>
                </c:pt>
                <c:pt idx="2">
                  <c:v>Mars</c:v>
                </c:pt>
                <c:pt idx="3">
                  <c:v>Avril</c:v>
                </c:pt>
                <c:pt idx="4">
                  <c:v>Mai</c:v>
                </c:pt>
                <c:pt idx="5">
                  <c:v>Juin</c:v>
                </c:pt>
                <c:pt idx="6">
                  <c:v>Juillet</c:v>
                </c:pt>
                <c:pt idx="7">
                  <c:v>Août</c:v>
                </c:pt>
                <c:pt idx="8">
                  <c:v>Septembre</c:v>
                </c:pt>
                <c:pt idx="9">
                  <c:v>Octobre</c:v>
                </c:pt>
                <c:pt idx="10">
                  <c:v>Novembre</c:v>
                </c:pt>
                <c:pt idx="11">
                  <c:v>Décembre</c:v>
                </c:pt>
              </c:strCache>
            </c:strRef>
          </c:cat>
          <c:val>
            <c:numRef>
              <c:f>[2]Coefficients_saisonniers!$C$93:$N$93</c:f>
              <c:numCache>
                <c:formatCode>General</c:formatCode>
                <c:ptCount val="12"/>
                <c:pt idx="0">
                  <c:v>1.1133250009929914</c:v>
                </c:pt>
                <c:pt idx="1">
                  <c:v>0.81068926381554351</c:v>
                </c:pt>
                <c:pt idx="2">
                  <c:v>0.84598170870703659</c:v>
                </c:pt>
                <c:pt idx="3">
                  <c:v>0.99183445526360559</c:v>
                </c:pt>
                <c:pt idx="4">
                  <c:v>1.1356642954418181</c:v>
                </c:pt>
                <c:pt idx="5">
                  <c:v>1.0223030831706923</c:v>
                </c:pt>
                <c:pt idx="6">
                  <c:v>0.94872811661687628</c:v>
                </c:pt>
                <c:pt idx="7">
                  <c:v>0.90039807968722885</c:v>
                </c:pt>
                <c:pt idx="8">
                  <c:v>0.99191759212194264</c:v>
                </c:pt>
                <c:pt idx="9">
                  <c:v>1.0405358200161334</c:v>
                </c:pt>
                <c:pt idx="10">
                  <c:v>1.0909576969648982</c:v>
                </c:pt>
                <c:pt idx="11">
                  <c:v>1.1076648872012327</c:v>
                </c:pt>
              </c:numCache>
            </c:numRef>
          </c:val>
          <c:smooth val="0"/>
          <c:extLst>
            <c:ext xmlns:c16="http://schemas.microsoft.com/office/drawing/2014/chart" uri="{C3380CC4-5D6E-409C-BE32-E72D297353CC}">
              <c16:uniqueId val="{00000000-43C9-45FC-BA39-562E714D383D}"/>
            </c:ext>
          </c:extLst>
        </c:ser>
        <c:dLbls>
          <c:showLegendKey val="0"/>
          <c:showVal val="0"/>
          <c:showCatName val="0"/>
          <c:showSerName val="0"/>
          <c:showPercent val="0"/>
          <c:showBubbleSize val="0"/>
        </c:dLbls>
        <c:marker val="1"/>
        <c:smooth val="0"/>
        <c:axId val="386932848"/>
        <c:axId val="386945000"/>
      </c:lineChart>
      <c:catAx>
        <c:axId val="386932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6945000"/>
        <c:crosses val="autoZero"/>
        <c:auto val="1"/>
        <c:lblAlgn val="ctr"/>
        <c:lblOffset val="100"/>
        <c:noMultiLvlLbl val="0"/>
      </c:catAx>
      <c:valAx>
        <c:axId val="386945000"/>
        <c:scaling>
          <c:orientation val="minMax"/>
          <c:min val="0.60000000000000009"/>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6932848"/>
        <c:crosses val="autoZero"/>
        <c:crossBetween val="between"/>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0000000000002" l="0.70000000000000062" r="0.70000000000000062" t="0.750000000000002" header="0.30000000000000032" footer="0.30000000000000032"/>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Coefficients</a:t>
            </a:r>
            <a:r>
              <a:rPr lang="en-US" b="1" baseline="0"/>
              <a:t> saisonniers du trafic national 2024</a:t>
            </a:r>
            <a:endParaRPr lang="en-US" b="1"/>
          </a:p>
        </c:rich>
      </c:tx>
      <c:overlay val="0"/>
      <c:spPr>
        <a:noFill/>
        <a:ln>
          <a:noFill/>
        </a:ln>
        <a:effectLst/>
      </c:spPr>
    </c:title>
    <c:autoTitleDeleted val="0"/>
    <c:plotArea>
      <c:layout/>
      <c:lineChart>
        <c:grouping val="stacked"/>
        <c:varyColors val="0"/>
        <c:ser>
          <c:idx val="0"/>
          <c:order val="0"/>
          <c:cat>
            <c:strRef>
              <c:f>[2]Coefficients_saisonniers!$C$105:$N$105</c:f>
              <c:strCache>
                <c:ptCount val="12"/>
                <c:pt idx="0">
                  <c:v>Janvier</c:v>
                </c:pt>
                <c:pt idx="1">
                  <c:v>Février</c:v>
                </c:pt>
                <c:pt idx="2">
                  <c:v>Mars</c:v>
                </c:pt>
                <c:pt idx="3">
                  <c:v>Avril</c:v>
                </c:pt>
                <c:pt idx="4">
                  <c:v>Mai</c:v>
                </c:pt>
                <c:pt idx="5">
                  <c:v>Juin</c:v>
                </c:pt>
                <c:pt idx="6">
                  <c:v>Juillet</c:v>
                </c:pt>
                <c:pt idx="7">
                  <c:v>Août</c:v>
                </c:pt>
                <c:pt idx="8">
                  <c:v>Septembre</c:v>
                </c:pt>
                <c:pt idx="9">
                  <c:v>Octobre</c:v>
                </c:pt>
                <c:pt idx="10">
                  <c:v>Novembre</c:v>
                </c:pt>
                <c:pt idx="11">
                  <c:v>Décembre</c:v>
                </c:pt>
              </c:strCache>
            </c:strRef>
          </c:cat>
          <c:val>
            <c:numRef>
              <c:f>[2]Coefficients_saisonniers!$C$113:$N$113</c:f>
              <c:numCache>
                <c:formatCode>General</c:formatCode>
                <c:ptCount val="12"/>
                <c:pt idx="0">
                  <c:v>0.94067090233758388</c:v>
                </c:pt>
                <c:pt idx="1">
                  <c:v>0.95335062553847671</c:v>
                </c:pt>
                <c:pt idx="2">
                  <c:v>0.98947572687715457</c:v>
                </c:pt>
                <c:pt idx="3">
                  <c:v>1.0384997292902514</c:v>
                </c:pt>
                <c:pt idx="4">
                  <c:v>1.0600970466389918</c:v>
                </c:pt>
                <c:pt idx="5">
                  <c:v>0.95785227547240492</c:v>
                </c:pt>
                <c:pt idx="6">
                  <c:v>1.0549337891383253</c:v>
                </c:pt>
                <c:pt idx="7">
                  <c:v>0.99506810823470471</c:v>
                </c:pt>
                <c:pt idx="8">
                  <c:v>0.98826467367624038</c:v>
                </c:pt>
                <c:pt idx="9">
                  <c:v>0.98036126325852191</c:v>
                </c:pt>
                <c:pt idx="10">
                  <c:v>1.0036123648715483</c:v>
                </c:pt>
                <c:pt idx="11">
                  <c:v>1.0378134946657951</c:v>
                </c:pt>
              </c:numCache>
            </c:numRef>
          </c:val>
          <c:smooth val="0"/>
          <c:extLst>
            <c:ext xmlns:c16="http://schemas.microsoft.com/office/drawing/2014/chart" uri="{C3380CC4-5D6E-409C-BE32-E72D297353CC}">
              <c16:uniqueId val="{00000000-FB00-48FA-9F20-B0C4BC86BEFD}"/>
            </c:ext>
          </c:extLst>
        </c:ser>
        <c:dLbls>
          <c:showLegendKey val="0"/>
          <c:showVal val="0"/>
          <c:showCatName val="0"/>
          <c:showSerName val="0"/>
          <c:showPercent val="0"/>
          <c:showBubbleSize val="0"/>
        </c:dLbls>
        <c:marker val="1"/>
        <c:smooth val="0"/>
        <c:axId val="386941080"/>
        <c:axId val="386943040"/>
      </c:lineChart>
      <c:catAx>
        <c:axId val="386941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6943040"/>
        <c:crosses val="autoZero"/>
        <c:auto val="1"/>
        <c:lblAlgn val="ctr"/>
        <c:lblOffset val="100"/>
        <c:noMultiLvlLbl val="0"/>
      </c:catAx>
      <c:valAx>
        <c:axId val="386943040"/>
        <c:scaling>
          <c:orientation val="minMax"/>
          <c:min val="0.8"/>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6941080"/>
        <c:crosses val="autoZero"/>
        <c:crossBetween val="between"/>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0000000000002" l="0.70000000000000062" r="0.70000000000000062" t="0.750000000000002" header="0.30000000000000032" footer="0.30000000000000032"/>
    <c:pageSetup orientation="portrait"/>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Coefficients</a:t>
            </a:r>
            <a:r>
              <a:rPr lang="en-US" b="1" baseline="0"/>
              <a:t> saisonniers du trafic de transbordement 2024</a:t>
            </a:r>
            <a:endParaRPr lang="en-US" b="1"/>
          </a:p>
        </c:rich>
      </c:tx>
      <c:overlay val="0"/>
      <c:spPr>
        <a:noFill/>
        <a:ln>
          <a:noFill/>
        </a:ln>
        <a:effectLst/>
      </c:spPr>
    </c:title>
    <c:autoTitleDeleted val="0"/>
    <c:plotArea>
      <c:layout/>
      <c:lineChart>
        <c:grouping val="stacked"/>
        <c:varyColors val="0"/>
        <c:ser>
          <c:idx val="0"/>
          <c:order val="0"/>
          <c:cat>
            <c:strRef>
              <c:f>[2]Coefficients_saisonniers!$C$125:$N$125</c:f>
              <c:strCache>
                <c:ptCount val="12"/>
                <c:pt idx="0">
                  <c:v>Janvier</c:v>
                </c:pt>
                <c:pt idx="1">
                  <c:v>Février</c:v>
                </c:pt>
                <c:pt idx="2">
                  <c:v>Mars</c:v>
                </c:pt>
                <c:pt idx="3">
                  <c:v>Avril</c:v>
                </c:pt>
                <c:pt idx="4">
                  <c:v>Mai</c:v>
                </c:pt>
                <c:pt idx="5">
                  <c:v>Juin</c:v>
                </c:pt>
                <c:pt idx="6">
                  <c:v>Juillet</c:v>
                </c:pt>
                <c:pt idx="7">
                  <c:v>Août</c:v>
                </c:pt>
                <c:pt idx="8">
                  <c:v>Septembre</c:v>
                </c:pt>
                <c:pt idx="9">
                  <c:v>Octobre</c:v>
                </c:pt>
                <c:pt idx="10">
                  <c:v>Novembre</c:v>
                </c:pt>
                <c:pt idx="11">
                  <c:v>Décembre</c:v>
                </c:pt>
              </c:strCache>
            </c:strRef>
          </c:cat>
          <c:val>
            <c:numRef>
              <c:f>[2]Coefficients_saisonniers!$C$133:$N$133</c:f>
              <c:numCache>
                <c:formatCode>General</c:formatCode>
                <c:ptCount val="12"/>
                <c:pt idx="0">
                  <c:v>0.83027082516543083</c:v>
                </c:pt>
                <c:pt idx="1">
                  <c:v>0.88244549430255503</c:v>
                </c:pt>
                <c:pt idx="2">
                  <c:v>0.86555018655009497</c:v>
                </c:pt>
                <c:pt idx="3">
                  <c:v>0.89874659142430435</c:v>
                </c:pt>
                <c:pt idx="4">
                  <c:v>1.0799137496194018</c:v>
                </c:pt>
                <c:pt idx="5">
                  <c:v>0.93821144364651454</c:v>
                </c:pt>
                <c:pt idx="6">
                  <c:v>1.0983529458894041</c:v>
                </c:pt>
                <c:pt idx="7">
                  <c:v>1.1412351056205059</c:v>
                </c:pt>
                <c:pt idx="8">
                  <c:v>0.99750677050524084</c:v>
                </c:pt>
                <c:pt idx="9">
                  <c:v>1.0585309038109245</c:v>
                </c:pt>
                <c:pt idx="10">
                  <c:v>1.0447479338426933</c:v>
                </c:pt>
                <c:pt idx="11">
                  <c:v>1.1644880496229328</c:v>
                </c:pt>
              </c:numCache>
            </c:numRef>
          </c:val>
          <c:smooth val="0"/>
          <c:extLst>
            <c:ext xmlns:c16="http://schemas.microsoft.com/office/drawing/2014/chart" uri="{C3380CC4-5D6E-409C-BE32-E72D297353CC}">
              <c16:uniqueId val="{00000000-7588-42BC-A6C0-82B84B3461C5}"/>
            </c:ext>
          </c:extLst>
        </c:ser>
        <c:dLbls>
          <c:showLegendKey val="0"/>
          <c:showVal val="0"/>
          <c:showCatName val="0"/>
          <c:showSerName val="0"/>
          <c:showPercent val="0"/>
          <c:showBubbleSize val="0"/>
        </c:dLbls>
        <c:marker val="1"/>
        <c:smooth val="0"/>
        <c:axId val="386941080"/>
        <c:axId val="386943040"/>
      </c:lineChart>
      <c:catAx>
        <c:axId val="386941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6943040"/>
        <c:crosses val="autoZero"/>
        <c:auto val="1"/>
        <c:lblAlgn val="ctr"/>
        <c:lblOffset val="100"/>
        <c:noMultiLvlLbl val="0"/>
      </c:catAx>
      <c:valAx>
        <c:axId val="386943040"/>
        <c:scaling>
          <c:orientation val="minMax"/>
          <c:min val="0.2"/>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6941080"/>
        <c:crosses val="autoZero"/>
        <c:crossBetween val="between"/>
        <c:majorUnit val="0.4"/>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0000000000002" l="0.70000000000000062" r="0.70000000000000062" t="0.750000000000002" header="0.30000000000000032" footer="0.30000000000000032"/>
    <c:pageSetup orientation="portrait"/>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Coefficients</a:t>
            </a:r>
            <a:r>
              <a:rPr lang="en-US" b="1" baseline="0"/>
              <a:t> saisonniers du trafic de transit 2024</a:t>
            </a:r>
            <a:endParaRPr lang="en-US" b="1"/>
          </a:p>
        </c:rich>
      </c:tx>
      <c:overlay val="0"/>
      <c:spPr>
        <a:noFill/>
        <a:ln>
          <a:noFill/>
        </a:ln>
        <a:effectLst/>
      </c:spPr>
    </c:title>
    <c:autoTitleDeleted val="0"/>
    <c:plotArea>
      <c:layout/>
      <c:lineChart>
        <c:grouping val="stacked"/>
        <c:varyColors val="0"/>
        <c:ser>
          <c:idx val="0"/>
          <c:order val="0"/>
          <c:cat>
            <c:strRef>
              <c:f>[2]Coefficients_saisonniers!$C$145:$N$145</c:f>
              <c:strCache>
                <c:ptCount val="12"/>
                <c:pt idx="0">
                  <c:v>Janvier</c:v>
                </c:pt>
                <c:pt idx="1">
                  <c:v>Février</c:v>
                </c:pt>
                <c:pt idx="2">
                  <c:v>Mars</c:v>
                </c:pt>
                <c:pt idx="3">
                  <c:v>Avril</c:v>
                </c:pt>
                <c:pt idx="4">
                  <c:v>Mai</c:v>
                </c:pt>
                <c:pt idx="5">
                  <c:v>Juin</c:v>
                </c:pt>
                <c:pt idx="6">
                  <c:v>Juillet</c:v>
                </c:pt>
                <c:pt idx="7">
                  <c:v>Août</c:v>
                </c:pt>
                <c:pt idx="8">
                  <c:v>Septembre</c:v>
                </c:pt>
                <c:pt idx="9">
                  <c:v>Octobre</c:v>
                </c:pt>
                <c:pt idx="10">
                  <c:v>Novembre</c:v>
                </c:pt>
                <c:pt idx="11">
                  <c:v>Décembre</c:v>
                </c:pt>
              </c:strCache>
            </c:strRef>
          </c:cat>
          <c:val>
            <c:numRef>
              <c:f>[2]Coefficients_saisonniers!$C$153:$N$153</c:f>
              <c:numCache>
                <c:formatCode>General</c:formatCode>
                <c:ptCount val="12"/>
                <c:pt idx="0">
                  <c:v>1.0008762013159345</c:v>
                </c:pt>
                <c:pt idx="1">
                  <c:v>0.94476757614201523</c:v>
                </c:pt>
                <c:pt idx="2">
                  <c:v>0.96701062852162101</c:v>
                </c:pt>
                <c:pt idx="3">
                  <c:v>1.0624389691086056</c:v>
                </c:pt>
                <c:pt idx="4">
                  <c:v>1.1571816314186563</c:v>
                </c:pt>
                <c:pt idx="5">
                  <c:v>0.79424581509625769</c:v>
                </c:pt>
                <c:pt idx="6">
                  <c:v>1.0410251236262296</c:v>
                </c:pt>
                <c:pt idx="7">
                  <c:v>0.99424964015709394</c:v>
                </c:pt>
                <c:pt idx="8">
                  <c:v>1.0436981623197537</c:v>
                </c:pt>
                <c:pt idx="9">
                  <c:v>1.0313846560542017</c:v>
                </c:pt>
                <c:pt idx="10">
                  <c:v>0.95069333283099233</c:v>
                </c:pt>
                <c:pt idx="11">
                  <c:v>1.0124282634086377</c:v>
                </c:pt>
              </c:numCache>
            </c:numRef>
          </c:val>
          <c:smooth val="0"/>
          <c:extLst>
            <c:ext xmlns:c16="http://schemas.microsoft.com/office/drawing/2014/chart" uri="{C3380CC4-5D6E-409C-BE32-E72D297353CC}">
              <c16:uniqueId val="{00000000-9E08-41A7-82A1-C7BC250350F0}"/>
            </c:ext>
          </c:extLst>
        </c:ser>
        <c:dLbls>
          <c:showLegendKey val="0"/>
          <c:showVal val="0"/>
          <c:showCatName val="0"/>
          <c:showSerName val="0"/>
          <c:showPercent val="0"/>
          <c:showBubbleSize val="0"/>
        </c:dLbls>
        <c:marker val="1"/>
        <c:smooth val="0"/>
        <c:axId val="386941080"/>
        <c:axId val="386943040"/>
      </c:lineChart>
      <c:catAx>
        <c:axId val="386941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6943040"/>
        <c:crosses val="autoZero"/>
        <c:auto val="1"/>
        <c:lblAlgn val="ctr"/>
        <c:lblOffset val="100"/>
        <c:noMultiLvlLbl val="0"/>
      </c:catAx>
      <c:valAx>
        <c:axId val="386943040"/>
        <c:scaling>
          <c:orientation val="minMax"/>
          <c:min val="0.70000000000000007"/>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6941080"/>
        <c:crosses val="autoZero"/>
        <c:crossBetween val="between"/>
        <c:majorUnit val="0.2"/>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0000000000002" l="0.70000000000000062" r="0.70000000000000062" t="0.750000000000002" header="0.30000000000000032" footer="0.30000000000000032"/>
    <c:pageSetup orientation="portrait"/>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Coefficients</a:t>
            </a:r>
            <a:r>
              <a:rPr lang="en-US" b="1" baseline="0"/>
              <a:t> saisonniers du trafic total de conteneurs 2024</a:t>
            </a:r>
            <a:endParaRPr lang="en-US" b="1"/>
          </a:p>
        </c:rich>
      </c:tx>
      <c:overlay val="0"/>
      <c:spPr>
        <a:noFill/>
        <a:ln>
          <a:noFill/>
        </a:ln>
        <a:effectLst/>
      </c:spPr>
    </c:title>
    <c:autoTitleDeleted val="0"/>
    <c:plotArea>
      <c:layout/>
      <c:lineChart>
        <c:grouping val="stacked"/>
        <c:varyColors val="0"/>
        <c:ser>
          <c:idx val="0"/>
          <c:order val="0"/>
          <c:cat>
            <c:strRef>
              <c:f>[2]Coefficients_saisonniers!$C$165:$N$165</c:f>
              <c:strCache>
                <c:ptCount val="12"/>
                <c:pt idx="0">
                  <c:v>Janvier</c:v>
                </c:pt>
                <c:pt idx="1">
                  <c:v>Février</c:v>
                </c:pt>
                <c:pt idx="2">
                  <c:v>Mars</c:v>
                </c:pt>
                <c:pt idx="3">
                  <c:v>Avril</c:v>
                </c:pt>
                <c:pt idx="4">
                  <c:v>Mai</c:v>
                </c:pt>
                <c:pt idx="5">
                  <c:v>Juin</c:v>
                </c:pt>
                <c:pt idx="6">
                  <c:v>Juillet</c:v>
                </c:pt>
                <c:pt idx="7">
                  <c:v>Août</c:v>
                </c:pt>
                <c:pt idx="8">
                  <c:v>Septembre</c:v>
                </c:pt>
                <c:pt idx="9">
                  <c:v>Octobre</c:v>
                </c:pt>
                <c:pt idx="10">
                  <c:v>Novembre</c:v>
                </c:pt>
                <c:pt idx="11">
                  <c:v>Décembre</c:v>
                </c:pt>
              </c:strCache>
            </c:strRef>
          </c:cat>
          <c:val>
            <c:numRef>
              <c:f>[2]Coefficients_saisonniers!$C$173:$N$173</c:f>
              <c:numCache>
                <c:formatCode>General</c:formatCode>
                <c:ptCount val="12"/>
                <c:pt idx="0">
                  <c:v>0.93040910885990247</c:v>
                </c:pt>
                <c:pt idx="1">
                  <c:v>0.83840048142367174</c:v>
                </c:pt>
                <c:pt idx="2">
                  <c:v>0.95330373619294362</c:v>
                </c:pt>
                <c:pt idx="3">
                  <c:v>0.97390311445047351</c:v>
                </c:pt>
                <c:pt idx="4">
                  <c:v>1.0456286836698332</c:v>
                </c:pt>
                <c:pt idx="5">
                  <c:v>0.97526097608842299</c:v>
                </c:pt>
                <c:pt idx="6">
                  <c:v>1.0500050871591906</c:v>
                </c:pt>
                <c:pt idx="7">
                  <c:v>1.0671480903383033</c:v>
                </c:pt>
                <c:pt idx="8">
                  <c:v>0.98143500322347477</c:v>
                </c:pt>
                <c:pt idx="9">
                  <c:v>1.0698194516572808</c:v>
                </c:pt>
                <c:pt idx="10">
                  <c:v>1.0246840536606088</c:v>
                </c:pt>
                <c:pt idx="11">
                  <c:v>1.0900022132758942</c:v>
                </c:pt>
              </c:numCache>
            </c:numRef>
          </c:val>
          <c:smooth val="0"/>
          <c:extLst>
            <c:ext xmlns:c16="http://schemas.microsoft.com/office/drawing/2014/chart" uri="{C3380CC4-5D6E-409C-BE32-E72D297353CC}">
              <c16:uniqueId val="{00000000-1A54-43E1-A0FE-5892FF87A1EF}"/>
            </c:ext>
          </c:extLst>
        </c:ser>
        <c:dLbls>
          <c:showLegendKey val="0"/>
          <c:showVal val="0"/>
          <c:showCatName val="0"/>
          <c:showSerName val="0"/>
          <c:showPercent val="0"/>
          <c:showBubbleSize val="0"/>
        </c:dLbls>
        <c:marker val="1"/>
        <c:smooth val="0"/>
        <c:axId val="386941080"/>
        <c:axId val="386943040"/>
      </c:lineChart>
      <c:catAx>
        <c:axId val="386941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6943040"/>
        <c:crosses val="autoZero"/>
        <c:auto val="1"/>
        <c:lblAlgn val="ctr"/>
        <c:lblOffset val="100"/>
        <c:noMultiLvlLbl val="0"/>
      </c:catAx>
      <c:valAx>
        <c:axId val="386943040"/>
        <c:scaling>
          <c:orientation val="minMax"/>
          <c:max val="1.1000000000000001"/>
          <c:min val="0.70000000000000007"/>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6941080"/>
        <c:crosses val="autoZero"/>
        <c:crossBetween val="between"/>
        <c:majorUnit val="0.1"/>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0000000000002" l="0.70000000000000062" r="0.70000000000000062" t="0.750000000000002" header="0.30000000000000032" footer="0.30000000000000032"/>
    <c:pageSetup orientation="portrait"/>
  </c:printSettings>
</c:chartSpace>
</file>

<file path=xl/drawings/_rels/drawing1.xml.rels><?xml version="1.0" encoding="UTF-8" standalone="yes"?>
<Relationships xmlns="http://schemas.openxmlformats.org/package/2006/relationships"><Relationship Id="rId13" Type="http://schemas.openxmlformats.org/officeDocument/2006/relationships/chart" Target="../charts/chart13.xml"/><Relationship Id="rId18" Type="http://schemas.openxmlformats.org/officeDocument/2006/relationships/chart" Target="../charts/chart18.xml"/><Relationship Id="rId26" Type="http://schemas.openxmlformats.org/officeDocument/2006/relationships/chart" Target="../charts/chart26.xml"/><Relationship Id="rId39" Type="http://schemas.openxmlformats.org/officeDocument/2006/relationships/chart" Target="../charts/chart39.xml"/><Relationship Id="rId21" Type="http://schemas.openxmlformats.org/officeDocument/2006/relationships/chart" Target="../charts/chart21.xml"/><Relationship Id="rId34" Type="http://schemas.openxmlformats.org/officeDocument/2006/relationships/chart" Target="../charts/chart34.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5" Type="http://schemas.openxmlformats.org/officeDocument/2006/relationships/chart" Target="../charts/chart25.xml"/><Relationship Id="rId33" Type="http://schemas.openxmlformats.org/officeDocument/2006/relationships/chart" Target="../charts/chart33.xml"/><Relationship Id="rId38" Type="http://schemas.openxmlformats.org/officeDocument/2006/relationships/chart" Target="../charts/chart38.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29" Type="http://schemas.openxmlformats.org/officeDocument/2006/relationships/chart" Target="../charts/chart29.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24" Type="http://schemas.openxmlformats.org/officeDocument/2006/relationships/chart" Target="../charts/chart24.xml"/><Relationship Id="rId32" Type="http://schemas.openxmlformats.org/officeDocument/2006/relationships/chart" Target="../charts/chart32.xml"/><Relationship Id="rId37" Type="http://schemas.openxmlformats.org/officeDocument/2006/relationships/chart" Target="../charts/chart37.xml"/><Relationship Id="rId40" Type="http://schemas.openxmlformats.org/officeDocument/2006/relationships/chart" Target="../charts/chart40.xml"/><Relationship Id="rId5" Type="http://schemas.openxmlformats.org/officeDocument/2006/relationships/chart" Target="../charts/chart5.xml"/><Relationship Id="rId15" Type="http://schemas.openxmlformats.org/officeDocument/2006/relationships/chart" Target="../charts/chart15.xml"/><Relationship Id="rId23" Type="http://schemas.openxmlformats.org/officeDocument/2006/relationships/chart" Target="../charts/chart23.xml"/><Relationship Id="rId28" Type="http://schemas.openxmlformats.org/officeDocument/2006/relationships/chart" Target="../charts/chart28.xml"/><Relationship Id="rId36" Type="http://schemas.openxmlformats.org/officeDocument/2006/relationships/chart" Target="../charts/chart36.xml"/><Relationship Id="rId10" Type="http://schemas.openxmlformats.org/officeDocument/2006/relationships/chart" Target="../charts/chart10.xml"/><Relationship Id="rId19" Type="http://schemas.openxmlformats.org/officeDocument/2006/relationships/chart" Target="../charts/chart19.xml"/><Relationship Id="rId31" Type="http://schemas.openxmlformats.org/officeDocument/2006/relationships/chart" Target="../charts/chart31.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 Id="rId27" Type="http://schemas.openxmlformats.org/officeDocument/2006/relationships/chart" Target="../charts/chart27.xml"/><Relationship Id="rId30" Type="http://schemas.openxmlformats.org/officeDocument/2006/relationships/chart" Target="../charts/chart30.xml"/><Relationship Id="rId35" Type="http://schemas.openxmlformats.org/officeDocument/2006/relationships/chart" Target="../charts/chart35.xml"/><Relationship Id="rId8" Type="http://schemas.openxmlformats.org/officeDocument/2006/relationships/chart" Target="../charts/chart8.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xdr:col>
      <xdr:colOff>0</xdr:colOff>
      <xdr:row>194</xdr:row>
      <xdr:rowOff>49036</xdr:rowOff>
    </xdr:from>
    <xdr:to>
      <xdr:col>14</xdr:col>
      <xdr:colOff>899584</xdr:colOff>
      <xdr:row>202</xdr:row>
      <xdr:rowOff>105834</xdr:rowOff>
    </xdr:to>
    <xdr:graphicFrame macro="">
      <xdr:nvGraphicFramePr>
        <xdr:cNvPr id="2" name="Graphique 1">
          <a:extLst>
            <a:ext uri="{FF2B5EF4-FFF2-40B4-BE49-F238E27FC236}">
              <a16:creationId xmlns:a16="http://schemas.microsoft.com/office/drawing/2014/main" id="{FE40BFF4-1EC9-461A-95FD-681595C944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1034345</xdr:colOff>
      <xdr:row>14</xdr:row>
      <xdr:rowOff>20461</xdr:rowOff>
    </xdr:from>
    <xdr:to>
      <xdr:col>14</xdr:col>
      <xdr:colOff>901348</xdr:colOff>
      <xdr:row>22</xdr:row>
      <xdr:rowOff>141112</xdr:rowOff>
    </xdr:to>
    <xdr:graphicFrame macro="">
      <xdr:nvGraphicFramePr>
        <xdr:cNvPr id="3" name="Graphique 2">
          <a:extLst>
            <a:ext uri="{FF2B5EF4-FFF2-40B4-BE49-F238E27FC236}">
              <a16:creationId xmlns:a16="http://schemas.microsoft.com/office/drawing/2014/main" id="{164C7ACC-0BB5-498D-B65E-456D2C440E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1026583</xdr:colOff>
      <xdr:row>34</xdr:row>
      <xdr:rowOff>59618</xdr:rowOff>
    </xdr:from>
    <xdr:to>
      <xdr:col>15</xdr:col>
      <xdr:colOff>3175</xdr:colOff>
      <xdr:row>42</xdr:row>
      <xdr:rowOff>134055</xdr:rowOff>
    </xdr:to>
    <xdr:graphicFrame macro="">
      <xdr:nvGraphicFramePr>
        <xdr:cNvPr id="4" name="Graphique 3">
          <a:extLst>
            <a:ext uri="{FF2B5EF4-FFF2-40B4-BE49-F238E27FC236}">
              <a16:creationId xmlns:a16="http://schemas.microsoft.com/office/drawing/2014/main" id="{08E34391-318C-4010-95C1-E3CDC0119D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54</xdr:row>
      <xdr:rowOff>24696</xdr:rowOff>
    </xdr:from>
    <xdr:to>
      <xdr:col>15</xdr:col>
      <xdr:colOff>0</xdr:colOff>
      <xdr:row>62</xdr:row>
      <xdr:rowOff>141111</xdr:rowOff>
    </xdr:to>
    <xdr:graphicFrame macro="">
      <xdr:nvGraphicFramePr>
        <xdr:cNvPr id="5" name="Graphique 4">
          <a:extLst>
            <a:ext uri="{FF2B5EF4-FFF2-40B4-BE49-F238E27FC236}">
              <a16:creationId xmlns:a16="http://schemas.microsoft.com/office/drawing/2014/main" id="{EEE697FA-45D5-4D25-A3C7-9363DDC713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74</xdr:row>
      <xdr:rowOff>34924</xdr:rowOff>
    </xdr:from>
    <xdr:to>
      <xdr:col>15</xdr:col>
      <xdr:colOff>0</xdr:colOff>
      <xdr:row>82</xdr:row>
      <xdr:rowOff>137583</xdr:rowOff>
    </xdr:to>
    <xdr:graphicFrame macro="">
      <xdr:nvGraphicFramePr>
        <xdr:cNvPr id="6" name="Graphique 5">
          <a:extLst>
            <a:ext uri="{FF2B5EF4-FFF2-40B4-BE49-F238E27FC236}">
              <a16:creationId xmlns:a16="http://schemas.microsoft.com/office/drawing/2014/main" id="{6FB47496-E35A-4F79-B012-46B189382B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94</xdr:row>
      <xdr:rowOff>52917</xdr:rowOff>
    </xdr:from>
    <xdr:to>
      <xdr:col>15</xdr:col>
      <xdr:colOff>1</xdr:colOff>
      <xdr:row>102</xdr:row>
      <xdr:rowOff>98779</xdr:rowOff>
    </xdr:to>
    <xdr:graphicFrame macro="">
      <xdr:nvGraphicFramePr>
        <xdr:cNvPr id="7" name="Graphique 6">
          <a:extLst>
            <a:ext uri="{FF2B5EF4-FFF2-40B4-BE49-F238E27FC236}">
              <a16:creationId xmlns:a16="http://schemas.microsoft.com/office/drawing/2014/main" id="{36DC836A-E35F-4F54-9F2F-99A2D23585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xdr:colOff>
      <xdr:row>114</xdr:row>
      <xdr:rowOff>77257</xdr:rowOff>
    </xdr:from>
    <xdr:to>
      <xdr:col>14</xdr:col>
      <xdr:colOff>905229</xdr:colOff>
      <xdr:row>122</xdr:row>
      <xdr:rowOff>119944</xdr:rowOff>
    </xdr:to>
    <xdr:graphicFrame macro="">
      <xdr:nvGraphicFramePr>
        <xdr:cNvPr id="8" name="Graphique 7">
          <a:extLst>
            <a:ext uri="{FF2B5EF4-FFF2-40B4-BE49-F238E27FC236}">
              <a16:creationId xmlns:a16="http://schemas.microsoft.com/office/drawing/2014/main" id="{84F10AA9-59E6-4085-A461-8773C762AF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1</xdr:colOff>
      <xdr:row>134</xdr:row>
      <xdr:rowOff>52918</xdr:rowOff>
    </xdr:from>
    <xdr:to>
      <xdr:col>15</xdr:col>
      <xdr:colOff>4938</xdr:colOff>
      <xdr:row>142</xdr:row>
      <xdr:rowOff>95605</xdr:rowOff>
    </xdr:to>
    <xdr:graphicFrame macro="">
      <xdr:nvGraphicFramePr>
        <xdr:cNvPr id="9" name="Graphique 8">
          <a:extLst>
            <a:ext uri="{FF2B5EF4-FFF2-40B4-BE49-F238E27FC236}">
              <a16:creationId xmlns:a16="http://schemas.microsoft.com/office/drawing/2014/main" id="{02987B52-DF45-4FD8-97F7-980B9ADAC7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1</xdr:colOff>
      <xdr:row>154</xdr:row>
      <xdr:rowOff>74083</xdr:rowOff>
    </xdr:from>
    <xdr:to>
      <xdr:col>15</xdr:col>
      <xdr:colOff>4938</xdr:colOff>
      <xdr:row>162</xdr:row>
      <xdr:rowOff>116770</xdr:rowOff>
    </xdr:to>
    <xdr:graphicFrame macro="">
      <xdr:nvGraphicFramePr>
        <xdr:cNvPr id="10" name="Graphique 9">
          <a:extLst>
            <a:ext uri="{FF2B5EF4-FFF2-40B4-BE49-F238E27FC236}">
              <a16:creationId xmlns:a16="http://schemas.microsoft.com/office/drawing/2014/main" id="{C7087788-941C-44A2-A50A-A5B64F5D65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10583</xdr:colOff>
      <xdr:row>174</xdr:row>
      <xdr:rowOff>63500</xdr:rowOff>
    </xdr:from>
    <xdr:to>
      <xdr:col>14</xdr:col>
      <xdr:colOff>899584</xdr:colOff>
      <xdr:row>182</xdr:row>
      <xdr:rowOff>106187</xdr:rowOff>
    </xdr:to>
    <xdr:graphicFrame macro="">
      <xdr:nvGraphicFramePr>
        <xdr:cNvPr id="11" name="Graphique 10">
          <a:extLst>
            <a:ext uri="{FF2B5EF4-FFF2-40B4-BE49-F238E27FC236}">
              <a16:creationId xmlns:a16="http://schemas.microsoft.com/office/drawing/2014/main" id="{55606F0D-1366-42CE-A844-6934E7178B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0</xdr:colOff>
      <xdr:row>194</xdr:row>
      <xdr:rowOff>49036</xdr:rowOff>
    </xdr:from>
    <xdr:to>
      <xdr:col>14</xdr:col>
      <xdr:colOff>899584</xdr:colOff>
      <xdr:row>202</xdr:row>
      <xdr:rowOff>105834</xdr:rowOff>
    </xdr:to>
    <xdr:graphicFrame macro="">
      <xdr:nvGraphicFramePr>
        <xdr:cNvPr id="12" name="Graphique 11">
          <a:extLst>
            <a:ext uri="{FF2B5EF4-FFF2-40B4-BE49-F238E27FC236}">
              <a16:creationId xmlns:a16="http://schemas.microsoft.com/office/drawing/2014/main" id="{53D63969-F707-44BE-A82F-9FBAEFDF9D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1062567</xdr:colOff>
      <xdr:row>14</xdr:row>
      <xdr:rowOff>20461</xdr:rowOff>
    </xdr:from>
    <xdr:to>
      <xdr:col>14</xdr:col>
      <xdr:colOff>929570</xdr:colOff>
      <xdr:row>22</xdr:row>
      <xdr:rowOff>141112</xdr:rowOff>
    </xdr:to>
    <xdr:graphicFrame macro="">
      <xdr:nvGraphicFramePr>
        <xdr:cNvPr id="13" name="Graphique 12">
          <a:extLst>
            <a:ext uri="{FF2B5EF4-FFF2-40B4-BE49-F238E27FC236}">
              <a16:creationId xmlns:a16="http://schemas.microsoft.com/office/drawing/2014/main" id="{3D96DBF6-5091-493B-8D86-10009D170C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1047749</xdr:colOff>
      <xdr:row>34</xdr:row>
      <xdr:rowOff>45507</xdr:rowOff>
    </xdr:from>
    <xdr:to>
      <xdr:col>15</xdr:col>
      <xdr:colOff>24341</xdr:colOff>
      <xdr:row>42</xdr:row>
      <xdr:rowOff>119944</xdr:rowOff>
    </xdr:to>
    <xdr:graphicFrame macro="">
      <xdr:nvGraphicFramePr>
        <xdr:cNvPr id="14" name="Graphique 13">
          <a:extLst>
            <a:ext uri="{FF2B5EF4-FFF2-40B4-BE49-F238E27FC236}">
              <a16:creationId xmlns:a16="http://schemas.microsoft.com/office/drawing/2014/main" id="{C1B2CAB5-25D2-4B24-A87F-E3CC4DBB36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0</xdr:colOff>
      <xdr:row>54</xdr:row>
      <xdr:rowOff>24696</xdr:rowOff>
    </xdr:from>
    <xdr:to>
      <xdr:col>15</xdr:col>
      <xdr:colOff>0</xdr:colOff>
      <xdr:row>62</xdr:row>
      <xdr:rowOff>141111</xdr:rowOff>
    </xdr:to>
    <xdr:graphicFrame macro="">
      <xdr:nvGraphicFramePr>
        <xdr:cNvPr id="15" name="Graphique 14">
          <a:extLst>
            <a:ext uri="{FF2B5EF4-FFF2-40B4-BE49-F238E27FC236}">
              <a16:creationId xmlns:a16="http://schemas.microsoft.com/office/drawing/2014/main" id="{EA74B8F1-7F04-49D9-9264-68980F1E4E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0</xdr:colOff>
      <xdr:row>74</xdr:row>
      <xdr:rowOff>34924</xdr:rowOff>
    </xdr:from>
    <xdr:to>
      <xdr:col>15</xdr:col>
      <xdr:colOff>0</xdr:colOff>
      <xdr:row>82</xdr:row>
      <xdr:rowOff>137583</xdr:rowOff>
    </xdr:to>
    <xdr:graphicFrame macro="">
      <xdr:nvGraphicFramePr>
        <xdr:cNvPr id="16" name="Graphique 15">
          <a:extLst>
            <a:ext uri="{FF2B5EF4-FFF2-40B4-BE49-F238E27FC236}">
              <a16:creationId xmlns:a16="http://schemas.microsoft.com/office/drawing/2014/main" id="{8F2C7518-8862-41FB-8E16-AAA97187C5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0</xdr:colOff>
      <xdr:row>94</xdr:row>
      <xdr:rowOff>52917</xdr:rowOff>
    </xdr:from>
    <xdr:to>
      <xdr:col>15</xdr:col>
      <xdr:colOff>1</xdr:colOff>
      <xdr:row>102</xdr:row>
      <xdr:rowOff>98779</xdr:rowOff>
    </xdr:to>
    <xdr:graphicFrame macro="">
      <xdr:nvGraphicFramePr>
        <xdr:cNvPr id="17" name="Graphique 16">
          <a:extLst>
            <a:ext uri="{FF2B5EF4-FFF2-40B4-BE49-F238E27FC236}">
              <a16:creationId xmlns:a16="http://schemas.microsoft.com/office/drawing/2014/main" id="{DD1C7BBF-FD13-42DB-94D7-CFE1E86A5D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xdr:col>
      <xdr:colOff>1</xdr:colOff>
      <xdr:row>114</xdr:row>
      <xdr:rowOff>77257</xdr:rowOff>
    </xdr:from>
    <xdr:to>
      <xdr:col>14</xdr:col>
      <xdr:colOff>905229</xdr:colOff>
      <xdr:row>122</xdr:row>
      <xdr:rowOff>119944</xdr:rowOff>
    </xdr:to>
    <xdr:graphicFrame macro="">
      <xdr:nvGraphicFramePr>
        <xdr:cNvPr id="18" name="Graphique 17">
          <a:extLst>
            <a:ext uri="{FF2B5EF4-FFF2-40B4-BE49-F238E27FC236}">
              <a16:creationId xmlns:a16="http://schemas.microsoft.com/office/drawing/2014/main" id="{6CCA7B0F-01EA-4E20-9AB5-3455A8F670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xdr:col>
      <xdr:colOff>1</xdr:colOff>
      <xdr:row>134</xdr:row>
      <xdr:rowOff>52918</xdr:rowOff>
    </xdr:from>
    <xdr:to>
      <xdr:col>15</xdr:col>
      <xdr:colOff>4938</xdr:colOff>
      <xdr:row>142</xdr:row>
      <xdr:rowOff>119945</xdr:rowOff>
    </xdr:to>
    <xdr:graphicFrame macro="">
      <xdr:nvGraphicFramePr>
        <xdr:cNvPr id="19" name="Graphique 18">
          <a:extLst>
            <a:ext uri="{FF2B5EF4-FFF2-40B4-BE49-F238E27FC236}">
              <a16:creationId xmlns:a16="http://schemas.microsoft.com/office/drawing/2014/main" id="{DC6551F7-C714-4B91-BF79-785D3AC279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xdr:col>
      <xdr:colOff>1</xdr:colOff>
      <xdr:row>154</xdr:row>
      <xdr:rowOff>74083</xdr:rowOff>
    </xdr:from>
    <xdr:to>
      <xdr:col>15</xdr:col>
      <xdr:colOff>4938</xdr:colOff>
      <xdr:row>162</xdr:row>
      <xdr:rowOff>116770</xdr:rowOff>
    </xdr:to>
    <xdr:graphicFrame macro="">
      <xdr:nvGraphicFramePr>
        <xdr:cNvPr id="20" name="Graphique 19">
          <a:extLst>
            <a:ext uri="{FF2B5EF4-FFF2-40B4-BE49-F238E27FC236}">
              <a16:creationId xmlns:a16="http://schemas.microsoft.com/office/drawing/2014/main" id="{E3F814A0-769E-46DB-9939-13FC306D35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xdr:col>
      <xdr:colOff>10583</xdr:colOff>
      <xdr:row>174</xdr:row>
      <xdr:rowOff>63500</xdr:rowOff>
    </xdr:from>
    <xdr:to>
      <xdr:col>14</xdr:col>
      <xdr:colOff>899584</xdr:colOff>
      <xdr:row>182</xdr:row>
      <xdr:rowOff>106187</xdr:rowOff>
    </xdr:to>
    <xdr:graphicFrame macro="">
      <xdr:nvGraphicFramePr>
        <xdr:cNvPr id="21" name="Graphique 20">
          <a:extLst>
            <a:ext uri="{FF2B5EF4-FFF2-40B4-BE49-F238E27FC236}">
              <a16:creationId xmlns:a16="http://schemas.microsoft.com/office/drawing/2014/main" id="{5625E4B5-41D9-4BCA-8567-BF6FAA0FC9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xdr:col>
      <xdr:colOff>0</xdr:colOff>
      <xdr:row>194</xdr:row>
      <xdr:rowOff>49036</xdr:rowOff>
    </xdr:from>
    <xdr:to>
      <xdr:col>14</xdr:col>
      <xdr:colOff>899584</xdr:colOff>
      <xdr:row>202</xdr:row>
      <xdr:rowOff>105834</xdr:rowOff>
    </xdr:to>
    <xdr:graphicFrame macro="">
      <xdr:nvGraphicFramePr>
        <xdr:cNvPr id="22" name="Graphique 21">
          <a:extLst>
            <a:ext uri="{FF2B5EF4-FFF2-40B4-BE49-F238E27FC236}">
              <a16:creationId xmlns:a16="http://schemas.microsoft.com/office/drawing/2014/main" id="{B9CEAC45-8904-4343-9299-1F104FA12A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0</xdr:col>
      <xdr:colOff>1062567</xdr:colOff>
      <xdr:row>14</xdr:row>
      <xdr:rowOff>20461</xdr:rowOff>
    </xdr:from>
    <xdr:to>
      <xdr:col>14</xdr:col>
      <xdr:colOff>929570</xdr:colOff>
      <xdr:row>22</xdr:row>
      <xdr:rowOff>141112</xdr:rowOff>
    </xdr:to>
    <xdr:graphicFrame macro="">
      <xdr:nvGraphicFramePr>
        <xdr:cNvPr id="23" name="Graphique 22">
          <a:extLst>
            <a:ext uri="{FF2B5EF4-FFF2-40B4-BE49-F238E27FC236}">
              <a16:creationId xmlns:a16="http://schemas.microsoft.com/office/drawing/2014/main" id="{A32A8163-4061-4F14-8284-16D0801590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0</xdr:col>
      <xdr:colOff>1047749</xdr:colOff>
      <xdr:row>34</xdr:row>
      <xdr:rowOff>45507</xdr:rowOff>
    </xdr:from>
    <xdr:to>
      <xdr:col>15</xdr:col>
      <xdr:colOff>24341</xdr:colOff>
      <xdr:row>42</xdr:row>
      <xdr:rowOff>119944</xdr:rowOff>
    </xdr:to>
    <xdr:graphicFrame macro="">
      <xdr:nvGraphicFramePr>
        <xdr:cNvPr id="24" name="Graphique 23">
          <a:extLst>
            <a:ext uri="{FF2B5EF4-FFF2-40B4-BE49-F238E27FC236}">
              <a16:creationId xmlns:a16="http://schemas.microsoft.com/office/drawing/2014/main" id="{C48985BD-40BB-4D70-AC82-4F914AD100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xdr:col>
      <xdr:colOff>0</xdr:colOff>
      <xdr:row>54</xdr:row>
      <xdr:rowOff>24696</xdr:rowOff>
    </xdr:from>
    <xdr:to>
      <xdr:col>15</xdr:col>
      <xdr:colOff>0</xdr:colOff>
      <xdr:row>62</xdr:row>
      <xdr:rowOff>141111</xdr:rowOff>
    </xdr:to>
    <xdr:graphicFrame macro="">
      <xdr:nvGraphicFramePr>
        <xdr:cNvPr id="25" name="Graphique 24">
          <a:extLst>
            <a:ext uri="{FF2B5EF4-FFF2-40B4-BE49-F238E27FC236}">
              <a16:creationId xmlns:a16="http://schemas.microsoft.com/office/drawing/2014/main" id="{15A0CB4F-0127-4094-A6CA-91A094943B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xdr:col>
      <xdr:colOff>0</xdr:colOff>
      <xdr:row>74</xdr:row>
      <xdr:rowOff>34924</xdr:rowOff>
    </xdr:from>
    <xdr:to>
      <xdr:col>15</xdr:col>
      <xdr:colOff>0</xdr:colOff>
      <xdr:row>82</xdr:row>
      <xdr:rowOff>137583</xdr:rowOff>
    </xdr:to>
    <xdr:graphicFrame macro="">
      <xdr:nvGraphicFramePr>
        <xdr:cNvPr id="26" name="Graphique 25">
          <a:extLst>
            <a:ext uri="{FF2B5EF4-FFF2-40B4-BE49-F238E27FC236}">
              <a16:creationId xmlns:a16="http://schemas.microsoft.com/office/drawing/2014/main" id="{824C468F-FAAB-42D4-AEC1-990BA0A909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xdr:col>
      <xdr:colOff>0</xdr:colOff>
      <xdr:row>94</xdr:row>
      <xdr:rowOff>52917</xdr:rowOff>
    </xdr:from>
    <xdr:to>
      <xdr:col>15</xdr:col>
      <xdr:colOff>1</xdr:colOff>
      <xdr:row>102</xdr:row>
      <xdr:rowOff>98779</xdr:rowOff>
    </xdr:to>
    <xdr:graphicFrame macro="">
      <xdr:nvGraphicFramePr>
        <xdr:cNvPr id="27" name="Graphique 26">
          <a:extLst>
            <a:ext uri="{FF2B5EF4-FFF2-40B4-BE49-F238E27FC236}">
              <a16:creationId xmlns:a16="http://schemas.microsoft.com/office/drawing/2014/main" id="{94BA3049-3E7D-47AB-9249-D67FF88232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xdr:col>
      <xdr:colOff>1</xdr:colOff>
      <xdr:row>114</xdr:row>
      <xdr:rowOff>77257</xdr:rowOff>
    </xdr:from>
    <xdr:to>
      <xdr:col>14</xdr:col>
      <xdr:colOff>905229</xdr:colOff>
      <xdr:row>122</xdr:row>
      <xdr:rowOff>119944</xdr:rowOff>
    </xdr:to>
    <xdr:graphicFrame macro="">
      <xdr:nvGraphicFramePr>
        <xdr:cNvPr id="28" name="Graphique 27">
          <a:extLst>
            <a:ext uri="{FF2B5EF4-FFF2-40B4-BE49-F238E27FC236}">
              <a16:creationId xmlns:a16="http://schemas.microsoft.com/office/drawing/2014/main" id="{1B68C1D4-F0F3-4418-8AD9-8A246B652A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xdr:col>
      <xdr:colOff>1</xdr:colOff>
      <xdr:row>134</xdr:row>
      <xdr:rowOff>52918</xdr:rowOff>
    </xdr:from>
    <xdr:to>
      <xdr:col>15</xdr:col>
      <xdr:colOff>4938</xdr:colOff>
      <xdr:row>142</xdr:row>
      <xdr:rowOff>119945</xdr:rowOff>
    </xdr:to>
    <xdr:graphicFrame macro="">
      <xdr:nvGraphicFramePr>
        <xdr:cNvPr id="29" name="Graphique 28">
          <a:extLst>
            <a:ext uri="{FF2B5EF4-FFF2-40B4-BE49-F238E27FC236}">
              <a16:creationId xmlns:a16="http://schemas.microsoft.com/office/drawing/2014/main" id="{A1FA1BAB-18C5-47C2-A7C7-364278D9D3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1</xdr:col>
      <xdr:colOff>1</xdr:colOff>
      <xdr:row>154</xdr:row>
      <xdr:rowOff>74083</xdr:rowOff>
    </xdr:from>
    <xdr:to>
      <xdr:col>15</xdr:col>
      <xdr:colOff>4938</xdr:colOff>
      <xdr:row>162</xdr:row>
      <xdr:rowOff>116770</xdr:rowOff>
    </xdr:to>
    <xdr:graphicFrame macro="">
      <xdr:nvGraphicFramePr>
        <xdr:cNvPr id="30" name="Graphique 29">
          <a:extLst>
            <a:ext uri="{FF2B5EF4-FFF2-40B4-BE49-F238E27FC236}">
              <a16:creationId xmlns:a16="http://schemas.microsoft.com/office/drawing/2014/main" id="{9FD2A4BB-2018-4CBD-822C-1AD0DFB215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1</xdr:col>
      <xdr:colOff>10583</xdr:colOff>
      <xdr:row>174</xdr:row>
      <xdr:rowOff>63500</xdr:rowOff>
    </xdr:from>
    <xdr:to>
      <xdr:col>14</xdr:col>
      <xdr:colOff>899584</xdr:colOff>
      <xdr:row>182</xdr:row>
      <xdr:rowOff>106187</xdr:rowOff>
    </xdr:to>
    <xdr:graphicFrame macro="">
      <xdr:nvGraphicFramePr>
        <xdr:cNvPr id="31" name="Graphique 30">
          <a:extLst>
            <a:ext uri="{FF2B5EF4-FFF2-40B4-BE49-F238E27FC236}">
              <a16:creationId xmlns:a16="http://schemas.microsoft.com/office/drawing/2014/main" id="{9FE99ADB-C621-46C0-8B0F-170D657138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1</xdr:col>
      <xdr:colOff>0</xdr:colOff>
      <xdr:row>194</xdr:row>
      <xdr:rowOff>49036</xdr:rowOff>
    </xdr:from>
    <xdr:to>
      <xdr:col>14</xdr:col>
      <xdr:colOff>899584</xdr:colOff>
      <xdr:row>202</xdr:row>
      <xdr:rowOff>105834</xdr:rowOff>
    </xdr:to>
    <xdr:graphicFrame macro="">
      <xdr:nvGraphicFramePr>
        <xdr:cNvPr id="32" name="Graphique 31">
          <a:extLst>
            <a:ext uri="{FF2B5EF4-FFF2-40B4-BE49-F238E27FC236}">
              <a16:creationId xmlns:a16="http://schemas.microsoft.com/office/drawing/2014/main" id="{C91F2DB8-DDCC-48F9-A39E-D58A930821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0</xdr:col>
      <xdr:colOff>1062567</xdr:colOff>
      <xdr:row>14</xdr:row>
      <xdr:rowOff>20461</xdr:rowOff>
    </xdr:from>
    <xdr:to>
      <xdr:col>14</xdr:col>
      <xdr:colOff>929570</xdr:colOff>
      <xdr:row>22</xdr:row>
      <xdr:rowOff>141112</xdr:rowOff>
    </xdr:to>
    <xdr:graphicFrame macro="">
      <xdr:nvGraphicFramePr>
        <xdr:cNvPr id="33" name="Graphique 32">
          <a:extLst>
            <a:ext uri="{FF2B5EF4-FFF2-40B4-BE49-F238E27FC236}">
              <a16:creationId xmlns:a16="http://schemas.microsoft.com/office/drawing/2014/main" id="{056D8702-91A3-4EAF-A2F9-FF87ECD3BB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0</xdr:col>
      <xdr:colOff>1047749</xdr:colOff>
      <xdr:row>34</xdr:row>
      <xdr:rowOff>45507</xdr:rowOff>
    </xdr:from>
    <xdr:to>
      <xdr:col>15</xdr:col>
      <xdr:colOff>24341</xdr:colOff>
      <xdr:row>42</xdr:row>
      <xdr:rowOff>119944</xdr:rowOff>
    </xdr:to>
    <xdr:graphicFrame macro="">
      <xdr:nvGraphicFramePr>
        <xdr:cNvPr id="34" name="Graphique 33">
          <a:extLst>
            <a:ext uri="{FF2B5EF4-FFF2-40B4-BE49-F238E27FC236}">
              <a16:creationId xmlns:a16="http://schemas.microsoft.com/office/drawing/2014/main" id="{399CB402-906B-4049-921F-72748A5DBD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1</xdr:col>
      <xdr:colOff>0</xdr:colOff>
      <xdr:row>54</xdr:row>
      <xdr:rowOff>24696</xdr:rowOff>
    </xdr:from>
    <xdr:to>
      <xdr:col>15</xdr:col>
      <xdr:colOff>0</xdr:colOff>
      <xdr:row>62</xdr:row>
      <xdr:rowOff>141111</xdr:rowOff>
    </xdr:to>
    <xdr:graphicFrame macro="">
      <xdr:nvGraphicFramePr>
        <xdr:cNvPr id="35" name="Graphique 34">
          <a:extLst>
            <a:ext uri="{FF2B5EF4-FFF2-40B4-BE49-F238E27FC236}">
              <a16:creationId xmlns:a16="http://schemas.microsoft.com/office/drawing/2014/main" id="{89B14A7F-1374-401D-93E1-5B2A1AACD5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1</xdr:col>
      <xdr:colOff>0</xdr:colOff>
      <xdr:row>74</xdr:row>
      <xdr:rowOff>34924</xdr:rowOff>
    </xdr:from>
    <xdr:to>
      <xdr:col>15</xdr:col>
      <xdr:colOff>0</xdr:colOff>
      <xdr:row>82</xdr:row>
      <xdr:rowOff>137583</xdr:rowOff>
    </xdr:to>
    <xdr:graphicFrame macro="">
      <xdr:nvGraphicFramePr>
        <xdr:cNvPr id="36" name="Graphique 35">
          <a:extLst>
            <a:ext uri="{FF2B5EF4-FFF2-40B4-BE49-F238E27FC236}">
              <a16:creationId xmlns:a16="http://schemas.microsoft.com/office/drawing/2014/main" id="{455519EB-D382-45AA-BA41-ED7DC6CBCC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1</xdr:col>
      <xdr:colOff>0</xdr:colOff>
      <xdr:row>94</xdr:row>
      <xdr:rowOff>52917</xdr:rowOff>
    </xdr:from>
    <xdr:to>
      <xdr:col>15</xdr:col>
      <xdr:colOff>1</xdr:colOff>
      <xdr:row>102</xdr:row>
      <xdr:rowOff>98779</xdr:rowOff>
    </xdr:to>
    <xdr:graphicFrame macro="">
      <xdr:nvGraphicFramePr>
        <xdr:cNvPr id="37" name="Graphique 36">
          <a:extLst>
            <a:ext uri="{FF2B5EF4-FFF2-40B4-BE49-F238E27FC236}">
              <a16:creationId xmlns:a16="http://schemas.microsoft.com/office/drawing/2014/main" id="{72E0C70E-A5E7-4244-8E6B-E4429F58BB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1</xdr:col>
      <xdr:colOff>1</xdr:colOff>
      <xdr:row>114</xdr:row>
      <xdr:rowOff>77257</xdr:rowOff>
    </xdr:from>
    <xdr:to>
      <xdr:col>14</xdr:col>
      <xdr:colOff>905229</xdr:colOff>
      <xdr:row>122</xdr:row>
      <xdr:rowOff>119944</xdr:rowOff>
    </xdr:to>
    <xdr:graphicFrame macro="">
      <xdr:nvGraphicFramePr>
        <xdr:cNvPr id="38" name="Graphique 37">
          <a:extLst>
            <a:ext uri="{FF2B5EF4-FFF2-40B4-BE49-F238E27FC236}">
              <a16:creationId xmlns:a16="http://schemas.microsoft.com/office/drawing/2014/main" id="{6B312C84-DE94-49A5-99E7-78D5E1AF77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1</xdr:col>
      <xdr:colOff>1</xdr:colOff>
      <xdr:row>134</xdr:row>
      <xdr:rowOff>52918</xdr:rowOff>
    </xdr:from>
    <xdr:to>
      <xdr:col>15</xdr:col>
      <xdr:colOff>4938</xdr:colOff>
      <xdr:row>142</xdr:row>
      <xdr:rowOff>119945</xdr:rowOff>
    </xdr:to>
    <xdr:graphicFrame macro="">
      <xdr:nvGraphicFramePr>
        <xdr:cNvPr id="39" name="Graphique 38">
          <a:extLst>
            <a:ext uri="{FF2B5EF4-FFF2-40B4-BE49-F238E27FC236}">
              <a16:creationId xmlns:a16="http://schemas.microsoft.com/office/drawing/2014/main" id="{80A3A164-F1FF-4ABC-8BC0-CA5AD462CC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1</xdr:col>
      <xdr:colOff>1</xdr:colOff>
      <xdr:row>154</xdr:row>
      <xdr:rowOff>74083</xdr:rowOff>
    </xdr:from>
    <xdr:to>
      <xdr:col>15</xdr:col>
      <xdr:colOff>4938</xdr:colOff>
      <xdr:row>162</xdr:row>
      <xdr:rowOff>116770</xdr:rowOff>
    </xdr:to>
    <xdr:graphicFrame macro="">
      <xdr:nvGraphicFramePr>
        <xdr:cNvPr id="40" name="Graphique 39">
          <a:extLst>
            <a:ext uri="{FF2B5EF4-FFF2-40B4-BE49-F238E27FC236}">
              <a16:creationId xmlns:a16="http://schemas.microsoft.com/office/drawing/2014/main" id="{8B4F0356-333B-462C-94FA-FDA7BD56DA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1</xdr:col>
      <xdr:colOff>10583</xdr:colOff>
      <xdr:row>174</xdr:row>
      <xdr:rowOff>63500</xdr:rowOff>
    </xdr:from>
    <xdr:to>
      <xdr:col>14</xdr:col>
      <xdr:colOff>899584</xdr:colOff>
      <xdr:row>182</xdr:row>
      <xdr:rowOff>106187</xdr:rowOff>
    </xdr:to>
    <xdr:graphicFrame macro="">
      <xdr:nvGraphicFramePr>
        <xdr:cNvPr id="41" name="Graphique 40">
          <a:extLst>
            <a:ext uri="{FF2B5EF4-FFF2-40B4-BE49-F238E27FC236}">
              <a16:creationId xmlns:a16="http://schemas.microsoft.com/office/drawing/2014/main" id="{568699FF-DD8E-44D3-937A-C2EA779B2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bamba/OneDrive%20-%20portautonomeabidjan/DOSSIERS_BUREAU/Bureau/TRAVAUX/D_STATS%20PERFORMANE%20PORTUAIRE/TBS/2025/TBS_provisoire_calculs_2025_Adama.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adbamba/OneDrive%20-%20portautonomeabidjan/DOSSIERS_BUREAU/Bureau/TRAVAUX/D_STATS%20PERFORMANE%20PORTUAIRE/TBS/2026/TBS_provisoire_calculs_2026_Adam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S_Prov"/>
      <sheetName val="model"/>
      <sheetName val="Feuil1"/>
      <sheetName val="Escales&amp;Trafics_annoncés"/>
      <sheetName val="Coefficients_saisonniers"/>
      <sheetName val="Stats exo 2025"/>
      <sheetName val="Stats exo 2025 brute"/>
      <sheetName val="Trafic mens 2024"/>
    </sheetNames>
    <sheetDataSet>
      <sheetData sheetId="0"/>
      <sheetData sheetId="1"/>
      <sheetData sheetId="2"/>
      <sheetData sheetId="3"/>
      <sheetData sheetId="4">
        <row r="5">
          <cell r="C5" t="str">
            <v>Janvier</v>
          </cell>
          <cell r="D5" t="str">
            <v>Février</v>
          </cell>
          <cell r="E5" t="str">
            <v>Mars</v>
          </cell>
          <cell r="F5" t="str">
            <v>Avril</v>
          </cell>
          <cell r="G5" t="str">
            <v>Mai</v>
          </cell>
          <cell r="H5" t="str">
            <v>Juin</v>
          </cell>
          <cell r="I5" t="str">
            <v>Juillet</v>
          </cell>
          <cell r="J5" t="str">
            <v>Août</v>
          </cell>
          <cell r="K5" t="str">
            <v>Septembre</v>
          </cell>
          <cell r="L5" t="str">
            <v>Octobre</v>
          </cell>
          <cell r="M5" t="str">
            <v>Novembre</v>
          </cell>
          <cell r="N5" t="str">
            <v>Décembre</v>
          </cell>
        </row>
        <row r="13">
          <cell r="C13">
            <v>1.0292573143285821</v>
          </cell>
          <cell r="D13">
            <v>0.94323580895223791</v>
          </cell>
          <cell r="E13">
            <v>0.9962490622655662</v>
          </cell>
          <cell r="F13">
            <v>0.94623655913978477</v>
          </cell>
          <cell r="G13">
            <v>0.99924981245311328</v>
          </cell>
          <cell r="H13">
            <v>0.94223555888972232</v>
          </cell>
          <cell r="I13">
            <v>1.0342585646411602</v>
          </cell>
          <cell r="J13">
            <v>0.98224556139034758</v>
          </cell>
          <cell r="K13">
            <v>1.010252563140785</v>
          </cell>
          <cell r="L13">
            <v>1.0282570642660664</v>
          </cell>
          <cell r="M13">
            <v>1.0092523130782696</v>
          </cell>
          <cell r="N13">
            <v>1.0792698174543636</v>
          </cell>
        </row>
        <row r="25">
          <cell r="C25" t="str">
            <v>Janvier</v>
          </cell>
          <cell r="D25" t="str">
            <v>Février</v>
          </cell>
          <cell r="E25" t="str">
            <v>Mars</v>
          </cell>
          <cell r="F25" t="str">
            <v>Avril</v>
          </cell>
          <cell r="G25" t="str">
            <v>Mai</v>
          </cell>
          <cell r="H25" t="str">
            <v>Juin</v>
          </cell>
          <cell r="I25" t="str">
            <v>Juillet</v>
          </cell>
          <cell r="J25" t="str">
            <v>Août</v>
          </cell>
          <cell r="K25" t="str">
            <v>Septembre</v>
          </cell>
          <cell r="L25" t="str">
            <v>Octobre</v>
          </cell>
          <cell r="M25" t="str">
            <v>Novembre</v>
          </cell>
          <cell r="N25" t="str">
            <v>Décembre</v>
          </cell>
        </row>
        <row r="33">
          <cell r="C33">
            <v>0.91706532573190602</v>
          </cell>
          <cell r="D33">
            <v>0.96989460806087635</v>
          </cell>
          <cell r="E33">
            <v>0.98019077722053427</v>
          </cell>
          <cell r="F33">
            <v>1.013605090951484</v>
          </cell>
          <cell r="G33">
            <v>1.0717007315636287</v>
          </cell>
          <cell r="H33">
            <v>0.93793040784615445</v>
          </cell>
          <cell r="I33">
            <v>1.0668442369797992</v>
          </cell>
          <cell r="J33">
            <v>0.99035000509640525</v>
          </cell>
          <cell r="K33">
            <v>0.97918633527955401</v>
          </cell>
          <cell r="L33">
            <v>1.0146211602572071</v>
          </cell>
          <cell r="M33">
            <v>1.0180422894739112</v>
          </cell>
          <cell r="N33">
            <v>1.0405690315385399</v>
          </cell>
        </row>
        <row r="45">
          <cell r="C45" t="str">
            <v>Janvier</v>
          </cell>
          <cell r="D45" t="str">
            <v>Février</v>
          </cell>
          <cell r="E45" t="str">
            <v>Mars</v>
          </cell>
          <cell r="F45" t="str">
            <v>Avril</v>
          </cell>
          <cell r="G45" t="str">
            <v>Mai</v>
          </cell>
          <cell r="H45" t="str">
            <v>Juin</v>
          </cell>
          <cell r="I45" t="str">
            <v>Juillet</v>
          </cell>
          <cell r="J45" t="str">
            <v>Août</v>
          </cell>
          <cell r="K45" t="str">
            <v>Septembre</v>
          </cell>
          <cell r="L45" t="str">
            <v>Octobre</v>
          </cell>
          <cell r="M45" t="str">
            <v>Novembre</v>
          </cell>
          <cell r="N45" t="str">
            <v>Décembre</v>
          </cell>
        </row>
        <row r="53">
          <cell r="C53">
            <v>0.95245149208650159</v>
          </cell>
          <cell r="D53">
            <v>1.1595145906243365</v>
          </cell>
          <cell r="E53">
            <v>0.95619939823121081</v>
          </cell>
          <cell r="F53">
            <v>0.97246799032745368</v>
          </cell>
          <cell r="G53">
            <v>1.0761330396475381</v>
          </cell>
          <cell r="H53">
            <v>0.87252623646452343</v>
          </cell>
          <cell r="I53">
            <v>1.0463033403548905</v>
          </cell>
          <cell r="J53">
            <v>0.94037058674759744</v>
          </cell>
          <cell r="K53">
            <v>1.0082900370865704</v>
          </cell>
          <cell r="L53">
            <v>1.0341441250224015</v>
          </cell>
          <cell r="M53">
            <v>1.0401039310711238</v>
          </cell>
          <cell r="N53">
            <v>0.94149523233585231</v>
          </cell>
        </row>
        <row r="65">
          <cell r="C65" t="str">
            <v>Janvier</v>
          </cell>
          <cell r="D65" t="str">
            <v>Février</v>
          </cell>
          <cell r="E65" t="str">
            <v>Mars</v>
          </cell>
          <cell r="F65" t="str">
            <v>Avril</v>
          </cell>
          <cell r="G65" t="str">
            <v>Mai</v>
          </cell>
          <cell r="H65" t="str">
            <v>Juin</v>
          </cell>
          <cell r="I65" t="str">
            <v>Juillet</v>
          </cell>
          <cell r="J65" t="str">
            <v>Août</v>
          </cell>
          <cell r="K65" t="str">
            <v>Septembre</v>
          </cell>
          <cell r="L65" t="str">
            <v>Octobre</v>
          </cell>
          <cell r="M65" t="str">
            <v>Novembre</v>
          </cell>
          <cell r="N65" t="str">
            <v>Décembre</v>
          </cell>
        </row>
        <row r="73">
          <cell r="C73">
            <v>0.93993976019347558</v>
          </cell>
          <cell r="D73">
            <v>0.94506510637099228</v>
          </cell>
          <cell r="E73">
            <v>1.0399670785557622</v>
          </cell>
          <cell r="F73">
            <v>1.0543235596058711</v>
          </cell>
          <cell r="G73">
            <v>1.0844270620210623</v>
          </cell>
          <cell r="H73">
            <v>0.96020530013107808</v>
          </cell>
          <cell r="I73">
            <v>1.06455138637563</v>
          </cell>
          <cell r="J73">
            <v>0.97446808619390757</v>
          </cell>
          <cell r="K73">
            <v>0.93912011736749379</v>
          </cell>
          <cell r="L73">
            <v>0.96644515156020161</v>
          </cell>
          <cell r="M73">
            <v>0.98446005546894622</v>
          </cell>
          <cell r="N73">
            <v>1.047027336155582</v>
          </cell>
        </row>
        <row r="85">
          <cell r="C85" t="str">
            <v>Janvier</v>
          </cell>
          <cell r="D85" t="str">
            <v>Février</v>
          </cell>
          <cell r="E85" t="str">
            <v>Mars</v>
          </cell>
          <cell r="F85" t="str">
            <v>Avril</v>
          </cell>
          <cell r="G85" t="str">
            <v>Mai</v>
          </cell>
          <cell r="H85" t="str">
            <v>Juin</v>
          </cell>
          <cell r="I85" t="str">
            <v>Juillet</v>
          </cell>
          <cell r="J85" t="str">
            <v>Août</v>
          </cell>
          <cell r="K85" t="str">
            <v>Septembre</v>
          </cell>
          <cell r="L85" t="str">
            <v>Octobre</v>
          </cell>
          <cell r="M85" t="str">
            <v>Novembre</v>
          </cell>
          <cell r="N85" t="str">
            <v>Décembre</v>
          </cell>
        </row>
        <row r="93">
          <cell r="C93">
            <v>1.0623248745976916</v>
          </cell>
          <cell r="D93">
            <v>0.78547166440947058</v>
          </cell>
          <cell r="E93">
            <v>0.86771721321354289</v>
          </cell>
          <cell r="F93">
            <v>0.97228861858801474</v>
          </cell>
          <cell r="G93">
            <v>1.0931855926007275</v>
          </cell>
          <cell r="H93">
            <v>1.0030976642729286</v>
          </cell>
          <cell r="I93">
            <v>1.0163642944788867</v>
          </cell>
          <cell r="J93">
            <v>0.94168828259855597</v>
          </cell>
          <cell r="K93">
            <v>0.99334893977001149</v>
          </cell>
          <cell r="L93">
            <v>1.0287618269370848</v>
          </cell>
          <cell r="M93">
            <v>1.07864919985893</v>
          </cell>
          <cell r="N93">
            <v>1.1571018286741546</v>
          </cell>
        </row>
        <row r="105">
          <cell r="C105" t="str">
            <v>Janvier</v>
          </cell>
          <cell r="D105" t="str">
            <v>Février</v>
          </cell>
          <cell r="E105" t="str">
            <v>Mars</v>
          </cell>
          <cell r="F105" t="str">
            <v>Avril</v>
          </cell>
          <cell r="G105" t="str">
            <v>Mai</v>
          </cell>
          <cell r="H105" t="str">
            <v>Juin</v>
          </cell>
          <cell r="I105" t="str">
            <v>Juillet</v>
          </cell>
          <cell r="J105" t="str">
            <v>Août</v>
          </cell>
          <cell r="K105" t="str">
            <v>Septembre</v>
          </cell>
          <cell r="L105" t="str">
            <v>Octobre</v>
          </cell>
          <cell r="M105" t="str">
            <v>Novembre</v>
          </cell>
          <cell r="N105" t="str">
            <v>Décembre</v>
          </cell>
        </row>
        <row r="113">
          <cell r="C113">
            <v>0.93668206225467299</v>
          </cell>
          <cell r="D113">
            <v>1.001054162503443</v>
          </cell>
          <cell r="E113">
            <v>1.0068909477303243</v>
          </cell>
          <cell r="F113">
            <v>1.0309746039473553</v>
          </cell>
          <cell r="G113">
            <v>1.07532210249442</v>
          </cell>
          <cell r="H113">
            <v>0.9542600743673163</v>
          </cell>
          <cell r="I113">
            <v>1.073383976700133</v>
          </cell>
          <cell r="J113">
            <v>0.96701775271257695</v>
          </cell>
          <cell r="K113">
            <v>0.94474817010893042</v>
          </cell>
          <cell r="L113">
            <v>0.9834766617449856</v>
          </cell>
          <cell r="M113">
            <v>1.0024417439856621</v>
          </cell>
          <cell r="N113">
            <v>1.0237477414501797</v>
          </cell>
        </row>
        <row r="125">
          <cell r="C125" t="str">
            <v>Janvier</v>
          </cell>
          <cell r="D125" t="str">
            <v>Février</v>
          </cell>
          <cell r="E125" t="str">
            <v>Mars</v>
          </cell>
          <cell r="F125" t="str">
            <v>Avril</v>
          </cell>
          <cell r="G125" t="str">
            <v>Mai</v>
          </cell>
          <cell r="H125" t="str">
            <v>Juin</v>
          </cell>
          <cell r="I125" t="str">
            <v>Juillet</v>
          </cell>
          <cell r="J125" t="str">
            <v>Août</v>
          </cell>
          <cell r="K125" t="str">
            <v>Septembre</v>
          </cell>
          <cell r="L125" t="str">
            <v>Octobre</v>
          </cell>
          <cell r="M125" t="str">
            <v>Novembre</v>
          </cell>
          <cell r="N125" t="str">
            <v>Décembre</v>
          </cell>
        </row>
        <row r="133">
          <cell r="C133">
            <v>0.63920286080739785</v>
          </cell>
          <cell r="D133">
            <v>0.6803408868616907</v>
          </cell>
          <cell r="E133">
            <v>0.64256869519192672</v>
          </cell>
          <cell r="F133">
            <v>0.86055504994420773</v>
          </cell>
          <cell r="G133">
            <v>0.9700454134912917</v>
          </cell>
          <cell r="H133">
            <v>0.93531965715480303</v>
          </cell>
          <cell r="I133">
            <v>1.1371911289594339</v>
          </cell>
          <cell r="J133">
            <v>1.2505843197144635</v>
          </cell>
          <cell r="K133">
            <v>1.169261704758167</v>
          </cell>
          <cell r="L133">
            <v>1.3019302005791775</v>
          </cell>
          <cell r="M133">
            <v>1.1825274683591473</v>
          </cell>
          <cell r="N133">
            <v>1.2304726141782931</v>
          </cell>
        </row>
        <row r="145">
          <cell r="C145" t="str">
            <v>Janvier</v>
          </cell>
          <cell r="D145" t="str">
            <v>Février</v>
          </cell>
          <cell r="E145" t="str">
            <v>Mars</v>
          </cell>
          <cell r="F145" t="str">
            <v>Avril</v>
          </cell>
          <cell r="G145" t="str">
            <v>Mai</v>
          </cell>
          <cell r="H145" t="str">
            <v>Juin</v>
          </cell>
          <cell r="I145" t="str">
            <v>Juillet</v>
          </cell>
          <cell r="J145" t="str">
            <v>Août</v>
          </cell>
          <cell r="K145" t="str">
            <v>Septembre</v>
          </cell>
          <cell r="L145" t="str">
            <v>Octobre</v>
          </cell>
          <cell r="M145" t="str">
            <v>Novembre</v>
          </cell>
          <cell r="N145" t="str">
            <v>Décembre</v>
          </cell>
        </row>
        <row r="153">
          <cell r="C153">
            <v>1.0164459690034771</v>
          </cell>
          <cell r="D153">
            <v>0.9762498345524786</v>
          </cell>
          <cell r="E153">
            <v>1.0749643221992153</v>
          </cell>
          <cell r="F153">
            <v>1.0088063849114204</v>
          </cell>
          <cell r="G153">
            <v>1.140306009893534</v>
          </cell>
          <cell r="H153">
            <v>0.79242608809854775</v>
          </cell>
          <cell r="I153">
            <v>0.93732335764963737</v>
          </cell>
          <cell r="J153">
            <v>0.94226176281401475</v>
          </cell>
          <cell r="K153">
            <v>1.1018465227160592</v>
          </cell>
          <cell r="L153">
            <v>1.010369547238287</v>
          </cell>
          <cell r="M153">
            <v>0.99538432669670163</v>
          </cell>
          <cell r="N153">
            <v>1.0036158742266266</v>
          </cell>
        </row>
        <row r="165">
          <cell r="C165" t="str">
            <v>Janvier</v>
          </cell>
          <cell r="D165" t="str">
            <v>Février</v>
          </cell>
          <cell r="E165" t="str">
            <v>Mars</v>
          </cell>
          <cell r="F165" t="str">
            <v>Avril</v>
          </cell>
          <cell r="G165" t="str">
            <v>Mai</v>
          </cell>
          <cell r="H165" t="str">
            <v>Juin</v>
          </cell>
          <cell r="I165" t="str">
            <v>Juillet</v>
          </cell>
          <cell r="J165" t="str">
            <v>Août</v>
          </cell>
          <cell r="K165" t="str">
            <v>Septembre</v>
          </cell>
          <cell r="L165" t="str">
            <v>Octobre</v>
          </cell>
          <cell r="M165" t="str">
            <v>Novembre</v>
          </cell>
          <cell r="N165" t="str">
            <v>Décembre</v>
          </cell>
        </row>
        <row r="173">
          <cell r="C173">
            <v>0.87358896955231691</v>
          </cell>
          <cell r="D173">
            <v>0.81077341045461759</v>
          </cell>
          <cell r="E173">
            <v>0.93094893623155206</v>
          </cell>
          <cell r="F173">
            <v>0.95084125068185432</v>
          </cell>
          <cell r="G173">
            <v>1.0055929115990707</v>
          </cell>
          <cell r="H173">
            <v>1.0035968521284855</v>
          </cell>
          <cell r="I173">
            <v>1.0821988063093992</v>
          </cell>
          <cell r="J173">
            <v>1.073431621496749</v>
          </cell>
          <cell r="K173">
            <v>1.0053607587301998</v>
          </cell>
          <cell r="L173">
            <v>1.1089396303913903</v>
          </cell>
          <cell r="M173">
            <v>1.0488894216434757</v>
          </cell>
          <cell r="N173">
            <v>1.1058374307808911</v>
          </cell>
        </row>
        <row r="185">
          <cell r="C185" t="str">
            <v>Janvier</v>
          </cell>
          <cell r="D185" t="str">
            <v>Février</v>
          </cell>
          <cell r="E185" t="str">
            <v>Mars</v>
          </cell>
          <cell r="F185" t="str">
            <v>Avril</v>
          </cell>
          <cell r="G185" t="str">
            <v>Mai</v>
          </cell>
          <cell r="H185" t="str">
            <v>Juin</v>
          </cell>
          <cell r="I185" t="str">
            <v>Juillet</v>
          </cell>
          <cell r="J185" t="str">
            <v>Août</v>
          </cell>
          <cell r="K185" t="str">
            <v>Septembre</v>
          </cell>
          <cell r="L185" t="str">
            <v>Octobre</v>
          </cell>
          <cell r="M185" t="str">
            <v>Novembre</v>
          </cell>
          <cell r="N185" t="str">
            <v>Décembre</v>
          </cell>
        </row>
        <row r="193">
          <cell r="C193">
            <v>0.58723419665976573</v>
          </cell>
          <cell r="D193">
            <v>0.67777180900185308</v>
          </cell>
          <cell r="E193">
            <v>0.63683432220525482</v>
          </cell>
          <cell r="F193">
            <v>0.83267079920568343</v>
          </cell>
          <cell r="G193">
            <v>0.96004635525751914</v>
          </cell>
          <cell r="H193">
            <v>0.94138836410606186</v>
          </cell>
          <cell r="I193">
            <v>1.1289967828968415</v>
          </cell>
          <cell r="J193">
            <v>1.3098257452754456</v>
          </cell>
          <cell r="K193">
            <v>1.2259661872197107</v>
          </cell>
          <cell r="L193">
            <v>1.2867495186416946</v>
          </cell>
          <cell r="M193">
            <v>1.187998334107933</v>
          </cell>
          <cell r="N193">
            <v>1.2245175854222374</v>
          </cell>
        </row>
      </sheetData>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S_Prov"/>
      <sheetName val="model"/>
      <sheetName val="Feuil1"/>
      <sheetName val="Escales&amp;Trafics_annoncés"/>
      <sheetName val="Stats exo 2026"/>
      <sheetName val="Stats exo 2026 brute"/>
      <sheetName val="Coefficients_saisonniers"/>
      <sheetName val="Trafic mens 2025"/>
    </sheetNames>
    <sheetDataSet>
      <sheetData sheetId="0"/>
      <sheetData sheetId="1"/>
      <sheetData sheetId="2"/>
      <sheetData sheetId="3"/>
      <sheetData sheetId="4"/>
      <sheetData sheetId="5"/>
      <sheetData sheetId="6">
        <row r="5">
          <cell r="C5" t="str">
            <v>Janvier</v>
          </cell>
          <cell r="D5" t="str">
            <v>Février</v>
          </cell>
          <cell r="E5" t="str">
            <v>Mars</v>
          </cell>
          <cell r="F5" t="str">
            <v>Avril</v>
          </cell>
          <cell r="G5" t="str">
            <v>Mai</v>
          </cell>
          <cell r="H5" t="str">
            <v>Juin</v>
          </cell>
          <cell r="I5" t="str">
            <v>Juillet</v>
          </cell>
          <cell r="J5" t="str">
            <v>Août</v>
          </cell>
          <cell r="K5" t="str">
            <v>Septembre</v>
          </cell>
          <cell r="L5" t="str">
            <v>Octobre</v>
          </cell>
          <cell r="M5" t="str">
            <v>Novembre</v>
          </cell>
          <cell r="N5" t="str">
            <v>Décembre</v>
          </cell>
        </row>
        <row r="13">
          <cell r="C13">
            <v>1.0238248551191242</v>
          </cell>
          <cell r="D13">
            <v>0.94558918222794586</v>
          </cell>
          <cell r="E13">
            <v>0.98615582743077901</v>
          </cell>
          <cell r="F13">
            <v>0.98036059240180284</v>
          </cell>
          <cell r="G13">
            <v>1.0267224726336122</v>
          </cell>
          <cell r="H13">
            <v>0.94075981970379907</v>
          </cell>
          <cell r="I13">
            <v>1.0238248551191242</v>
          </cell>
          <cell r="J13">
            <v>0.97263361236316792</v>
          </cell>
          <cell r="K13">
            <v>0.97456535737282668</v>
          </cell>
          <cell r="L13">
            <v>1.0209272376046361</v>
          </cell>
          <cell r="M13">
            <v>1.0228589826142949</v>
          </cell>
          <cell r="N13">
            <v>1.0817772054088859</v>
          </cell>
        </row>
        <row r="25">
          <cell r="C25" t="str">
            <v>Janvier</v>
          </cell>
          <cell r="D25" t="str">
            <v>Février</v>
          </cell>
          <cell r="E25" t="str">
            <v>Mars</v>
          </cell>
          <cell r="F25" t="str">
            <v>Avril</v>
          </cell>
          <cell r="G25" t="str">
            <v>Mai</v>
          </cell>
          <cell r="H25" t="str">
            <v>Juin</v>
          </cell>
          <cell r="I25" t="str">
            <v>Juillet</v>
          </cell>
          <cell r="J25" t="str">
            <v>Août</v>
          </cell>
          <cell r="K25" t="str">
            <v>Septembre</v>
          </cell>
          <cell r="L25" t="str">
            <v>Octobre</v>
          </cell>
          <cell r="M25" t="str">
            <v>Novembre</v>
          </cell>
          <cell r="N25" t="str">
            <v>Décembre</v>
          </cell>
        </row>
        <row r="33">
          <cell r="C33">
            <v>0.93227320986598805</v>
          </cell>
          <cell r="D33">
            <v>0.9437895179699145</v>
          </cell>
          <cell r="E33">
            <v>0.97210680774890745</v>
          </cell>
          <cell r="F33">
            <v>1.0232585735556459</v>
          </cell>
          <cell r="G33">
            <v>1.0711208167126134</v>
          </cell>
          <cell r="H33">
            <v>0.94098288308481437</v>
          </cell>
          <cell r="I33">
            <v>1.059098208124734</v>
          </cell>
          <cell r="J33">
            <v>1.0131449835300632</v>
          </cell>
          <cell r="K33">
            <v>0.9943016594596138</v>
          </cell>
          <cell r="L33">
            <v>0.99456776580847184</v>
          </cell>
          <cell r="M33">
            <v>1.0040523890688244</v>
          </cell>
          <cell r="N33">
            <v>1.0513031850704111</v>
          </cell>
        </row>
        <row r="45">
          <cell r="C45" t="str">
            <v>Janvier</v>
          </cell>
          <cell r="D45" t="str">
            <v>Février</v>
          </cell>
          <cell r="E45" t="str">
            <v>Mars</v>
          </cell>
          <cell r="F45" t="str">
            <v>Avril</v>
          </cell>
          <cell r="G45" t="str">
            <v>Mai</v>
          </cell>
          <cell r="H45" t="str">
            <v>Juin</v>
          </cell>
          <cell r="I45" t="str">
            <v>Juillet</v>
          </cell>
          <cell r="J45" t="str">
            <v>Août</v>
          </cell>
          <cell r="K45" t="str">
            <v>Septembre</v>
          </cell>
          <cell r="L45" t="str">
            <v>Octobre</v>
          </cell>
          <cell r="M45" t="str">
            <v>Novembre</v>
          </cell>
          <cell r="N45" t="str">
            <v>Décembre</v>
          </cell>
        </row>
        <row r="53">
          <cell r="C53">
            <v>1.03066106773288</v>
          </cell>
          <cell r="D53">
            <v>1.0186225767209152</v>
          </cell>
          <cell r="E53">
            <v>0.89680725884380275</v>
          </cell>
          <cell r="F53">
            <v>1.0075040062144462</v>
          </cell>
          <cell r="G53">
            <v>0.99065130044503447</v>
          </cell>
          <cell r="H53">
            <v>0.91717107987740576</v>
          </cell>
          <cell r="I53">
            <v>1.0217104871010227</v>
          </cell>
          <cell r="J53">
            <v>1.0057368099792965</v>
          </cell>
          <cell r="K53">
            <v>1.0616270177968765</v>
          </cell>
          <cell r="L53">
            <v>0.99932724414517904</v>
          </cell>
          <cell r="M53">
            <v>1.0242622288612944</v>
          </cell>
          <cell r="N53">
            <v>1.0259189222818426</v>
          </cell>
        </row>
        <row r="65">
          <cell r="C65" t="str">
            <v>Janvier</v>
          </cell>
          <cell r="D65" t="str">
            <v>Février</v>
          </cell>
          <cell r="E65" t="str">
            <v>Mars</v>
          </cell>
          <cell r="F65" t="str">
            <v>Avril</v>
          </cell>
          <cell r="G65" t="str">
            <v>Mai</v>
          </cell>
          <cell r="H65" t="str">
            <v>Juin</v>
          </cell>
          <cell r="I65" t="str">
            <v>Juillet</v>
          </cell>
          <cell r="J65" t="str">
            <v>Août</v>
          </cell>
          <cell r="K65" t="str">
            <v>Septembre</v>
          </cell>
          <cell r="L65" t="str">
            <v>Octobre</v>
          </cell>
          <cell r="M65" t="str">
            <v>Novembre</v>
          </cell>
          <cell r="N65" t="str">
            <v>Décembre</v>
          </cell>
        </row>
        <row r="73">
          <cell r="C73">
            <v>0.91075155976033484</v>
          </cell>
          <cell r="D73">
            <v>0.93119510894600244</v>
          </cell>
          <cell r="E73">
            <v>1.0269716184811826</v>
          </cell>
          <cell r="F73">
            <v>1.0579559340482005</v>
          </cell>
          <cell r="G73">
            <v>1.1000160628411073</v>
          </cell>
          <cell r="H73">
            <v>0.94752166429759543</v>
          </cell>
          <cell r="I73">
            <v>1.068621527966336</v>
          </cell>
          <cell r="J73">
            <v>0.99377887722533231</v>
          </cell>
          <cell r="K73">
            <v>0.96538927185316559</v>
          </cell>
          <cell r="L73">
            <v>0.97742390096262455</v>
          </cell>
          <cell r="M73">
            <v>0.98398493927767416</v>
          </cell>
          <cell r="N73">
            <v>1.0363895343404448</v>
          </cell>
        </row>
        <row r="85">
          <cell r="C85" t="str">
            <v>Janvier</v>
          </cell>
          <cell r="D85" t="str">
            <v>Février</v>
          </cell>
          <cell r="E85" t="str">
            <v>Mars</v>
          </cell>
          <cell r="F85" t="str">
            <v>Avril</v>
          </cell>
          <cell r="G85" t="str">
            <v>Mai</v>
          </cell>
          <cell r="H85" t="str">
            <v>Juin</v>
          </cell>
          <cell r="I85" t="str">
            <v>Juillet</v>
          </cell>
          <cell r="J85" t="str">
            <v>Août</v>
          </cell>
          <cell r="K85" t="str">
            <v>Septembre</v>
          </cell>
          <cell r="L85" t="str">
            <v>Octobre</v>
          </cell>
          <cell r="M85" t="str">
            <v>Novembre</v>
          </cell>
          <cell r="N85" t="str">
            <v>Décembre</v>
          </cell>
        </row>
        <row r="93">
          <cell r="C93">
            <v>1.1133250009929914</v>
          </cell>
          <cell r="D93">
            <v>0.81068926381554351</v>
          </cell>
          <cell r="E93">
            <v>0.84598170870703659</v>
          </cell>
          <cell r="F93">
            <v>0.99183445526360559</v>
          </cell>
          <cell r="G93">
            <v>1.1356642954418181</v>
          </cell>
          <cell r="H93">
            <v>1.0223030831706923</v>
          </cell>
          <cell r="I93">
            <v>0.94872811661687628</v>
          </cell>
          <cell r="J93">
            <v>0.90039807968722885</v>
          </cell>
          <cell r="K93">
            <v>0.99191759212194264</v>
          </cell>
          <cell r="L93">
            <v>1.0405358200161334</v>
          </cell>
          <cell r="M93">
            <v>1.0909576969648982</v>
          </cell>
          <cell r="N93">
            <v>1.1076648872012327</v>
          </cell>
        </row>
        <row r="105">
          <cell r="C105" t="str">
            <v>Janvier</v>
          </cell>
          <cell r="D105" t="str">
            <v>Février</v>
          </cell>
          <cell r="E105" t="str">
            <v>Mars</v>
          </cell>
          <cell r="F105" t="str">
            <v>Avril</v>
          </cell>
          <cell r="G105" t="str">
            <v>Mai</v>
          </cell>
          <cell r="H105" t="str">
            <v>Juin</v>
          </cell>
          <cell r="I105" t="str">
            <v>Juillet</v>
          </cell>
          <cell r="J105" t="str">
            <v>Août</v>
          </cell>
          <cell r="K105" t="str">
            <v>Septembre</v>
          </cell>
          <cell r="L105" t="str">
            <v>Octobre</v>
          </cell>
          <cell r="M105" t="str">
            <v>Novembre</v>
          </cell>
          <cell r="N105" t="str">
            <v>Décembre</v>
          </cell>
        </row>
        <row r="113">
          <cell r="C113">
            <v>0.94067090233758388</v>
          </cell>
          <cell r="D113">
            <v>0.95335062553847671</v>
          </cell>
          <cell r="E113">
            <v>0.98947572687715457</v>
          </cell>
          <cell r="F113">
            <v>1.0384997292902514</v>
          </cell>
          <cell r="G113">
            <v>1.0600970466389918</v>
          </cell>
          <cell r="H113">
            <v>0.95785227547240492</v>
          </cell>
          <cell r="I113">
            <v>1.0549337891383253</v>
          </cell>
          <cell r="J113">
            <v>0.99506810823470471</v>
          </cell>
          <cell r="K113">
            <v>0.98826467367624038</v>
          </cell>
          <cell r="L113">
            <v>0.98036126325852191</v>
          </cell>
          <cell r="M113">
            <v>1.0036123648715483</v>
          </cell>
          <cell r="N113">
            <v>1.0378134946657951</v>
          </cell>
        </row>
        <row r="125">
          <cell r="C125" t="str">
            <v>Janvier</v>
          </cell>
          <cell r="D125" t="str">
            <v>Février</v>
          </cell>
          <cell r="E125" t="str">
            <v>Mars</v>
          </cell>
          <cell r="F125" t="str">
            <v>Avril</v>
          </cell>
          <cell r="G125" t="str">
            <v>Mai</v>
          </cell>
          <cell r="H125" t="str">
            <v>Juin</v>
          </cell>
          <cell r="I125" t="str">
            <v>Juillet</v>
          </cell>
          <cell r="J125" t="str">
            <v>Août</v>
          </cell>
          <cell r="K125" t="str">
            <v>Septembre</v>
          </cell>
          <cell r="L125" t="str">
            <v>Octobre</v>
          </cell>
          <cell r="M125" t="str">
            <v>Novembre</v>
          </cell>
          <cell r="N125" t="str">
            <v>Décembre</v>
          </cell>
        </row>
        <row r="133">
          <cell r="C133">
            <v>0.83027082516543083</v>
          </cell>
          <cell r="D133">
            <v>0.88244549430255503</v>
          </cell>
          <cell r="E133">
            <v>0.86555018655009497</v>
          </cell>
          <cell r="F133">
            <v>0.89874659142430435</v>
          </cell>
          <cell r="G133">
            <v>1.0799137496194018</v>
          </cell>
          <cell r="H133">
            <v>0.93821144364651454</v>
          </cell>
          <cell r="I133">
            <v>1.0983529458894041</v>
          </cell>
          <cell r="J133">
            <v>1.1412351056205059</v>
          </cell>
          <cell r="K133">
            <v>0.99750677050524084</v>
          </cell>
          <cell r="L133">
            <v>1.0585309038109245</v>
          </cell>
          <cell r="M133">
            <v>1.0447479338426933</v>
          </cell>
          <cell r="N133">
            <v>1.1644880496229328</v>
          </cell>
        </row>
        <row r="145">
          <cell r="C145" t="str">
            <v>Janvier</v>
          </cell>
          <cell r="D145" t="str">
            <v>Février</v>
          </cell>
          <cell r="E145" t="str">
            <v>Mars</v>
          </cell>
          <cell r="F145" t="str">
            <v>Avril</v>
          </cell>
          <cell r="G145" t="str">
            <v>Mai</v>
          </cell>
          <cell r="H145" t="str">
            <v>Juin</v>
          </cell>
          <cell r="I145" t="str">
            <v>Juillet</v>
          </cell>
          <cell r="J145" t="str">
            <v>Août</v>
          </cell>
          <cell r="K145" t="str">
            <v>Septembre</v>
          </cell>
          <cell r="L145" t="str">
            <v>Octobre</v>
          </cell>
          <cell r="M145" t="str">
            <v>Novembre</v>
          </cell>
          <cell r="N145" t="str">
            <v>Décembre</v>
          </cell>
        </row>
        <row r="153">
          <cell r="C153">
            <v>1.0008762013159345</v>
          </cell>
          <cell r="D153">
            <v>0.94476757614201523</v>
          </cell>
          <cell r="E153">
            <v>0.96701062852162101</v>
          </cell>
          <cell r="F153">
            <v>1.0624389691086056</v>
          </cell>
          <cell r="G153">
            <v>1.1571816314186563</v>
          </cell>
          <cell r="H153">
            <v>0.79424581509625769</v>
          </cell>
          <cell r="I153">
            <v>1.0410251236262296</v>
          </cell>
          <cell r="J153">
            <v>0.99424964015709394</v>
          </cell>
          <cell r="K153">
            <v>1.0436981623197537</v>
          </cell>
          <cell r="L153">
            <v>1.0313846560542017</v>
          </cell>
          <cell r="M153">
            <v>0.95069333283099233</v>
          </cell>
          <cell r="N153">
            <v>1.0124282634086377</v>
          </cell>
        </row>
        <row r="165">
          <cell r="C165" t="str">
            <v>Janvier</v>
          </cell>
          <cell r="D165" t="str">
            <v>Février</v>
          </cell>
          <cell r="E165" t="str">
            <v>Mars</v>
          </cell>
          <cell r="F165" t="str">
            <v>Avril</v>
          </cell>
          <cell r="G165" t="str">
            <v>Mai</v>
          </cell>
          <cell r="H165" t="str">
            <v>Juin</v>
          </cell>
          <cell r="I165" t="str">
            <v>Juillet</v>
          </cell>
          <cell r="J165" t="str">
            <v>Août</v>
          </cell>
          <cell r="K165" t="str">
            <v>Septembre</v>
          </cell>
          <cell r="L165" t="str">
            <v>Octobre</v>
          </cell>
          <cell r="M165" t="str">
            <v>Novembre</v>
          </cell>
          <cell r="N165" t="str">
            <v>Décembre</v>
          </cell>
        </row>
        <row r="173">
          <cell r="C173">
            <v>0.93040910885990247</v>
          </cell>
          <cell r="D173">
            <v>0.83840048142367174</v>
          </cell>
          <cell r="E173">
            <v>0.95330373619294362</v>
          </cell>
          <cell r="F173">
            <v>0.97390311445047351</v>
          </cell>
          <cell r="G173">
            <v>1.0456286836698332</v>
          </cell>
          <cell r="H173">
            <v>0.97526097608842299</v>
          </cell>
          <cell r="I173">
            <v>1.0500050871591906</v>
          </cell>
          <cell r="J173">
            <v>1.0671480903383033</v>
          </cell>
          <cell r="K173">
            <v>0.98143500322347477</v>
          </cell>
          <cell r="L173">
            <v>1.0698194516572808</v>
          </cell>
          <cell r="M173">
            <v>1.0246840536606088</v>
          </cell>
          <cell r="N173">
            <v>1.0900022132758942</v>
          </cell>
        </row>
        <row r="185">
          <cell r="C185" t="str">
            <v>Janvier</v>
          </cell>
          <cell r="D185" t="str">
            <v>Février</v>
          </cell>
          <cell r="E185" t="str">
            <v>Mars</v>
          </cell>
          <cell r="F185" t="str">
            <v>Avril</v>
          </cell>
          <cell r="G185" t="str">
            <v>Mai</v>
          </cell>
          <cell r="H185" t="str">
            <v>Juin</v>
          </cell>
          <cell r="I185" t="str">
            <v>Juillet</v>
          </cell>
          <cell r="J185" t="str">
            <v>Août</v>
          </cell>
          <cell r="K185" t="str">
            <v>Septembre</v>
          </cell>
          <cell r="L185" t="str">
            <v>Octobre</v>
          </cell>
          <cell r="M185" t="str">
            <v>Novembre</v>
          </cell>
          <cell r="N185" t="str">
            <v>Décembre</v>
          </cell>
        </row>
        <row r="193">
          <cell r="C193">
            <v>0.8125473404163478</v>
          </cell>
          <cell r="D193">
            <v>0.88426230025065544</v>
          </cell>
          <cell r="E193">
            <v>0.85170635692177876</v>
          </cell>
          <cell r="F193">
            <v>0.88432535824824865</v>
          </cell>
          <cell r="G193">
            <v>1.0649955296383846</v>
          </cell>
          <cell r="H193">
            <v>0.94444665481076218</v>
          </cell>
          <cell r="I193">
            <v>1.0842462354750781</v>
          </cell>
          <cell r="J193">
            <v>1.1721671006908603</v>
          </cell>
          <cell r="K193">
            <v>1.0250257674496117</v>
          </cell>
          <cell r="L193">
            <v>1.0414208468238662</v>
          </cell>
          <cell r="M193">
            <v>1.0538973220619665</v>
          </cell>
          <cell r="N193">
            <v>1.1809591872124385</v>
          </cell>
        </row>
      </sheetData>
      <sheetData sheetId="7"/>
    </sheetDataSet>
  </externalBook>
</externalLink>
</file>

<file path=xl/persons/person.xml><?xml version="1.0" encoding="utf-8"?>
<personList xmlns="http://schemas.microsoft.com/office/spreadsheetml/2018/threadedcomments" xmlns:x="http://schemas.openxmlformats.org/spreadsheetml/2006/main">
  <person displayName="BAMBA Adama [DEESP/PAA]" id="{2D5339AA-4A3E-460C-BF47-8E1FF372F464}" userId="S::adbamba@paa.ci::9a603a71-4ff7-4cc3-8bba-5033763f31bf" providerId="AD"/>
</personList>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24" dT="2024-10-22T17:41:35.04" personId="{2D5339AA-4A3E-460C-BF47-8E1FF372F464}" id="{5E342B3D-FBD5-4E4E-B288-64FD83A8D3E7}">
    <text>Constante 16 selon 2024</text>
  </threadedComment>
</ThreadedComments>
</file>

<file path=xl/threadedComments/threadedComment2.xml><?xml version="1.0" encoding="utf-8"?>
<ThreadedComments xmlns="http://schemas.microsoft.com/office/spreadsheetml/2018/threadedcomments" xmlns:x="http://schemas.openxmlformats.org/spreadsheetml/2006/main">
  <threadedComment ref="J67" dT="2024-10-17T15:26:51.72" personId="{2D5339AA-4A3E-460C-BF47-8E1FF372F464}" id="{DD8CC2F6-260A-4CF9-B4E3-3F15BA03E9A6}">
    <text>Part moyen produit peche national</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51905-181A-4461-A4CD-CF96628E0021}">
  <dimension ref="B1:M36"/>
  <sheetViews>
    <sheetView topLeftCell="C1" zoomScale="80" zoomScaleNormal="80" workbookViewId="0">
      <selection activeCell="G8" sqref="G8"/>
    </sheetView>
  </sheetViews>
  <sheetFormatPr baseColWidth="10" defaultColWidth="10.81640625" defaultRowHeight="14.5" x14ac:dyDescent="0.35"/>
  <cols>
    <col min="2" max="2" width="38.26953125" customWidth="1"/>
    <col min="3" max="3" width="24.26953125" customWidth="1"/>
    <col min="4" max="4" width="23.26953125" customWidth="1"/>
    <col min="5" max="5" width="22.81640625" customWidth="1"/>
    <col min="6" max="6" width="18.1796875" customWidth="1"/>
    <col min="7" max="11" width="23.26953125" customWidth="1"/>
    <col min="12" max="12" width="14.26953125" customWidth="1"/>
    <col min="13" max="13" width="155.7265625" customWidth="1"/>
  </cols>
  <sheetData>
    <row r="1" spans="2:13" ht="15" thickBot="1" x14ac:dyDescent="0.4"/>
    <row r="2" spans="2:13" ht="19.5" thickBot="1" x14ac:dyDescent="0.4">
      <c r="B2" s="1038" t="s">
        <v>190</v>
      </c>
      <c r="C2" s="1039"/>
      <c r="D2" s="1042" t="s">
        <v>268</v>
      </c>
      <c r="E2" s="1044" t="s">
        <v>255</v>
      </c>
      <c r="F2" s="1046" t="s">
        <v>212</v>
      </c>
      <c r="G2" s="1030" t="s">
        <v>254</v>
      </c>
      <c r="H2" s="1031"/>
      <c r="I2" s="1030" t="s">
        <v>256</v>
      </c>
      <c r="J2" s="1031"/>
      <c r="K2" s="1030" t="s">
        <v>257</v>
      </c>
      <c r="L2" s="1031"/>
      <c r="M2" s="102" t="s">
        <v>271</v>
      </c>
    </row>
    <row r="3" spans="2:13" ht="57.5" thickBot="1" x14ac:dyDescent="0.4">
      <c r="B3" s="1040"/>
      <c r="C3" s="1041"/>
      <c r="D3" s="1043"/>
      <c r="E3" s="1045"/>
      <c r="F3" s="1047"/>
      <c r="G3" s="97" t="s">
        <v>269</v>
      </c>
      <c r="H3" s="97" t="s">
        <v>270</v>
      </c>
      <c r="I3" s="97" t="s">
        <v>269</v>
      </c>
      <c r="J3" s="97" t="s">
        <v>270</v>
      </c>
      <c r="K3" s="97" t="s">
        <v>255</v>
      </c>
      <c r="L3" s="97" t="s">
        <v>270</v>
      </c>
      <c r="M3" s="102"/>
    </row>
    <row r="4" spans="2:13" ht="38" x14ac:dyDescent="0.45">
      <c r="B4" s="1032" t="s">
        <v>260</v>
      </c>
      <c r="C4" s="397" t="s">
        <v>191</v>
      </c>
      <c r="D4" s="31">
        <v>2331</v>
      </c>
      <c r="E4" s="31">
        <f>'NON-RESPECT_ENGA_TRANSBO_TC2'!D4</f>
        <v>2748</v>
      </c>
      <c r="F4" s="32">
        <f>(E4/D4-1)*100</f>
        <v>17.889317889317891</v>
      </c>
      <c r="G4" s="96">
        <f>SUM(G5:G7)</f>
        <v>586.69971462453839</v>
      </c>
      <c r="H4" s="385">
        <f>(G4/E4-1)*100</f>
        <v>-78.649937604638339</v>
      </c>
      <c r="I4" s="96">
        <f>SUM(I5:I7)</f>
        <v>586.69971462453839</v>
      </c>
      <c r="J4" s="385">
        <f>(I4/E4-1)*100</f>
        <v>-78.649937604638339</v>
      </c>
      <c r="K4" s="96" t="e">
        <f>SUM(K5:K7)</f>
        <v>#REF!</v>
      </c>
      <c r="L4" s="385" t="e">
        <f>(K4/E4-1)*100</f>
        <v>#REF!</v>
      </c>
      <c r="M4" s="103" t="s">
        <v>251</v>
      </c>
    </row>
    <row r="5" spans="2:13" ht="19" x14ac:dyDescent="0.35">
      <c r="B5" s="1032"/>
      <c r="C5" s="418" t="s">
        <v>192</v>
      </c>
      <c r="D5" s="33">
        <v>1700</v>
      </c>
      <c r="E5" s="33">
        <f>'NON-RESPECT_ENGA_TRANSBO_TC2'!D5</f>
        <v>2340</v>
      </c>
      <c r="F5" s="34">
        <f t="shared" ref="F5:F19" si="0">(E5/D5-1)*100</f>
        <v>37.647058823529413</v>
      </c>
      <c r="G5" s="33">
        <f>'NON-RESPECT_ENGA_TRANSBO_TC2'!G5</f>
        <v>404.32518038311906</v>
      </c>
      <c r="H5" s="386">
        <f t="shared" ref="H5:H26" si="1">(G5/E5-1)*100</f>
        <v>-82.721146137473539</v>
      </c>
      <c r="I5" s="33">
        <f>'NON-RESPECT_ENGA_TRANSBO_TC2'!I5</f>
        <v>404.32518038311906</v>
      </c>
      <c r="J5" s="386">
        <f t="shared" ref="J5:J26" si="2">(I5/E5-1)*100</f>
        <v>-82.721146137473539</v>
      </c>
      <c r="K5" s="33" t="e">
        <f>'NON-RESPECT_ENGA_TRANSBO_TC2'!#REF!</f>
        <v>#REF!</v>
      </c>
      <c r="L5" s="386" t="e">
        <f t="shared" ref="L5:L26" si="3">(K5/E5-1)*100</f>
        <v>#REF!</v>
      </c>
      <c r="M5" s="103" t="s">
        <v>250</v>
      </c>
    </row>
    <row r="6" spans="2:13" ht="19" x14ac:dyDescent="0.35">
      <c r="B6" s="1032"/>
      <c r="C6" s="420" t="s">
        <v>211</v>
      </c>
      <c r="D6" s="362">
        <v>631</v>
      </c>
      <c r="E6" s="362">
        <f>'NON-RESPECT_ENGA_TRANSBO_TC2'!D6</f>
        <v>408</v>
      </c>
      <c r="F6" s="363">
        <f t="shared" si="0"/>
        <v>-35.340729001584783</v>
      </c>
      <c r="G6" s="362">
        <f>'NON-RESPECT_ENGA_TRANSBO_TC2'!G6</f>
        <v>54.48647873667295</v>
      </c>
      <c r="H6" s="387">
        <f t="shared" si="1"/>
        <v>-86.645470897874276</v>
      </c>
      <c r="I6" s="33">
        <f>'NON-RESPECT_ENGA_TRANSBO_TC2'!I6</f>
        <v>54.48647873667295</v>
      </c>
      <c r="J6" s="387">
        <f t="shared" si="2"/>
        <v>-86.645470897874276</v>
      </c>
      <c r="K6" s="33" t="e">
        <f>'NON-RESPECT_ENGA_TRANSBO_TC2'!#REF!</f>
        <v>#REF!</v>
      </c>
      <c r="L6" s="387" t="e">
        <f t="shared" si="3"/>
        <v>#REF!</v>
      </c>
      <c r="M6" s="103" t="s">
        <v>250</v>
      </c>
    </row>
    <row r="7" spans="2:13" ht="19.5" thickBot="1" x14ac:dyDescent="0.4">
      <c r="B7" s="1033"/>
      <c r="C7" s="421" t="s">
        <v>247</v>
      </c>
      <c r="D7" s="382">
        <v>0</v>
      </c>
      <c r="E7" s="357">
        <f>267/6*450000/1027002.78360387</f>
        <v>19.49848658611225</v>
      </c>
      <c r="F7" s="382">
        <v>0</v>
      </c>
      <c r="G7" s="357">
        <f>302*486000/1147659.95479971</f>
        <v>127.88805550474635</v>
      </c>
      <c r="H7" s="382">
        <v>0</v>
      </c>
      <c r="I7" s="380">
        <f>G7</f>
        <v>127.88805550474635</v>
      </c>
      <c r="J7" s="392">
        <v>0</v>
      </c>
      <c r="K7" s="380">
        <f>G7</f>
        <v>127.88805550474635</v>
      </c>
      <c r="L7" s="392">
        <v>0</v>
      </c>
      <c r="M7" s="103" t="s">
        <v>277</v>
      </c>
    </row>
    <row r="8" spans="2:13" ht="19" x14ac:dyDescent="0.45">
      <c r="B8" s="1034" t="s">
        <v>225</v>
      </c>
      <c r="C8" s="358" t="s">
        <v>245</v>
      </c>
      <c r="D8" s="360">
        <v>28313868.736470032</v>
      </c>
      <c r="E8" s="360">
        <f>'NON-RESPECT_ENGA_TRANSBO_TC2'!D7</f>
        <v>46935601.110707201</v>
      </c>
      <c r="F8" s="361">
        <f t="shared" si="0"/>
        <v>65.768943649340343</v>
      </c>
      <c r="G8" s="360" t="e">
        <f>SUM(G11+G16+G22)</f>
        <v>#REF!</v>
      </c>
      <c r="H8" s="361" t="e">
        <f t="shared" si="1"/>
        <v>#REF!</v>
      </c>
      <c r="I8" s="360" t="e">
        <f>SUM(I11+I16+I22)</f>
        <v>#REF!</v>
      </c>
      <c r="J8" s="361" t="e">
        <f t="shared" si="2"/>
        <v>#REF!</v>
      </c>
      <c r="K8" s="360" t="e">
        <f>SUM(K11+K16+K22)</f>
        <v>#REF!</v>
      </c>
      <c r="L8" s="361" t="e">
        <f t="shared" si="3"/>
        <v>#REF!</v>
      </c>
      <c r="M8" s="103" t="s">
        <v>252</v>
      </c>
    </row>
    <row r="9" spans="2:13" ht="19.5" thickBot="1" x14ac:dyDescent="0.5">
      <c r="B9" s="1033"/>
      <c r="C9" s="412" t="s">
        <v>246</v>
      </c>
      <c r="D9" s="413">
        <v>30045959.536470033</v>
      </c>
      <c r="E9" s="413">
        <f>'NON-RESPECT_ENGA_TRANSBO_TC2'!D8</f>
        <v>50696078.710707121</v>
      </c>
      <c r="F9" s="405">
        <f t="shared" si="0"/>
        <v>68.728439673134091</v>
      </c>
      <c r="G9" s="413" t="e">
        <f>G12+G17+G23</f>
        <v>#REF!</v>
      </c>
      <c r="H9" s="405" t="e">
        <f t="shared" si="1"/>
        <v>#REF!</v>
      </c>
      <c r="I9" s="413" t="e">
        <f>I12+I17+I23</f>
        <v>#REF!</v>
      </c>
      <c r="J9" s="405" t="e">
        <f t="shared" si="2"/>
        <v>#REF!</v>
      </c>
      <c r="K9" s="413" t="e">
        <f>K12+K17+K23</f>
        <v>#REF!</v>
      </c>
      <c r="L9" s="405" t="e">
        <f t="shared" si="3"/>
        <v>#REF!</v>
      </c>
      <c r="M9" s="103" t="s">
        <v>253</v>
      </c>
    </row>
    <row r="10" spans="2:13" ht="19.5" thickBot="1" x14ac:dyDescent="0.4">
      <c r="B10" s="332" t="s">
        <v>226</v>
      </c>
      <c r="C10" s="410" t="s">
        <v>245</v>
      </c>
      <c r="D10" s="425">
        <v>418957.43351700006</v>
      </c>
      <c r="E10" s="360">
        <f>'NON-RESPECT_ENGA_TRANSBO_TC2'!D10</f>
        <v>991846.28500000143</v>
      </c>
      <c r="F10" s="405">
        <f t="shared" si="0"/>
        <v>136.74154118087878</v>
      </c>
      <c r="G10" s="413">
        <f>'NON-RESPECT_ENGA_TRANSBO_TC2'!G10</f>
        <v>199336.14573467185</v>
      </c>
      <c r="H10" s="411">
        <f t="shared" si="1"/>
        <v>-79.90251627199757</v>
      </c>
      <c r="I10" s="413">
        <f>'NON-RESPECT_ENGA_TRANSBO_TC2'!I10</f>
        <v>199336.14573467185</v>
      </c>
      <c r="J10" s="411">
        <f t="shared" si="2"/>
        <v>-79.90251627199757</v>
      </c>
      <c r="K10" s="413" t="e">
        <f>'NON-RESPECT_ENGA_TRANSBO_TC2'!#REF!</f>
        <v>#REF!</v>
      </c>
      <c r="L10" s="411" t="e">
        <f t="shared" si="3"/>
        <v>#REF!</v>
      </c>
      <c r="M10" s="103" t="s">
        <v>250</v>
      </c>
    </row>
    <row r="11" spans="2:13" ht="19" x14ac:dyDescent="0.35">
      <c r="B11" s="1023" t="s">
        <v>229</v>
      </c>
      <c r="C11" s="407" t="s">
        <v>245</v>
      </c>
      <c r="D11" s="408">
        <v>24908064.545171045</v>
      </c>
      <c r="E11" s="408">
        <f>'NON-RESPECT_ENGA_TRANSBO_TC2'!D11</f>
        <v>34475187.967271112</v>
      </c>
      <c r="F11" s="361">
        <f>(E11/D11-1)*100</f>
        <v>38.409742373800192</v>
      </c>
      <c r="G11" s="408">
        <f>'NON-RESPECT_ENGA_TRANSBO_TC2'!G11</f>
        <v>0</v>
      </c>
      <c r="H11" s="409">
        <f>(G11/E11-1)*100</f>
        <v>-100</v>
      </c>
      <c r="I11" s="408">
        <f>'NON-RESPECT_ENGA_TRANSBO_TC2'!I11</f>
        <v>0</v>
      </c>
      <c r="J11" s="409">
        <f>(I11/E11-1)*100</f>
        <v>-100</v>
      </c>
      <c r="K11" s="408" t="e">
        <f>'NON-RESPECT_ENGA_TRANSBO_TC2'!#REF!</f>
        <v>#REF!</v>
      </c>
      <c r="L11" s="409" t="e">
        <f>(K11/E11-1)*100</f>
        <v>#REF!</v>
      </c>
      <c r="M11" s="103" t="s">
        <v>250</v>
      </c>
    </row>
    <row r="12" spans="2:13" ht="19.5" thickBot="1" x14ac:dyDescent="0.4">
      <c r="B12" s="1035"/>
      <c r="C12" s="403" t="s">
        <v>246</v>
      </c>
      <c r="D12" s="404">
        <v>26499454.345171042</v>
      </c>
      <c r="E12" s="404">
        <f>'NON-RESPECT_ENGA_TRANSBO_TC2'!D12</f>
        <v>36923644.967271119</v>
      </c>
      <c r="F12" s="405">
        <f>(E12/D12-1)*100</f>
        <v>39.337378371338659</v>
      </c>
      <c r="G12" s="404">
        <f>'NON-RESPECT_ENGA_TRANSBO_TC2'!G12</f>
        <v>0</v>
      </c>
      <c r="H12" s="406">
        <f>(G12/E12-1)*100</f>
        <v>-100</v>
      </c>
      <c r="I12" s="404">
        <f>'NON-RESPECT_ENGA_TRANSBO_TC2'!I12</f>
        <v>0</v>
      </c>
      <c r="J12" s="406">
        <f>(I12/E12-1)*100</f>
        <v>-100</v>
      </c>
      <c r="K12" s="404" t="e">
        <f>'NON-RESPECT_ENGA_TRANSBO_TC2'!#REF!</f>
        <v>#REF!</v>
      </c>
      <c r="L12" s="406" t="e">
        <f>(K12/E12-1)*100</f>
        <v>#REF!</v>
      </c>
      <c r="M12" s="103" t="s">
        <v>250</v>
      </c>
    </row>
    <row r="13" spans="2:13" ht="38" x14ac:dyDescent="0.35">
      <c r="B13" s="416" t="s">
        <v>235</v>
      </c>
      <c r="C13" s="367" t="s">
        <v>245</v>
      </c>
      <c r="D13" s="368">
        <v>17471974.890980043</v>
      </c>
      <c r="E13" s="368">
        <f>'NON-RESPECT_ENGA_TRANSBO_TC2'!D13</f>
        <v>22223124.084399115</v>
      </c>
      <c r="F13" s="369">
        <f>(E13/D13-1)*100</f>
        <v>27.192971733675432</v>
      </c>
      <c r="G13" s="368">
        <f>'NON-RESPECT_ENGA_TRANSBO_TC2'!G13</f>
        <v>0</v>
      </c>
      <c r="H13" s="388">
        <f>(G13/E13-1)*100</f>
        <v>-100</v>
      </c>
      <c r="I13" s="368">
        <f>'NON-RESPECT_ENGA_TRANSBO_TC2'!I13</f>
        <v>0</v>
      </c>
      <c r="J13" s="388">
        <f>(I13/E13-1)*100</f>
        <v>-100</v>
      </c>
      <c r="K13" s="368" t="e">
        <f>'NON-RESPECT_ENGA_TRANSBO_TC2'!#REF!</f>
        <v>#REF!</v>
      </c>
      <c r="L13" s="388" t="e">
        <f>(K13/E13-1)*100</f>
        <v>#REF!</v>
      </c>
      <c r="M13" s="103" t="s">
        <v>250</v>
      </c>
    </row>
    <row r="14" spans="2:13" ht="38" x14ac:dyDescent="0.35">
      <c r="B14" s="417" t="s">
        <v>234</v>
      </c>
      <c r="C14" s="370" t="s">
        <v>245</v>
      </c>
      <c r="D14" s="371">
        <v>6702986.537095</v>
      </c>
      <c r="E14" s="371">
        <f>'NON-RESPECT_ENGA_TRANSBO_TC2'!D14</f>
        <v>11341874.933871999</v>
      </c>
      <c r="F14" s="372">
        <f>(E14/D14-1)*100</f>
        <v>69.206291421069182</v>
      </c>
      <c r="G14" s="371">
        <f>'NON-RESPECT_ENGA_TRANSBO_TC2'!G14</f>
        <v>0</v>
      </c>
      <c r="H14" s="390">
        <f>(G14/E14-1)*100</f>
        <v>-100</v>
      </c>
      <c r="I14" s="371">
        <f>'NON-RESPECT_ENGA_TRANSBO_TC2'!I14</f>
        <v>0</v>
      </c>
      <c r="J14" s="390">
        <f>(I14/E14-1)*100</f>
        <v>-100</v>
      </c>
      <c r="K14" s="371" t="e">
        <f>'NON-RESPECT_ENGA_TRANSBO_TC2'!#REF!</f>
        <v>#REF!</v>
      </c>
      <c r="L14" s="390" t="e">
        <f>(K14/E14-1)*100</f>
        <v>#REF!</v>
      </c>
      <c r="M14" s="103" t="s">
        <v>250</v>
      </c>
    </row>
    <row r="15" spans="2:13" ht="38.5" thickBot="1" x14ac:dyDescent="0.4">
      <c r="B15" s="393" t="s">
        <v>233</v>
      </c>
      <c r="C15" s="364" t="s">
        <v>245</v>
      </c>
      <c r="D15" s="365">
        <v>733103.11709600047</v>
      </c>
      <c r="E15" s="365">
        <f>'NON-RESPECT_ENGA_TRANSBO_TC2'!D15</f>
        <v>910188.94900000072</v>
      </c>
      <c r="F15" s="366">
        <f>(E15/D15-1)*100</f>
        <v>24.155651200267748</v>
      </c>
      <c r="G15" s="374">
        <f>'NON-RESPECT_ENGA_TRANSBO_TC2'!G15</f>
        <v>0</v>
      </c>
      <c r="H15" s="391">
        <f>(G15/E15-1)*100</f>
        <v>-100</v>
      </c>
      <c r="I15" s="374">
        <f>'NON-RESPECT_ENGA_TRANSBO_TC2'!I15</f>
        <v>0</v>
      </c>
      <c r="J15" s="391">
        <f>(I15/E15-1)*100</f>
        <v>-100</v>
      </c>
      <c r="K15" s="374" t="e">
        <f>'NON-RESPECT_ENGA_TRANSBO_TC2'!#REF!</f>
        <v>#REF!</v>
      </c>
      <c r="L15" s="391" t="e">
        <f>(K15/E15-1)*100</f>
        <v>#REF!</v>
      </c>
      <c r="M15" s="103" t="s">
        <v>250</v>
      </c>
    </row>
    <row r="16" spans="2:13" ht="19.5" thickBot="1" x14ac:dyDescent="0.4">
      <c r="B16" s="1036" t="s">
        <v>230</v>
      </c>
      <c r="C16" s="407" t="s">
        <v>245</v>
      </c>
      <c r="D16" s="408">
        <v>2935723.9163569999</v>
      </c>
      <c r="E16" s="408">
        <f>'NON-RESPECT_ENGA_TRANSBO_TC2'!D16</f>
        <v>3938707.5156020042</v>
      </c>
      <c r="F16" s="361">
        <f t="shared" si="0"/>
        <v>34.164779380536146</v>
      </c>
      <c r="G16" s="408">
        <f>'NON-RESPECT_ENGA_TRANSBO_TC2'!G16</f>
        <v>0</v>
      </c>
      <c r="H16" s="409">
        <f t="shared" si="1"/>
        <v>-100</v>
      </c>
      <c r="I16" s="408">
        <f>'NON-RESPECT_ENGA_TRANSBO_TC2'!I16</f>
        <v>0</v>
      </c>
      <c r="J16" s="409">
        <f t="shared" si="2"/>
        <v>-100</v>
      </c>
      <c r="K16" s="408" t="e">
        <f>'NON-RESPECT_ENGA_TRANSBO_TC2'!#REF!</f>
        <v>#REF!</v>
      </c>
      <c r="L16" s="409" t="e">
        <f t="shared" si="3"/>
        <v>#REF!</v>
      </c>
      <c r="M16" s="103" t="s">
        <v>250</v>
      </c>
    </row>
    <row r="17" spans="2:13" ht="19.5" thickBot="1" x14ac:dyDescent="0.4">
      <c r="B17" s="1035"/>
      <c r="C17" s="403" t="s">
        <v>246</v>
      </c>
      <c r="D17" s="404">
        <v>3039264.7163569992</v>
      </c>
      <c r="E17" s="408">
        <f>'NON-RESPECT_ENGA_TRANSBO_TC2'!D17</f>
        <v>4102097.1156020048</v>
      </c>
      <c r="F17" s="101">
        <f t="shared" si="0"/>
        <v>34.970050273178074</v>
      </c>
      <c r="G17" s="404">
        <f>'NON-RESPECT_ENGA_TRANSBO_TC2'!G17</f>
        <v>0</v>
      </c>
      <c r="H17" s="406">
        <f t="shared" si="1"/>
        <v>-100</v>
      </c>
      <c r="I17" s="404">
        <f>'NON-RESPECT_ENGA_TRANSBO_TC2'!I17</f>
        <v>0</v>
      </c>
      <c r="J17" s="406">
        <f t="shared" si="2"/>
        <v>-100</v>
      </c>
      <c r="K17" s="404" t="e">
        <f>'NON-RESPECT_ENGA_TRANSBO_TC2'!#REF!</f>
        <v>#REF!</v>
      </c>
      <c r="L17" s="406" t="e">
        <f t="shared" si="3"/>
        <v>#REF!</v>
      </c>
      <c r="M17" s="103" t="s">
        <v>250</v>
      </c>
    </row>
    <row r="18" spans="2:13" ht="19" x14ac:dyDescent="0.35">
      <c r="B18" s="1037" t="s">
        <v>227</v>
      </c>
      <c r="C18" s="367" t="s">
        <v>245</v>
      </c>
      <c r="D18" s="368">
        <v>2243059.2663559997</v>
      </c>
      <c r="E18" s="368">
        <f>'NON-RESPECT_ENGA_TRANSBO_TC2'!D18</f>
        <v>2366684.9098220044</v>
      </c>
      <c r="F18" s="369">
        <f t="shared" si="0"/>
        <v>5.5114746774766576</v>
      </c>
      <c r="G18" s="368">
        <f>'NON-RESPECT_ENGA_TRANSBO_TC2'!G18</f>
        <v>0</v>
      </c>
      <c r="H18" s="388">
        <f t="shared" si="1"/>
        <v>-100</v>
      </c>
      <c r="I18" s="368">
        <f>'NON-RESPECT_ENGA_TRANSBO_TC2'!I18</f>
        <v>0</v>
      </c>
      <c r="J18" s="388">
        <f t="shared" si="2"/>
        <v>-100</v>
      </c>
      <c r="K18" s="368" t="e">
        <f>'NON-RESPECT_ENGA_TRANSBO_TC2'!#REF!</f>
        <v>#REF!</v>
      </c>
      <c r="L18" s="388" t="e">
        <f t="shared" si="3"/>
        <v>#REF!</v>
      </c>
      <c r="M18" s="103" t="s">
        <v>250</v>
      </c>
    </row>
    <row r="19" spans="2:13" ht="19" x14ac:dyDescent="0.35">
      <c r="B19" s="1026"/>
      <c r="C19" s="370" t="s">
        <v>246</v>
      </c>
      <c r="D19" s="374">
        <v>2316407.2663560002</v>
      </c>
      <c r="E19" s="371">
        <f>'NON-RESPECT_ENGA_TRANSBO_TC2'!D19</f>
        <v>2456519.7098220047</v>
      </c>
      <c r="F19" s="372">
        <f t="shared" si="0"/>
        <v>6.0486964231647899</v>
      </c>
      <c r="G19" s="371">
        <f>'NON-RESPECT_ENGA_TRANSBO_TC2'!G19</f>
        <v>0</v>
      </c>
      <c r="H19" s="390">
        <f t="shared" si="1"/>
        <v>-100</v>
      </c>
      <c r="I19" s="371">
        <f>'NON-RESPECT_ENGA_TRANSBO_TC2'!I19</f>
        <v>0</v>
      </c>
      <c r="J19" s="390">
        <f t="shared" si="2"/>
        <v>-100</v>
      </c>
      <c r="K19" s="371" t="e">
        <f>'NON-RESPECT_ENGA_TRANSBO_TC2'!#REF!</f>
        <v>#REF!</v>
      </c>
      <c r="L19" s="390" t="e">
        <f t="shared" si="3"/>
        <v>#REF!</v>
      </c>
      <c r="M19" s="103" t="s">
        <v>250</v>
      </c>
    </row>
    <row r="20" spans="2:13" ht="19" x14ac:dyDescent="0.35">
      <c r="B20" s="1021" t="s">
        <v>228</v>
      </c>
      <c r="C20" s="377" t="s">
        <v>245</v>
      </c>
      <c r="D20" s="374">
        <v>688408.3593509997</v>
      </c>
      <c r="E20" s="374">
        <f>'NON-RESPECT_ENGA_TRANSBO_TC2'!D20</f>
        <v>1528914.9797800002</v>
      </c>
      <c r="F20" s="379">
        <f>(E20/D20-1)*100</f>
        <v>122.09419147980599</v>
      </c>
      <c r="G20" s="374">
        <f>'NON-RESPECT_ENGA_TRANSBO_TC2'!G20</f>
        <v>0</v>
      </c>
      <c r="H20" s="391">
        <f t="shared" si="1"/>
        <v>-100</v>
      </c>
      <c r="I20" s="374">
        <f>'NON-RESPECT_ENGA_TRANSBO_TC2'!I20</f>
        <v>0</v>
      </c>
      <c r="J20" s="391">
        <f t="shared" si="2"/>
        <v>-100</v>
      </c>
      <c r="K20" s="374" t="e">
        <f>'NON-RESPECT_ENGA_TRANSBO_TC2'!#REF!</f>
        <v>#REF!</v>
      </c>
      <c r="L20" s="391" t="e">
        <f t="shared" si="3"/>
        <v>#REF!</v>
      </c>
      <c r="M20" s="103" t="s">
        <v>250</v>
      </c>
    </row>
    <row r="21" spans="2:13" ht="19.5" thickBot="1" x14ac:dyDescent="0.4">
      <c r="B21" s="1022"/>
      <c r="C21" s="364" t="s">
        <v>246</v>
      </c>
      <c r="D21" s="365">
        <v>717848.75935099961</v>
      </c>
      <c r="E21" s="365">
        <f>'NON-RESPECT_ENGA_TRANSBO_TC2'!D21</f>
        <v>1599820.9797799999</v>
      </c>
      <c r="F21" s="383">
        <f>(E21/D21-1)*100</f>
        <v>122.86323671108428</v>
      </c>
      <c r="G21" s="365">
        <f>'NON-RESPECT_ENGA_TRANSBO_TC2'!G21</f>
        <v>0</v>
      </c>
      <c r="H21" s="389">
        <f t="shared" si="1"/>
        <v>-100</v>
      </c>
      <c r="I21" s="365">
        <f>'NON-RESPECT_ENGA_TRANSBO_TC2'!I21</f>
        <v>0</v>
      </c>
      <c r="J21" s="389">
        <f t="shared" si="2"/>
        <v>-100</v>
      </c>
      <c r="K21" s="365" t="e">
        <f>'NON-RESPECT_ENGA_TRANSBO_TC2'!#REF!</f>
        <v>#REF!</v>
      </c>
      <c r="L21" s="389" t="e">
        <f t="shared" si="3"/>
        <v>#REF!</v>
      </c>
      <c r="M21" s="103" t="s">
        <v>250</v>
      </c>
    </row>
    <row r="22" spans="2:13" ht="17.25" customHeight="1" x14ac:dyDescent="0.35">
      <c r="B22" s="1023" t="s">
        <v>258</v>
      </c>
      <c r="C22" s="407" t="s">
        <v>245</v>
      </c>
      <c r="D22" s="408">
        <v>470080.27494199999</v>
      </c>
      <c r="E22" s="408" t="e">
        <f>E24+E26</f>
        <v>#REF!</v>
      </c>
      <c r="F22" s="361" t="e">
        <f>(E22/D22-1)*100</f>
        <v>#REF!</v>
      </c>
      <c r="G22" s="408" t="e">
        <f>G24+G26</f>
        <v>#REF!</v>
      </c>
      <c r="H22" s="409" t="e">
        <f t="shared" si="1"/>
        <v>#REF!</v>
      </c>
      <c r="I22" s="408" t="e">
        <f>I24+I26</f>
        <v>#REF!</v>
      </c>
      <c r="J22" s="409" t="e">
        <f t="shared" si="2"/>
        <v>#REF!</v>
      </c>
      <c r="K22" s="408" t="e">
        <f>K24+K26</f>
        <v>#REF!</v>
      </c>
      <c r="L22" s="409" t="e">
        <f t="shared" si="3"/>
        <v>#REF!</v>
      </c>
      <c r="M22" s="103" t="s">
        <v>251</v>
      </c>
    </row>
    <row r="23" spans="2:13" ht="19.5" thickBot="1" x14ac:dyDescent="0.4">
      <c r="B23" s="1024"/>
      <c r="C23" s="403" t="s">
        <v>246</v>
      </c>
      <c r="D23" s="404">
        <v>507240.474942</v>
      </c>
      <c r="E23" s="404" t="e">
        <f>E25+E26</f>
        <v>#REF!</v>
      </c>
      <c r="F23" s="405" t="e">
        <f>(E23/D23-1)*100</f>
        <v>#REF!</v>
      </c>
      <c r="G23" s="404" t="e">
        <f>G25+G26</f>
        <v>#REF!</v>
      </c>
      <c r="H23" s="406" t="e">
        <f t="shared" si="1"/>
        <v>#REF!</v>
      </c>
      <c r="I23" s="404" t="e">
        <f>I25+I26</f>
        <v>#REF!</v>
      </c>
      <c r="J23" s="406" t="e">
        <f t="shared" si="2"/>
        <v>#REF!</v>
      </c>
      <c r="K23" s="404" t="e">
        <f>K25+K26</f>
        <v>#REF!</v>
      </c>
      <c r="L23" s="406" t="e">
        <f t="shared" si="3"/>
        <v>#REF!</v>
      </c>
      <c r="M23" s="103" t="s">
        <v>251</v>
      </c>
    </row>
    <row r="24" spans="2:13" ht="17.25" customHeight="1" x14ac:dyDescent="0.35">
      <c r="B24" s="1025" t="s">
        <v>248</v>
      </c>
      <c r="C24" s="367" t="s">
        <v>245</v>
      </c>
      <c r="D24" s="374">
        <v>207329.63384999998</v>
      </c>
      <c r="E24" s="374" t="e">
        <f>'NON-RESPECT_ENGA_TRANSBO_TC2'!D22*#REF!+14*264705.882352941/6</f>
        <v>#REF!</v>
      </c>
      <c r="F24" s="379" t="e">
        <f t="shared" ref="F24:F26" si="4">(E24/D24-1)*100</f>
        <v>#REF!</v>
      </c>
      <c r="G24" s="374">
        <f>14*285882.352941176</f>
        <v>4002352.9411764638</v>
      </c>
      <c r="H24" s="391" t="e">
        <f t="shared" si="1"/>
        <v>#REF!</v>
      </c>
      <c r="I24" s="374">
        <f>G24</f>
        <v>4002352.9411764638</v>
      </c>
      <c r="J24" s="391" t="e">
        <f t="shared" si="2"/>
        <v>#REF!</v>
      </c>
      <c r="K24" s="374">
        <f>G24</f>
        <v>4002352.9411764638</v>
      </c>
      <c r="L24" s="391" t="e">
        <f t="shared" si="3"/>
        <v>#REF!</v>
      </c>
      <c r="M24" s="375" t="s">
        <v>276</v>
      </c>
    </row>
    <row r="25" spans="2:13" ht="19" x14ac:dyDescent="0.35">
      <c r="B25" s="1026"/>
      <c r="C25" s="377" t="s">
        <v>246</v>
      </c>
      <c r="D25" s="374">
        <v>244489.83385</v>
      </c>
      <c r="E25" s="374" t="e">
        <f>#REF!+E24+264705.882352941/6*2.2</f>
        <v>#REF!</v>
      </c>
      <c r="F25" s="379" t="e">
        <f t="shared" si="4"/>
        <v>#REF!</v>
      </c>
      <c r="G25" s="374">
        <f>G24+285882.352941176*2.2</f>
        <v>4631294.1176470509</v>
      </c>
      <c r="H25" s="391" t="e">
        <f t="shared" si="1"/>
        <v>#REF!</v>
      </c>
      <c r="I25" s="374">
        <f>G25</f>
        <v>4631294.1176470509</v>
      </c>
      <c r="J25" s="391" t="e">
        <f t="shared" si="2"/>
        <v>#REF!</v>
      </c>
      <c r="K25" s="374">
        <f>G25</f>
        <v>4631294.1176470509</v>
      </c>
      <c r="L25" s="391" t="e">
        <f t="shared" si="3"/>
        <v>#REF!</v>
      </c>
      <c r="M25" s="103" t="s">
        <v>275</v>
      </c>
    </row>
    <row r="26" spans="2:13" ht="36" customHeight="1" thickBot="1" x14ac:dyDescent="0.4">
      <c r="B26" s="394" t="s">
        <v>249</v>
      </c>
      <c r="C26" s="376" t="s">
        <v>245</v>
      </c>
      <c r="D26" s="378">
        <v>262750.64109200001</v>
      </c>
      <c r="E26" s="380" t="e">
        <f>'NON-RESPECT_ENGA_TRANSBO_TC2'!D22*#REF!</f>
        <v>#REF!</v>
      </c>
      <c r="F26" s="366" t="e">
        <f t="shared" si="4"/>
        <v>#REF!</v>
      </c>
      <c r="G26" s="380" t="e">
        <f>'NON-RESPECT_ENGA_TRANSBO_TC2'!G22*#REF!</f>
        <v>#REF!</v>
      </c>
      <c r="H26" s="396" t="e">
        <f t="shared" si="1"/>
        <v>#REF!</v>
      </c>
      <c r="I26" s="380" t="e">
        <f>'NON-RESPECT_ENGA_TRANSBO_TC2'!I22*#REF!</f>
        <v>#REF!</v>
      </c>
      <c r="J26" s="396" t="e">
        <f t="shared" si="2"/>
        <v>#REF!</v>
      </c>
      <c r="K26" s="380" t="e">
        <f>'NON-RESPECT_ENGA_TRANSBO_TC2'!#REF!*#REF!</f>
        <v>#REF!</v>
      </c>
      <c r="L26" s="396" t="e">
        <f t="shared" si="3"/>
        <v>#REF!</v>
      </c>
      <c r="M26" s="375" t="s">
        <v>272</v>
      </c>
    </row>
    <row r="27" spans="2:13" ht="19" x14ac:dyDescent="0.35">
      <c r="B27" s="1027" t="s">
        <v>259</v>
      </c>
      <c r="C27" s="373" t="s">
        <v>193</v>
      </c>
      <c r="D27" s="31">
        <v>787314</v>
      </c>
      <c r="E27" s="398" t="e">
        <f>#REF!+#REF!+#REF!+1027002.78360387/6</f>
        <v>#REF!</v>
      </c>
      <c r="F27" s="399" t="e">
        <f>(E27/D27-1)*100</f>
        <v>#REF!</v>
      </c>
      <c r="G27" s="398">
        <f>G28+G29</f>
        <v>486000</v>
      </c>
      <c r="H27" s="400" t="e">
        <f>(G27/E27-1)*100</f>
        <v>#REF!</v>
      </c>
      <c r="I27" s="398">
        <f>I28+I29</f>
        <v>486000</v>
      </c>
      <c r="J27" s="400" t="e">
        <f>(I27/E27-1)*100</f>
        <v>#REF!</v>
      </c>
      <c r="K27" s="398" t="e">
        <f>K28+K29</f>
        <v>#REF!</v>
      </c>
      <c r="L27" s="400" t="e">
        <f>(K27/E27-1)*100</f>
        <v>#REF!</v>
      </c>
      <c r="M27" s="103" t="s">
        <v>274</v>
      </c>
    </row>
    <row r="28" spans="2:13" ht="19" x14ac:dyDescent="0.35">
      <c r="B28" s="1028"/>
      <c r="C28" s="414" t="s">
        <v>194</v>
      </c>
      <c r="D28" s="33">
        <v>770423</v>
      </c>
      <c r="E28" s="33" t="e">
        <f>E27-E29</f>
        <v>#REF!</v>
      </c>
      <c r="F28" s="34" t="e">
        <f>(E28/D28-1)*100</f>
        <v>#REF!</v>
      </c>
      <c r="G28" s="33">
        <f>'NON-RESPECT_ENGA_TRANSBO_TC2'!G28</f>
        <v>0</v>
      </c>
      <c r="H28" s="386" t="e">
        <f>(G28/E28-1)*100</f>
        <v>#REF!</v>
      </c>
      <c r="I28" s="33">
        <f>'NON-RESPECT_ENGA_TRANSBO_TC2'!I28</f>
        <v>0</v>
      </c>
      <c r="J28" s="386" t="e">
        <f>(I28/E28-1)*100</f>
        <v>#REF!</v>
      </c>
      <c r="K28" s="33" t="e">
        <f>'NON-RESPECT_ENGA_TRANSBO_TC2'!#REF!</f>
        <v>#REF!</v>
      </c>
      <c r="L28" s="386" t="e">
        <f>(K28/E28-1)*100</f>
        <v>#REF!</v>
      </c>
      <c r="M28" s="103" t="s">
        <v>278</v>
      </c>
    </row>
    <row r="29" spans="2:13" ht="19.5" thickBot="1" x14ac:dyDescent="0.4">
      <c r="B29" s="1029"/>
      <c r="C29" s="415" t="s">
        <v>195</v>
      </c>
      <c r="D29" s="38">
        <v>16891</v>
      </c>
      <c r="E29" s="36" t="e">
        <f>#REF!+264705.882352941/6+185294.117647059/6</f>
        <v>#REF!</v>
      </c>
      <c r="F29" s="401" t="e">
        <f>(E29/D29-1)*100</f>
        <v>#REF!</v>
      </c>
      <c r="G29" s="36">
        <f>285882.352941176+200117.647058824</f>
        <v>486000</v>
      </c>
      <c r="H29" s="402" t="e">
        <f>(G29/E29-1)*100</f>
        <v>#REF!</v>
      </c>
      <c r="I29" s="36">
        <f>G29</f>
        <v>486000</v>
      </c>
      <c r="J29" s="402" t="e">
        <f>(I29/E29-1)*100</f>
        <v>#REF!</v>
      </c>
      <c r="K29" s="36">
        <f>G29</f>
        <v>486000</v>
      </c>
      <c r="L29" s="402" t="e">
        <f>(K29/E29-1)*100</f>
        <v>#REF!</v>
      </c>
      <c r="M29" s="103" t="s">
        <v>273</v>
      </c>
    </row>
    <row r="36" spans="6:6" x14ac:dyDescent="0.35">
      <c r="F36" s="435"/>
    </row>
  </sheetData>
  <mergeCells count="16">
    <mergeCell ref="B20:B21"/>
    <mergeCell ref="B22:B23"/>
    <mergeCell ref="B24:B25"/>
    <mergeCell ref="B27:B29"/>
    <mergeCell ref="K2:L2"/>
    <mergeCell ref="B4:B7"/>
    <mergeCell ref="B8:B9"/>
    <mergeCell ref="B11:B12"/>
    <mergeCell ref="B16:B17"/>
    <mergeCell ref="B18:B19"/>
    <mergeCell ref="B2:C3"/>
    <mergeCell ref="D2:D3"/>
    <mergeCell ref="E2:E3"/>
    <mergeCell ref="F2:F3"/>
    <mergeCell ref="G2:H2"/>
    <mergeCell ref="I2:J2"/>
  </mergeCells>
  <pageMargins left="0.7" right="0.7" top="0.75" bottom="0.75" header="0.3" footer="0.3"/>
  <pageSetup paperSize="9" orientation="portrait" r:id="rId1"/>
  <ignoredErrors>
    <ignoredError sqref="H22:H23 J22:J23 H4 J4 H8:H9 J8:J9 H27 F22:F23 J27 F8:F9" formula="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O45"/>
  <sheetViews>
    <sheetView zoomScale="50" zoomScaleNormal="50" workbookViewId="0">
      <selection activeCell="F4" sqref="F4"/>
    </sheetView>
  </sheetViews>
  <sheetFormatPr baseColWidth="10" defaultColWidth="10.81640625" defaultRowHeight="14.5" x14ac:dyDescent="0.35"/>
  <cols>
    <col min="2" max="2" width="80" customWidth="1"/>
    <col min="3" max="3" width="32.08984375" customWidth="1"/>
    <col min="4" max="4" width="27.54296875" customWidth="1"/>
    <col min="5" max="6" width="22.81640625" customWidth="1"/>
    <col min="7" max="11" width="23.26953125" hidden="1" customWidth="1"/>
    <col min="12" max="12" width="23" hidden="1" customWidth="1"/>
    <col min="13" max="13" width="23.26953125" hidden="1" customWidth="1"/>
    <col min="14" max="14" width="23" hidden="1" customWidth="1"/>
    <col min="15" max="15" width="214.26953125" bestFit="1" customWidth="1"/>
  </cols>
  <sheetData>
    <row r="1" spans="2:15" ht="15" thickBot="1" x14ac:dyDescent="0.4">
      <c r="G1" s="20"/>
    </row>
    <row r="2" spans="2:15" ht="19.5" customHeight="1" thickBot="1" x14ac:dyDescent="0.4">
      <c r="B2" s="1046" t="s">
        <v>190</v>
      </c>
      <c r="C2" s="1042"/>
      <c r="D2" s="1050" t="s">
        <v>499</v>
      </c>
      <c r="E2" s="1050" t="s">
        <v>416</v>
      </c>
      <c r="F2" s="1051" t="s">
        <v>417</v>
      </c>
      <c r="G2" s="1030" t="s">
        <v>254</v>
      </c>
      <c r="H2" s="1031"/>
      <c r="I2" s="1030" t="s">
        <v>256</v>
      </c>
      <c r="J2" s="1031"/>
      <c r="K2" s="1030" t="s">
        <v>257</v>
      </c>
      <c r="L2" s="1031"/>
      <c r="M2" s="1030" t="s">
        <v>257</v>
      </c>
      <c r="N2" s="1031"/>
      <c r="O2" s="1048" t="s">
        <v>355</v>
      </c>
    </row>
    <row r="3" spans="2:15" ht="57" customHeight="1" thickBot="1" x14ac:dyDescent="0.4">
      <c r="B3" s="1047"/>
      <c r="C3" s="1043"/>
      <c r="D3" s="1045"/>
      <c r="E3" s="1045"/>
      <c r="F3" s="1047"/>
      <c r="G3" s="97" t="s">
        <v>416</v>
      </c>
      <c r="H3" s="97" t="s">
        <v>417</v>
      </c>
      <c r="I3" s="97" t="s">
        <v>416</v>
      </c>
      <c r="J3" s="97" t="s">
        <v>417</v>
      </c>
      <c r="K3" s="97" t="s">
        <v>416</v>
      </c>
      <c r="L3" s="97" t="s">
        <v>417</v>
      </c>
      <c r="M3" s="97" t="s">
        <v>468</v>
      </c>
      <c r="N3" s="97" t="s">
        <v>469</v>
      </c>
      <c r="O3" s="1048"/>
    </row>
    <row r="4" spans="2:15" ht="19" x14ac:dyDescent="0.45">
      <c r="B4" s="1023" t="s">
        <v>260</v>
      </c>
      <c r="C4" s="30" t="s">
        <v>191</v>
      </c>
      <c r="D4" s="31">
        <f>'Trafic mens2025'!O52</f>
        <v>2748</v>
      </c>
      <c r="E4" s="96">
        <f>ANNUEL!N6</f>
        <v>2858.4504016024534</v>
      </c>
      <c r="F4" s="32">
        <f>(E4/D4-1)*100</f>
        <v>4.0193013683571088</v>
      </c>
      <c r="G4" s="96">
        <f>G7/REPARTITION!J19</f>
        <v>458.81165911979201</v>
      </c>
      <c r="H4" s="32">
        <f>(G4/E4-1)*100</f>
        <v>-83.948937548030173</v>
      </c>
      <c r="I4" s="96">
        <f>I7/REPARTITION!J19</f>
        <v>458.81165911979201</v>
      </c>
      <c r="J4" s="32">
        <f>(I4/E4-1)*100</f>
        <v>-83.948937548030173</v>
      </c>
      <c r="K4" s="96">
        <f>K7/REPARTITION!J19</f>
        <v>458.81165911979201</v>
      </c>
      <c r="L4" s="32">
        <f>(K4/E4-1)*100</f>
        <v>-83.948937548030173</v>
      </c>
      <c r="M4" s="96">
        <f>M7/REPARTITION!J24</f>
        <v>458.51978483532076</v>
      </c>
      <c r="N4" s="32">
        <f>(M4/K4-1)*100</f>
        <v>-6.3615271902894843E-2</v>
      </c>
      <c r="O4" s="786" t="s">
        <v>357</v>
      </c>
    </row>
    <row r="5" spans="2:15" ht="19" x14ac:dyDescent="0.35">
      <c r="B5" s="1049"/>
      <c r="C5" s="418" t="s">
        <v>192</v>
      </c>
      <c r="D5" s="33">
        <f>'Trafic mens2025'!O29</f>
        <v>2340</v>
      </c>
      <c r="E5" s="33">
        <f>E4*'Trafic mens2026'!P29</f>
        <v>2446.3425216168239</v>
      </c>
      <c r="F5" s="34">
        <f t="shared" ref="F5:F28" si="0">(E5/D5-1)*100</f>
        <v>4.5445522058471743</v>
      </c>
      <c r="G5" s="33">
        <f>G4*REPARTITION!K8</f>
        <v>404.32518038311906</v>
      </c>
      <c r="H5" s="34">
        <f t="shared" ref="H5:H29" si="1">(G5/E5-1)*100</f>
        <v>-83.472258001062968</v>
      </c>
      <c r="I5" s="33">
        <f>I4*REPARTITION!K8</f>
        <v>404.32518038311906</v>
      </c>
      <c r="J5" s="34">
        <f t="shared" ref="J5:J29" si="2">(I5/E5-1)*100</f>
        <v>-83.472258001062968</v>
      </c>
      <c r="K5" s="33">
        <f>K4*REPARTITION!K8</f>
        <v>404.32518038311906</v>
      </c>
      <c r="L5" s="34">
        <f>(K5/E5-1)*100</f>
        <v>-83.472258001062968</v>
      </c>
      <c r="M5" s="33">
        <f>M4*REPARTITION!K12</f>
        <v>410.88064595987288</v>
      </c>
      <c r="N5" s="34">
        <f t="shared" ref="N5:N29" si="3">(M5/K5-1)*100</f>
        <v>1.6213349785789255</v>
      </c>
      <c r="O5" s="786" t="s">
        <v>426</v>
      </c>
    </row>
    <row r="6" spans="2:15" ht="19.5" thickBot="1" x14ac:dyDescent="0.4">
      <c r="B6" s="1049"/>
      <c r="C6" s="419" t="s">
        <v>211</v>
      </c>
      <c r="D6" s="35">
        <f>'Trafic mens2025'!O43</f>
        <v>408</v>
      </c>
      <c r="E6" s="35">
        <f>E4*'Trafic mens2026'!P43</f>
        <v>412.10787998562978</v>
      </c>
      <c r="F6" s="34">
        <f t="shared" si="0"/>
        <v>1.0068333298112186</v>
      </c>
      <c r="G6" s="35">
        <f>G4-G5</f>
        <v>54.48647873667295</v>
      </c>
      <c r="H6" s="34">
        <f t="shared" si="1"/>
        <v>-86.778588475771713</v>
      </c>
      <c r="I6" s="36">
        <f>I4-I5</f>
        <v>54.48647873667295</v>
      </c>
      <c r="J6" s="34">
        <f t="shared" si="2"/>
        <v>-86.778588475771713</v>
      </c>
      <c r="K6" s="36">
        <f>K4-K5</f>
        <v>54.48647873667295</v>
      </c>
      <c r="L6" s="34">
        <f>(K6/E6-1)*100</f>
        <v>-86.778588475771713</v>
      </c>
      <c r="M6" s="36">
        <f>M4-M5</f>
        <v>47.639138875447884</v>
      </c>
      <c r="N6" s="34">
        <f t="shared" si="3"/>
        <v>-12.56704419149105</v>
      </c>
      <c r="O6" s="786" t="s">
        <v>236</v>
      </c>
    </row>
    <row r="7" spans="2:15" ht="19" x14ac:dyDescent="0.45">
      <c r="B7" s="1034" t="s">
        <v>225</v>
      </c>
      <c r="C7" s="30" t="s">
        <v>245</v>
      </c>
      <c r="D7" s="360">
        <f>'Trafic mens2025'!O73</f>
        <v>46935601.110707201</v>
      </c>
      <c r="E7" s="360">
        <f>ANNUEL!N18</f>
        <v>48477430.669302851</v>
      </c>
      <c r="F7" s="361">
        <f>(E7/D7-1)*100</f>
        <v>3.2849894794335865</v>
      </c>
      <c r="G7" s="360">
        <f>G11+G16+G22</f>
        <v>8464099.2083599586</v>
      </c>
      <c r="H7" s="361">
        <f t="shared" si="1"/>
        <v>-82.54012415365149</v>
      </c>
      <c r="I7" s="360">
        <f>I11+I16+I22</f>
        <v>8464099.2083599586</v>
      </c>
      <c r="J7" s="361">
        <f t="shared" si="2"/>
        <v>-82.54012415365149</v>
      </c>
      <c r="K7" s="360">
        <f>K11+K16+K22</f>
        <v>8464099.2083599586</v>
      </c>
      <c r="L7" s="361">
        <f>(K7/E7-1)*100</f>
        <v>-82.54012415365149</v>
      </c>
      <c r="M7" s="360">
        <f>M11+M16+M22</f>
        <v>9141236.8204965293</v>
      </c>
      <c r="N7" s="361">
        <f t="shared" si="3"/>
        <v>8.0001143118427098</v>
      </c>
      <c r="O7" s="786" t="s">
        <v>251</v>
      </c>
    </row>
    <row r="8" spans="2:15" ht="19.5" thickBot="1" x14ac:dyDescent="0.5">
      <c r="B8" s="1033"/>
      <c r="C8" s="412" t="s">
        <v>246</v>
      </c>
      <c r="D8" s="413">
        <f>'Stats exo 2025brute'!F83</f>
        <v>50696078.710707121</v>
      </c>
      <c r="E8" s="413">
        <f>E7+E27*2.2</f>
        <v>52578005.53978911</v>
      </c>
      <c r="F8" s="405">
        <f>(E8/D8-1)*100</f>
        <v>3.7121743474895608</v>
      </c>
      <c r="G8" s="413">
        <f>G7+G27*2.2</f>
        <v>9616756.6835599579</v>
      </c>
      <c r="H8" s="405">
        <f t="shared" si="1"/>
        <v>-81.709544542760668</v>
      </c>
      <c r="I8" s="413">
        <f>I7+I27*2.2</f>
        <v>9616756.6835599579</v>
      </c>
      <c r="J8" s="405">
        <f t="shared" si="2"/>
        <v>-81.709544542760668</v>
      </c>
      <c r="K8" s="413">
        <f>K7+K27*2.2</f>
        <v>9616756.6835599579</v>
      </c>
      <c r="L8" s="405">
        <f>(K8/E8-1)*100</f>
        <v>-81.709544542760668</v>
      </c>
      <c r="M8" s="413">
        <f>M7+M27*2.2</f>
        <v>10385883.73042053</v>
      </c>
      <c r="N8" s="405">
        <f t="shared" si="3"/>
        <v>7.9977800434049673</v>
      </c>
      <c r="O8" s="786" t="s">
        <v>433</v>
      </c>
    </row>
    <row r="9" spans="2:15" ht="19.5" thickBot="1" x14ac:dyDescent="0.4">
      <c r="B9" s="332" t="s">
        <v>353</v>
      </c>
      <c r="C9" s="543" t="s">
        <v>245</v>
      </c>
      <c r="D9" s="544">
        <f>'Trafic mens2025'!O104</f>
        <v>11362291.857902002</v>
      </c>
      <c r="E9" s="545">
        <f>E14/'Trafic mens2026'!Q720</f>
        <v>10776386.159089355</v>
      </c>
      <c r="F9" s="546">
        <f>(E9/D9-1)*100</f>
        <v>-5.1565802581032383</v>
      </c>
      <c r="G9" s="545">
        <f>G7*'Trafic mens2026'!$Q$104</f>
        <v>1879315.2635393098</v>
      </c>
      <c r="H9" s="546">
        <f>(G9/E9-1)*100</f>
        <v>-82.560802519551515</v>
      </c>
      <c r="I9" s="545">
        <f>I7*'Trafic mens2026'!$Q$104</f>
        <v>1879315.2635393098</v>
      </c>
      <c r="J9" s="546">
        <f t="shared" ref="J9" si="4">(I9/E9-1)*100</f>
        <v>-82.560802519551515</v>
      </c>
      <c r="K9" s="545">
        <f>K7*'Trafic mens2026'!$Q$104</f>
        <v>1879315.2635393098</v>
      </c>
      <c r="L9" s="547">
        <f t="shared" ref="L9" si="5">(K9/E9-1)*100</f>
        <v>-82.560802519551515</v>
      </c>
      <c r="M9" s="545">
        <f>M7*'Trafic mens2026'!$Q$104</f>
        <v>2029662.6329023628</v>
      </c>
      <c r="N9" s="547">
        <f>(M9/K9-1)*100</f>
        <v>8.0001143118427098</v>
      </c>
      <c r="O9" s="787" t="s">
        <v>482</v>
      </c>
    </row>
    <row r="10" spans="2:15" ht="19.5" thickBot="1" x14ac:dyDescent="0.4">
      <c r="B10" s="332" t="s">
        <v>347</v>
      </c>
      <c r="C10" s="410" t="s">
        <v>245</v>
      </c>
      <c r="D10" s="426">
        <f>'Trafic mens2025'!Q238</f>
        <v>991846.28500000143</v>
      </c>
      <c r="E10" s="426">
        <f>E15/'Trafic mens2026'!Q722</f>
        <v>1097958.2165845796</v>
      </c>
      <c r="F10" s="539">
        <f t="shared" si="0"/>
        <v>10.69842506740628</v>
      </c>
      <c r="G10" s="545">
        <f>G7*'Trafic mens2026'!$Q$106</f>
        <v>199336.14573467185</v>
      </c>
      <c r="H10" s="539">
        <f t="shared" si="1"/>
        <v>-81.844833189121971</v>
      </c>
      <c r="I10" s="545">
        <f>I7*'Trafic mens2026'!$Q$106</f>
        <v>199336.14573467185</v>
      </c>
      <c r="J10" s="539">
        <f t="shared" si="2"/>
        <v>-81.844833189121971</v>
      </c>
      <c r="K10" s="545">
        <f>K7*'Trafic mens2026'!$Q$106</f>
        <v>199336.14573467185</v>
      </c>
      <c r="L10" s="539">
        <f t="shared" ref="L10:L30" si="6">(K10/E10-1)*100</f>
        <v>-81.844833189121971</v>
      </c>
      <c r="M10" s="545">
        <f>M7*'Trafic mens2026'!$Q$106</f>
        <v>215283.26525826697</v>
      </c>
      <c r="N10" s="539">
        <f>(M10/K10-1)*100</f>
        <v>8.0001143118427098</v>
      </c>
      <c r="O10" s="787" t="s">
        <v>483</v>
      </c>
    </row>
    <row r="11" spans="2:15" ht="19" x14ac:dyDescent="0.35">
      <c r="B11" s="1023" t="s">
        <v>229</v>
      </c>
      <c r="C11" s="407" t="s">
        <v>245</v>
      </c>
      <c r="D11" s="408">
        <f>'Trafic mens2025'!O718</f>
        <v>34475187.967271112</v>
      </c>
      <c r="E11" s="408">
        <f>E7*'Trafic mens2026'!P1069</f>
        <v>34208355.354181275</v>
      </c>
      <c r="F11" s="361">
        <f>(E11/D11-1)*100</f>
        <v>-0.77398450544534647</v>
      </c>
      <c r="G11" s="751"/>
      <c r="H11" s="361">
        <f t="shared" si="1"/>
        <v>-100</v>
      </c>
      <c r="I11" s="751"/>
      <c r="J11" s="361">
        <f t="shared" si="2"/>
        <v>-100</v>
      </c>
      <c r="K11" s="757"/>
      <c r="L11" s="361">
        <f t="shared" si="6"/>
        <v>-100</v>
      </c>
      <c r="M11" s="757"/>
      <c r="N11" s="361" t="e">
        <f t="shared" si="3"/>
        <v>#DIV/0!</v>
      </c>
      <c r="O11" s="788" t="s">
        <v>450</v>
      </c>
    </row>
    <row r="12" spans="2:15" ht="19.5" thickBot="1" x14ac:dyDescent="0.4">
      <c r="B12" s="1035"/>
      <c r="C12" s="403" t="s">
        <v>246</v>
      </c>
      <c r="D12" s="404">
        <f>'Stats exo 2025brute'!F85</f>
        <v>36923644.967271119</v>
      </c>
      <c r="E12" s="404">
        <f>E27*'Trafic mens2026'!Q1239*2.2+E11</f>
        <v>36774393.243246593</v>
      </c>
      <c r="F12" s="405">
        <f>(E12/D12-1)*100</f>
        <v>-0.4042172005413347</v>
      </c>
      <c r="G12" s="404">
        <f>G28*'Trafic mens2026'!$S$1239*2.2+G11</f>
        <v>0</v>
      </c>
      <c r="H12" s="405">
        <f t="shared" si="1"/>
        <v>-100</v>
      </c>
      <c r="I12" s="404">
        <f>I28*'Trafic mens2026'!$S$1239*2.2+I11</f>
        <v>0</v>
      </c>
      <c r="J12" s="405">
        <f t="shared" si="2"/>
        <v>-100</v>
      </c>
      <c r="K12" s="404">
        <f>K28*'Trafic mens2026'!$S$1239*2.2+K11</f>
        <v>0</v>
      </c>
      <c r="L12" s="405">
        <f t="shared" si="6"/>
        <v>-100</v>
      </c>
      <c r="M12" s="404">
        <f>M28*'Trafic mens2026'!$S$1239*2.2+M11</f>
        <v>0</v>
      </c>
      <c r="N12" s="405" t="e">
        <f t="shared" si="3"/>
        <v>#DIV/0!</v>
      </c>
      <c r="O12" s="786" t="s">
        <v>434</v>
      </c>
    </row>
    <row r="13" spans="2:15" ht="19" x14ac:dyDescent="0.35">
      <c r="B13" s="416" t="s">
        <v>235</v>
      </c>
      <c r="C13" s="367" t="s">
        <v>245</v>
      </c>
      <c r="D13" s="368">
        <f>'Trafic mens2025'!O721</f>
        <v>22223124.084399115</v>
      </c>
      <c r="E13" s="368">
        <f>(E11-E15)*'Trafic mens2026'!R721</f>
        <v>22473574.032868277</v>
      </c>
      <c r="F13" s="369">
        <f>(E13/D13-1)*100</f>
        <v>1.1269790310219241</v>
      </c>
      <c r="G13" s="368">
        <f>$G$11*REPARTITION!J71</f>
        <v>0</v>
      </c>
      <c r="H13" s="369">
        <f t="shared" si="1"/>
        <v>-100</v>
      </c>
      <c r="I13" s="368">
        <f>$I$11*REPARTITION!J71</f>
        <v>0</v>
      </c>
      <c r="J13" s="369">
        <f t="shared" si="2"/>
        <v>-100</v>
      </c>
      <c r="K13" s="368">
        <f>K11*REPARTITION!J71</f>
        <v>0</v>
      </c>
      <c r="L13" s="369">
        <f t="shared" si="6"/>
        <v>-100</v>
      </c>
      <c r="M13" s="368" t="e">
        <f>M11*REPARTITION!J76</f>
        <v>#DIV/0!</v>
      </c>
      <c r="N13" s="369" t="e">
        <f t="shared" si="3"/>
        <v>#DIV/0!</v>
      </c>
      <c r="O13" s="787" t="s">
        <v>427</v>
      </c>
    </row>
    <row r="14" spans="2:15" ht="19" x14ac:dyDescent="0.35">
      <c r="B14" s="417" t="s">
        <v>234</v>
      </c>
      <c r="C14" s="370" t="s">
        <v>245</v>
      </c>
      <c r="D14" s="371">
        <f>'Trafic mens2025'!O720</f>
        <v>11341874.933871999</v>
      </c>
      <c r="E14" s="371">
        <f>(E11-E15)*'Trafic mens2026'!R720</f>
        <v>10746788.038935926</v>
      </c>
      <c r="F14" s="372">
        <f>(E14/D14-1)*100</f>
        <v>-5.2468123516233973</v>
      </c>
      <c r="G14" s="371">
        <f>$G$11*REPARTITION!J72</f>
        <v>0</v>
      </c>
      <c r="H14" s="372">
        <f t="shared" si="1"/>
        <v>-100</v>
      </c>
      <c r="I14" s="371">
        <f>$I$11*REPARTITION!J72</f>
        <v>0</v>
      </c>
      <c r="J14" s="372">
        <f t="shared" si="2"/>
        <v>-100</v>
      </c>
      <c r="K14" s="371">
        <f>K11*REPARTITION!J72</f>
        <v>0</v>
      </c>
      <c r="L14" s="372">
        <f t="shared" si="6"/>
        <v>-100</v>
      </c>
      <c r="M14" s="371" t="e">
        <f>M11*REPARTITION!J77</f>
        <v>#DIV/0!</v>
      </c>
      <c r="N14" s="372" t="e">
        <f t="shared" si="3"/>
        <v>#DIV/0!</v>
      </c>
      <c r="O14" s="787" t="s">
        <v>427</v>
      </c>
    </row>
    <row r="15" spans="2:15" ht="19.5" thickBot="1" x14ac:dyDescent="0.4">
      <c r="B15" s="393" t="s">
        <v>233</v>
      </c>
      <c r="C15" s="364" t="s">
        <v>245</v>
      </c>
      <c r="D15" s="365">
        <f>'Trafic mens2025'!O722</f>
        <v>910188.94900000072</v>
      </c>
      <c r="E15" s="365">
        <f>E11*REPARTITION!J67</f>
        <v>987993.28237707005</v>
      </c>
      <c r="F15" s="366">
        <f>(E15/D15-1)*100</f>
        <v>8.5481518384233013</v>
      </c>
      <c r="G15" s="365">
        <f>$G$11*REPARTITION!J73</f>
        <v>0</v>
      </c>
      <c r="H15" s="366">
        <f t="shared" si="1"/>
        <v>-100</v>
      </c>
      <c r="I15" s="357">
        <f>$I$11*REPARTITION!J73</f>
        <v>0</v>
      </c>
      <c r="J15" s="366">
        <f t="shared" si="2"/>
        <v>-100</v>
      </c>
      <c r="K15" s="357">
        <f>K11*REPARTITION!J73</f>
        <v>0</v>
      </c>
      <c r="L15" s="366">
        <f t="shared" si="6"/>
        <v>-100</v>
      </c>
      <c r="M15" s="357" t="e">
        <f>M11*REPARTITION!J78</f>
        <v>#DIV/0!</v>
      </c>
      <c r="N15" s="366" t="e">
        <f t="shared" si="3"/>
        <v>#DIV/0!</v>
      </c>
      <c r="O15" s="787" t="s">
        <v>427</v>
      </c>
    </row>
    <row r="16" spans="2:15" ht="19" x14ac:dyDescent="0.35">
      <c r="B16" s="1036" t="s">
        <v>230</v>
      </c>
      <c r="C16" s="407" t="s">
        <v>245</v>
      </c>
      <c r="D16" s="408">
        <f>'Trafic mens2025'!O763</f>
        <v>3938707.5156020042</v>
      </c>
      <c r="E16" s="408">
        <f>E7*'Trafic mens2026'!P1077</f>
        <v>4362068.141288464</v>
      </c>
      <c r="F16" s="361">
        <f t="shared" si="0"/>
        <v>10.748719573856235</v>
      </c>
      <c r="G16" s="751"/>
      <c r="H16" s="361">
        <f t="shared" si="1"/>
        <v>-100</v>
      </c>
      <c r="I16" s="751"/>
      <c r="J16" s="361">
        <f t="shared" si="2"/>
        <v>-100</v>
      </c>
      <c r="K16" s="757"/>
      <c r="L16" s="361">
        <f t="shared" si="6"/>
        <v>-100</v>
      </c>
      <c r="M16" s="757"/>
      <c r="N16" s="361" t="e">
        <f t="shared" si="3"/>
        <v>#DIV/0!</v>
      </c>
      <c r="O16" s="788" t="s">
        <v>449</v>
      </c>
    </row>
    <row r="17" spans="2:15" ht="19.5" thickBot="1" x14ac:dyDescent="0.4">
      <c r="B17" s="1035"/>
      <c r="C17" s="403" t="s">
        <v>246</v>
      </c>
      <c r="D17" s="404">
        <f>'Stats exo 2025brute'!F87</f>
        <v>4102097.1156020048</v>
      </c>
      <c r="E17" s="404">
        <f>E27*'Trafic mens2026'!Q1241*2.2+E16</f>
        <v>4549783.7477640081</v>
      </c>
      <c r="F17" s="101">
        <f t="shared" si="0"/>
        <v>10.913603933443273</v>
      </c>
      <c r="G17" s="404">
        <f>G28*'Trafic mens2026'!$S$1241*2.2+G16</f>
        <v>0</v>
      </c>
      <c r="H17" s="101">
        <f t="shared" si="1"/>
        <v>-100</v>
      </c>
      <c r="I17" s="404">
        <f>I28*'Trafic mens2026'!$S$1241*2.2+I16</f>
        <v>0</v>
      </c>
      <c r="J17" s="101">
        <f t="shared" si="2"/>
        <v>-100</v>
      </c>
      <c r="K17" s="404">
        <f>K28*'Trafic mens2026'!$S$1241*2.2+K16</f>
        <v>0</v>
      </c>
      <c r="L17" s="101">
        <f t="shared" si="6"/>
        <v>-100</v>
      </c>
      <c r="M17" s="404">
        <f>M28*'Trafic mens2026'!$S$1241*2.2+M16</f>
        <v>0</v>
      </c>
      <c r="N17" s="101" t="e">
        <f t="shared" si="3"/>
        <v>#DIV/0!</v>
      </c>
      <c r="O17" s="786" t="s">
        <v>435</v>
      </c>
    </row>
    <row r="18" spans="2:15" ht="19" x14ac:dyDescent="0.35">
      <c r="B18" s="1037" t="s">
        <v>227</v>
      </c>
      <c r="C18" s="367" t="s">
        <v>245</v>
      </c>
      <c r="D18" s="368">
        <f>'Trafic mens2025'!O765</f>
        <v>2366684.9098220044</v>
      </c>
      <c r="E18" s="368">
        <f>E16*REPARTITION!J82</f>
        <v>3163551.6167247086</v>
      </c>
      <c r="F18" s="369">
        <f t="shared" si="0"/>
        <v>33.67016469305311</v>
      </c>
      <c r="G18" s="368">
        <f>G16*REPARTITION!J87</f>
        <v>0</v>
      </c>
      <c r="H18" s="369">
        <f t="shared" si="1"/>
        <v>-100</v>
      </c>
      <c r="I18" s="368">
        <f>I16*REPARTITION!J87</f>
        <v>0</v>
      </c>
      <c r="J18" s="369">
        <f t="shared" si="2"/>
        <v>-100</v>
      </c>
      <c r="K18" s="368">
        <f>K16*REPARTITION!J87</f>
        <v>0</v>
      </c>
      <c r="L18" s="369">
        <f t="shared" si="6"/>
        <v>-100</v>
      </c>
      <c r="M18" s="368" t="e">
        <f>M16*REPARTITION!J91</f>
        <v>#DIV/0!</v>
      </c>
      <c r="N18" s="369" t="e">
        <f t="shared" si="3"/>
        <v>#DIV/0!</v>
      </c>
      <c r="O18" s="789" t="s">
        <v>428</v>
      </c>
    </row>
    <row r="19" spans="2:15" ht="19" x14ac:dyDescent="0.35">
      <c r="B19" s="1026"/>
      <c r="C19" s="377" t="s">
        <v>246</v>
      </c>
      <c r="D19" s="374">
        <f>'Stats exo 2025brute'!F143</f>
        <v>2456519.7098220047</v>
      </c>
      <c r="E19" s="374">
        <f>E27*'Trafic mens2026'!Q1241*'Trafic mens2026'!Q1244*2.2+E18</f>
        <v>3248373.9174470617</v>
      </c>
      <c r="F19" s="379">
        <f t="shared" si="0"/>
        <v>32.234799682614138</v>
      </c>
      <c r="G19" s="374">
        <f>G28*'Trafic mens2026'!$S$1241*'Trafic mens2026'!$Q$1244*2.2+G18</f>
        <v>0</v>
      </c>
      <c r="H19" s="379">
        <f t="shared" si="1"/>
        <v>-100</v>
      </c>
      <c r="I19" s="374">
        <f>I28*'Trafic mens2026'!$S$1241*'Trafic mens2026'!$Q$1244*2.2+I18</f>
        <v>0</v>
      </c>
      <c r="J19" s="379">
        <f t="shared" si="2"/>
        <v>-100</v>
      </c>
      <c r="K19" s="374">
        <f>K28*'Trafic mens2026'!$S$1241*'Trafic mens2026'!$Q$1244*2.2+K18</f>
        <v>0</v>
      </c>
      <c r="L19" s="379">
        <f t="shared" si="6"/>
        <v>-100</v>
      </c>
      <c r="M19" s="374" t="e">
        <f>M28*'Trafic mens2026'!$S$1241*'Trafic mens2026'!$Q$1244*2.2+M18</f>
        <v>#DIV/0!</v>
      </c>
      <c r="N19" s="379" t="e">
        <f t="shared" si="3"/>
        <v>#DIV/0!</v>
      </c>
      <c r="O19" s="786" t="s">
        <v>437</v>
      </c>
    </row>
    <row r="20" spans="2:15" ht="19" x14ac:dyDescent="0.35">
      <c r="B20" s="1021" t="s">
        <v>228</v>
      </c>
      <c r="C20" s="377" t="s">
        <v>245</v>
      </c>
      <c r="D20" s="374">
        <f>'Trafic mens2025'!O766</f>
        <v>1528914.9797800002</v>
      </c>
      <c r="E20" s="374">
        <f>E16*REPARTITION!J83</f>
        <v>1179319.7039677936</v>
      </c>
      <c r="F20" s="379">
        <f t="shared" si="0"/>
        <v>-22.865579867790341</v>
      </c>
      <c r="G20" s="374">
        <f>G16*REPARTITION!J88</f>
        <v>0</v>
      </c>
      <c r="H20" s="379">
        <f t="shared" si="1"/>
        <v>-100</v>
      </c>
      <c r="I20" s="374">
        <f>I16*REPARTITION!J88</f>
        <v>0</v>
      </c>
      <c r="J20" s="379">
        <f t="shared" si="2"/>
        <v>-100</v>
      </c>
      <c r="K20" s="374">
        <f>K16*REPARTITION!J88</f>
        <v>0</v>
      </c>
      <c r="L20" s="379">
        <f t="shared" si="6"/>
        <v>-100</v>
      </c>
      <c r="M20" s="374" t="e">
        <f>M16*REPARTITION!J92</f>
        <v>#DIV/0!</v>
      </c>
      <c r="N20" s="379" t="e">
        <f t="shared" si="3"/>
        <v>#DIV/0!</v>
      </c>
      <c r="O20" s="789" t="s">
        <v>429</v>
      </c>
    </row>
    <row r="21" spans="2:15" ht="19.5" thickBot="1" x14ac:dyDescent="0.4">
      <c r="B21" s="1022"/>
      <c r="C21" s="364" t="s">
        <v>246</v>
      </c>
      <c r="D21" s="365">
        <f>'Stats exo 2025brute'!F144</f>
        <v>1599820.9797799999</v>
      </c>
      <c r="E21" s="365">
        <f>E27*'Trafic mens2026'!Q1241*'Trafic mens2026'!Q1245*2.2+E20</f>
        <v>1278313.2074304887</v>
      </c>
      <c r="F21" s="383">
        <f t="shared" si="0"/>
        <v>-20.096484319997078</v>
      </c>
      <c r="G21" s="365">
        <f>G28*'Trafic mens2026'!$S$1241*'Trafic mens2026'!$Q$1245*2.2+G20</f>
        <v>0</v>
      </c>
      <c r="H21" s="383">
        <f t="shared" si="1"/>
        <v>-100</v>
      </c>
      <c r="I21" s="365">
        <f>I28*'Trafic mens2026'!$S$1241*'Trafic mens2026'!$Q$1245*2.2+I20</f>
        <v>0</v>
      </c>
      <c r="J21" s="383">
        <f t="shared" si="2"/>
        <v>-100</v>
      </c>
      <c r="K21" s="365">
        <f>K28*'Trafic mens2026'!$S$1241*'Trafic mens2026'!$Q$1245*2.2+K20</f>
        <v>0</v>
      </c>
      <c r="L21" s="383">
        <f t="shared" si="6"/>
        <v>-100</v>
      </c>
      <c r="M21" s="365" t="e">
        <f>M28*'Trafic mens2026'!$S$1241*'Trafic mens2026'!$Q$1245*2.2+M20</f>
        <v>#DIV/0!</v>
      </c>
      <c r="N21" s="383" t="e">
        <f t="shared" si="3"/>
        <v>#DIV/0!</v>
      </c>
      <c r="O21" s="786" t="s">
        <v>438</v>
      </c>
    </row>
    <row r="22" spans="2:15" ht="17.25" customHeight="1" x14ac:dyDescent="0.35">
      <c r="B22" s="1023" t="s">
        <v>258</v>
      </c>
      <c r="C22" s="407" t="s">
        <v>245</v>
      </c>
      <c r="D22" s="408">
        <f>'Trafic mens2025'!O739</f>
        <v>8521705.627833996</v>
      </c>
      <c r="E22" s="408">
        <f>E7*'Trafic mens2026'!P1075</f>
        <v>9907007.1738331113</v>
      </c>
      <c r="F22" s="361">
        <f>(E22/D22-1)*100</f>
        <v>16.256153480288948</v>
      </c>
      <c r="G22" s="408">
        <f>G24/'Trafic mens2026'!$Q$739</f>
        <v>8464099.2083599586</v>
      </c>
      <c r="H22" s="361">
        <f t="shared" si="1"/>
        <v>-14.564519235276563</v>
      </c>
      <c r="I22" s="408">
        <f>I24/'Trafic mens2026'!$Q$739</f>
        <v>8464099.2083599586</v>
      </c>
      <c r="J22" s="361">
        <f t="shared" si="2"/>
        <v>-14.564519235276563</v>
      </c>
      <c r="K22" s="408">
        <f>K24/'Trafic mens2026'!$Q$739</f>
        <v>8464099.2083599586</v>
      </c>
      <c r="L22" s="361">
        <f t="shared" si="6"/>
        <v>-14.564519235276563</v>
      </c>
      <c r="M22" s="408">
        <f>M24/'Trafic mens2026'!$Q$739</f>
        <v>9141236.8204965293</v>
      </c>
      <c r="N22" s="361">
        <f t="shared" si="3"/>
        <v>8.0001143118427098</v>
      </c>
      <c r="O22" s="789" t="s">
        <v>484</v>
      </c>
    </row>
    <row r="23" spans="2:15" ht="19.5" thickBot="1" x14ac:dyDescent="0.4">
      <c r="B23" s="1035"/>
      <c r="C23" s="403" t="s">
        <v>246</v>
      </c>
      <c r="D23" s="404">
        <f>'Stats exo 2025brute'!F86</f>
        <v>9670336.627833996</v>
      </c>
      <c r="E23" s="404">
        <f>E27*'Trafic mens2026'!Q1240*2.2+E22</f>
        <v>11253828.548778512</v>
      </c>
      <c r="F23" s="405">
        <f t="shared" si="0"/>
        <v>16.37473421955935</v>
      </c>
      <c r="G23" s="404">
        <f>G25+G26</f>
        <v>9616756.6835599598</v>
      </c>
      <c r="H23" s="405">
        <f t="shared" si="1"/>
        <v>-14.546799412509614</v>
      </c>
      <c r="I23" s="404">
        <f>I25+I26</f>
        <v>9616756.6835599598</v>
      </c>
      <c r="J23" s="405">
        <f t="shared" si="2"/>
        <v>-14.546799412509614</v>
      </c>
      <c r="K23" s="404">
        <f>K25+K26</f>
        <v>9616756.6835599598</v>
      </c>
      <c r="L23" s="405">
        <f t="shared" si="6"/>
        <v>-14.546799412509614</v>
      </c>
      <c r="M23" s="404">
        <f>M25+M26</f>
        <v>10385883.73042053</v>
      </c>
      <c r="N23" s="405">
        <f t="shared" si="3"/>
        <v>7.9977800434049451</v>
      </c>
      <c r="O23" s="786" t="s">
        <v>251</v>
      </c>
    </row>
    <row r="24" spans="2:15" ht="19" x14ac:dyDescent="0.35">
      <c r="B24" s="1037" t="s">
        <v>248</v>
      </c>
      <c r="C24" s="367" t="s">
        <v>245</v>
      </c>
      <c r="D24" s="368">
        <f>+D22*'Trafic mens2025'!Q739</f>
        <v>8434222.4248339999</v>
      </c>
      <c r="E24" s="368">
        <f>E22*'Trafic mens2026'!$Q$739</f>
        <v>9810073.9470066354</v>
      </c>
      <c r="F24" s="369">
        <f t="shared" si="0"/>
        <v>16.312725143713713</v>
      </c>
      <c r="G24" s="368">
        <f>16*G29</f>
        <v>8381283.8399999999</v>
      </c>
      <c r="H24" s="369">
        <f>(G24/$E24-1)*100</f>
        <v>-14.564519235276553</v>
      </c>
      <c r="I24" s="368">
        <f>16*I29</f>
        <v>8381283.8399999999</v>
      </c>
      <c r="J24" s="369">
        <f>(I24/$E24-1)*100</f>
        <v>-14.564519235276553</v>
      </c>
      <c r="K24" s="368">
        <f>16*K29</f>
        <v>8381283.8399999999</v>
      </c>
      <c r="L24" s="369">
        <f>(K24/$E24-1)*100</f>
        <v>-14.564519235276553</v>
      </c>
      <c r="M24" s="368">
        <f>16*M29</f>
        <v>9051796.1280000005</v>
      </c>
      <c r="N24" s="369">
        <f>(M24/K24-1)*100</f>
        <v>8.0001143118427098</v>
      </c>
      <c r="O24" s="786" t="s">
        <v>430</v>
      </c>
    </row>
    <row r="25" spans="2:15" ht="19.5" thickBot="1" x14ac:dyDescent="0.4">
      <c r="B25" s="1026"/>
      <c r="C25" s="377" t="s">
        <v>246</v>
      </c>
      <c r="D25" s="374">
        <f>D23-D26</f>
        <v>9582853.4248339999</v>
      </c>
      <c r="E25" s="374">
        <f>E23-E26</f>
        <v>11156895.321952036</v>
      </c>
      <c r="F25" s="379">
        <f>(E25/D25-1)*100</f>
        <v>16.425607565267562</v>
      </c>
      <c r="G25" s="374">
        <f>G24+2.2*(G29+G30)</f>
        <v>9533941.315200001</v>
      </c>
      <c r="H25" s="379">
        <f>(G25/$E25-1)*100</f>
        <v>-14.546645459321915</v>
      </c>
      <c r="I25" s="374">
        <f>I24+2.2*(I29+I30)</f>
        <v>9533941.315200001</v>
      </c>
      <c r="J25" s="379">
        <f>(I25/$E25-1)*100</f>
        <v>-14.546645459321915</v>
      </c>
      <c r="K25" s="374">
        <f>K24+2.2*(K29+K30)</f>
        <v>9533941.315200001</v>
      </c>
      <c r="L25" s="379">
        <f>(K25/$E25-1)*100</f>
        <v>-14.546645459321915</v>
      </c>
      <c r="M25" s="374">
        <f>M24+2.2*(M29+M30)</f>
        <v>10296443.037924001</v>
      </c>
      <c r="N25" s="379">
        <f>(M25/K25-1)*100</f>
        <v>7.9977597670791267</v>
      </c>
      <c r="O25" s="786" t="s">
        <v>439</v>
      </c>
    </row>
    <row r="26" spans="2:15" ht="19.5" thickBot="1" x14ac:dyDescent="0.4">
      <c r="B26" s="679" t="s">
        <v>249</v>
      </c>
      <c r="C26" s="377" t="s">
        <v>245</v>
      </c>
      <c r="D26" s="374">
        <f>D22-D24</f>
        <v>87483.202999996021</v>
      </c>
      <c r="E26" s="374">
        <f>E22-E24</f>
        <v>96933.226826475933</v>
      </c>
      <c r="F26" s="379">
        <f>(E26/D26-1)*100</f>
        <v>10.802100863271246</v>
      </c>
      <c r="G26" s="374">
        <f>G22-G24</f>
        <v>82815.368359958753</v>
      </c>
      <c r="H26" s="383">
        <f>(G26/$E26-1)*100</f>
        <v>-14.564519235277418</v>
      </c>
      <c r="I26" s="374">
        <f>I22-I24</f>
        <v>82815.368359958753</v>
      </c>
      <c r="J26" s="383">
        <f>(I26/$E26-1)*100</f>
        <v>-14.564519235277418</v>
      </c>
      <c r="K26" s="374">
        <f>K22-K24</f>
        <v>82815.368359958753</v>
      </c>
      <c r="L26" s="383">
        <f>(K26/$E26-1)*100</f>
        <v>-14.564519235277418</v>
      </c>
      <c r="M26" s="374">
        <f>M22-M24</f>
        <v>89440.692496528849</v>
      </c>
      <c r="N26" s="383">
        <f>(M26/K26-1)*100</f>
        <v>8.0001143118424434</v>
      </c>
      <c r="O26" s="786" t="s">
        <v>338</v>
      </c>
    </row>
    <row r="27" spans="2:15" ht="19" x14ac:dyDescent="0.35">
      <c r="B27" s="1052" t="s">
        <v>259</v>
      </c>
      <c r="C27" s="37" t="s">
        <v>193</v>
      </c>
      <c r="D27" s="31">
        <f>'Trafic mens2025'!O1201</f>
        <v>1709308</v>
      </c>
      <c r="E27" s="31">
        <f>ANNUEL!N62</f>
        <v>1863897.6684028457</v>
      </c>
      <c r="F27" s="32">
        <f t="shared" si="0"/>
        <v>9.0439913931746432</v>
      </c>
      <c r="G27" s="31">
        <f>G28+G29+G30</f>
        <v>523935.21600000001</v>
      </c>
      <c r="H27" s="32">
        <f t="shared" si="1"/>
        <v>-71.890344363757123</v>
      </c>
      <c r="I27" s="31">
        <f>I28+I29+I30</f>
        <v>523935.21600000001</v>
      </c>
      <c r="J27" s="32">
        <f t="shared" si="2"/>
        <v>-71.890344363757123</v>
      </c>
      <c r="K27" s="31">
        <f>K28+K29+K30</f>
        <v>523935.21600000001</v>
      </c>
      <c r="L27" s="32">
        <f t="shared" si="6"/>
        <v>-71.890344363757123</v>
      </c>
      <c r="M27" s="31">
        <f>M28+M29+M30</f>
        <v>565748.59542000003</v>
      </c>
      <c r="N27" s="32">
        <f t="shared" si="3"/>
        <v>7.9806392361303047</v>
      </c>
      <c r="O27" s="786" t="s">
        <v>251</v>
      </c>
    </row>
    <row r="28" spans="2:15" ht="19" x14ac:dyDescent="0.35">
      <c r="B28" s="1053"/>
      <c r="C28" s="414" t="s">
        <v>194</v>
      </c>
      <c r="D28" s="33">
        <f>'Trafic mens2025'!O1203+'Trafic mens2025'!O1204</f>
        <v>1187203</v>
      </c>
      <c r="E28" s="33">
        <f>E27-E29</f>
        <v>1254326.3251199024</v>
      </c>
      <c r="F28" s="34">
        <f t="shared" si="0"/>
        <v>5.6539046077126232</v>
      </c>
      <c r="G28" s="752"/>
      <c r="H28" s="34">
        <f t="shared" si="1"/>
        <v>-100</v>
      </c>
      <c r="I28" s="752"/>
      <c r="J28" s="34">
        <f t="shared" si="2"/>
        <v>-100</v>
      </c>
      <c r="K28" s="758"/>
      <c r="L28" s="34">
        <f t="shared" si="6"/>
        <v>-100</v>
      </c>
      <c r="M28" s="759"/>
      <c r="N28" s="34" t="e">
        <f t="shared" si="3"/>
        <v>#DIV/0!</v>
      </c>
      <c r="O28" s="790" t="s">
        <v>448</v>
      </c>
    </row>
    <row r="29" spans="2:15" ht="19" x14ac:dyDescent="0.35">
      <c r="B29" s="1053"/>
      <c r="C29" s="414" t="s">
        <v>419</v>
      </c>
      <c r="D29" s="35">
        <f>'Trafic mens2025'!O1318</f>
        <v>516271</v>
      </c>
      <c r="E29" s="725">
        <f>ANNUEL!N74*'Trafic mens2026'!Q1318</f>
        <v>609571.34328294324</v>
      </c>
      <c r="F29" s="726">
        <f>(E29/SUM(D29)-1)*100</f>
        <v>18.071970589659927</v>
      </c>
      <c r="G29" s="35">
        <f>REPARTITION!L46*1</f>
        <v>523830.24</v>
      </c>
      <c r="H29" s="711">
        <f t="shared" si="1"/>
        <v>-14.065802834688867</v>
      </c>
      <c r="I29" s="35">
        <f>G29</f>
        <v>523830.24</v>
      </c>
      <c r="J29" s="721">
        <f t="shared" si="2"/>
        <v>-14.065802834688867</v>
      </c>
      <c r="K29" s="723">
        <f>I29</f>
        <v>523830.24</v>
      </c>
      <c r="L29" s="722">
        <f t="shared" si="6"/>
        <v>-14.065802834688867</v>
      </c>
      <c r="M29" s="35">
        <f>REPARTITION!M46</f>
        <v>565737.25800000003</v>
      </c>
      <c r="N29" s="711">
        <f t="shared" si="3"/>
        <v>8.0001143118427098</v>
      </c>
      <c r="O29" s="786" t="s">
        <v>431</v>
      </c>
    </row>
    <row r="30" spans="2:15" ht="19.5" thickBot="1" x14ac:dyDescent="0.4">
      <c r="B30" s="1054"/>
      <c r="C30" s="716" t="s">
        <v>420</v>
      </c>
      <c r="D30" s="450">
        <f>'Trafic mens2025'!O1307</f>
        <v>5834</v>
      </c>
      <c r="E30" s="727">
        <f>ANNUEL!N74*'Trafic mens2026'!Q1307</f>
        <v>1580.7511309380448</v>
      </c>
      <c r="F30" s="728">
        <f>(E30/SUM(D30)-1)*100</f>
        <v>-72.904505811826454</v>
      </c>
      <c r="G30" s="38">
        <f>REPARTITION!L47*0.1</f>
        <v>104.97600000000094</v>
      </c>
      <c r="H30" s="717">
        <f>(G30/E30-1)*100</f>
        <v>-93.359106443421851</v>
      </c>
      <c r="I30" s="38">
        <f>G30</f>
        <v>104.97600000000094</v>
      </c>
      <c r="J30" s="729">
        <f>(I30/E30-1)*100</f>
        <v>-93.359106443421851</v>
      </c>
      <c r="K30" s="724">
        <f>I30</f>
        <v>104.97600000000094</v>
      </c>
      <c r="L30" s="730">
        <f t="shared" si="6"/>
        <v>-93.359106443421851</v>
      </c>
      <c r="M30" s="38">
        <f>REPARTITION!M47*0.01</f>
        <v>11.337419999999693</v>
      </c>
      <c r="N30" s="717">
        <f>(M30/K30-1)*100</f>
        <v>-89.199988568816124</v>
      </c>
      <c r="O30" s="786" t="s">
        <v>432</v>
      </c>
    </row>
    <row r="31" spans="2:15" ht="15.5" x14ac:dyDescent="0.35">
      <c r="B31" s="548" t="s">
        <v>447</v>
      </c>
      <c r="C31" s="20"/>
    </row>
    <row r="32" spans="2:15" x14ac:dyDescent="0.35">
      <c r="D32" s="20"/>
      <c r="E32" s="80"/>
      <c r="F32" s="20"/>
      <c r="G32" s="20"/>
    </row>
    <row r="33" spans="4:12" x14ac:dyDescent="0.35">
      <c r="D33" s="20"/>
      <c r="E33" s="22"/>
      <c r="F33" s="20"/>
      <c r="G33" s="20"/>
      <c r="H33" s="20"/>
      <c r="I33" s="20"/>
      <c r="J33" s="20"/>
    </row>
    <row r="34" spans="4:12" x14ac:dyDescent="0.35">
      <c r="D34" s="20"/>
      <c r="E34" s="806"/>
      <c r="F34" s="807" t="s">
        <v>463</v>
      </c>
      <c r="G34" s="20">
        <v>2025</v>
      </c>
      <c r="H34" s="20">
        <v>2026</v>
      </c>
      <c r="I34" s="20">
        <v>2027</v>
      </c>
      <c r="J34" s="20">
        <v>2028</v>
      </c>
      <c r="K34" s="20">
        <v>2029</v>
      </c>
      <c r="L34" s="20">
        <v>2030</v>
      </c>
    </row>
    <row r="35" spans="4:12" x14ac:dyDescent="0.35">
      <c r="D35" s="549"/>
      <c r="E35" s="808" t="s">
        <v>481</v>
      </c>
      <c r="F35" s="807" t="s">
        <v>464</v>
      </c>
      <c r="G35" s="710">
        <v>486000</v>
      </c>
      <c r="H35" s="710">
        <v>524880</v>
      </c>
      <c r="I35" s="710">
        <v>566871</v>
      </c>
      <c r="J35" s="710">
        <v>612221</v>
      </c>
      <c r="K35" s="710">
        <v>661199</v>
      </c>
      <c r="L35" s="710">
        <v>714095</v>
      </c>
    </row>
    <row r="36" spans="4:12" x14ac:dyDescent="0.35">
      <c r="D36" s="20"/>
      <c r="E36" s="806"/>
      <c r="F36" s="807"/>
      <c r="G36" s="20">
        <v>2025</v>
      </c>
      <c r="H36" s="20">
        <v>2026</v>
      </c>
      <c r="I36" s="20">
        <v>2027</v>
      </c>
      <c r="J36" s="20">
        <v>2028</v>
      </c>
      <c r="K36" s="20">
        <v>2029</v>
      </c>
      <c r="L36" s="20">
        <v>2030</v>
      </c>
    </row>
    <row r="37" spans="4:12" x14ac:dyDescent="0.35">
      <c r="D37" s="20"/>
      <c r="E37" s="806"/>
      <c r="F37" s="807" t="s">
        <v>455</v>
      </c>
      <c r="G37" s="20">
        <f>+G35*0.97</f>
        <v>471420</v>
      </c>
      <c r="H37" s="20">
        <f t="shared" ref="H37:L37" si="7">+H35*0.97</f>
        <v>509133.6</v>
      </c>
      <c r="I37" s="20">
        <f t="shared" si="7"/>
        <v>549864.87</v>
      </c>
      <c r="J37" s="20">
        <f t="shared" si="7"/>
        <v>593854.37</v>
      </c>
      <c r="K37" s="20">
        <f t="shared" si="7"/>
        <v>641363.03</v>
      </c>
      <c r="L37" s="20">
        <f t="shared" si="7"/>
        <v>692672.15</v>
      </c>
    </row>
    <row r="38" spans="4:12" ht="15" thickBot="1" x14ac:dyDescent="0.4">
      <c r="D38" s="20"/>
      <c r="E38" s="806"/>
      <c r="F38" s="807" t="s">
        <v>456</v>
      </c>
      <c r="G38" s="20">
        <f>+G37*17</f>
        <v>8014140</v>
      </c>
      <c r="H38" s="20">
        <f t="shared" ref="H38:L38" si="8">+H37*17</f>
        <v>8655271.1999999993</v>
      </c>
      <c r="I38" s="20">
        <f t="shared" si="8"/>
        <v>9347702.7899999991</v>
      </c>
      <c r="J38" s="20">
        <f t="shared" si="8"/>
        <v>10095524.289999999</v>
      </c>
      <c r="K38" s="20">
        <f t="shared" si="8"/>
        <v>10903171.51</v>
      </c>
      <c r="L38" s="20">
        <f t="shared" si="8"/>
        <v>11775426.550000001</v>
      </c>
    </row>
    <row r="39" spans="4:12" ht="19" x14ac:dyDescent="0.35">
      <c r="D39" s="20"/>
      <c r="E39" s="806"/>
      <c r="F39" s="807" t="s">
        <v>457</v>
      </c>
      <c r="G39" s="408">
        <f>G38/'Trafic mens2026'!$Q$739</f>
        <v>8093327.6243375484</v>
      </c>
      <c r="H39" s="408">
        <f>H38/'Trafic mens2026'!$Q$739</f>
        <v>8740793.8342845514</v>
      </c>
      <c r="I39" s="408">
        <f>I38/'Trafic mens2026'!$Q$739</f>
        <v>9440067.3327898141</v>
      </c>
      <c r="J39" s="408">
        <f>J38/'Trafic mens2026'!$Q$739</f>
        <v>10195278.048353</v>
      </c>
      <c r="K39" s="408">
        <f>K38/'Trafic mens2026'!$Q$739</f>
        <v>11010905.621161239</v>
      </c>
      <c r="L39" s="408">
        <f>L38/'Trafic mens2026'!$Q$739</f>
        <v>11891779.40308914</v>
      </c>
    </row>
    <row r="40" spans="4:12" x14ac:dyDescent="0.35">
      <c r="D40" s="20"/>
      <c r="E40" s="20"/>
      <c r="F40" s="20"/>
      <c r="G40" s="20"/>
      <c r="H40" s="20"/>
      <c r="I40" s="20"/>
      <c r="J40" s="20"/>
    </row>
    <row r="41" spans="4:12" x14ac:dyDescent="0.35">
      <c r="D41" s="20"/>
      <c r="E41" s="20"/>
      <c r="F41" s="20"/>
      <c r="G41">
        <v>8853864.2441412378</v>
      </c>
      <c r="H41">
        <v>9296557.4563482981</v>
      </c>
      <c r="I41">
        <v>9762975.2145474572</v>
      </c>
      <c r="J41" s="20">
        <v>10252796.534696428</v>
      </c>
      <c r="K41">
        <v>10677021.582308851</v>
      </c>
      <c r="L41">
        <v>11097308.487196352</v>
      </c>
    </row>
    <row r="42" spans="4:12" x14ac:dyDescent="0.35">
      <c r="D42" s="20"/>
      <c r="E42" s="20"/>
      <c r="F42" s="20"/>
      <c r="J42" s="20"/>
    </row>
    <row r="43" spans="4:12" x14ac:dyDescent="0.35">
      <c r="D43" s="20"/>
      <c r="E43" s="20"/>
      <c r="F43" s="20"/>
      <c r="J43" s="20"/>
    </row>
    <row r="44" spans="4:12" x14ac:dyDescent="0.35">
      <c r="D44" s="20"/>
      <c r="E44" s="20"/>
      <c r="F44" s="20"/>
      <c r="J44" s="20"/>
    </row>
    <row r="45" spans="4:12" x14ac:dyDescent="0.35">
      <c r="D45" s="20"/>
      <c r="E45" s="20"/>
      <c r="F45" s="20"/>
      <c r="J45" s="20"/>
    </row>
  </sheetData>
  <mergeCells count="18">
    <mergeCell ref="B24:B25"/>
    <mergeCell ref="B27:B30"/>
    <mergeCell ref="B7:B8"/>
    <mergeCell ref="B22:B23"/>
    <mergeCell ref="B16:B17"/>
    <mergeCell ref="B18:B19"/>
    <mergeCell ref="B20:B21"/>
    <mergeCell ref="B11:B12"/>
    <mergeCell ref="M2:N2"/>
    <mergeCell ref="O2:O3"/>
    <mergeCell ref="B4:B6"/>
    <mergeCell ref="D2:D3"/>
    <mergeCell ref="G2:H2"/>
    <mergeCell ref="I2:J2"/>
    <mergeCell ref="B2:C3"/>
    <mergeCell ref="K2:L2"/>
    <mergeCell ref="E2:E3"/>
    <mergeCell ref="F2:F3"/>
  </mergeCells>
  <phoneticPr fontId="71" type="noConversion"/>
  <conditionalFormatting sqref="H40">
    <cfRule type="cellIs" dxfId="261" priority="2" operator="notEqual">
      <formula>0</formula>
    </cfRule>
  </conditionalFormatting>
  <pageMargins left="0.7" right="0.7" top="0.75" bottom="0.75" header="0.3" footer="0.3"/>
  <pageSetup paperSize="9" orientation="portrait" r:id="rId1"/>
  <ignoredErrors>
    <ignoredError sqref="F17:F21 H29 J29 F12 F23 F8:F10 L29 L4:L23 J4:J23 H4:H23 L27:L28 J27:J28 H27:H28" formula="1"/>
    <ignoredError sqref="I5:I6 I8" evalError="1"/>
  </ignoredError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R102"/>
  <sheetViews>
    <sheetView topLeftCell="A39" zoomScale="70" zoomScaleNormal="70" workbookViewId="0">
      <selection activeCell="F23" sqref="F23"/>
    </sheetView>
  </sheetViews>
  <sheetFormatPr baseColWidth="10" defaultColWidth="10.81640625" defaultRowHeight="14.5" x14ac:dyDescent="0.35"/>
  <cols>
    <col min="1" max="1" width="44" customWidth="1"/>
    <col min="2" max="2" width="11.81640625" bestFit="1" customWidth="1"/>
    <col min="4" max="4" width="13.26953125" customWidth="1"/>
    <col min="5" max="6" width="17.54296875" bestFit="1" customWidth="1"/>
    <col min="7" max="7" width="13.81640625" customWidth="1"/>
    <col min="10" max="10" width="12.81640625" bestFit="1" customWidth="1"/>
    <col min="11" max="11" width="11" bestFit="1" customWidth="1"/>
    <col min="13" max="13" width="8.54296875" bestFit="1" customWidth="1"/>
    <col min="14" max="14" width="7.1796875" customWidth="1"/>
    <col min="16" max="18" width="11.81640625" bestFit="1" customWidth="1"/>
  </cols>
  <sheetData>
    <row r="2" spans="1:14" ht="15.5" x14ac:dyDescent="0.35">
      <c r="A2" s="19" t="s">
        <v>189</v>
      </c>
      <c r="B2" s="48"/>
      <c r="C2" s="48"/>
      <c r="D2" s="48"/>
      <c r="E2" s="48"/>
      <c r="F2" s="48"/>
      <c r="G2" s="48"/>
      <c r="H2" s="48"/>
      <c r="I2" s="48"/>
    </row>
    <row r="3" spans="1:14" ht="17.5" x14ac:dyDescent="0.35">
      <c r="A3" s="49"/>
      <c r="B3" s="50">
        <v>2019</v>
      </c>
      <c r="C3" s="50">
        <v>2020</v>
      </c>
      <c r="D3" s="50">
        <v>2021</v>
      </c>
      <c r="E3" s="50">
        <v>2022</v>
      </c>
      <c r="F3" s="50">
        <v>2023</v>
      </c>
      <c r="G3" s="50">
        <v>2024</v>
      </c>
      <c r="H3" s="51">
        <v>2025</v>
      </c>
      <c r="I3" s="51">
        <v>2026</v>
      </c>
    </row>
    <row r="4" spans="1:14" ht="17.5" x14ac:dyDescent="0.35">
      <c r="A4" s="52" t="s">
        <v>196</v>
      </c>
      <c r="B4" s="53">
        <v>2539</v>
      </c>
      <c r="C4" s="54">
        <v>2321</v>
      </c>
      <c r="D4" s="54">
        <v>2331</v>
      </c>
      <c r="E4" s="54">
        <v>2268</v>
      </c>
      <c r="F4" s="54">
        <v>2482</v>
      </c>
      <c r="G4" s="54">
        <f>'NON-RESPECT_ENGA_TRANSBO_TC2'!D4</f>
        <v>2748</v>
      </c>
      <c r="H4" s="707">
        <f>'NON-RESPECT_ENGA_TRANSBO_TC2'!E4</f>
        <v>2858.4504016024534</v>
      </c>
      <c r="I4" s="55">
        <f>'NON-RESPECT_ENGA_TRANSBO_TC2'!K4</f>
        <v>458.81165911979201</v>
      </c>
      <c r="J4" s="20"/>
      <c r="K4" s="20"/>
      <c r="L4" s="20"/>
      <c r="M4" s="20"/>
      <c r="N4" s="20"/>
    </row>
    <row r="5" spans="1:14" ht="17.5" x14ac:dyDescent="0.35">
      <c r="A5" s="52" t="s">
        <v>197</v>
      </c>
      <c r="B5" s="53">
        <v>1690</v>
      </c>
      <c r="C5" s="56">
        <v>1626</v>
      </c>
      <c r="D5" s="56">
        <v>1700</v>
      </c>
      <c r="E5" s="56">
        <v>1707</v>
      </c>
      <c r="F5" s="56">
        <v>1998</v>
      </c>
      <c r="G5" s="56">
        <f>'NON-RESPECT_ENGA_TRANSBO_TC2'!D5</f>
        <v>2340</v>
      </c>
      <c r="H5" s="708">
        <f>'NON-RESPECT_ENGA_TRANSBO_TC2'!E5</f>
        <v>2446.3425216168239</v>
      </c>
      <c r="I5" s="55">
        <f>'NON-RESPECT_ENGA_TRANSBO_TC2'!K5</f>
        <v>404.32518038311906</v>
      </c>
    </row>
    <row r="6" spans="1:14" ht="17.5" x14ac:dyDescent="0.35">
      <c r="A6" s="52" t="s">
        <v>198</v>
      </c>
      <c r="B6" s="53">
        <v>849</v>
      </c>
      <c r="C6" s="57">
        <v>695</v>
      </c>
      <c r="D6" s="57">
        <v>631</v>
      </c>
      <c r="E6" s="57">
        <v>561</v>
      </c>
      <c r="F6" s="57">
        <v>484</v>
      </c>
      <c r="G6" s="57">
        <f>'NON-RESPECT_ENGA_TRANSBO_TC2'!D6</f>
        <v>408</v>
      </c>
      <c r="H6" s="709">
        <f>'NON-RESPECT_ENGA_TRANSBO_TC2'!E6</f>
        <v>412.10787998562978</v>
      </c>
      <c r="I6" s="55">
        <f>'NON-RESPECT_ENGA_TRANSBO_TC2'!K6</f>
        <v>54.48647873667295</v>
      </c>
    </row>
    <row r="7" spans="1:14" ht="17.5" x14ac:dyDescent="0.35">
      <c r="A7" s="58" t="s">
        <v>199</v>
      </c>
      <c r="B7" s="64">
        <f t="shared" ref="B7:F7" si="0">B5/B4</f>
        <v>0.66561638440330839</v>
      </c>
      <c r="C7" s="64">
        <f t="shared" si="0"/>
        <v>0.70056010340370534</v>
      </c>
      <c r="D7" s="64">
        <f t="shared" si="0"/>
        <v>0.72930072930072931</v>
      </c>
      <c r="E7" s="64">
        <f t="shared" si="0"/>
        <v>0.75264550264550267</v>
      </c>
      <c r="F7" s="64">
        <f t="shared" si="0"/>
        <v>0.80499597099113618</v>
      </c>
      <c r="G7" s="64">
        <f>G5/G4</f>
        <v>0.85152838427947597</v>
      </c>
      <c r="H7" s="65">
        <f>H5/H4</f>
        <v>0.85582822085889576</v>
      </c>
      <c r="I7" s="65">
        <f>I5/I4</f>
        <v>0.88124434579277555</v>
      </c>
      <c r="J7" s="68"/>
      <c r="L7" s="1">
        <v>2026</v>
      </c>
    </row>
    <row r="8" spans="1:14" x14ac:dyDescent="0.35">
      <c r="A8" s="59"/>
      <c r="B8" s="64">
        <f t="shared" ref="B8:E8" si="1">B6/B4</f>
        <v>0.33438361559669161</v>
      </c>
      <c r="C8" s="64">
        <f t="shared" si="1"/>
        <v>0.29943989659629472</v>
      </c>
      <c r="D8" s="64">
        <f t="shared" si="1"/>
        <v>0.27069927069927069</v>
      </c>
      <c r="E8" s="64">
        <f t="shared" si="1"/>
        <v>0.24735449735449735</v>
      </c>
      <c r="F8" s="64">
        <f>F6/F4</f>
        <v>0.19500402900886382</v>
      </c>
      <c r="G8" s="64">
        <f>G6/G4</f>
        <v>0.14847161572052403</v>
      </c>
      <c r="H8" s="65">
        <f>H6/H4</f>
        <v>0.14417177914110429</v>
      </c>
      <c r="I8" s="65">
        <f>I6/I4</f>
        <v>0.11875565420722443</v>
      </c>
      <c r="J8" s="67"/>
      <c r="K8" s="745">
        <f>H7+J9</f>
        <v>0.88124434579277555</v>
      </c>
      <c r="L8" s="98" t="s">
        <v>346</v>
      </c>
      <c r="N8" s="68"/>
    </row>
    <row r="9" spans="1:14" ht="17.5" x14ac:dyDescent="0.35">
      <c r="A9" s="60" t="s">
        <v>200</v>
      </c>
      <c r="B9" s="61"/>
      <c r="C9" s="61">
        <f t="shared" ref="C9:F10" si="2">C7-B7</f>
        <v>3.4943719000396944E-2</v>
      </c>
      <c r="D9" s="61">
        <f t="shared" si="2"/>
        <v>2.8740625897023975E-2</v>
      </c>
      <c r="E9" s="61">
        <f t="shared" si="2"/>
        <v>2.3344773344773362E-2</v>
      </c>
      <c r="F9" s="61">
        <f t="shared" si="2"/>
        <v>5.2350468345633505E-2</v>
      </c>
      <c r="G9" s="61">
        <f t="shared" ref="G9:I10" si="3">G7-F7</f>
        <v>4.6532413288339791E-2</v>
      </c>
      <c r="H9" s="61">
        <f>H7-G7</f>
        <v>4.2998365794197912E-3</v>
      </c>
      <c r="I9" s="61">
        <f t="shared" si="3"/>
        <v>2.5416124933879791E-2</v>
      </c>
      <c r="J9" s="66">
        <f>AVERAGE(G9:H9)</f>
        <v>2.5416124933879791E-2</v>
      </c>
      <c r="K9" s="745">
        <f>1-K8</f>
        <v>0.11875565420722445</v>
      </c>
    </row>
    <row r="10" spans="1:14" x14ac:dyDescent="0.35">
      <c r="A10" s="62"/>
      <c r="B10" s="63"/>
      <c r="C10" s="63">
        <f t="shared" si="2"/>
        <v>-3.4943719000396889E-2</v>
      </c>
      <c r="D10" s="63">
        <f t="shared" si="2"/>
        <v>-2.874062589702403E-2</v>
      </c>
      <c r="E10" s="63">
        <f t="shared" si="2"/>
        <v>-2.3344773344773334E-2</v>
      </c>
      <c r="F10" s="63">
        <f>F8-E8</f>
        <v>-5.2350468345633533E-2</v>
      </c>
      <c r="G10" s="63">
        <f t="shared" si="3"/>
        <v>-4.6532413288339791E-2</v>
      </c>
      <c r="H10" s="63">
        <f>H8-G8</f>
        <v>-4.2998365794197357E-3</v>
      </c>
      <c r="I10" s="63">
        <f t="shared" si="3"/>
        <v>-2.5416124933879861E-2</v>
      </c>
      <c r="J10" s="66">
        <f>AVERAGE(G10:H10)</f>
        <v>-2.5416124933879763E-2</v>
      </c>
      <c r="K10" s="451"/>
    </row>
    <row r="11" spans="1:14" x14ac:dyDescent="0.35">
      <c r="A11" s="48"/>
      <c r="B11" s="48"/>
      <c r="C11" s="48"/>
      <c r="D11" s="48"/>
      <c r="E11" s="48"/>
      <c r="F11" s="48"/>
      <c r="G11" s="69"/>
      <c r="H11" s="69"/>
      <c r="I11" s="69"/>
      <c r="L11" s="1">
        <v>2027</v>
      </c>
    </row>
    <row r="12" spans="1:14" x14ac:dyDescent="0.35">
      <c r="A12" s="48"/>
      <c r="B12" s="48"/>
      <c r="C12" s="48"/>
      <c r="D12" s="48"/>
      <c r="E12" s="48"/>
      <c r="F12" s="48"/>
      <c r="G12" s="436">
        <f>'NON-RESPECT_ENGA_TRANSBO_TC2'!D7</f>
        <v>46935601.110707201</v>
      </c>
      <c r="H12" s="436"/>
      <c r="I12" s="436"/>
      <c r="J12" s="550">
        <f>AVERAGE(H9:I9)</f>
        <v>1.4857980756649791E-2</v>
      </c>
      <c r="K12" s="746">
        <f>J12+I7</f>
        <v>0.89610232654942534</v>
      </c>
      <c r="L12" s="98" t="s">
        <v>356</v>
      </c>
    </row>
    <row r="13" spans="1:14" x14ac:dyDescent="0.35">
      <c r="A13" s="104"/>
      <c r="B13" s="104"/>
      <c r="C13" s="104"/>
      <c r="D13" s="104"/>
      <c r="E13" s="104"/>
      <c r="F13" s="104"/>
      <c r="G13" s="104"/>
      <c r="H13" s="104"/>
      <c r="I13" s="104"/>
      <c r="J13" s="104"/>
      <c r="K13" s="745">
        <f>1-K12</f>
        <v>0.10389767345057466</v>
      </c>
      <c r="L13" s="104"/>
    </row>
    <row r="15" spans="1:14" ht="17.5" x14ac:dyDescent="0.35">
      <c r="B15" s="50">
        <v>2019</v>
      </c>
      <c r="C15" s="50">
        <v>2020</v>
      </c>
      <c r="D15" s="50">
        <v>2021</v>
      </c>
      <c r="E15" s="50">
        <v>2022</v>
      </c>
      <c r="F15" s="50">
        <v>2023</v>
      </c>
      <c r="G15" s="50">
        <v>2024</v>
      </c>
      <c r="H15" s="51">
        <v>2025</v>
      </c>
      <c r="I15" s="51">
        <v>2026</v>
      </c>
    </row>
    <row r="16" spans="1:14" ht="17.5" x14ac:dyDescent="0.35">
      <c r="A16" s="14" t="s">
        <v>294</v>
      </c>
      <c r="B16" s="74">
        <v>25738345.182597991</v>
      </c>
      <c r="C16" s="74">
        <v>25350922.558076579</v>
      </c>
      <c r="D16" s="74">
        <v>28313868.736470032</v>
      </c>
      <c r="E16" s="74">
        <v>28669102.349232037</v>
      </c>
      <c r="F16" s="74">
        <v>34704000.100541979</v>
      </c>
      <c r="G16" s="74">
        <f>'NON-RESPECT_ENGA_TRANSBO_TC2'!D7</f>
        <v>46935601.110707201</v>
      </c>
      <c r="H16" s="705">
        <f>'NON-RESPECT_ENGA_TRANSBO_TC2'!E7</f>
        <v>48477430.669302851</v>
      </c>
      <c r="I16" s="73">
        <f>'NON-RESPECT_ENGA_TRANSBO_TC2'!K7</f>
        <v>8464099.2083599586</v>
      </c>
    </row>
    <row r="17" spans="1:17" ht="17.5" x14ac:dyDescent="0.35">
      <c r="A17" s="14" t="s">
        <v>196</v>
      </c>
      <c r="B17" s="75">
        <v>2539</v>
      </c>
      <c r="C17" s="76">
        <v>2321</v>
      </c>
      <c r="D17" s="76">
        <v>2331</v>
      </c>
      <c r="E17" s="76">
        <v>2268</v>
      </c>
      <c r="F17" s="76">
        <v>2482</v>
      </c>
      <c r="G17" s="76">
        <f>G4</f>
        <v>2748</v>
      </c>
      <c r="H17" s="706">
        <f>H4</f>
        <v>2858.4504016024534</v>
      </c>
      <c r="I17" s="72">
        <f>I4</f>
        <v>458.81165911979201</v>
      </c>
      <c r="L17" s="21"/>
      <c r="M17" s="21"/>
      <c r="N17" s="21"/>
      <c r="O17" s="21"/>
      <c r="P17" s="21"/>
      <c r="Q17" s="21"/>
    </row>
    <row r="18" spans="1:17" x14ac:dyDescent="0.35">
      <c r="A18" t="s">
        <v>202</v>
      </c>
      <c r="B18" s="22"/>
      <c r="C18" s="22">
        <f>C16/B16-1</f>
        <v>-1.5052351725523994E-2</v>
      </c>
      <c r="D18" s="22">
        <f t="shared" ref="D18:H19" si="4">D16/C16-1</f>
        <v>0.11687725255779635</v>
      </c>
      <c r="E18" s="22">
        <f t="shared" si="4"/>
        <v>1.2546276034134607E-2</v>
      </c>
      <c r="F18" s="22">
        <f t="shared" si="4"/>
        <v>0.21050180357222104</v>
      </c>
      <c r="G18" s="22">
        <f>G16/F16-1</f>
        <v>0.35245507649633168</v>
      </c>
      <c r="H18" s="22">
        <f t="shared" si="4"/>
        <v>3.2849894794335865E-2</v>
      </c>
      <c r="I18" s="22">
        <f>I16/G16-1</f>
        <v>-0.81966569068976769</v>
      </c>
      <c r="K18" s="1">
        <v>2026</v>
      </c>
    </row>
    <row r="19" spans="1:17" x14ac:dyDescent="0.35">
      <c r="A19" t="s">
        <v>203</v>
      </c>
      <c r="B19" s="22"/>
      <c r="C19" s="22">
        <f t="shared" ref="C19" si="5">C17/B17-1</f>
        <v>-8.5860575029539143E-2</v>
      </c>
      <c r="D19" s="22">
        <f t="shared" si="4"/>
        <v>4.3084877208099392E-3</v>
      </c>
      <c r="E19" s="22">
        <f t="shared" si="4"/>
        <v>-2.7027027027026973E-2</v>
      </c>
      <c r="F19" s="22">
        <f t="shared" si="4"/>
        <v>9.4356261022927601E-2</v>
      </c>
      <c r="G19" s="22">
        <f>G17/F17-1</f>
        <v>0.10717163577759869</v>
      </c>
      <c r="H19" s="22">
        <f>H17/G17-1</f>
        <v>4.0193013683571088E-2</v>
      </c>
      <c r="I19" s="22">
        <f>I17/H17-1</f>
        <v>-0.83948937548030178</v>
      </c>
      <c r="J19" s="747">
        <f>H20+J22</f>
        <v>18447.872978201827</v>
      </c>
      <c r="K19" s="1" t="s">
        <v>345</v>
      </c>
    </row>
    <row r="20" spans="1:17" x14ac:dyDescent="0.35">
      <c r="A20" t="s">
        <v>204</v>
      </c>
      <c r="B20" s="15">
        <f t="shared" ref="B20:C20" si="6">B16/B17</f>
        <v>10137.197787553365</v>
      </c>
      <c r="C20" s="15">
        <f t="shared" si="6"/>
        <v>10922.413855267807</v>
      </c>
      <c r="D20" s="15">
        <f t="shared" ref="D20:F20" si="7">D16/D17</f>
        <v>12146.661834607479</v>
      </c>
      <c r="E20" s="15">
        <f t="shared" si="7"/>
        <v>12640.697684846577</v>
      </c>
      <c r="F20" s="15">
        <f t="shared" si="7"/>
        <v>13982.272401507647</v>
      </c>
      <c r="G20" s="15">
        <f>G16/G17</f>
        <v>17079.91306794294</v>
      </c>
      <c r="H20" s="15">
        <f t="shared" ref="H20" si="8">H16/H17</f>
        <v>16959.339452637101</v>
      </c>
      <c r="I20" s="15">
        <f>I16/I17</f>
        <v>18447.872978201827</v>
      </c>
    </row>
    <row r="21" spans="1:17" x14ac:dyDescent="0.35">
      <c r="B21" s="22"/>
      <c r="C21" s="22">
        <f>C20/B20-1</f>
        <v>7.7458887965917489E-2</v>
      </c>
      <c r="D21" s="22">
        <f t="shared" ref="D21:H21" si="9">D20/C20-1</f>
        <v>0.11208584435291535</v>
      </c>
      <c r="E21" s="22">
        <f t="shared" si="9"/>
        <v>4.0672561479527136E-2</v>
      </c>
      <c r="F21" s="22">
        <f t="shared" si="9"/>
        <v>0.10613138215221496</v>
      </c>
      <c r="G21" s="71">
        <f>G20/F20-1</f>
        <v>0.22154057491408108</v>
      </c>
      <c r="H21" s="71">
        <f t="shared" si="9"/>
        <v>-7.0593810885455355E-3</v>
      </c>
      <c r="I21" s="71">
        <f>I20/H20-1</f>
        <v>8.7770725370631464E-2</v>
      </c>
    </row>
    <row r="22" spans="1:17" x14ac:dyDescent="0.35">
      <c r="B22" s="21"/>
      <c r="C22" s="21">
        <f>C20-B20</f>
        <v>785.21606771444203</v>
      </c>
      <c r="D22" s="21">
        <f t="shared" ref="D22:F22" si="10">D20-C20</f>
        <v>1224.2479793396724</v>
      </c>
      <c r="E22" s="21">
        <f t="shared" si="10"/>
        <v>494.03585023909727</v>
      </c>
      <c r="F22" s="21">
        <f t="shared" si="10"/>
        <v>1341.5747166610709</v>
      </c>
      <c r="G22" s="21">
        <f>G20-F20</f>
        <v>3097.6406664352926</v>
      </c>
      <c r="H22" s="21">
        <f>H20-G20</f>
        <v>-120.57361530583876</v>
      </c>
      <c r="I22" s="21">
        <f>I20-H20</f>
        <v>1488.533525564726</v>
      </c>
      <c r="J22" s="744">
        <f>AVERAGE(G22:H22)</f>
        <v>1488.5335255647269</v>
      </c>
      <c r="K22" s="744">
        <f>AVERAGE(G22:I22)</f>
        <v>1488.5335255647267</v>
      </c>
    </row>
    <row r="23" spans="1:17" x14ac:dyDescent="0.35">
      <c r="B23" s="21"/>
      <c r="C23" s="21"/>
      <c r="D23" s="21"/>
      <c r="E23" s="21"/>
      <c r="F23" s="21"/>
      <c r="G23" s="21"/>
      <c r="H23" s="21"/>
      <c r="I23" s="21"/>
      <c r="J23" s="21"/>
      <c r="K23" s="21"/>
    </row>
    <row r="24" spans="1:17" x14ac:dyDescent="0.35">
      <c r="J24" s="748">
        <f>K22+I20</f>
        <v>19936.406503766553</v>
      </c>
      <c r="K24" s="1">
        <v>2027</v>
      </c>
    </row>
    <row r="25" spans="1:17" x14ac:dyDescent="0.35">
      <c r="K25" s="1" t="s">
        <v>357</v>
      </c>
    </row>
    <row r="27" spans="1:17" ht="17.5" x14ac:dyDescent="0.35">
      <c r="B27" s="50">
        <v>2019</v>
      </c>
      <c r="C27" s="50">
        <v>2020</v>
      </c>
      <c r="D27" s="50">
        <v>2021</v>
      </c>
      <c r="E27" s="50">
        <v>2022</v>
      </c>
      <c r="F27" s="50">
        <v>2023</v>
      </c>
      <c r="G27" s="50">
        <v>2024</v>
      </c>
      <c r="H27" s="51">
        <v>2025</v>
      </c>
      <c r="I27" s="51">
        <v>2026</v>
      </c>
    </row>
    <row r="28" spans="1:17" ht="17.5" x14ac:dyDescent="0.35">
      <c r="A28" s="14" t="s">
        <v>294</v>
      </c>
      <c r="B28" s="16">
        <v>25738345.182597991</v>
      </c>
      <c r="C28" s="26">
        <v>25350922.55807659</v>
      </c>
      <c r="D28" s="26">
        <v>28313868.736470032</v>
      </c>
      <c r="E28" s="26">
        <v>28669102.349232037</v>
      </c>
      <c r="F28" s="74">
        <v>34704000.100541979</v>
      </c>
      <c r="G28" s="74">
        <f>G16</f>
        <v>46935601.110707201</v>
      </c>
      <c r="H28" s="70">
        <f>H16</f>
        <v>48477430.669302851</v>
      </c>
      <c r="I28" s="70">
        <f>I16</f>
        <v>8464099.2083599586</v>
      </c>
    </row>
    <row r="29" spans="1:17" ht="17.5" x14ac:dyDescent="0.35">
      <c r="A29" s="14" t="s">
        <v>343</v>
      </c>
      <c r="B29" s="16">
        <v>7532453.0067280037</v>
      </c>
      <c r="C29" s="26">
        <v>8102939.195329003</v>
      </c>
      <c r="D29" s="26">
        <v>8515382.1366509851</v>
      </c>
      <c r="E29" s="26">
        <v>8868123.3511419967</v>
      </c>
      <c r="F29" s="26">
        <v>13642884.418232037</v>
      </c>
      <c r="G29" s="26">
        <f>'Trafic mens2025'!O1106</f>
        <v>19566896.167524043</v>
      </c>
      <c r="H29" s="70">
        <f>H16*'Trafic mens2026'!Q1106</f>
        <v>21334986.402126465</v>
      </c>
      <c r="I29" s="70">
        <f>I16*'Trafic mens2026'!Q1106</f>
        <v>3725062.1376466202</v>
      </c>
    </row>
    <row r="30" spans="1:17" ht="17.5" x14ac:dyDescent="0.35">
      <c r="A30" s="14" t="s">
        <v>344</v>
      </c>
      <c r="B30" s="16">
        <v>730827</v>
      </c>
      <c r="C30" s="26">
        <v>760149</v>
      </c>
      <c r="D30" s="26">
        <v>787314</v>
      </c>
      <c r="E30" s="26">
        <v>840426</v>
      </c>
      <c r="F30" s="26">
        <v>1238195</v>
      </c>
      <c r="G30" s="26">
        <f>'NON-RESPECT_ENGA_TRANSBO_TC2'!D27</f>
        <v>1709308</v>
      </c>
      <c r="H30" s="70">
        <f>'NON-RESPECT_ENGA_TRANSBO_TC2'!E27</f>
        <v>1863897.6684028457</v>
      </c>
      <c r="I30" s="70">
        <f>'NON-RESPECT_ENGA_TRANSBO_TC2'!K27</f>
        <v>523935.21600000001</v>
      </c>
    </row>
    <row r="31" spans="1:17" ht="15.5" x14ac:dyDescent="0.35">
      <c r="A31" s="77" t="s">
        <v>205</v>
      </c>
      <c r="B31" s="16">
        <v>192377</v>
      </c>
      <c r="C31" s="16">
        <v>183895</v>
      </c>
      <c r="D31" s="16">
        <v>163318</v>
      </c>
      <c r="E31" s="16">
        <v>193529</v>
      </c>
      <c r="F31" s="16">
        <v>313937</v>
      </c>
      <c r="G31" s="16">
        <f>'Trafic mens2025'!O1203</f>
        <v>397030</v>
      </c>
      <c r="H31" s="1057">
        <f>H30-H33</f>
        <v>1254326.3251199024</v>
      </c>
      <c r="I31" s="1057">
        <f>I30-I33</f>
        <v>104.97600000002421</v>
      </c>
    </row>
    <row r="32" spans="1:17" ht="15.5" x14ac:dyDescent="0.35">
      <c r="A32" s="77" t="s">
        <v>206</v>
      </c>
      <c r="B32" s="16">
        <v>538450</v>
      </c>
      <c r="C32" s="16">
        <v>576230</v>
      </c>
      <c r="D32" s="16">
        <v>623996</v>
      </c>
      <c r="E32" s="16">
        <v>632794</v>
      </c>
      <c r="F32" s="16">
        <v>677720</v>
      </c>
      <c r="G32" s="16">
        <f>'Trafic mens2025'!O1204</f>
        <v>790173</v>
      </c>
      <c r="H32" s="1058"/>
      <c r="I32" s="1058"/>
      <c r="K32" s="81"/>
    </row>
    <row r="33" spans="1:18" ht="15.5" x14ac:dyDescent="0.35">
      <c r="A33" s="78" t="s">
        <v>207</v>
      </c>
      <c r="B33" s="16">
        <v>13217</v>
      </c>
      <c r="C33" s="26">
        <v>18383</v>
      </c>
      <c r="D33" s="26">
        <v>16891</v>
      </c>
      <c r="E33" s="26">
        <v>14103</v>
      </c>
      <c r="F33" s="26">
        <v>245752</v>
      </c>
      <c r="G33" s="26">
        <f>'NON-RESPECT_ENGA_TRANSBO_TC2'!D29</f>
        <v>516271</v>
      </c>
      <c r="H33" s="70">
        <f>'NON-RESPECT_ENGA_TRANSBO_TC2'!E29</f>
        <v>609571.34328294324</v>
      </c>
      <c r="I33" s="70">
        <f>'NON-RESPECT_ENGA_TRANSBO_TC2'!K29</f>
        <v>523830.24</v>
      </c>
      <c r="K33" s="81"/>
    </row>
    <row r="34" spans="1:18" ht="15.5" x14ac:dyDescent="0.35">
      <c r="A34" s="79" t="s">
        <v>208</v>
      </c>
      <c r="B34" s="434">
        <f>B29/B28</f>
        <v>0.29265490664958471</v>
      </c>
      <c r="C34" s="434">
        <f t="shared" ref="C34:E34" si="11">C29/C28</f>
        <v>0.31963093953547167</v>
      </c>
      <c r="D34" s="434">
        <f t="shared" si="11"/>
        <v>0.30074950957453017</v>
      </c>
      <c r="E34" s="434">
        <f t="shared" si="11"/>
        <v>0.30932685799210413</v>
      </c>
      <c r="F34" s="434">
        <f>F29/F28</f>
        <v>0.39312138020708953</v>
      </c>
      <c r="G34" s="434">
        <f>G29/G28</f>
        <v>0.41688815535506879</v>
      </c>
      <c r="H34" s="434">
        <f>H29/H28</f>
        <v>0.44010142673745961</v>
      </c>
      <c r="I34" s="434">
        <f>I29/I28</f>
        <v>0.44010142673745961</v>
      </c>
      <c r="J34" s="749">
        <f>AVERAGE(C34:H34)</f>
        <v>0.36330304490028725</v>
      </c>
      <c r="K34" s="1"/>
    </row>
    <row r="35" spans="1:18" x14ac:dyDescent="0.35">
      <c r="A35" t="s">
        <v>210</v>
      </c>
      <c r="B35" s="80">
        <f>B29/B28</f>
        <v>0.29265490664958471</v>
      </c>
      <c r="C35" s="80">
        <f t="shared" ref="C35:E35" si="12">C29/C28</f>
        <v>0.31963093953547167</v>
      </c>
      <c r="D35" s="80">
        <f t="shared" si="12"/>
        <v>0.30074950957453017</v>
      </c>
      <c r="E35" s="80">
        <f t="shared" si="12"/>
        <v>0.30932685799210413</v>
      </c>
      <c r="F35" s="80">
        <f>F29/F28</f>
        <v>0.39312138020708953</v>
      </c>
      <c r="G35" s="80">
        <f>G29/G28</f>
        <v>0.41688815535506879</v>
      </c>
      <c r="H35" s="80">
        <f>H29/H28</f>
        <v>0.44010142673745961</v>
      </c>
      <c r="I35" s="80">
        <f>I29/I28</f>
        <v>0.44010142673745961</v>
      </c>
    </row>
    <row r="37" spans="1:18" x14ac:dyDescent="0.35">
      <c r="A37" t="s">
        <v>209</v>
      </c>
      <c r="B37" s="80">
        <f t="shared" ref="B37:E37" si="13">B31/B$30</f>
        <v>0.26323192766550768</v>
      </c>
      <c r="C37" s="80">
        <f t="shared" si="13"/>
        <v>0.24191967627399366</v>
      </c>
      <c r="D37" s="80">
        <f t="shared" si="13"/>
        <v>0.2074369311354809</v>
      </c>
      <c r="E37" s="80">
        <f t="shared" si="13"/>
        <v>0.23027488440386185</v>
      </c>
      <c r="F37" s="80">
        <f>F31/F$30</f>
        <v>0.25354407019895897</v>
      </c>
      <c r="G37" s="99">
        <f>G31/G$30</f>
        <v>0.2322752833310322</v>
      </c>
      <c r="H37" s="99">
        <f>H31/H$30</f>
        <v>0.67295879295493799</v>
      </c>
      <c r="I37" s="99">
        <f>I31/I$30</f>
        <v>2.0036064916854952E-4</v>
      </c>
      <c r="J37" s="1"/>
      <c r="K37" s="1"/>
      <c r="L37" s="1"/>
      <c r="M37" s="1"/>
    </row>
    <row r="38" spans="1:18" x14ac:dyDescent="0.35">
      <c r="B38" s="80">
        <f t="shared" ref="B38:D39" si="14">B32/B$30</f>
        <v>0.73676807233449226</v>
      </c>
      <c r="C38" s="80">
        <f t="shared" si="14"/>
        <v>0.75804875096856006</v>
      </c>
      <c r="D38" s="80">
        <f t="shared" si="14"/>
        <v>0.7925630688645191</v>
      </c>
      <c r="E38" s="80">
        <f>E32/E$30</f>
        <v>0.7529443401322663</v>
      </c>
      <c r="F38" s="80">
        <f>F32/F$30</f>
        <v>0.54734512738300511</v>
      </c>
      <c r="G38" s="99"/>
      <c r="H38" s="99"/>
      <c r="I38" s="99"/>
    </row>
    <row r="39" spans="1:18" x14ac:dyDescent="0.35">
      <c r="B39" s="80">
        <f t="shared" si="14"/>
        <v>1.8084991386470396E-2</v>
      </c>
      <c r="C39" s="80">
        <f t="shared" si="14"/>
        <v>2.4183416672257676E-2</v>
      </c>
      <c r="D39" s="80">
        <f t="shared" si="14"/>
        <v>2.1453956108998442E-2</v>
      </c>
      <c r="E39" s="80">
        <f>E33/E$30</f>
        <v>1.6780775463871894E-2</v>
      </c>
      <c r="F39" s="80">
        <f>F33/F$30</f>
        <v>0.198476007414018</v>
      </c>
      <c r="G39" s="99">
        <f>G33/G$30</f>
        <v>0.30203509256377437</v>
      </c>
      <c r="H39" s="99">
        <f>H33/H$30</f>
        <v>0.3270412070450619</v>
      </c>
      <c r="I39" s="99">
        <f>I33/I$30</f>
        <v>0.99979963935083149</v>
      </c>
      <c r="K39" s="384"/>
      <c r="L39" s="384"/>
    </row>
    <row r="40" spans="1:18" x14ac:dyDescent="0.35">
      <c r="B40" s="20"/>
      <c r="C40" s="20">
        <f t="shared" ref="C40:E40" si="15">C33-B33</f>
        <v>5166</v>
      </c>
      <c r="D40" s="20">
        <f t="shared" si="15"/>
        <v>-1492</v>
      </c>
      <c r="E40" s="20">
        <f t="shared" si="15"/>
        <v>-2788</v>
      </c>
      <c r="F40" s="20">
        <f>F33-E33</f>
        <v>231649</v>
      </c>
      <c r="G40" s="20">
        <f>G33-F33</f>
        <v>270519</v>
      </c>
      <c r="H40" s="20">
        <f>H33-G33</f>
        <v>93300.343282943242</v>
      </c>
      <c r="I40" s="20">
        <f>I33-G33</f>
        <v>7559.2399999999907</v>
      </c>
      <c r="J40" s="20"/>
      <c r="K40" s="1">
        <v>2024</v>
      </c>
      <c r="L40" s="1">
        <v>2025</v>
      </c>
      <c r="M40" s="1"/>
    </row>
    <row r="41" spans="1:18" x14ac:dyDescent="0.35">
      <c r="B41" s="80"/>
      <c r="C41" s="80">
        <f t="shared" ref="C41:E41" si="16">C33/B33-1</f>
        <v>0.39086025573125527</v>
      </c>
      <c r="D41" s="80">
        <f t="shared" si="16"/>
        <v>-8.1161943099602896E-2</v>
      </c>
      <c r="E41" s="80">
        <f t="shared" si="16"/>
        <v>-0.16505831507903612</v>
      </c>
      <c r="F41" s="80">
        <f>F33/E33-1</f>
        <v>16.42551230234702</v>
      </c>
      <c r="G41" s="80">
        <f>G33/F33-1</f>
        <v>1.1007804616035677</v>
      </c>
      <c r="H41" s="80">
        <f>H33/G33-1</f>
        <v>0.18071970589659925</v>
      </c>
      <c r="I41" s="80">
        <f>I33/G33-1</f>
        <v>1.4642000034865488E-2</v>
      </c>
      <c r="J41" s="80"/>
      <c r="K41" s="551" t="s">
        <v>352</v>
      </c>
      <c r="L41" s="384"/>
    </row>
    <row r="42" spans="1:18" x14ac:dyDescent="0.35">
      <c r="A42" t="s">
        <v>351</v>
      </c>
      <c r="B42" s="80"/>
      <c r="C42" s="80"/>
      <c r="D42" s="80"/>
      <c r="E42" s="80"/>
      <c r="F42" s="80"/>
      <c r="G42" s="541">
        <v>450000</v>
      </c>
      <c r="H42" s="541">
        <v>486000</v>
      </c>
      <c r="I42" s="541">
        <v>524880</v>
      </c>
      <c r="J42" s="541" t="s">
        <v>423</v>
      </c>
      <c r="K42" s="542">
        <f>'NON-RESPECT_ENGA_TRANSBO_TC2'!D29/O46</f>
        <v>1.2747432098765432</v>
      </c>
      <c r="L42" s="542">
        <f>'NON-RESPECT_ENGA_TRANSBO_TC2'!E29/K46</f>
        <v>1.256775574364662</v>
      </c>
    </row>
    <row r="43" spans="1:18" x14ac:dyDescent="0.35">
      <c r="J43" s="731" t="s">
        <v>424</v>
      </c>
      <c r="K43" s="542">
        <f>'NON-RESPECT_ENGA_TRANSBO_TC2'!D30/O47</f>
        <v>0.12964444444444445</v>
      </c>
      <c r="L43" s="734">
        <f>'NON-RESPECT_ENGA_TRANSBO_TC2'!E30/K47</f>
        <v>1.6262871717469596</v>
      </c>
    </row>
    <row r="44" spans="1:18" ht="17.5" x14ac:dyDescent="0.35">
      <c r="A44" s="17"/>
      <c r="B44" s="50">
        <v>2019</v>
      </c>
      <c r="C44" s="50">
        <v>2020</v>
      </c>
      <c r="D44" s="50">
        <v>2021</v>
      </c>
      <c r="E44" s="50">
        <v>2022</v>
      </c>
      <c r="F44" s="50">
        <v>2023</v>
      </c>
      <c r="G44" s="50">
        <v>2024</v>
      </c>
      <c r="H44" s="51">
        <v>2025</v>
      </c>
      <c r="I44" s="51">
        <v>2026</v>
      </c>
      <c r="K44" s="1056" t="s">
        <v>425</v>
      </c>
      <c r="L44" s="1056"/>
      <c r="M44" s="1056"/>
      <c r="P44" s="1055" t="s">
        <v>454</v>
      </c>
      <c r="Q44" s="1055"/>
    </row>
    <row r="45" spans="1:18" ht="17.5" x14ac:dyDescent="0.35">
      <c r="A45" s="14" t="s">
        <v>294</v>
      </c>
      <c r="B45" s="16">
        <v>25738345.182597991</v>
      </c>
      <c r="C45" s="16">
        <v>25350922.55807659</v>
      </c>
      <c r="D45" s="16">
        <v>28313868.736470032</v>
      </c>
      <c r="E45" s="26">
        <v>28669102.349232037</v>
      </c>
      <c r="F45" s="26">
        <v>34704000.100541979</v>
      </c>
      <c r="G45" s="26">
        <f>G16</f>
        <v>46935601.110707201</v>
      </c>
      <c r="H45" s="70">
        <f>H16</f>
        <v>48477430.669302851</v>
      </c>
      <c r="I45" s="70">
        <f>I16</f>
        <v>8464099.2083599586</v>
      </c>
      <c r="J45" s="718"/>
      <c r="K45" s="720">
        <v>2025</v>
      </c>
      <c r="L45" s="720">
        <v>2026</v>
      </c>
      <c r="M45" s="720">
        <v>2027</v>
      </c>
      <c r="O45" s="720">
        <v>2024</v>
      </c>
      <c r="P45" s="732" t="s">
        <v>453</v>
      </c>
      <c r="Q45" s="732" t="s">
        <v>467</v>
      </c>
    </row>
    <row r="46" spans="1:18" x14ac:dyDescent="0.35">
      <c r="A46" s="82" t="s">
        <v>297</v>
      </c>
      <c r="B46" s="16">
        <v>23105375.576377992</v>
      </c>
      <c r="C46" s="16">
        <v>22479406.214475587</v>
      </c>
      <c r="D46" s="16">
        <v>24908064.545171041</v>
      </c>
      <c r="E46" s="16">
        <v>25217360.660174038</v>
      </c>
      <c r="F46" s="16">
        <v>27616893.005845301</v>
      </c>
      <c r="G46" s="16">
        <f>'NON-RESPECT_ENGA_TRANSBO_TC2'!D11</f>
        <v>34475187.967271112</v>
      </c>
      <c r="H46" s="70">
        <f>'NON-RESPECT_ENGA_TRANSBO_TC2'!E11</f>
        <v>34208355.354181275</v>
      </c>
      <c r="I46" s="70">
        <f>'NON-RESPECT_ENGA_TRANSBO_TC2'!K11</f>
        <v>0</v>
      </c>
      <c r="J46" s="718" t="s">
        <v>423</v>
      </c>
      <c r="K46" s="719">
        <f>+K48*0.998</f>
        <v>485028</v>
      </c>
      <c r="L46" s="719">
        <f t="shared" ref="L46:M46" si="17">+L48*0.998</f>
        <v>523830.24</v>
      </c>
      <c r="M46" s="719">
        <f t="shared" si="17"/>
        <v>565737.25800000003</v>
      </c>
      <c r="O46" s="719">
        <f>+O48*0.9</f>
        <v>405000</v>
      </c>
      <c r="P46" s="549">
        <f>+'NON-RESPECT_ENGA_TRANSBO_TC2'!D29/('NON-RESPECT_ENGA_TRANSBO_TC2'!D29+'NON-RESPECT_ENGA_TRANSBO_TC2'!D30)</f>
        <v>0.98882600243246088</v>
      </c>
      <c r="Q46" s="549">
        <f>+'NON-RESPECT_ENGA_TRANSBO_TC2'!E29/('NON-RESPECT_ENGA_TRANSBO_TC2'!E29+'NON-RESPECT_ENGA_TRANSBO_TC2'!E30)</f>
        <v>0.99741348979184297</v>
      </c>
      <c r="R46" s="549"/>
    </row>
    <row r="47" spans="1:18" x14ac:dyDescent="0.35">
      <c r="A47" s="82" t="s">
        <v>295</v>
      </c>
      <c r="B47" s="16">
        <v>2037799.2117779995</v>
      </c>
      <c r="C47" s="16">
        <v>2372292.7793749999</v>
      </c>
      <c r="D47" s="16">
        <v>2935723.9163569994</v>
      </c>
      <c r="E47" s="16">
        <v>3073332.2917579999</v>
      </c>
      <c r="F47" s="16">
        <v>2897087.0720619988</v>
      </c>
      <c r="G47" s="16">
        <f>'NON-RESPECT_ENGA_TRANSBO_TC2'!D16</f>
        <v>3938707.5156020042</v>
      </c>
      <c r="H47" s="70">
        <f>'NON-RESPECT_ENGA_TRANSBO_TC2'!E16</f>
        <v>4362068.141288464</v>
      </c>
      <c r="I47" s="70">
        <f>'NON-RESPECT_ENGA_TRANSBO_TC2'!K16</f>
        <v>0</v>
      </c>
      <c r="J47" s="718" t="s">
        <v>424</v>
      </c>
      <c r="K47" s="719">
        <f>+K48-K46</f>
        <v>972</v>
      </c>
      <c r="L47" s="719">
        <f t="shared" ref="L47:M47" si="18">+L48-L46</f>
        <v>1049.7600000000093</v>
      </c>
      <c r="M47" s="719">
        <f t="shared" si="18"/>
        <v>1133.7419999999693</v>
      </c>
      <c r="O47" s="719">
        <f>+O48*0.1</f>
        <v>45000</v>
      </c>
      <c r="P47" s="549">
        <f>1-P46</f>
        <v>1.1173997567539118E-2</v>
      </c>
      <c r="Q47" s="549">
        <f>1-Q46</f>
        <v>2.5865102081570335E-3</v>
      </c>
      <c r="R47" s="549"/>
    </row>
    <row r="48" spans="1:18" ht="15" thickBot="1" x14ac:dyDescent="0.4">
      <c r="A48" s="86" t="s">
        <v>296</v>
      </c>
      <c r="B48" s="87">
        <v>595170.39444199996</v>
      </c>
      <c r="C48" s="87">
        <v>499223.56422599999</v>
      </c>
      <c r="D48" s="87">
        <v>470080.27494199999</v>
      </c>
      <c r="E48" s="87">
        <v>378409.39729999995</v>
      </c>
      <c r="F48" s="87">
        <v>4190020.0226347405</v>
      </c>
      <c r="G48" s="87">
        <f>'NON-RESPECT_ENGA_TRANSBO_TC2'!D22</f>
        <v>8521705.627833996</v>
      </c>
      <c r="H48" s="88">
        <f>'NON-RESPECT_ENGA_TRANSBO_TC2'!E22</f>
        <v>9907007.1738331113</v>
      </c>
      <c r="I48" s="88">
        <f>'NON-RESPECT_ENGA_TRANSBO_TC2'!K22</f>
        <v>8464099.2083599586</v>
      </c>
      <c r="J48" s="718" t="s">
        <v>15</v>
      </c>
      <c r="K48" s="719">
        <v>486000</v>
      </c>
      <c r="L48" s="719">
        <v>524880</v>
      </c>
      <c r="M48" s="719">
        <v>566871</v>
      </c>
      <c r="O48" s="733">
        <v>450000</v>
      </c>
      <c r="P48" s="743">
        <f>+P46+P47</f>
        <v>1</v>
      </c>
      <c r="Q48" s="743">
        <f>+Q46+Q47</f>
        <v>1</v>
      </c>
      <c r="R48" s="549"/>
    </row>
    <row r="49" spans="1:11" x14ac:dyDescent="0.35">
      <c r="A49" s="1059" t="s">
        <v>201</v>
      </c>
      <c r="B49" s="89"/>
      <c r="C49" s="89">
        <f t="shared" ref="C49:C52" si="19">C45/B45-1</f>
        <v>-1.5052351725523549E-2</v>
      </c>
      <c r="D49" s="89">
        <f t="shared" ref="D49:D52" si="20">D45/C45-1</f>
        <v>0.11687725255779591</v>
      </c>
      <c r="E49" s="89">
        <f t="shared" ref="E49:E52" si="21">E45/D45-1</f>
        <v>1.2546276034134607E-2</v>
      </c>
      <c r="F49" s="89">
        <f t="shared" ref="F49:F52" si="22">F45/E45-1</f>
        <v>0.21050180357222104</v>
      </c>
      <c r="G49" s="89">
        <f t="shared" ref="G49:H52" si="23">G45/F45-1</f>
        <v>0.35245507649633168</v>
      </c>
      <c r="H49" s="89">
        <f t="shared" si="23"/>
        <v>3.2849894794335865E-2</v>
      </c>
      <c r="I49" s="90">
        <f>I45/H45-1</f>
        <v>-0.82540124153651484</v>
      </c>
    </row>
    <row r="50" spans="1:11" x14ac:dyDescent="0.35">
      <c r="A50" s="1060"/>
      <c r="B50" s="84"/>
      <c r="C50" s="84">
        <f t="shared" si="19"/>
        <v>-2.7091936239390546E-2</v>
      </c>
      <c r="D50" s="84">
        <f t="shared" si="20"/>
        <v>0.10803925635417899</v>
      </c>
      <c r="E50" s="84">
        <f t="shared" si="21"/>
        <v>1.2417508973532776E-2</v>
      </c>
      <c r="F50" s="84">
        <f t="shared" si="22"/>
        <v>9.5153984511188838E-2</v>
      </c>
      <c r="G50" s="84">
        <f t="shared" si="23"/>
        <v>0.24833694941622175</v>
      </c>
      <c r="H50" s="84">
        <f t="shared" si="23"/>
        <v>-7.7398450544534647E-3</v>
      </c>
      <c r="I50" s="91">
        <f>I46/H46-1</f>
        <v>-1</v>
      </c>
    </row>
    <row r="51" spans="1:11" x14ac:dyDescent="0.35">
      <c r="A51" s="1060"/>
      <c r="B51" s="83"/>
      <c r="C51" s="83">
        <f t="shared" si="19"/>
        <v>0.1641445171161644</v>
      </c>
      <c r="D51" s="83">
        <f t="shared" si="20"/>
        <v>0.23750489057697166</v>
      </c>
      <c r="E51" s="83">
        <f t="shared" si="21"/>
        <v>4.6873745393525068E-2</v>
      </c>
      <c r="F51" s="83">
        <f t="shared" si="22"/>
        <v>-5.7346620203956422E-2</v>
      </c>
      <c r="G51" s="83">
        <f t="shared" si="23"/>
        <v>0.35954060669589505</v>
      </c>
      <c r="H51" s="83">
        <f t="shared" si="23"/>
        <v>0.10748719573856236</v>
      </c>
      <c r="I51" s="92">
        <f>I47/H47-1</f>
        <v>-1</v>
      </c>
    </row>
    <row r="52" spans="1:11" ht="15" thickBot="1" x14ac:dyDescent="0.4">
      <c r="A52" s="1061"/>
      <c r="B52" s="93"/>
      <c r="C52" s="93">
        <f t="shared" si="19"/>
        <v>-0.16120901024647671</v>
      </c>
      <c r="D52" s="93">
        <f t="shared" si="20"/>
        <v>-5.8377230908929545E-2</v>
      </c>
      <c r="E52" s="93">
        <f t="shared" si="21"/>
        <v>-0.19501111305576624</v>
      </c>
      <c r="F52" s="93">
        <f t="shared" si="22"/>
        <v>10.072716619965243</v>
      </c>
      <c r="G52" s="93">
        <f t="shared" si="23"/>
        <v>1.0338102399986706</v>
      </c>
      <c r="H52" s="93">
        <f t="shared" si="23"/>
        <v>0.16256153480288948</v>
      </c>
      <c r="I52" s="94">
        <f>I48/H48-1</f>
        <v>-0.14564519235276563</v>
      </c>
      <c r="J52" s="95">
        <v>2026</v>
      </c>
    </row>
    <row r="53" spans="1:11" x14ac:dyDescent="0.35">
      <c r="A53" s="1062" t="s">
        <v>209</v>
      </c>
      <c r="B53" s="83">
        <f t="shared" ref="B53:E55" si="24">B46/B$45</f>
        <v>0.89770245182661612</v>
      </c>
      <c r="C53" s="83">
        <f t="shared" si="24"/>
        <v>0.88672931578633374</v>
      </c>
      <c r="D53" s="83">
        <f t="shared" si="24"/>
        <v>0.87971251039558207</v>
      </c>
      <c r="E53" s="83">
        <f t="shared" si="24"/>
        <v>0.87960063600838689</v>
      </c>
      <c r="F53" s="83">
        <f>F46/F$45</f>
        <v>0.79578414378272211</v>
      </c>
      <c r="G53" s="83">
        <f>G46/G$45</f>
        <v>0.73452107039077519</v>
      </c>
      <c r="H53" s="83">
        <f>H46/H$45</f>
        <v>0.70565528910844033</v>
      </c>
      <c r="I53" s="83">
        <f>I46/I$45</f>
        <v>0</v>
      </c>
      <c r="J53" s="750">
        <f>H53</f>
        <v>0.70565528910844033</v>
      </c>
      <c r="K53" s="1"/>
    </row>
    <row r="54" spans="1:11" x14ac:dyDescent="0.35">
      <c r="A54" s="1062"/>
      <c r="B54" s="85">
        <f t="shared" si="24"/>
        <v>7.9173668599167774E-2</v>
      </c>
      <c r="C54" s="85">
        <f t="shared" si="24"/>
        <v>9.3578163632518668E-2</v>
      </c>
      <c r="D54" s="85">
        <f t="shared" si="24"/>
        <v>0.10368501541351019</v>
      </c>
      <c r="E54" s="85">
        <f t="shared" si="24"/>
        <v>0.10720015765824373</v>
      </c>
      <c r="F54" s="85">
        <f t="shared" ref="F54" si="25">F47/F$45</f>
        <v>8.3479917694466416E-2</v>
      </c>
      <c r="G54" s="85">
        <f>G47/G$45</f>
        <v>8.3917270097633528E-2</v>
      </c>
      <c r="H54" s="85">
        <f>H47/H$45</f>
        <v>8.9981421891870958E-2</v>
      </c>
      <c r="I54" s="85">
        <f>I47/I$45</f>
        <v>0</v>
      </c>
      <c r="J54" s="750">
        <f t="shared" ref="J54:J55" si="26">H54</f>
        <v>8.9981421891870958E-2</v>
      </c>
      <c r="K54" s="1" t="s">
        <v>418</v>
      </c>
    </row>
    <row r="55" spans="1:11" x14ac:dyDescent="0.35">
      <c r="A55" s="1062"/>
      <c r="B55" s="85">
        <f t="shared" si="24"/>
        <v>2.3123879574216057E-2</v>
      </c>
      <c r="C55" s="85">
        <f t="shared" si="24"/>
        <v>1.9692520581147514E-2</v>
      </c>
      <c r="D55" s="85">
        <f t="shared" si="24"/>
        <v>1.6602474190907979E-2</v>
      </c>
      <c r="E55" s="85">
        <f t="shared" si="24"/>
        <v>1.3199206333369433E-2</v>
      </c>
      <c r="F55" s="85">
        <f t="shared" ref="F55" si="27">F48/F$45</f>
        <v>0.12073593852281322</v>
      </c>
      <c r="G55" s="85">
        <f>G48/G$45</f>
        <v>0.18156165951158937</v>
      </c>
      <c r="H55" s="85">
        <f>H48/H$45</f>
        <v>0.2043632889996887</v>
      </c>
      <c r="I55" s="85">
        <f t="shared" ref="I55" si="28">I48/I$45</f>
        <v>1</v>
      </c>
      <c r="J55" s="750">
        <f t="shared" si="26"/>
        <v>0.2043632889996887</v>
      </c>
      <c r="K55" s="1"/>
    </row>
    <row r="56" spans="1:11" x14ac:dyDescent="0.35">
      <c r="A56" s="337"/>
      <c r="B56" s="85"/>
      <c r="C56" s="85"/>
      <c r="D56" s="85"/>
      <c r="E56" s="85"/>
      <c r="F56" s="85"/>
      <c r="G56" s="85"/>
      <c r="H56" s="85"/>
      <c r="I56" s="85"/>
      <c r="J56" s="100"/>
      <c r="K56" s="384"/>
    </row>
    <row r="57" spans="1:11" x14ac:dyDescent="0.35">
      <c r="A57" s="337"/>
      <c r="B57" s="85"/>
      <c r="C57" s="85"/>
      <c r="D57" s="85"/>
      <c r="E57" s="85"/>
      <c r="F57" s="85"/>
      <c r="G57" s="85"/>
      <c r="H57" s="85"/>
      <c r="I57" s="85"/>
      <c r="J57" s="95">
        <v>2027</v>
      </c>
      <c r="K57" s="384"/>
    </row>
    <row r="58" spans="1:11" x14ac:dyDescent="0.35">
      <c r="A58" s="337"/>
      <c r="B58" s="85"/>
      <c r="C58" s="85"/>
      <c r="D58" s="85"/>
      <c r="E58" s="85"/>
      <c r="F58" s="85"/>
      <c r="G58" s="85"/>
      <c r="H58" s="85"/>
      <c r="I58" s="85"/>
      <c r="J58" s="750">
        <f>AVERAGE(H53)</f>
        <v>0.70565528910844033</v>
      </c>
      <c r="K58" s="384"/>
    </row>
    <row r="59" spans="1:11" x14ac:dyDescent="0.35">
      <c r="A59" s="337"/>
      <c r="B59" s="85"/>
      <c r="C59" s="85"/>
      <c r="D59" s="85"/>
      <c r="E59" s="85"/>
      <c r="F59" s="85"/>
      <c r="G59" s="85"/>
      <c r="H59" s="85"/>
      <c r="I59" s="85"/>
      <c r="J59" s="750">
        <f t="shared" ref="J59:J60" si="29">AVERAGE(H54)</f>
        <v>8.9981421891870958E-2</v>
      </c>
      <c r="K59" s="1" t="s">
        <v>418</v>
      </c>
    </row>
    <row r="60" spans="1:11" x14ac:dyDescent="0.35">
      <c r="A60" s="337"/>
      <c r="B60" s="85"/>
      <c r="C60" s="85"/>
      <c r="D60" s="85"/>
      <c r="E60" s="85"/>
      <c r="F60" s="85"/>
      <c r="G60" s="85"/>
      <c r="H60" s="85"/>
      <c r="I60" s="85"/>
      <c r="J60" s="750">
        <f t="shared" si="29"/>
        <v>0.2043632889996887</v>
      </c>
    </row>
    <row r="61" spans="1:11" x14ac:dyDescent="0.35">
      <c r="A61" s="337"/>
      <c r="B61" s="85"/>
      <c r="C61" s="85"/>
      <c r="D61" s="85"/>
      <c r="E61" s="85"/>
      <c r="F61" s="85"/>
      <c r="G61" s="85"/>
      <c r="H61" s="85"/>
      <c r="I61" s="85"/>
      <c r="J61" s="100"/>
    </row>
    <row r="62" spans="1:11" ht="17.5" x14ac:dyDescent="0.35">
      <c r="A62" s="17"/>
      <c r="B62" s="50">
        <v>2019</v>
      </c>
      <c r="C62" s="50">
        <v>2020</v>
      </c>
      <c r="D62" s="50">
        <v>2021</v>
      </c>
      <c r="E62" s="50">
        <v>2022</v>
      </c>
      <c r="F62" s="50">
        <v>2023</v>
      </c>
      <c r="G62" s="50">
        <v>2024</v>
      </c>
      <c r="H62" s="51">
        <v>2025</v>
      </c>
      <c r="I62" s="51">
        <v>2026</v>
      </c>
      <c r="J62" s="100"/>
    </row>
    <row r="63" spans="1:11" ht="17.5" x14ac:dyDescent="0.35">
      <c r="A63" s="14" t="s">
        <v>231</v>
      </c>
      <c r="B63" s="16">
        <v>23105375.576377995</v>
      </c>
      <c r="C63" s="16">
        <v>22479406.214475594</v>
      </c>
      <c r="D63" s="16">
        <v>24908064.545171041</v>
      </c>
      <c r="E63" s="16">
        <v>25217360.660174042</v>
      </c>
      <c r="F63" s="16">
        <v>27616893.005845301</v>
      </c>
      <c r="G63" s="16">
        <f>G46</f>
        <v>34475187.967271112</v>
      </c>
      <c r="H63" s="70">
        <f>H46</f>
        <v>34208355.354181275</v>
      </c>
      <c r="I63" s="70">
        <f>I46</f>
        <v>0</v>
      </c>
      <c r="J63" s="100"/>
      <c r="K63" s="710"/>
    </row>
    <row r="64" spans="1:11" x14ac:dyDescent="0.35">
      <c r="A64" s="82" t="s">
        <v>348</v>
      </c>
      <c r="B64" s="16">
        <v>14817470.533760993</v>
      </c>
      <c r="C64" s="16">
        <v>15542318.284063986</v>
      </c>
      <c r="D64" s="16">
        <v>17471974.890980043</v>
      </c>
      <c r="E64" s="16">
        <v>17215426.258826043</v>
      </c>
      <c r="F64" s="16">
        <v>18432720.894787304</v>
      </c>
      <c r="G64" s="16">
        <f>'NON-RESPECT_ENGA_TRANSBO_TC2'!D13</f>
        <v>22223124.084399115</v>
      </c>
      <c r="H64" s="70">
        <f>'NON-RESPECT_ENGA_TRANSBO_TC2'!E13</f>
        <v>22473574.032868277</v>
      </c>
      <c r="I64" s="70">
        <f>'NON-RESPECT_ENGA_TRANSBO_TC2'!K13</f>
        <v>0</v>
      </c>
      <c r="J64" s="100"/>
      <c r="K64" s="710"/>
    </row>
    <row r="65" spans="1:11" x14ac:dyDescent="0.35">
      <c r="A65" s="82" t="s">
        <v>349</v>
      </c>
      <c r="B65" s="16">
        <v>7645456.3343369998</v>
      </c>
      <c r="C65" s="16">
        <v>6304046.9449069984</v>
      </c>
      <c r="D65" s="16">
        <v>6702986.5370949991</v>
      </c>
      <c r="E65" s="16">
        <v>7237990.5582009992</v>
      </c>
      <c r="F65" s="16">
        <v>8372275.5442880001</v>
      </c>
      <c r="G65" s="16">
        <f>'NON-RESPECT_ENGA_TRANSBO_TC2'!D14</f>
        <v>11341874.933871999</v>
      </c>
      <c r="H65" s="70">
        <f>'NON-RESPECT_ENGA_TRANSBO_TC2'!E14</f>
        <v>10746788.038935926</v>
      </c>
      <c r="I65" s="70">
        <f>'NON-RESPECT_ENGA_TRANSBO_TC2'!K14</f>
        <v>0</v>
      </c>
      <c r="J65" s="100"/>
      <c r="K65" s="710"/>
    </row>
    <row r="66" spans="1:11" ht="15" thickBot="1" x14ac:dyDescent="0.4">
      <c r="A66" s="86" t="s">
        <v>350</v>
      </c>
      <c r="B66" s="87">
        <v>642448.70827999967</v>
      </c>
      <c r="C66" s="87">
        <v>633040.98550460953</v>
      </c>
      <c r="D66" s="87">
        <v>733103.11709600058</v>
      </c>
      <c r="E66" s="87">
        <v>763943.84314700007</v>
      </c>
      <c r="F66" s="87">
        <v>811896.56676999957</v>
      </c>
      <c r="G66" s="87">
        <f>'NON-RESPECT_ENGA_TRANSBO_TC2'!D15</f>
        <v>910188.94900000072</v>
      </c>
      <c r="H66" s="70">
        <f>'NON-RESPECT_ENGA_TRANSBO_TC2'!E15</f>
        <v>987993.28237707005</v>
      </c>
      <c r="I66" s="70">
        <f>'NON-RESPECT_ENGA_TRANSBO_TC2'!K15</f>
        <v>0</v>
      </c>
      <c r="J66" s="339">
        <v>2025</v>
      </c>
    </row>
    <row r="67" spans="1:11" x14ac:dyDescent="0.35">
      <c r="A67" s="1059" t="s">
        <v>201</v>
      </c>
      <c r="B67" s="89"/>
      <c r="C67" s="89">
        <f t="shared" ref="C67" si="30">C63/B63-1</f>
        <v>-2.7091936239390435E-2</v>
      </c>
      <c r="D67" s="89">
        <f t="shared" ref="D67:D70" si="31">D63/C63-1</f>
        <v>0.10803925635417877</v>
      </c>
      <c r="E67" s="89">
        <f t="shared" ref="E67:E70" si="32">E63/D63-1</f>
        <v>1.2417508973532998E-2</v>
      </c>
      <c r="F67" s="89">
        <f t="shared" ref="F67:F69" si="33">F63/E63-1</f>
        <v>9.5153984511188616E-2</v>
      </c>
      <c r="G67" s="89">
        <f t="shared" ref="G67:H69" si="34">G63/F63-1</f>
        <v>0.24833694941622175</v>
      </c>
      <c r="H67" s="89">
        <f t="shared" si="34"/>
        <v>-7.7398450544534647E-3</v>
      </c>
      <c r="I67" s="90">
        <f>I63/H63-1</f>
        <v>-1</v>
      </c>
      <c r="J67" s="750">
        <f>AVERAGE(D73:G73)</f>
        <v>2.8881636434950914E-2</v>
      </c>
      <c r="K67" s="1" t="s">
        <v>445</v>
      </c>
    </row>
    <row r="68" spans="1:11" x14ac:dyDescent="0.35">
      <c r="A68" s="1060"/>
      <c r="B68" s="84"/>
      <c r="C68" s="84">
        <f t="shared" ref="C68" si="35">C64/B64-1</f>
        <v>4.891845397306227E-2</v>
      </c>
      <c r="D68" s="84">
        <f t="shared" si="31"/>
        <v>0.12415500517027711</v>
      </c>
      <c r="E68" s="84">
        <f t="shared" si="32"/>
        <v>-1.4683436403428174E-2</v>
      </c>
      <c r="F68" s="84">
        <f t="shared" si="33"/>
        <v>7.0709526308543991E-2</v>
      </c>
      <c r="G68" s="84">
        <f t="shared" si="34"/>
        <v>0.20563449157870783</v>
      </c>
      <c r="H68" s="84">
        <f t="shared" si="34"/>
        <v>1.1269790310219241E-2</v>
      </c>
      <c r="I68" s="91">
        <f>I64/H64-1</f>
        <v>-1</v>
      </c>
      <c r="J68" s="100"/>
    </row>
    <row r="69" spans="1:11" x14ac:dyDescent="0.35">
      <c r="A69" s="1060"/>
      <c r="B69" s="83"/>
      <c r="C69" s="83">
        <f t="shared" ref="C69" si="36">C65/B65-1</f>
        <v>-0.17545184103733769</v>
      </c>
      <c r="D69" s="83">
        <f t="shared" si="31"/>
        <v>6.3283093491285136E-2</v>
      </c>
      <c r="E69" s="83">
        <f t="shared" si="32"/>
        <v>7.9815768410876897E-2</v>
      </c>
      <c r="F69" s="83">
        <f t="shared" si="33"/>
        <v>0.15671269214378847</v>
      </c>
      <c r="G69" s="83">
        <f t="shared" si="34"/>
        <v>0.35469441657471656</v>
      </c>
      <c r="H69" s="83">
        <f t="shared" si="34"/>
        <v>-5.2468123516233978E-2</v>
      </c>
      <c r="I69" s="92">
        <f>I65/H65-1</f>
        <v>-1</v>
      </c>
      <c r="J69" s="100"/>
    </row>
    <row r="70" spans="1:11" ht="15" thickBot="1" x14ac:dyDescent="0.4">
      <c r="A70" s="1061"/>
      <c r="B70" s="93"/>
      <c r="C70" s="93">
        <f t="shared" ref="C70" si="37">C66/B66-1</f>
        <v>-1.4643539093692093E-2</v>
      </c>
      <c r="D70" s="93">
        <f t="shared" si="31"/>
        <v>0.15806580281943283</v>
      </c>
      <c r="E70" s="93">
        <f t="shared" si="32"/>
        <v>4.2068742216193389E-2</v>
      </c>
      <c r="F70" s="93">
        <f>F66/E66-1</f>
        <v>6.2769958882661347E-2</v>
      </c>
      <c r="G70" s="737">
        <f>G66/F66-1</f>
        <v>0.12106515318945332</v>
      </c>
      <c r="H70" s="93">
        <f>H66/G66-1</f>
        <v>8.5481518384233013E-2</v>
      </c>
      <c r="I70" s="94">
        <f>I66/H66-1</f>
        <v>-1</v>
      </c>
      <c r="J70" s="339">
        <v>2026</v>
      </c>
    </row>
    <row r="71" spans="1:11" x14ac:dyDescent="0.35">
      <c r="A71" s="1062" t="s">
        <v>209</v>
      </c>
      <c r="B71" s="83">
        <f>B64/$B$63</f>
        <v>0.64129970468473052</v>
      </c>
      <c r="C71" s="83">
        <f>C64/$C$63</f>
        <v>0.69140252797493928</v>
      </c>
      <c r="D71" s="83">
        <f>D64/$D$63</f>
        <v>0.70145855208036856</v>
      </c>
      <c r="E71" s="83">
        <f>E64/$E$63</f>
        <v>0.68268152606527488</v>
      </c>
      <c r="F71" s="83">
        <f>F64/$F$63</f>
        <v>0.66744368712606061</v>
      </c>
      <c r="G71" s="83">
        <f>G64/G63</f>
        <v>0.64461212236164034</v>
      </c>
      <c r="H71" s="83">
        <f t="shared" ref="H71" si="38">H64/H63</f>
        <v>0.65696154638785753</v>
      </c>
      <c r="I71" s="83" t="e">
        <f>I64/I63</f>
        <v>#DIV/0!</v>
      </c>
      <c r="J71" s="750">
        <f>AVERAGE(G71:H71)</f>
        <v>0.65078683437474893</v>
      </c>
    </row>
    <row r="72" spans="1:11" x14ac:dyDescent="0.35">
      <c r="A72" s="1062"/>
      <c r="B72" s="83">
        <f>B65/$B$63</f>
        <v>0.33089513343178051</v>
      </c>
      <c r="C72" s="83">
        <f t="shared" ref="C72:C73" si="39">C65/$C$63</f>
        <v>0.28043654199582518</v>
      </c>
      <c r="D72" s="83">
        <f t="shared" ref="D72" si="40">D65/$D$63</f>
        <v>0.26910908814047202</v>
      </c>
      <c r="E72" s="83">
        <f t="shared" ref="E72" si="41">E65/$E$63</f>
        <v>0.28702411230656699</v>
      </c>
      <c r="F72" s="83">
        <f>F65/$F$63</f>
        <v>0.30315776443483167</v>
      </c>
      <c r="G72" s="83">
        <f>G65/G63</f>
        <v>0.32898660174498151</v>
      </c>
      <c r="H72" s="83">
        <f>H65/H63</f>
        <v>0.31415681717719146</v>
      </c>
      <c r="I72" s="83" t="e">
        <f t="shared" ref="I72" si="42">I65/I63</f>
        <v>#DIV/0!</v>
      </c>
      <c r="J72" s="750">
        <f>AVERAGE(G72:H72)</f>
        <v>0.32157170946108649</v>
      </c>
      <c r="K72" s="1" t="s">
        <v>436</v>
      </c>
    </row>
    <row r="73" spans="1:11" x14ac:dyDescent="0.35">
      <c r="A73" s="1062"/>
      <c r="B73" s="83">
        <f>B66/$B$63</f>
        <v>2.780516188348885E-2</v>
      </c>
      <c r="C73" s="83">
        <f t="shared" si="39"/>
        <v>2.8160930029235528E-2</v>
      </c>
      <c r="D73" s="83">
        <f>D66/$D$63</f>
        <v>2.9432359779159485E-2</v>
      </c>
      <c r="E73" s="83">
        <f>E66/$E$63</f>
        <v>3.0294361628158097E-2</v>
      </c>
      <c r="F73" s="83">
        <f>F66/$F$63</f>
        <v>2.9398548439107768E-2</v>
      </c>
      <c r="G73" s="83">
        <f>G66/G63</f>
        <v>2.6401275893378307E-2</v>
      </c>
      <c r="H73" s="83">
        <f>H66/H63</f>
        <v>2.8881636434950914E-2</v>
      </c>
      <c r="I73" s="83" t="e">
        <f t="shared" ref="I73" si="43">I66/I63</f>
        <v>#DIV/0!</v>
      </c>
      <c r="J73" s="750">
        <f t="shared" ref="J73" si="44">AVERAGE(G73:H73)</f>
        <v>2.7641456164164611E-2</v>
      </c>
    </row>
    <row r="74" spans="1:11" x14ac:dyDescent="0.35">
      <c r="A74" s="337"/>
      <c r="B74" s="83"/>
      <c r="C74" s="83"/>
      <c r="D74" s="83"/>
      <c r="E74" s="83"/>
      <c r="F74" s="83"/>
      <c r="G74" s="83"/>
      <c r="H74" s="83"/>
      <c r="I74" s="83"/>
      <c r="J74" s="100"/>
    </row>
    <row r="75" spans="1:11" x14ac:dyDescent="0.35">
      <c r="A75" s="337"/>
      <c r="B75" s="83"/>
      <c r="C75" s="83"/>
      <c r="D75" s="83"/>
      <c r="E75" s="83"/>
      <c r="F75" s="83"/>
      <c r="G75" s="83"/>
      <c r="H75" s="83"/>
      <c r="I75" s="83"/>
      <c r="J75" s="339">
        <v>2027</v>
      </c>
    </row>
    <row r="76" spans="1:11" x14ac:dyDescent="0.35">
      <c r="A76" s="337"/>
      <c r="B76" s="83"/>
      <c r="C76" s="83"/>
      <c r="D76" s="83"/>
      <c r="E76" s="83"/>
      <c r="F76" s="83"/>
      <c r="G76" s="83"/>
      <c r="H76" s="83"/>
      <c r="I76" s="83"/>
      <c r="J76" s="750" t="e">
        <f>AVERAGE(G71:I71)</f>
        <v>#DIV/0!</v>
      </c>
    </row>
    <row r="77" spans="1:11" x14ac:dyDescent="0.35">
      <c r="A77" s="337"/>
      <c r="B77" s="83"/>
      <c r="C77" s="83"/>
      <c r="D77" s="83"/>
      <c r="E77" s="83"/>
      <c r="F77" s="83"/>
      <c r="G77" s="83"/>
      <c r="H77" s="83"/>
      <c r="I77" s="83"/>
      <c r="J77" s="750" t="e">
        <f t="shared" ref="J77:J78" si="45">AVERAGE(G72:I72)</f>
        <v>#DIV/0!</v>
      </c>
      <c r="K77" s="1" t="s">
        <v>354</v>
      </c>
    </row>
    <row r="78" spans="1:11" x14ac:dyDescent="0.35">
      <c r="A78" s="337"/>
      <c r="B78" s="83"/>
      <c r="C78" s="83"/>
      <c r="D78" s="83"/>
      <c r="E78" s="83"/>
      <c r="F78" s="83"/>
      <c r="G78" s="83"/>
      <c r="H78" s="83"/>
      <c r="I78" s="83"/>
      <c r="J78" s="750" t="e">
        <f t="shared" si="45"/>
        <v>#DIV/0!</v>
      </c>
    </row>
    <row r="80" spans="1:11" ht="17.5" x14ac:dyDescent="0.35">
      <c r="A80" s="17"/>
      <c r="B80" s="50">
        <v>2019</v>
      </c>
      <c r="C80" s="50">
        <v>2020</v>
      </c>
      <c r="D80" s="50">
        <v>2021</v>
      </c>
      <c r="E80" s="50">
        <v>2022</v>
      </c>
      <c r="F80" s="50">
        <v>2023</v>
      </c>
      <c r="G80" s="50">
        <v>2024</v>
      </c>
      <c r="H80" s="51">
        <v>2025</v>
      </c>
      <c r="I80" s="51">
        <v>2026</v>
      </c>
    </row>
    <row r="81" spans="1:18" ht="17.5" x14ac:dyDescent="0.35">
      <c r="A81" s="14" t="s">
        <v>232</v>
      </c>
      <c r="B81" s="16">
        <v>2037799.211778</v>
      </c>
      <c r="C81" s="16">
        <v>2372292.7793749995</v>
      </c>
      <c r="D81" s="16">
        <v>2935723.9163569994</v>
      </c>
      <c r="E81" s="16">
        <v>3073332.2917579999</v>
      </c>
      <c r="F81" s="16">
        <v>2897087.0720619988</v>
      </c>
      <c r="G81" s="16">
        <f>G47</f>
        <v>3938707.5156020042</v>
      </c>
      <c r="H81" s="70">
        <f>H47</f>
        <v>4362068.141288464</v>
      </c>
      <c r="I81" s="70">
        <f>I47</f>
        <v>0</v>
      </c>
      <c r="J81" s="340">
        <v>2025</v>
      </c>
      <c r="L81" s="20"/>
      <c r="M81" s="20"/>
      <c r="N81" s="20"/>
      <c r="O81" s="20"/>
    </row>
    <row r="82" spans="1:18" x14ac:dyDescent="0.35">
      <c r="A82" s="82" t="s">
        <v>227</v>
      </c>
      <c r="B82" s="16">
        <v>1244681.8649300002</v>
      </c>
      <c r="C82" s="16">
        <v>1642017.1747269998</v>
      </c>
      <c r="D82" s="16">
        <v>2243059.2663559997</v>
      </c>
      <c r="E82" s="16">
        <v>2371352.9135640003</v>
      </c>
      <c r="F82" s="16">
        <v>2214647.9564839983</v>
      </c>
      <c r="G82" s="16">
        <f>'NON-RESPECT_ENGA_TRANSBO_TC2'!D18</f>
        <v>2366684.9098220044</v>
      </c>
      <c r="H82" s="70">
        <f>'NON-RESPECT_ENGA_TRANSBO_TC2'!E18</f>
        <v>3163551.6167247086</v>
      </c>
      <c r="I82" s="70">
        <f>'NON-RESPECT_ENGA_TRANSBO_TC2'!K18</f>
        <v>0</v>
      </c>
      <c r="J82" s="750">
        <f>AVERAGE(D87:G87)</f>
        <v>0.72524121913195549</v>
      </c>
      <c r="K82" s="1" t="s">
        <v>445</v>
      </c>
    </row>
    <row r="83" spans="1:18" ht="15" thickBot="1" x14ac:dyDescent="0.4">
      <c r="A83" s="82" t="s">
        <v>228</v>
      </c>
      <c r="B83" s="16">
        <v>790176.17412799993</v>
      </c>
      <c r="C83" s="16">
        <v>722246.69164800004</v>
      </c>
      <c r="D83" s="16">
        <v>688408.3593509997</v>
      </c>
      <c r="E83" s="16">
        <v>697094.67139399995</v>
      </c>
      <c r="F83" s="16">
        <v>671952.852006</v>
      </c>
      <c r="G83" s="16">
        <f>'NON-RESPECT_ENGA_TRANSBO_TC2'!D20</f>
        <v>1528914.9797800002</v>
      </c>
      <c r="H83" s="70">
        <f>'NON-RESPECT_ENGA_TRANSBO_TC2'!E20</f>
        <v>1179319.7039677936</v>
      </c>
      <c r="I83" s="70">
        <f>'NON-RESPECT_ENGA_TRANSBO_TC2'!K20</f>
        <v>0</v>
      </c>
      <c r="J83" s="750">
        <f>AVERAGE(D88:G88)</f>
        <v>0.27035792788405344</v>
      </c>
      <c r="K83" s="1"/>
      <c r="N83" s="20"/>
    </row>
    <row r="84" spans="1:18" ht="15.5" x14ac:dyDescent="0.35">
      <c r="A84" s="1059" t="s">
        <v>201</v>
      </c>
      <c r="B84" s="89"/>
      <c r="C84" s="89">
        <f t="shared" ref="C84:C86" si="46">C81/B81-1</f>
        <v>0.16414451711616396</v>
      </c>
      <c r="D84" s="89">
        <f t="shared" ref="D84:D86" si="47">D81/C81-1</f>
        <v>0.23750489057697188</v>
      </c>
      <c r="E84" s="89">
        <f t="shared" ref="E84:E86" si="48">E81/D81-1</f>
        <v>4.6873745393525068E-2</v>
      </c>
      <c r="F84" s="89">
        <f t="shared" ref="F84:F86" si="49">F81/E81-1</f>
        <v>-5.7346620203956422E-2</v>
      </c>
      <c r="G84" s="89">
        <f t="shared" ref="G84:H86" si="50">G81/F81-1</f>
        <v>0.35954060669589505</v>
      </c>
      <c r="H84" s="89">
        <f t="shared" si="50"/>
        <v>0.10748719573856236</v>
      </c>
      <c r="I84" s="90">
        <f>I81/H81-1</f>
        <v>-1</v>
      </c>
      <c r="P84" s="738"/>
      <c r="Q84" s="738"/>
      <c r="R84" s="738"/>
    </row>
    <row r="85" spans="1:18" ht="15.5" x14ac:dyDescent="0.35">
      <c r="A85" s="1060"/>
      <c r="B85" s="84"/>
      <c r="C85" s="84">
        <f t="shared" si="46"/>
        <v>0.31922639912436224</v>
      </c>
      <c r="D85" s="84">
        <f t="shared" si="47"/>
        <v>0.36603885810690651</v>
      </c>
      <c r="E85" s="84">
        <f t="shared" si="48"/>
        <v>5.7195834783457133E-2</v>
      </c>
      <c r="F85" s="84">
        <f t="shared" si="49"/>
        <v>-6.6082511879045347E-2</v>
      </c>
      <c r="G85" s="84">
        <f t="shared" si="50"/>
        <v>6.8650619116630063E-2</v>
      </c>
      <c r="H85" s="84">
        <f t="shared" si="50"/>
        <v>0.33670164693053106</v>
      </c>
      <c r="I85" s="91">
        <f>I82/H82-1</f>
        <v>-1</v>
      </c>
      <c r="N85" s="20"/>
      <c r="P85" s="738"/>
      <c r="Q85" s="738"/>
      <c r="R85" s="738"/>
    </row>
    <row r="86" spans="1:18" ht="16" thickBot="1" x14ac:dyDescent="0.4">
      <c r="A86" s="1061"/>
      <c r="B86" s="93"/>
      <c r="C86" s="93">
        <f t="shared" si="46"/>
        <v>-8.5967515478384993E-2</v>
      </c>
      <c r="D86" s="93">
        <f t="shared" si="47"/>
        <v>-4.6851488124907914E-2</v>
      </c>
      <c r="E86" s="93">
        <f t="shared" si="48"/>
        <v>1.2617964214131971E-2</v>
      </c>
      <c r="F86" s="93">
        <f t="shared" si="49"/>
        <v>-3.6066578069981703E-2</v>
      </c>
      <c r="G86" s="93">
        <f t="shared" si="50"/>
        <v>1.2753307396727118</v>
      </c>
      <c r="H86" s="93">
        <f t="shared" si="50"/>
        <v>-0.22865579867790342</v>
      </c>
      <c r="I86" s="94">
        <f>I83/H83-1</f>
        <v>-1</v>
      </c>
      <c r="J86" s="340">
        <v>2026</v>
      </c>
      <c r="P86" s="738"/>
      <c r="Q86" s="738"/>
      <c r="R86" s="738"/>
    </row>
    <row r="87" spans="1:18" x14ac:dyDescent="0.35">
      <c r="A87" s="1062" t="s">
        <v>209</v>
      </c>
      <c r="B87" s="83">
        <f>B82/$B$81</f>
        <v>0.61079710784852204</v>
      </c>
      <c r="C87" s="83">
        <f>C82/$C$81</f>
        <v>0.69216463878442658</v>
      </c>
      <c r="D87" s="83">
        <f>D82/$D$81</f>
        <v>0.76405661099748723</v>
      </c>
      <c r="E87" s="83">
        <f>E82/$E$81</f>
        <v>0.77159014660518366</v>
      </c>
      <c r="F87" s="83">
        <f>F82/$F$81</f>
        <v>0.76443955649138462</v>
      </c>
      <c r="G87" s="83">
        <f>G82/G81</f>
        <v>0.60087856243376658</v>
      </c>
      <c r="H87" s="83">
        <f t="shared" ref="H87:I87" si="51">H82/H81</f>
        <v>0.72524121913195549</v>
      </c>
      <c r="I87" s="83" t="e">
        <f t="shared" si="51"/>
        <v>#DIV/0!</v>
      </c>
      <c r="J87" s="750">
        <f>AVERAGE(F87:H87)</f>
        <v>0.69685311268570216</v>
      </c>
      <c r="K87" s="1" t="s">
        <v>354</v>
      </c>
    </row>
    <row r="88" spans="1:18" x14ac:dyDescent="0.35">
      <c r="A88" s="1062"/>
      <c r="B88" s="83">
        <f>B83/$B$81</f>
        <v>0.3877595837514155</v>
      </c>
      <c r="C88" s="83">
        <f>C83/$C$81</f>
        <v>0.30445090839010269</v>
      </c>
      <c r="D88" s="83">
        <f>D83/$D$81</f>
        <v>0.23449356239372124</v>
      </c>
      <c r="E88" s="83">
        <f>E83/$E$81</f>
        <v>0.22682046886483909</v>
      </c>
      <c r="F88" s="83">
        <f>F83/$F$81</f>
        <v>0.23194085482827351</v>
      </c>
      <c r="G88" s="83">
        <f>G83/G81</f>
        <v>0.38817682544937993</v>
      </c>
      <c r="H88" s="83">
        <f t="shared" ref="H88:I88" si="52">H83/H81</f>
        <v>0.27035792788405344</v>
      </c>
      <c r="I88" s="83" t="e">
        <f t="shared" si="52"/>
        <v>#DIV/0!</v>
      </c>
      <c r="J88" s="750">
        <f>AVERAGE(F88:H88)</f>
        <v>0.29682520272056895</v>
      </c>
      <c r="K88" s="1"/>
    </row>
    <row r="89" spans="1:18" x14ac:dyDescent="0.35">
      <c r="A89" s="337"/>
      <c r="B89" s="83">
        <f t="shared" ref="B89:G89" si="53">B88+B87</f>
        <v>0.99855669159993754</v>
      </c>
      <c r="C89" s="83">
        <f t="shared" si="53"/>
        <v>0.99661554717452927</v>
      </c>
      <c r="D89" s="83">
        <f t="shared" si="53"/>
        <v>0.99855017339120844</v>
      </c>
      <c r="E89" s="83">
        <f t="shared" si="53"/>
        <v>0.99841061547002274</v>
      </c>
      <c r="F89" s="83">
        <f t="shared" ref="F89" si="54">F88+F87</f>
        <v>0.99638041131965815</v>
      </c>
      <c r="G89" s="83">
        <f t="shared" si="53"/>
        <v>0.98905538788314651</v>
      </c>
      <c r="H89" s="83">
        <f t="shared" ref="H89" si="55">H88+H87</f>
        <v>0.99559914701600893</v>
      </c>
      <c r="I89" s="83" t="e">
        <f>I88+I87</f>
        <v>#DIV/0!</v>
      </c>
      <c r="J89" s="100"/>
    </row>
    <row r="90" spans="1:18" x14ac:dyDescent="0.35">
      <c r="A90" s="337"/>
      <c r="B90" s="83"/>
      <c r="C90" s="83">
        <f>C87-B87</f>
        <v>8.1367530935904542E-2</v>
      </c>
      <c r="D90" s="83">
        <f t="shared" ref="D90:G90" si="56">D87-C87</f>
        <v>7.1891972213060651E-2</v>
      </c>
      <c r="E90" s="83">
        <f t="shared" si="56"/>
        <v>7.5335356076964288E-3</v>
      </c>
      <c r="F90" s="83">
        <f t="shared" si="56"/>
        <v>-7.150590113799038E-3</v>
      </c>
      <c r="G90" s="83">
        <f t="shared" si="56"/>
        <v>-0.16356099405761804</v>
      </c>
      <c r="H90" s="83">
        <f>H87-G87</f>
        <v>0.12436265669818891</v>
      </c>
      <c r="I90" s="83" t="e">
        <f>I87-H87</f>
        <v>#DIV/0!</v>
      </c>
      <c r="J90" s="340">
        <v>2027</v>
      </c>
    </row>
    <row r="91" spans="1:18" x14ac:dyDescent="0.35">
      <c r="A91" s="337"/>
      <c r="B91" s="83"/>
      <c r="C91" s="83"/>
      <c r="D91" s="83"/>
      <c r="E91" s="83"/>
      <c r="F91" s="83"/>
      <c r="G91" s="83"/>
      <c r="H91" s="83"/>
      <c r="I91" s="83"/>
      <c r="J91" s="750" t="e">
        <f>AVERAGE(G87:I87)</f>
        <v>#DIV/0!</v>
      </c>
      <c r="K91" s="1" t="s">
        <v>354</v>
      </c>
    </row>
    <row r="92" spans="1:18" x14ac:dyDescent="0.35">
      <c r="D92" s="710"/>
      <c r="E92" s="710"/>
      <c r="F92" s="710"/>
      <c r="G92" s="710"/>
      <c r="J92" s="750" t="e">
        <f>AVERAGE(G88:I88)</f>
        <v>#DIV/0!</v>
      </c>
      <c r="K92" s="1"/>
    </row>
    <row r="93" spans="1:18" x14ac:dyDescent="0.35">
      <c r="D93" s="710"/>
      <c r="E93" s="710"/>
      <c r="F93" s="710"/>
      <c r="G93" s="710"/>
    </row>
    <row r="94" spans="1:18" x14ac:dyDescent="0.35">
      <c r="B94" s="80"/>
      <c r="C94" s="80"/>
      <c r="D94" s="710"/>
      <c r="E94" s="710"/>
      <c r="F94" s="710"/>
      <c r="G94" s="710"/>
      <c r="H94" s="80"/>
      <c r="I94" s="80"/>
    </row>
    <row r="95" spans="1:18" x14ac:dyDescent="0.35">
      <c r="B95" s="80"/>
      <c r="C95" s="80"/>
      <c r="D95" s="741"/>
      <c r="E95" s="741"/>
      <c r="F95" s="741"/>
      <c r="G95" s="741"/>
      <c r="H95" s="80"/>
      <c r="I95" s="80"/>
    </row>
    <row r="96" spans="1:18" x14ac:dyDescent="0.35">
      <c r="D96" s="739"/>
      <c r="E96" s="739"/>
      <c r="F96" s="739"/>
      <c r="G96" s="739"/>
    </row>
    <row r="97" spans="4:7" x14ac:dyDescent="0.35">
      <c r="D97" s="739"/>
      <c r="E97" s="739"/>
      <c r="F97" s="739"/>
      <c r="G97" s="739"/>
    </row>
    <row r="98" spans="4:7" x14ac:dyDescent="0.35">
      <c r="D98" s="739"/>
      <c r="E98" s="739"/>
      <c r="F98" s="739"/>
      <c r="G98" s="739"/>
    </row>
    <row r="99" spans="4:7" x14ac:dyDescent="0.35">
      <c r="D99" s="740"/>
      <c r="E99" s="740"/>
      <c r="F99" s="740"/>
      <c r="G99" s="740"/>
    </row>
    <row r="100" spans="4:7" x14ac:dyDescent="0.35">
      <c r="D100" s="739"/>
      <c r="E100" s="739"/>
      <c r="F100" s="739"/>
      <c r="G100" s="739"/>
    </row>
    <row r="101" spans="4:7" x14ac:dyDescent="0.35">
      <c r="D101" s="739"/>
      <c r="E101" s="739"/>
      <c r="F101" s="739"/>
      <c r="G101" s="739"/>
    </row>
    <row r="102" spans="4:7" x14ac:dyDescent="0.35">
      <c r="D102" s="739"/>
      <c r="E102" s="739"/>
      <c r="F102" s="739"/>
      <c r="G102" s="739"/>
    </row>
  </sheetData>
  <mergeCells count="10">
    <mergeCell ref="P44:Q44"/>
    <mergeCell ref="K44:M44"/>
    <mergeCell ref="I31:I32"/>
    <mergeCell ref="A84:A86"/>
    <mergeCell ref="A87:A88"/>
    <mergeCell ref="A67:A70"/>
    <mergeCell ref="A53:A55"/>
    <mergeCell ref="A49:A52"/>
    <mergeCell ref="A71:A73"/>
    <mergeCell ref="H31:H32"/>
  </mergeCells>
  <conditionalFormatting sqref="K56:K58">
    <cfRule type="cellIs" dxfId="260" priority="1" operator="notEqual">
      <formula>0</formula>
    </cfRule>
  </conditionalFormatting>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036CA-2A4E-4B56-A0B7-9A415AAB2C62}">
  <dimension ref="A1:S85"/>
  <sheetViews>
    <sheetView tabSelected="1" zoomScale="70" zoomScaleNormal="70" workbookViewId="0">
      <selection activeCell="D14" sqref="D14"/>
    </sheetView>
  </sheetViews>
  <sheetFormatPr baseColWidth="10" defaultColWidth="10.81640625" defaultRowHeight="14.5" x14ac:dyDescent="0.35"/>
  <cols>
    <col min="1" max="1" width="30.26953125" bestFit="1" customWidth="1"/>
    <col min="2" max="2" width="12.7265625" customWidth="1"/>
    <col min="3" max="3" width="13" customWidth="1"/>
    <col min="4" max="13" width="13.26953125" customWidth="1"/>
    <col min="14" max="14" width="13.26953125" bestFit="1" customWidth="1"/>
    <col min="15" max="15" width="17.453125" bestFit="1" customWidth="1"/>
    <col min="16" max="16" width="15.453125" bestFit="1" customWidth="1"/>
    <col min="17" max="17" width="17" bestFit="1" customWidth="1"/>
    <col min="18" max="19" width="11.7265625" bestFit="1" customWidth="1"/>
  </cols>
  <sheetData>
    <row r="1" spans="1:17" x14ac:dyDescent="0.35">
      <c r="F1" s="482"/>
      <c r="G1" t="s">
        <v>304</v>
      </c>
    </row>
    <row r="2" spans="1:17" ht="15.5" x14ac:dyDescent="0.35">
      <c r="A2" s="19" t="s">
        <v>189</v>
      </c>
      <c r="B2" s="19"/>
      <c r="G2" s="483"/>
    </row>
    <row r="3" spans="1:17" x14ac:dyDescent="0.35">
      <c r="A3" s="17"/>
      <c r="B3" s="20"/>
      <c r="N3" s="452"/>
    </row>
    <row r="4" spans="1:17" ht="17.5" x14ac:dyDescent="0.35">
      <c r="A4" s="17"/>
      <c r="B4" s="453" t="s">
        <v>280</v>
      </c>
      <c r="C4" s="453" t="s">
        <v>281</v>
      </c>
      <c r="D4" s="453" t="s">
        <v>2</v>
      </c>
      <c r="E4" s="453" t="s">
        <v>3</v>
      </c>
      <c r="F4" s="453" t="s">
        <v>4</v>
      </c>
      <c r="G4" s="453" t="s">
        <v>5</v>
      </c>
      <c r="H4" s="453" t="s">
        <v>282</v>
      </c>
      <c r="I4" s="453" t="s">
        <v>7</v>
      </c>
      <c r="J4" s="453" t="s">
        <v>283</v>
      </c>
      <c r="K4" s="453" t="s">
        <v>284</v>
      </c>
      <c r="L4" s="453" t="s">
        <v>285</v>
      </c>
      <c r="M4" s="453" t="s">
        <v>286</v>
      </c>
      <c r="N4" s="453" t="s">
        <v>305</v>
      </c>
    </row>
    <row r="5" spans="1:17" ht="17.5" x14ac:dyDescent="0.35">
      <c r="A5" s="454" t="s">
        <v>466</v>
      </c>
      <c r="B5" s="455">
        <f>'CALC. PREV'!B5</f>
        <v>246</v>
      </c>
      <c r="C5" s="455">
        <f>'CALC. PREV'!C5</f>
        <v>237</v>
      </c>
      <c r="D5" s="455">
        <f>'CALC. PREV'!D5</f>
        <v>244</v>
      </c>
      <c r="E5" s="455">
        <f>'CALC. PREV'!E5</f>
        <v>220</v>
      </c>
      <c r="F5" s="455">
        <f>'CALC. PREV'!F5</f>
        <v>247</v>
      </c>
      <c r="G5" s="455">
        <f>'CALC. PREV'!G5</f>
        <v>214</v>
      </c>
      <c r="H5" s="455">
        <f>'CALC. PREV'!H5</f>
        <v>212</v>
      </c>
      <c r="I5" s="455">
        <f>'CALC. PREV'!I5</f>
        <v>227</v>
      </c>
      <c r="J5" s="455">
        <f>'CALC. PREV'!J5</f>
        <v>209</v>
      </c>
      <c r="K5" s="455">
        <f>'CALC. PREV'!K5</f>
        <v>221</v>
      </c>
      <c r="L5" s="455">
        <f>'CALC. PREV'!L5</f>
        <v>228</v>
      </c>
      <c r="M5" s="455">
        <f>'CALC. PREV'!M5</f>
        <v>243</v>
      </c>
      <c r="N5" s="455">
        <f>SUM(B5:M5)</f>
        <v>2748</v>
      </c>
      <c r="O5" s="20"/>
    </row>
    <row r="6" spans="1:17" ht="17.5" x14ac:dyDescent="0.35">
      <c r="A6" s="454" t="s">
        <v>495</v>
      </c>
      <c r="B6" s="455">
        <f>'CALC. PREV'!B6</f>
        <v>266</v>
      </c>
      <c r="C6" s="455">
        <f>'CALC. PREV'!C6</f>
        <v>213</v>
      </c>
      <c r="D6" s="455">
        <f>'CALC. PREV'!D6</f>
        <v>262</v>
      </c>
      <c r="E6" s="455">
        <f>'CALC. PREV'!E6</f>
        <v>237</v>
      </c>
      <c r="F6" s="1341">
        <f>'CALC. PREV'!F6</f>
        <v>221</v>
      </c>
      <c r="G6" s="1341">
        <f>'CALC. PREV'!G6</f>
        <v>224</v>
      </c>
      <c r="H6" s="1341">
        <f>'CALC. PREV'!H6</f>
        <v>227</v>
      </c>
      <c r="I6" s="761">
        <f>'CALC. PREV'!I11</f>
        <v>231.70402787769808</v>
      </c>
      <c r="J6" s="761">
        <f>'CALC. PREV'!J11</f>
        <v>232.16421462621386</v>
      </c>
      <c r="K6" s="761">
        <f>'CALC. PREV'!K11</f>
        <v>243.20869659059272</v>
      </c>
      <c r="L6" s="761">
        <f>'CALC. PREV'!L11</f>
        <v>243.66888333910853</v>
      </c>
      <c r="M6" s="761">
        <f>'CALC. PREV'!M11</f>
        <v>257.70457916883998</v>
      </c>
      <c r="N6" s="455">
        <f>SUM(B6:M6)</f>
        <v>2858.4504016024534</v>
      </c>
      <c r="O6" s="20"/>
      <c r="Q6" s="484"/>
    </row>
    <row r="7" spans="1:17" ht="17.5" x14ac:dyDescent="0.35">
      <c r="A7" s="454" t="s">
        <v>496</v>
      </c>
      <c r="B7" s="485">
        <f>+B6/B5-1</f>
        <v>8.1300813008130079E-2</v>
      </c>
      <c r="C7" s="485">
        <f>+C6/C5-1</f>
        <v>-0.10126582278481011</v>
      </c>
      <c r="D7" s="485">
        <f>+D6/D5-1</f>
        <v>7.3770491803278659E-2</v>
      </c>
      <c r="E7" s="485">
        <f>+E6/E5-1</f>
        <v>7.7272727272727382E-2</v>
      </c>
      <c r="F7" s="485">
        <f t="shared" ref="F7:M7" si="0">+F6/F5-1</f>
        <v>-0.10526315789473684</v>
      </c>
      <c r="G7" s="485">
        <f t="shared" si="0"/>
        <v>4.6728971962616717E-2</v>
      </c>
      <c r="H7" s="485">
        <f t="shared" si="0"/>
        <v>7.0754716981132004E-2</v>
      </c>
      <c r="I7" s="485">
        <f t="shared" si="0"/>
        <v>2.0722589769595068E-2</v>
      </c>
      <c r="J7" s="485">
        <f t="shared" si="0"/>
        <v>0.11083356280485113</v>
      </c>
      <c r="K7" s="485">
        <f t="shared" si="0"/>
        <v>0.10049183977643761</v>
      </c>
      <c r="L7" s="485">
        <f t="shared" si="0"/>
        <v>6.8723172539949751E-2</v>
      </c>
      <c r="M7" s="485">
        <f t="shared" si="0"/>
        <v>6.0512671476707691E-2</v>
      </c>
      <c r="N7" s="485">
        <f>N6/N5-1</f>
        <v>4.0193013683571088E-2</v>
      </c>
      <c r="O7" s="20"/>
    </row>
    <row r="8" spans="1:17" ht="17.5" x14ac:dyDescent="0.35">
      <c r="A8" s="454" t="s">
        <v>498</v>
      </c>
      <c r="B8" s="455">
        <f>'CALC. PREV'!B8</f>
        <v>237.35672891178365</v>
      </c>
      <c r="C8" s="455">
        <f>'CALC. PREV'!C8</f>
        <v>219.21909207984547</v>
      </c>
      <c r="D8" s="455">
        <f>'CALC. PREV'!D8</f>
        <v>228.62379265936895</v>
      </c>
      <c r="E8" s="455">
        <f>'CALC. PREV'!E8</f>
        <v>227.28026400515131</v>
      </c>
      <c r="F8" s="455">
        <f>'CALC. PREV'!F8</f>
        <v>238.02849323889242</v>
      </c>
      <c r="G8" s="455">
        <f>'CALC. PREV'!G8</f>
        <v>218.09948486799743</v>
      </c>
      <c r="H8" s="455">
        <f>'CALC. PREV'!H8</f>
        <v>237.35672891178365</v>
      </c>
      <c r="I8" s="455">
        <f>'CALC. PREV'!I8</f>
        <v>225.48889246619444</v>
      </c>
      <c r="J8" s="455">
        <f>'CALC. PREV'!J8</f>
        <v>225.93673535093367</v>
      </c>
      <c r="K8" s="455">
        <f>'CALC. PREV'!K8</f>
        <v>236.68496458467482</v>
      </c>
      <c r="L8" s="455">
        <f>'CALC. PREV'!L8</f>
        <v>237.13280746941405</v>
      </c>
      <c r="M8" s="455">
        <f>'CALC. PREV'!M8</f>
        <v>250.79201545396006</v>
      </c>
      <c r="N8" s="455">
        <f>SUM(B8:M8)</f>
        <v>2782.0000000000005</v>
      </c>
      <c r="Q8" s="484"/>
    </row>
    <row r="9" spans="1:17" ht="17.5" x14ac:dyDescent="0.35">
      <c r="A9" s="14" t="s">
        <v>288</v>
      </c>
      <c r="B9" s="485">
        <f>+B6/B8-1</f>
        <v>0.12067604411106436</v>
      </c>
      <c r="C9" s="485">
        <f>+C6/C8-1</f>
        <v>-2.8369299502345791E-2</v>
      </c>
      <c r="D9" s="485">
        <f>+D6/D8-1</f>
        <v>0.14598746242635796</v>
      </c>
      <c r="E9" s="485">
        <f>+E6/E8-1</f>
        <v>4.276542020660612E-2</v>
      </c>
      <c r="F9" s="485">
        <f t="shared" ref="F9:M9" si="1">+F6/F8-1</f>
        <v>-7.1539726220096411E-2</v>
      </c>
      <c r="G9" s="485">
        <f t="shared" si="1"/>
        <v>2.7054236902823492E-2</v>
      </c>
      <c r="H9" s="485">
        <f>+H6/H8-1</f>
        <v>-4.3633601454091675E-2</v>
      </c>
      <c r="I9" s="485">
        <f t="shared" si="1"/>
        <v>2.7562933781474008E-2</v>
      </c>
      <c r="J9" s="485">
        <f t="shared" si="1"/>
        <v>2.7562933781474008E-2</v>
      </c>
      <c r="K9" s="485">
        <f t="shared" si="1"/>
        <v>2.7562933781474008E-2</v>
      </c>
      <c r="L9" s="485">
        <f t="shared" si="1"/>
        <v>2.7562933781474008E-2</v>
      </c>
      <c r="M9" s="485">
        <f t="shared" si="1"/>
        <v>2.7562933781474008E-2</v>
      </c>
      <c r="N9" s="487">
        <f>+N6/N8-1</f>
        <v>2.748037440778317E-2</v>
      </c>
    </row>
    <row r="10" spans="1:17" x14ac:dyDescent="0.35">
      <c r="N10" s="470"/>
      <c r="O10" s="22"/>
    </row>
    <row r="11" spans="1:17" ht="15.5" x14ac:dyDescent="0.35">
      <c r="A11" s="1063"/>
      <c r="B11" s="1063"/>
      <c r="N11" s="470"/>
      <c r="O11" s="1"/>
    </row>
    <row r="12" spans="1:17" ht="15.5" x14ac:dyDescent="0.35">
      <c r="A12" s="462"/>
      <c r="B12" s="462"/>
      <c r="N12" s="470"/>
    </row>
    <row r="13" spans="1:17" ht="15.5" x14ac:dyDescent="0.35">
      <c r="A13" s="462"/>
      <c r="B13" s="462"/>
      <c r="N13" s="465"/>
    </row>
    <row r="14" spans="1:17" ht="15.5" x14ac:dyDescent="0.35">
      <c r="A14" s="1063" t="s">
        <v>293</v>
      </c>
      <c r="B14" s="1063"/>
      <c r="N14" s="465"/>
    </row>
    <row r="15" spans="1:17" x14ac:dyDescent="0.35">
      <c r="A15" s="17"/>
      <c r="N15" s="452"/>
    </row>
    <row r="16" spans="1:17" ht="17.5" x14ac:dyDescent="0.35">
      <c r="A16" s="17"/>
      <c r="B16" s="453" t="s">
        <v>280</v>
      </c>
      <c r="C16" s="453" t="s">
        <v>281</v>
      </c>
      <c r="D16" s="453" t="s">
        <v>2</v>
      </c>
      <c r="E16" s="453" t="s">
        <v>3</v>
      </c>
      <c r="F16" s="453" t="s">
        <v>4</v>
      </c>
      <c r="G16" s="453" t="s">
        <v>5</v>
      </c>
      <c r="H16" s="453" t="s">
        <v>282</v>
      </c>
      <c r="I16" s="453" t="s">
        <v>7</v>
      </c>
      <c r="J16" s="453" t="s">
        <v>283</v>
      </c>
      <c r="K16" s="453" t="s">
        <v>284</v>
      </c>
      <c r="L16" s="453" t="s">
        <v>285</v>
      </c>
      <c r="M16" s="453" t="s">
        <v>286</v>
      </c>
      <c r="N16" s="453" t="s">
        <v>305</v>
      </c>
    </row>
    <row r="17" spans="1:19" ht="17.5" x14ac:dyDescent="0.35">
      <c r="A17" s="454" t="s">
        <v>466</v>
      </c>
      <c r="B17" s="16">
        <f>'CALC. PREV'!B17</f>
        <v>3615145.5114890225</v>
      </c>
      <c r="C17" s="16">
        <f>'CALC. PREV'!C17</f>
        <v>3783743.1524409913</v>
      </c>
      <c r="D17" s="16">
        <f>'CALC. PREV'!D17</f>
        <v>3803233.9166429983</v>
      </c>
      <c r="E17" s="16">
        <f>'CALC. PREV'!E17</f>
        <v>3843718.9808730246</v>
      </c>
      <c r="F17" s="16">
        <f>'CALC. PREV'!F17</f>
        <v>4162238.788202018</v>
      </c>
      <c r="G17" s="16">
        <f>'CALC. PREV'!G17</f>
        <v>3625573.8188910265</v>
      </c>
      <c r="H17" s="16">
        <f>'CALC. PREV'!H17</f>
        <v>4135296.1531300237</v>
      </c>
      <c r="I17" s="16">
        <f>'CALC. PREV'!I17</f>
        <v>4273333.7455200031</v>
      </c>
      <c r="J17" s="16">
        <f>'CALC. PREV'!J17</f>
        <v>3846162.0129199973</v>
      </c>
      <c r="K17" s="16">
        <f>'CALC. PREV'!K17</f>
        <v>3786490.8477910752</v>
      </c>
      <c r="L17" s="16">
        <f>'CALC. PREV'!L17</f>
        <v>3690333.3686800259</v>
      </c>
      <c r="M17" s="16">
        <f>'CALC. PREV'!M17</f>
        <v>4370330.8141269982</v>
      </c>
      <c r="N17" s="455">
        <f>SUM(B17:M17)</f>
        <v>46935601.110707201</v>
      </c>
      <c r="O17" s="20"/>
      <c r="Q17" s="484"/>
    </row>
    <row r="18" spans="1:19" ht="17.5" x14ac:dyDescent="0.35">
      <c r="A18" s="454" t="s">
        <v>495</v>
      </c>
      <c r="B18" s="16">
        <f>'CALC. PREV'!B18</f>
        <v>4130728.8890399965</v>
      </c>
      <c r="C18" s="16">
        <f>'CALC. PREV'!C18</f>
        <v>3878339.6047890079</v>
      </c>
      <c r="D18" s="16">
        <f>'CALC. PREV'!D18</f>
        <v>4262772.5046399971</v>
      </c>
      <c r="E18" s="16">
        <f>'CALC. PREV'!E18</f>
        <v>4259824.8781999927</v>
      </c>
      <c r="F18" s="1341">
        <f>'CALC. PREV'!F18</f>
        <v>3832711.4215000002</v>
      </c>
      <c r="G18" s="1341">
        <f>'CALC. PREV'!G18</f>
        <v>3542274</v>
      </c>
      <c r="H18" s="1341">
        <f>'CALC. PREV'!H18</f>
        <v>4113691</v>
      </c>
      <c r="I18" s="760">
        <f>'CALC. PREV'!I23</f>
        <v>4098176.8252611686</v>
      </c>
      <c r="J18" s="760">
        <f>'CALC. PREV'!J23</f>
        <v>4021955.4795784061</v>
      </c>
      <c r="K18" s="760">
        <f>'CALC. PREV'!K23</f>
        <v>4023031.8811691687</v>
      </c>
      <c r="L18" s="760">
        <f>'CALC. PREV'!L23</f>
        <v>4061397.2324997135</v>
      </c>
      <c r="M18" s="760">
        <f>'CALC. PREV'!M23</f>
        <v>4252526.9526254013</v>
      </c>
      <c r="N18" s="488">
        <f>SUM(B18:M18)</f>
        <v>48477430.669302851</v>
      </c>
      <c r="O18" s="489"/>
      <c r="P18" s="490"/>
      <c r="Q18" s="484"/>
    </row>
    <row r="19" spans="1:19" ht="17.5" x14ac:dyDescent="0.35">
      <c r="A19" s="454" t="s">
        <v>496</v>
      </c>
      <c r="B19" s="485">
        <f>B18/B17-1</f>
        <v>0.14261760029089765</v>
      </c>
      <c r="C19" s="485">
        <f>C18/C17-1</f>
        <v>2.5000759442931564E-2</v>
      </c>
      <c r="D19" s="485">
        <f>D18/D17-1</f>
        <v>0.12082837870845964</v>
      </c>
      <c r="E19" s="485">
        <f>E18/E17-1</f>
        <v>0.10825606642878394</v>
      </c>
      <c r="F19" s="485">
        <f t="shared" ref="F19:M19" si="2">F18/F17-1</f>
        <v>-7.9170701987611225E-2</v>
      </c>
      <c r="G19" s="485">
        <f t="shared" si="2"/>
        <v>-2.2975623460483208E-2</v>
      </c>
      <c r="H19" s="485">
        <f t="shared" si="2"/>
        <v>-5.2245721539606604E-3</v>
      </c>
      <c r="I19" s="485">
        <f t="shared" si="2"/>
        <v>-4.0988354921368431E-2</v>
      </c>
      <c r="J19" s="485">
        <f t="shared" si="2"/>
        <v>4.5706204280496987E-2</v>
      </c>
      <c r="K19" s="485">
        <f t="shared" si="2"/>
        <v>6.2469722729181942E-2</v>
      </c>
      <c r="L19" s="485">
        <f t="shared" si="2"/>
        <v>0.10055022859693885</v>
      </c>
      <c r="M19" s="485">
        <f t="shared" si="2"/>
        <v>-2.6955364825197781E-2</v>
      </c>
      <c r="N19" s="487">
        <f>N18/N17-1</f>
        <v>3.2849894794335865E-2</v>
      </c>
      <c r="Q19" s="21"/>
      <c r="R19" s="491"/>
    </row>
    <row r="20" spans="1:19" ht="17.5" x14ac:dyDescent="0.35">
      <c r="A20" s="454" t="s">
        <v>498</v>
      </c>
      <c r="B20" s="16">
        <f>'CALC. PREV'!B20</f>
        <v>3884471.7077749502</v>
      </c>
      <c r="C20" s="16">
        <f>'CALC. PREV'!C20</f>
        <v>3932456.3248746437</v>
      </c>
      <c r="D20" s="16">
        <f>'CALC. PREV'!D20</f>
        <v>4050445.0322871143</v>
      </c>
      <c r="E20" s="16">
        <f>'CALC. PREV'!E20</f>
        <v>4263577.3898151908</v>
      </c>
      <c r="F20" s="16">
        <f>'CALC. PREV'!F20</f>
        <v>4463003.4029692225</v>
      </c>
      <c r="G20" s="16">
        <f>'CALC. PREV'!G20</f>
        <v>3920762.0128533929</v>
      </c>
      <c r="H20" s="16">
        <f>'CALC. PREV'!H20</f>
        <v>4412909.2005197247</v>
      </c>
      <c r="I20" s="16">
        <f>'CALC. PREV'!I20</f>
        <v>4221437.4313752633</v>
      </c>
      <c r="J20" s="16">
        <f>'CALC. PREV'!J20</f>
        <v>4142923.5810817238</v>
      </c>
      <c r="K20" s="16">
        <f>'CALC. PREV'!K20</f>
        <v>4144032.3575352994</v>
      </c>
      <c r="L20" s="16">
        <f>'CALC. PREV'!L20</f>
        <v>4183551.6211201018</v>
      </c>
      <c r="M20" s="16">
        <f>'CALC. PREV'!M20</f>
        <v>4380429.9377933796</v>
      </c>
      <c r="N20" s="455">
        <f>SUM(B20:M20)</f>
        <v>50000000.000000015</v>
      </c>
      <c r="Q20" s="484"/>
    </row>
    <row r="21" spans="1:19" ht="17.5" x14ac:dyDescent="0.35">
      <c r="A21" s="14" t="s">
        <v>288</v>
      </c>
      <c r="B21" s="485">
        <f t="shared" ref="B21:M21" si="3">+B18/B20-1</f>
        <v>6.339528249675519E-2</v>
      </c>
      <c r="C21" s="485">
        <f t="shared" si="3"/>
        <v>-1.3761556547576159E-2</v>
      </c>
      <c r="D21" s="485">
        <f t="shared" si="3"/>
        <v>5.2420776151846926E-2</v>
      </c>
      <c r="E21" s="485">
        <f t="shared" si="3"/>
        <v>-8.8013216885940437E-4</v>
      </c>
      <c r="F21" s="485">
        <f t="shared" si="3"/>
        <v>-0.141225969276629</v>
      </c>
      <c r="G21" s="485">
        <f t="shared" si="3"/>
        <v>-9.6534299101195042E-2</v>
      </c>
      <c r="H21" s="485">
        <f t="shared" si="3"/>
        <v>-6.7805202174675339E-2</v>
      </c>
      <c r="I21" s="485">
        <f t="shared" si="3"/>
        <v>-2.9198728660047579E-2</v>
      </c>
      <c r="J21" s="485">
        <f t="shared" si="3"/>
        <v>-2.9198728660047579E-2</v>
      </c>
      <c r="K21" s="485">
        <f t="shared" si="3"/>
        <v>-2.9198728660047579E-2</v>
      </c>
      <c r="L21" s="485">
        <f t="shared" si="3"/>
        <v>-2.9198728660047579E-2</v>
      </c>
      <c r="M21" s="485">
        <f t="shared" si="3"/>
        <v>-2.919872866004769E-2</v>
      </c>
      <c r="N21" s="487">
        <f>+N18/N20-1</f>
        <v>-3.045138661394331E-2</v>
      </c>
      <c r="O21" s="486"/>
      <c r="Q21" s="21"/>
      <c r="R21" s="492"/>
    </row>
    <row r="22" spans="1:19" x14ac:dyDescent="0.35">
      <c r="C22" s="1064"/>
      <c r="D22" s="1064"/>
      <c r="E22" s="493"/>
      <c r="F22" s="493"/>
      <c r="G22" s="493"/>
      <c r="H22" s="493"/>
      <c r="I22" s="493"/>
      <c r="J22" s="493"/>
      <c r="K22" s="493"/>
      <c r="L22" s="493"/>
      <c r="M22" s="493"/>
      <c r="N22" s="470"/>
      <c r="R22" s="21"/>
      <c r="S22" s="21"/>
    </row>
    <row r="23" spans="1:19" x14ac:dyDescent="0.35">
      <c r="C23" s="1"/>
      <c r="D23" s="1"/>
      <c r="E23" s="1"/>
      <c r="F23" s="1"/>
      <c r="G23" s="1"/>
      <c r="H23" s="1"/>
      <c r="I23" s="1"/>
      <c r="J23" s="1"/>
      <c r="K23" s="1"/>
      <c r="L23" s="1"/>
      <c r="M23" s="1"/>
      <c r="N23" s="470"/>
      <c r="O23" s="21"/>
      <c r="R23" s="492"/>
      <c r="S23" s="21"/>
    </row>
    <row r="24" spans="1:19" ht="15.5" x14ac:dyDescent="0.35">
      <c r="A24" s="1063" t="s">
        <v>298</v>
      </c>
      <c r="B24" s="1063"/>
      <c r="N24" s="452"/>
      <c r="O24" s="475"/>
      <c r="P24" s="475"/>
      <c r="Q24" s="21"/>
    </row>
    <row r="25" spans="1:19" x14ac:dyDescent="0.35">
      <c r="A25" s="17"/>
      <c r="N25" s="452"/>
    </row>
    <row r="26" spans="1:19" ht="17.5" x14ac:dyDescent="0.35">
      <c r="A26" s="17"/>
      <c r="B26" s="453" t="s">
        <v>280</v>
      </c>
      <c r="C26" s="453" t="s">
        <v>281</v>
      </c>
      <c r="D26" s="453" t="s">
        <v>2</v>
      </c>
      <c r="E26" s="453" t="s">
        <v>3</v>
      </c>
      <c r="F26" s="453" t="s">
        <v>4</v>
      </c>
      <c r="G26" s="453" t="s">
        <v>5</v>
      </c>
      <c r="H26" s="453" t="s">
        <v>282</v>
      </c>
      <c r="I26" s="453" t="s">
        <v>7</v>
      </c>
      <c r="J26" s="453" t="s">
        <v>283</v>
      </c>
      <c r="K26" s="453" t="s">
        <v>284</v>
      </c>
      <c r="L26" s="453" t="s">
        <v>285</v>
      </c>
      <c r="M26" s="453" t="s">
        <v>286</v>
      </c>
      <c r="N26" s="453" t="s">
        <v>305</v>
      </c>
    </row>
    <row r="27" spans="1:19" ht="17.5" x14ac:dyDescent="0.35">
      <c r="A27" s="454" t="s">
        <v>466</v>
      </c>
      <c r="B27" s="16">
        <f>'CALC. PREV'!B29</f>
        <v>2475424.4026829973</v>
      </c>
      <c r="C27" s="16">
        <f>'CALC. PREV'!C29</f>
        <v>2632090.5657510054</v>
      </c>
      <c r="D27" s="16">
        <f>'CALC. PREV'!D29</f>
        <v>2741839.9575730031</v>
      </c>
      <c r="E27" s="16">
        <f>'CALC. PREV'!E29</f>
        <v>2755337.149763016</v>
      </c>
      <c r="F27" s="16">
        <f>'CALC. PREV'!F29</f>
        <v>2951913.497972013</v>
      </c>
      <c r="G27" s="16">
        <f>'CALC. PREV'!G29</f>
        <v>2637505.8269609977</v>
      </c>
      <c r="H27" s="16">
        <f>'CALC. PREV'!H29</f>
        <v>2991471.2144300062</v>
      </c>
      <c r="I27" s="16">
        <f>'CALC. PREV'!I29</f>
        <v>3244153.4035200151</v>
      </c>
      <c r="J27" s="16">
        <f>'CALC. PREV'!J29</f>
        <v>3026633.0098300236</v>
      </c>
      <c r="K27" s="16">
        <f>'CALC. PREV'!K29</f>
        <v>2885178.8980809953</v>
      </c>
      <c r="L27" s="16">
        <f>'CALC. PREV'!L29</f>
        <v>2892558.7511800099</v>
      </c>
      <c r="M27" s="16">
        <f>'CALC. PREV'!M29</f>
        <v>3241081.2895270316</v>
      </c>
      <c r="N27" s="455">
        <f>SUM(B27:M27)</f>
        <v>34475187.967271112</v>
      </c>
      <c r="O27" s="20"/>
      <c r="Q27" s="484"/>
    </row>
    <row r="28" spans="1:19" ht="17.5" x14ac:dyDescent="0.35">
      <c r="A28" s="454" t="s">
        <v>495</v>
      </c>
      <c r="B28" s="16">
        <f>'CALC. PREV'!B30</f>
        <v>3010311.0937760016</v>
      </c>
      <c r="C28" s="16">
        <f>'CALC. PREV'!C30</f>
        <v>2680517.4502289989</v>
      </c>
      <c r="D28" s="16">
        <f>'CALC. PREV'!D30</f>
        <v>2982124.4346400006</v>
      </c>
      <c r="E28" s="16">
        <f>'CALC. PREV'!E30</f>
        <v>2992704.4849999971</v>
      </c>
      <c r="F28" s="1342">
        <f>'CALC. PREV'!F30</f>
        <v>2704573.0862078038</v>
      </c>
      <c r="G28" s="1342">
        <f>'CALC. PREV'!G30</f>
        <v>2499624.3835713114</v>
      </c>
      <c r="H28" s="1342">
        <f>'CALC. PREV'!H30</f>
        <v>2902847.8119077892</v>
      </c>
      <c r="I28" s="760">
        <f>'CALC. PREV'!I35</f>
        <v>2891900.1524471799</v>
      </c>
      <c r="J28" s="760">
        <f>'CALC. PREV'!J35</f>
        <v>2838114.1567231761</v>
      </c>
      <c r="K28" s="760">
        <f>'CALC. PREV'!K35</f>
        <v>2838873.7251989022</v>
      </c>
      <c r="L28" s="760">
        <f>'CALC. PREV'!L35</f>
        <v>2865946.4382838048</v>
      </c>
      <c r="M28" s="760">
        <f>'CALC. PREV'!M35</f>
        <v>3000818.1361963125</v>
      </c>
      <c r="N28" s="455">
        <f>SUM(B28:M28)</f>
        <v>34208355.354181275</v>
      </c>
      <c r="O28" s="494"/>
      <c r="Q28" s="484"/>
    </row>
    <row r="29" spans="1:19" ht="17.5" x14ac:dyDescent="0.35">
      <c r="A29" s="454" t="s">
        <v>496</v>
      </c>
      <c r="B29" s="495">
        <f>B28/B27-1</f>
        <v>0.2160787824961512</v>
      </c>
      <c r="C29" s="495">
        <f>C28/C27-1</f>
        <v>1.839863913048001E-2</v>
      </c>
      <c r="D29" s="496">
        <f>D28/D27-1</f>
        <v>8.763621538278632E-2</v>
      </c>
      <c r="E29" s="496">
        <f>E28/E27-1</f>
        <v>8.614819977925281E-2</v>
      </c>
      <c r="F29" s="496">
        <f t="shared" ref="F29:M29" si="4">F28/F27-1</f>
        <v>-8.3789857641199172E-2</v>
      </c>
      <c r="G29" s="496">
        <f t="shared" si="4"/>
        <v>-5.2277209013242953E-2</v>
      </c>
      <c r="H29" s="496">
        <f t="shared" si="4"/>
        <v>-2.9625356946348935E-2</v>
      </c>
      <c r="I29" s="496">
        <f t="shared" si="4"/>
        <v>-0.10858094771061955</v>
      </c>
      <c r="J29" s="496">
        <f t="shared" si="4"/>
        <v>-6.2286657316750427E-2</v>
      </c>
      <c r="K29" s="496">
        <f t="shared" si="4"/>
        <v>-1.6049324675461829E-2</v>
      </c>
      <c r="L29" s="496">
        <f t="shared" si="4"/>
        <v>-9.2002670249475837E-3</v>
      </c>
      <c r="M29" s="496">
        <f t="shared" si="4"/>
        <v>-7.4130554548905048E-2</v>
      </c>
      <c r="N29" s="487">
        <f>N28/N27-1</f>
        <v>-7.7398450544534647E-3</v>
      </c>
    </row>
    <row r="30" spans="1:19" ht="17.5" x14ac:dyDescent="0.35">
      <c r="A30" s="454" t="s">
        <v>498</v>
      </c>
      <c r="B30" s="16">
        <f>'CALC. PREV'!B32</f>
        <v>2978791.1907356819</v>
      </c>
      <c r="C30" s="16">
        <f>'CALC. PREV'!C32</f>
        <v>3018943.6475385092</v>
      </c>
      <c r="D30" s="16">
        <f>'CALC. PREV'!D32</f>
        <v>3133339.8017776562</v>
      </c>
      <c r="E30" s="16">
        <f>'CALC. PREV'!E32</f>
        <v>3288582.476085796</v>
      </c>
      <c r="F30" s="16">
        <f>'CALC. PREV'!F32</f>
        <v>3356973.9810234741</v>
      </c>
      <c r="G30" s="16">
        <f>'CALC. PREV'!G32</f>
        <v>3033198.8723292821</v>
      </c>
      <c r="H30" s="16">
        <f>'CALC. PREV'!H32</f>
        <v>3340623.6656046966</v>
      </c>
      <c r="I30" s="16">
        <f>'CALC. PREV'!I32</f>
        <v>3151049.009409898</v>
      </c>
      <c r="J30" s="16">
        <f>'CALC. PREV'!J32</f>
        <v>3129504.799974761</v>
      </c>
      <c r="K30" s="16">
        <f>'CALC. PREV'!K32</f>
        <v>3104477.333651986</v>
      </c>
      <c r="L30" s="16">
        <f>'CALC. PREV'!L32</f>
        <v>3178105.8220932358</v>
      </c>
      <c r="M30" s="16">
        <f>'CALC. PREV'!M32</f>
        <v>3286409.3997750175</v>
      </c>
      <c r="N30" s="455">
        <f>SUM(B30:M30)</f>
        <v>37999999.999999993</v>
      </c>
      <c r="P30" s="476"/>
      <c r="Q30" s="484"/>
    </row>
    <row r="31" spans="1:19" ht="17.5" x14ac:dyDescent="0.35">
      <c r="A31" s="14" t="s">
        <v>288</v>
      </c>
      <c r="B31" s="495">
        <f>B28/B30-1</f>
        <v>1.0581440934278818E-2</v>
      </c>
      <c r="C31" s="495">
        <f>C28/C30-1</f>
        <v>-0.11210086600504965</v>
      </c>
      <c r="D31" s="496">
        <f>D28/D30-1</f>
        <v>-4.8260123926509912E-2</v>
      </c>
      <c r="E31" s="496">
        <f>E28/E30-1</f>
        <v>-8.9971284964689424E-2</v>
      </c>
      <c r="F31" s="496">
        <f t="shared" ref="F31:M31" si="5">F28/F30-1</f>
        <v>-0.19434195751995864</v>
      </c>
      <c r="G31" s="496">
        <f t="shared" si="5"/>
        <v>-0.17591147538183782</v>
      </c>
      <c r="H31" s="496">
        <f t="shared" si="5"/>
        <v>-0.13104614512681545</v>
      </c>
      <c r="I31" s="496">
        <f t="shared" si="5"/>
        <v>-8.2242090233705767E-2</v>
      </c>
      <c r="J31" s="496">
        <f t="shared" si="5"/>
        <v>-9.311078329515099E-2</v>
      </c>
      <c r="K31" s="496">
        <f t="shared" si="5"/>
        <v>-8.5555016161331765E-2</v>
      </c>
      <c r="L31" s="496">
        <f t="shared" si="5"/>
        <v>-9.8221834414509712E-2</v>
      </c>
      <c r="M31" s="496">
        <f t="shared" si="5"/>
        <v>-8.6900695816612528E-2</v>
      </c>
      <c r="N31" s="487">
        <f>N28/N30-1</f>
        <v>-9.9780122258387283E-2</v>
      </c>
    </row>
    <row r="32" spans="1:19" x14ac:dyDescent="0.35">
      <c r="N32" s="470"/>
    </row>
    <row r="33" spans="1:17" x14ac:dyDescent="0.35">
      <c r="N33" s="452"/>
    </row>
    <row r="34" spans="1:17" ht="15.5" x14ac:dyDescent="0.35">
      <c r="A34" s="1063" t="s">
        <v>299</v>
      </c>
      <c r="B34" s="1063"/>
      <c r="N34" s="452"/>
    </row>
    <row r="35" spans="1:17" x14ac:dyDescent="0.35">
      <c r="A35" s="17"/>
      <c r="N35" s="452"/>
    </row>
    <row r="36" spans="1:17" ht="17.5" x14ac:dyDescent="0.35">
      <c r="A36" s="17"/>
      <c r="B36" s="453" t="s">
        <v>280</v>
      </c>
      <c r="C36" s="453" t="s">
        <v>281</v>
      </c>
      <c r="D36" s="453" t="s">
        <v>2</v>
      </c>
      <c r="E36" s="453" t="s">
        <v>3</v>
      </c>
      <c r="F36" s="453" t="s">
        <v>4</v>
      </c>
      <c r="G36" s="453" t="s">
        <v>5</v>
      </c>
      <c r="H36" s="453" t="s">
        <v>282</v>
      </c>
      <c r="I36" s="453" t="s">
        <v>7</v>
      </c>
      <c r="J36" s="453" t="s">
        <v>283</v>
      </c>
      <c r="K36" s="453" t="s">
        <v>284</v>
      </c>
      <c r="L36" s="453" t="s">
        <v>285</v>
      </c>
      <c r="M36" s="453" t="s">
        <v>286</v>
      </c>
      <c r="N36" s="453" t="s">
        <v>305</v>
      </c>
    </row>
    <row r="37" spans="1:17" ht="17.5" x14ac:dyDescent="0.35">
      <c r="A37" s="454" t="s">
        <v>466</v>
      </c>
      <c r="B37" s="455">
        <f>'CALC. PREV'!B41</f>
        <v>314537.39943200024</v>
      </c>
      <c r="C37" s="455">
        <f>'CALC. PREV'!C41</f>
        <v>286803.71013999917</v>
      </c>
      <c r="D37" s="455">
        <f>'CALC. PREV'!D41</f>
        <v>176694.61211999974</v>
      </c>
      <c r="E37" s="455">
        <f>'CALC. PREV'!E41</f>
        <v>414105.37216000049</v>
      </c>
      <c r="F37" s="455">
        <f>'CALC. PREV'!F41</f>
        <v>339987.50987000088</v>
      </c>
      <c r="G37" s="455">
        <f>'CALC. PREV'!G41</f>
        <v>328865.23131</v>
      </c>
      <c r="H37" s="455">
        <f>'CALC. PREV'!H41</f>
        <v>422541.95876000123</v>
      </c>
      <c r="I37" s="455">
        <f>'CALC. PREV'!I41</f>
        <v>347369.04200000188</v>
      </c>
      <c r="J37" s="455">
        <f>'CALC. PREV'!J41</f>
        <v>290454.92700000072</v>
      </c>
      <c r="K37" s="455">
        <f>'CALC. PREV'!K41</f>
        <v>432276.76071000029</v>
      </c>
      <c r="L37" s="455">
        <f>'CALC. PREV'!L41</f>
        <v>213045.35349999971</v>
      </c>
      <c r="M37" s="455">
        <f>'CALC. PREV'!M41</f>
        <v>372025.63860000024</v>
      </c>
      <c r="N37" s="455">
        <f>SUM(B37:M37)</f>
        <v>3938707.5156020042</v>
      </c>
      <c r="O37" s="20"/>
      <c r="Q37" s="484"/>
    </row>
    <row r="38" spans="1:17" ht="17.5" x14ac:dyDescent="0.35">
      <c r="A38" s="454" t="s">
        <v>495</v>
      </c>
      <c r="B38" s="455">
        <f>'CALC. PREV'!B42</f>
        <v>328973.75726400001</v>
      </c>
      <c r="C38" s="455">
        <f>'CALC. PREV'!C42</f>
        <v>401703.40655999933</v>
      </c>
      <c r="D38" s="455">
        <f>'CALC. PREV'!D42</f>
        <v>401523.5660000004</v>
      </c>
      <c r="E38" s="455">
        <f>'CALC. PREV'!E42</f>
        <v>355342.07200000004</v>
      </c>
      <c r="F38" s="1341">
        <f>'CALC. PREV'!F42</f>
        <v>344872.82340778399</v>
      </c>
      <c r="G38" s="1341">
        <f>'CALC. PREV'!G42</f>
        <v>318738.85125060531</v>
      </c>
      <c r="H38" s="1341">
        <f>'CALC. PREV'!H42</f>
        <v>370155.76540379255</v>
      </c>
      <c r="I38" s="761">
        <f>'CALC. PREV'!I47</f>
        <v>368759.77790131356</v>
      </c>
      <c r="J38" s="761">
        <f>'CALC. PREV'!J47</f>
        <v>361901.27283826674</v>
      </c>
      <c r="K38" s="761">
        <f>'CALC. PREV'!K47</f>
        <v>361998.12898393022</v>
      </c>
      <c r="L38" s="761">
        <f>'CALC. PREV'!L47</f>
        <v>365450.29784803384</v>
      </c>
      <c r="M38" s="761">
        <f>'CALC. PREV'!M47</f>
        <v>382648.4218307386</v>
      </c>
      <c r="N38" s="455">
        <f>SUM(B38:M38)</f>
        <v>4362068.1412884649</v>
      </c>
      <c r="O38" s="494"/>
      <c r="Q38" s="484"/>
    </row>
    <row r="39" spans="1:17" ht="17.5" x14ac:dyDescent="0.35">
      <c r="A39" s="454" t="s">
        <v>496</v>
      </c>
      <c r="B39" s="497">
        <f>B38/B37-1</f>
        <v>4.5897110671320185E-2</v>
      </c>
      <c r="C39" s="497">
        <f>C38/C37-1</f>
        <v>0.40062137398401676</v>
      </c>
      <c r="D39" s="497">
        <f>D38/D37-1</f>
        <v>1.2724154470953031</v>
      </c>
      <c r="E39" s="497">
        <f>E38/E37-1</f>
        <v>-0.14190422078681875</v>
      </c>
      <c r="F39" s="497">
        <f t="shared" ref="F39:M39" si="6">F38/F37-1</f>
        <v>1.4369097087275629E-2</v>
      </c>
      <c r="G39" s="497">
        <f t="shared" si="6"/>
        <v>-3.0791884016006521E-2</v>
      </c>
      <c r="H39" s="497">
        <f t="shared" si="6"/>
        <v>-0.12397867778608795</v>
      </c>
      <c r="I39" s="497">
        <f t="shared" si="6"/>
        <v>6.1579281153418375E-2</v>
      </c>
      <c r="J39" s="497">
        <f t="shared" si="6"/>
        <v>0.24598083625644906</v>
      </c>
      <c r="K39" s="497">
        <f t="shared" si="6"/>
        <v>-0.16257786241073835</v>
      </c>
      <c r="L39" s="497">
        <f t="shared" si="6"/>
        <v>0.71536385020494864</v>
      </c>
      <c r="M39" s="497">
        <f t="shared" si="6"/>
        <v>2.8553900937348997E-2</v>
      </c>
      <c r="N39" s="487">
        <f>N38/N37-1</f>
        <v>0.1074871957385628</v>
      </c>
    </row>
    <row r="40" spans="1:17" ht="17.5" x14ac:dyDescent="0.35">
      <c r="A40" s="454" t="s">
        <v>498</v>
      </c>
      <c r="B40" s="455">
        <f>'CALC. PREV'!B44</f>
        <v>333625.40043864481</v>
      </c>
      <c r="C40" s="455">
        <f>'CALC. PREV'!C44</f>
        <v>314922.52538067172</v>
      </c>
      <c r="D40" s="455">
        <f>'CALC. PREV'!D44</f>
        <v>322336.87617387366</v>
      </c>
      <c r="E40" s="455">
        <f>'CALC. PREV'!E44</f>
        <v>354146.32303620182</v>
      </c>
      <c r="F40" s="455">
        <f>'CALC. PREV'!F44</f>
        <v>385727.2104728854</v>
      </c>
      <c r="G40" s="455">
        <f>'CALC. PREV'!G44</f>
        <v>264748.60503208591</v>
      </c>
      <c r="H40" s="455">
        <f>'CALC. PREV'!H44</f>
        <v>347008.37454207649</v>
      </c>
      <c r="I40" s="455">
        <f>'CALC. PREV'!I44</f>
        <v>331416.54671903129</v>
      </c>
      <c r="J40" s="455">
        <f>'CALC. PREV'!J44</f>
        <v>347899.38743991789</v>
      </c>
      <c r="K40" s="455">
        <f>'CALC. PREV'!K44</f>
        <v>343794.88535140053</v>
      </c>
      <c r="L40" s="455">
        <f>'CALC. PREV'!L44</f>
        <v>316897.77761033078</v>
      </c>
      <c r="M40" s="455">
        <f>'CALC. PREV'!M44</f>
        <v>337476.08780287922</v>
      </c>
      <c r="N40" s="455">
        <f>SUM(B40:M40)</f>
        <v>3999999.9999999995</v>
      </c>
      <c r="Q40" s="484"/>
    </row>
    <row r="41" spans="1:17" ht="17.5" x14ac:dyDescent="0.35">
      <c r="A41" s="14" t="s">
        <v>288</v>
      </c>
      <c r="B41" s="497">
        <f>B38/B40-1</f>
        <v>-1.3942712900543275E-2</v>
      </c>
      <c r="C41" s="497">
        <f>C38/C40-1</f>
        <v>0.27556263584012841</v>
      </c>
      <c r="D41" s="497">
        <f>D38/D40-1</f>
        <v>0.24566438307049965</v>
      </c>
      <c r="E41" s="497">
        <f>E38/E40-1</f>
        <v>3.3764263131315086E-3</v>
      </c>
      <c r="F41" s="497">
        <f t="shared" ref="F41:M41" si="7">F38/F40-1</f>
        <v>-0.10591523220520438</v>
      </c>
      <c r="G41" s="497">
        <f t="shared" si="7"/>
        <v>0.20393023869559612</v>
      </c>
      <c r="H41" s="497">
        <f t="shared" si="7"/>
        <v>6.670556839517805E-2</v>
      </c>
      <c r="I41" s="497">
        <f t="shared" si="7"/>
        <v>0.11267763046828549</v>
      </c>
      <c r="J41" s="497">
        <f t="shared" si="7"/>
        <v>4.0246938925027509E-2</v>
      </c>
      <c r="K41" s="497">
        <f t="shared" si="7"/>
        <v>5.2947976855222123E-2</v>
      </c>
      <c r="L41" s="497">
        <f t="shared" si="7"/>
        <v>0.15321193037019354</v>
      </c>
      <c r="M41" s="497">
        <f t="shared" si="7"/>
        <v>0.13385343631885616</v>
      </c>
      <c r="N41" s="487">
        <f>N38/N40-1</f>
        <v>9.0517035322116302E-2</v>
      </c>
    </row>
    <row r="42" spans="1:17" x14ac:dyDescent="0.35">
      <c r="N42" s="470"/>
    </row>
    <row r="43" spans="1:17" x14ac:dyDescent="0.35">
      <c r="N43" s="470"/>
      <c r="O43" s="1"/>
    </row>
    <row r="44" spans="1:17" x14ac:dyDescent="0.35">
      <c r="N44" s="470"/>
    </row>
    <row r="45" spans="1:17" x14ac:dyDescent="0.35">
      <c r="N45" s="465"/>
    </row>
    <row r="46" spans="1:17" ht="15.5" x14ac:dyDescent="0.35">
      <c r="A46" s="19" t="s">
        <v>300</v>
      </c>
      <c r="B46" s="19"/>
      <c r="N46" s="452"/>
      <c r="Q46" s="21"/>
    </row>
    <row r="47" spans="1:17" x14ac:dyDescent="0.35">
      <c r="A47" s="17"/>
      <c r="N47" s="452"/>
      <c r="Q47" s="20"/>
    </row>
    <row r="48" spans="1:17" ht="17.5" x14ac:dyDescent="0.35">
      <c r="A48" s="17"/>
      <c r="B48" s="453" t="s">
        <v>280</v>
      </c>
      <c r="C48" s="453" t="s">
        <v>281</v>
      </c>
      <c r="D48" s="453" t="s">
        <v>2</v>
      </c>
      <c r="E48" s="453" t="s">
        <v>3</v>
      </c>
      <c r="F48" s="453" t="s">
        <v>4</v>
      </c>
      <c r="G48" s="453" t="s">
        <v>5</v>
      </c>
      <c r="H48" s="453" t="s">
        <v>282</v>
      </c>
      <c r="I48" s="453" t="s">
        <v>7</v>
      </c>
      <c r="J48" s="453" t="s">
        <v>283</v>
      </c>
      <c r="K48" s="453" t="s">
        <v>284</v>
      </c>
      <c r="L48" s="453" t="s">
        <v>285</v>
      </c>
      <c r="M48" s="453" t="s">
        <v>286</v>
      </c>
      <c r="N48" s="453" t="s">
        <v>305</v>
      </c>
    </row>
    <row r="49" spans="1:17" ht="17.5" x14ac:dyDescent="0.35">
      <c r="A49" s="454" t="s">
        <v>466</v>
      </c>
      <c r="B49" s="498">
        <f>'CALC. PREV'!B53</f>
        <v>825183.70937400125</v>
      </c>
      <c r="C49" s="498">
        <f>'CALC. PREV'!C53</f>
        <v>864848.87654999993</v>
      </c>
      <c r="D49" s="498">
        <f>'CALC. PREV'!D53</f>
        <v>884699.34695000038</v>
      </c>
      <c r="E49" s="498">
        <f>'CALC. PREV'!E53</f>
        <v>674276.45895000058</v>
      </c>
      <c r="F49" s="498">
        <f>'CALC. PREV'!F53</f>
        <v>870337.78035999776</v>
      </c>
      <c r="G49" s="498">
        <f>'CALC. PREV'!G53</f>
        <v>659202.76061999938</v>
      </c>
      <c r="H49" s="498">
        <f>'CALC. PREV'!H53</f>
        <v>721282.97993999883</v>
      </c>
      <c r="I49" s="498">
        <f>'CALC. PREV'!I53</f>
        <v>681811.29999999912</v>
      </c>
      <c r="J49" s="498">
        <f>'CALC. PREV'!J53</f>
        <v>529074.07608999964</v>
      </c>
      <c r="K49" s="498">
        <f>'CALC. PREV'!K53</f>
        <v>469035.18900000013</v>
      </c>
      <c r="L49" s="498">
        <f>'CALC. PREV'!L53</f>
        <v>584729.26400000043</v>
      </c>
      <c r="M49" s="498">
        <f>'CALC. PREV'!M53</f>
        <v>757223.88599999901</v>
      </c>
      <c r="N49" s="455">
        <f>SUM(B49:M49)</f>
        <v>8521705.627833996</v>
      </c>
      <c r="O49" s="20"/>
      <c r="Q49" s="484"/>
    </row>
    <row r="50" spans="1:17" s="480" customFormat="1" ht="17.5" x14ac:dyDescent="0.35">
      <c r="A50" s="454" t="s">
        <v>495</v>
      </c>
      <c r="B50" s="498">
        <f>'CALC. PREV'!B54</f>
        <v>791444.03799999901</v>
      </c>
      <c r="C50" s="498">
        <f>'CALC. PREV'!C54</f>
        <v>796118.74799999979</v>
      </c>
      <c r="D50" s="498">
        <f>'CALC. PREV'!D54</f>
        <v>879124.50399999926</v>
      </c>
      <c r="E50" s="498">
        <f>'CALC. PREV'!E54</f>
        <v>911778.32120000024</v>
      </c>
      <c r="F50" s="1343">
        <f>'CALC. PREV'!F54</f>
        <v>783265.51188441226</v>
      </c>
      <c r="G50" s="1343">
        <f>'CALC. PREV'!G54</f>
        <v>723910.76517808333</v>
      </c>
      <c r="H50" s="1343">
        <f>'CALC. PREV'!H54</f>
        <v>840687.42268841842</v>
      </c>
      <c r="I50" s="762">
        <f>'CALC. PREV'!I59</f>
        <v>837516.89491267491</v>
      </c>
      <c r="J50" s="762">
        <f>'CALC. PREV'!J59</f>
        <v>821940.05001696339</v>
      </c>
      <c r="K50" s="762">
        <f>'CALC. PREV'!K59</f>
        <v>822160.0269863361</v>
      </c>
      <c r="L50" s="762">
        <f>'CALC. PREV'!L59</f>
        <v>830000.49636787479</v>
      </c>
      <c r="M50" s="762">
        <f>'CALC. PREV'!M59</f>
        <v>869060.39459835039</v>
      </c>
      <c r="N50" s="455">
        <f>SUM(B50:M50)</f>
        <v>9907007.1738331113</v>
      </c>
      <c r="O50" s="494"/>
      <c r="Q50" s="499"/>
    </row>
    <row r="51" spans="1:17" ht="17.5" x14ac:dyDescent="0.35">
      <c r="A51" s="454" t="s">
        <v>496</v>
      </c>
      <c r="B51" s="500">
        <f>B50/B49-1</f>
        <v>-4.0887466621944979E-2</v>
      </c>
      <c r="C51" s="500">
        <f>C50/C49-1</f>
        <v>-7.947068026979931E-2</v>
      </c>
      <c r="D51" s="500">
        <f>D50/D49-1</f>
        <v>-6.3013982877012653E-3</v>
      </c>
      <c r="E51" s="500">
        <f>E50/E49-1</f>
        <v>0.35223217286844521</v>
      </c>
      <c r="F51" s="500">
        <f t="shared" ref="F51:M51" si="8">F50/F49-1</f>
        <v>-0.10004422471419061</v>
      </c>
      <c r="G51" s="500">
        <f t="shared" si="8"/>
        <v>9.8161003599596786E-2</v>
      </c>
      <c r="H51" s="500">
        <f t="shared" si="8"/>
        <v>0.16554451729659903</v>
      </c>
      <c r="I51" s="500">
        <f t="shared" si="8"/>
        <v>0.22837051089161475</v>
      </c>
      <c r="J51" s="500">
        <f t="shared" si="8"/>
        <v>0.55354436583119404</v>
      </c>
      <c r="K51" s="500">
        <f t="shared" si="8"/>
        <v>0.75287493618380918</v>
      </c>
      <c r="L51" s="500">
        <f t="shared" si="8"/>
        <v>0.41946118908095942</v>
      </c>
      <c r="M51" s="500">
        <f t="shared" si="8"/>
        <v>0.147692790291023</v>
      </c>
      <c r="N51" s="487">
        <f>N50/N49-1</f>
        <v>0.16256153480288948</v>
      </c>
    </row>
    <row r="52" spans="1:17" ht="17.5" x14ac:dyDescent="0.35">
      <c r="A52" s="454" t="s">
        <v>498</v>
      </c>
      <c r="B52" s="498">
        <f>'CALC. PREV'!B56</f>
        <v>553513.88344362052</v>
      </c>
      <c r="C52" s="498">
        <f>'CALC. PREV'!C56</f>
        <v>588296.99620170332</v>
      </c>
      <c r="D52" s="498">
        <f>'CALC. PREV'!D56</f>
        <v>577033.45770006324</v>
      </c>
      <c r="E52" s="498">
        <f>'CALC. PREV'!E56</f>
        <v>599164.39428286953</v>
      </c>
      <c r="F52" s="498">
        <f>'CALC. PREV'!F56</f>
        <v>719942.4997462678</v>
      </c>
      <c r="G52" s="498">
        <f>'CALC. PREV'!G56</f>
        <v>625474.295764343</v>
      </c>
      <c r="H52" s="498">
        <f>'CALC. PREV'!H56</f>
        <v>732235.2972596027</v>
      </c>
      <c r="I52" s="498">
        <f>'CALC. PREV'!I56</f>
        <v>760823.40374700387</v>
      </c>
      <c r="J52" s="498">
        <f>'CALC. PREV'!J56</f>
        <v>665004.51367016055</v>
      </c>
      <c r="K52" s="498">
        <f>'CALC. PREV'!K56</f>
        <v>705687.26920728292</v>
      </c>
      <c r="L52" s="498">
        <f>'CALC. PREV'!L56</f>
        <v>696498.62256179552</v>
      </c>
      <c r="M52" s="498">
        <f>'CALC. PREV'!M56</f>
        <v>776325.36641528853</v>
      </c>
      <c r="N52" s="455">
        <f>SUM(B52:M52)</f>
        <v>8000000.0000000009</v>
      </c>
      <c r="Q52" s="484"/>
    </row>
    <row r="53" spans="1:17" ht="17.5" x14ac:dyDescent="0.35">
      <c r="A53" s="14" t="s">
        <v>288</v>
      </c>
      <c r="B53" s="500">
        <f>B50/B52-1</f>
        <v>0.42985399584943451</v>
      </c>
      <c r="C53" s="500">
        <f>C50/C52-1</f>
        <v>0.35325992337217849</v>
      </c>
      <c r="D53" s="500">
        <f>D50/D52-1</f>
        <v>0.5235243160838694</v>
      </c>
      <c r="E53" s="500">
        <f>E50/E52-1</f>
        <v>0.52174984011073189</v>
      </c>
      <c r="F53" s="500">
        <f t="shared" ref="F53:M53" si="9">F50/F52-1</f>
        <v>8.7955652236757276E-2</v>
      </c>
      <c r="G53" s="500">
        <f t="shared" si="9"/>
        <v>0.15737892041342616</v>
      </c>
      <c r="H53" s="500">
        <f t="shared" si="9"/>
        <v>0.14811103184276808</v>
      </c>
      <c r="I53" s="500">
        <f t="shared" si="9"/>
        <v>0.10080327548805768</v>
      </c>
      <c r="J53" s="500">
        <f t="shared" si="9"/>
        <v>0.23599168595213804</v>
      </c>
      <c r="K53" s="500">
        <f t="shared" si="9"/>
        <v>0.1650486877989028</v>
      </c>
      <c r="L53" s="500">
        <f t="shared" si="9"/>
        <v>0.19167571834535035</v>
      </c>
      <c r="M53" s="500">
        <f t="shared" si="9"/>
        <v>0.1194538169109034</v>
      </c>
      <c r="N53" s="487">
        <f>N50/N52-1</f>
        <v>0.23837589672913873</v>
      </c>
    </row>
    <row r="54" spans="1:17" x14ac:dyDescent="0.35">
      <c r="N54" s="470"/>
    </row>
    <row r="55" spans="1:17" x14ac:dyDescent="0.35">
      <c r="G55" s="20"/>
      <c r="H55" s="20"/>
      <c r="I55" s="20"/>
      <c r="J55" s="20"/>
      <c r="K55" s="20"/>
      <c r="L55" s="20"/>
      <c r="M55" s="20"/>
      <c r="N55" s="470"/>
      <c r="O55" s="1"/>
    </row>
    <row r="56" spans="1:17" x14ac:dyDescent="0.35">
      <c r="N56" s="470"/>
    </row>
    <row r="57" spans="1:17" x14ac:dyDescent="0.35">
      <c r="N57" s="465"/>
    </row>
    <row r="58" spans="1:17" ht="15.5" x14ac:dyDescent="0.35">
      <c r="A58" s="19" t="s">
        <v>302</v>
      </c>
      <c r="B58" s="19"/>
      <c r="N58" s="452"/>
    </row>
    <row r="59" spans="1:17" x14ac:dyDescent="0.35">
      <c r="A59" s="17"/>
      <c r="N59" s="452"/>
    </row>
    <row r="60" spans="1:17" ht="17.5" x14ac:dyDescent="0.35">
      <c r="A60" s="17"/>
      <c r="B60" s="453" t="s">
        <v>280</v>
      </c>
      <c r="C60" s="453" t="s">
        <v>281</v>
      </c>
      <c r="D60" s="453" t="s">
        <v>2</v>
      </c>
      <c r="E60" s="453" t="s">
        <v>3</v>
      </c>
      <c r="F60" s="453" t="s">
        <v>4</v>
      </c>
      <c r="G60" s="453" t="s">
        <v>5</v>
      </c>
      <c r="H60" s="453" t="s">
        <v>282</v>
      </c>
      <c r="I60" s="453" t="s">
        <v>7</v>
      </c>
      <c r="J60" s="453" t="s">
        <v>283</v>
      </c>
      <c r="K60" s="453" t="s">
        <v>284</v>
      </c>
      <c r="L60" s="453" t="s">
        <v>285</v>
      </c>
      <c r="M60" s="453" t="s">
        <v>286</v>
      </c>
      <c r="N60" s="453" t="s">
        <v>305</v>
      </c>
    </row>
    <row r="61" spans="1:17" ht="17.5" x14ac:dyDescent="0.35">
      <c r="A61" s="454" t="s">
        <v>466</v>
      </c>
      <c r="B61" s="455">
        <f>'CALC. PREV'!B65</f>
        <v>158014</v>
      </c>
      <c r="C61" s="455">
        <f>'CALC. PREV'!C65</f>
        <v>138758</v>
      </c>
      <c r="D61" s="455">
        <f>'CALC. PREV'!D65</f>
        <v>150740</v>
      </c>
      <c r="E61" s="455">
        <f>'CALC. PREV'!E65</f>
        <v>141918</v>
      </c>
      <c r="F61" s="455">
        <f>'CALC. PREV'!F65</f>
        <v>157734</v>
      </c>
      <c r="G61" s="455">
        <f>'CALC. PREV'!G65</f>
        <v>130245</v>
      </c>
      <c r="H61" s="455">
        <f>'CALC. PREV'!H65</f>
        <v>134863</v>
      </c>
      <c r="I61" s="455">
        <f>'CALC. PREV'!I65</f>
        <v>148944</v>
      </c>
      <c r="J61" s="455">
        <f>'CALC. PREV'!J65</f>
        <v>132514</v>
      </c>
      <c r="K61" s="455">
        <f>'CALC. PREV'!K65</f>
        <v>139061</v>
      </c>
      <c r="L61" s="455">
        <f>'CALC. PREV'!L65</f>
        <v>127986</v>
      </c>
      <c r="M61" s="455">
        <f>'CALC. PREV'!M65</f>
        <v>148531</v>
      </c>
      <c r="N61" s="455">
        <f>SUM(B61:M61)</f>
        <v>1709308</v>
      </c>
      <c r="O61" s="20"/>
      <c r="Q61" s="484"/>
    </row>
    <row r="62" spans="1:17" ht="17.5" x14ac:dyDescent="0.35">
      <c r="A62" s="454" t="s">
        <v>495</v>
      </c>
      <c r="B62" s="455">
        <f>'CALC. PREV'!B66</f>
        <v>162428</v>
      </c>
      <c r="C62" s="455">
        <f>'CALC. PREV'!C66</f>
        <v>147867</v>
      </c>
      <c r="D62" s="455">
        <f>'CALC. PREV'!D66</f>
        <v>167378</v>
      </c>
      <c r="E62" s="455">
        <f>'CALC. PREV'!E66</f>
        <v>162680</v>
      </c>
      <c r="F62" s="1341">
        <f>'CALC. PREV'!F66</f>
        <v>146795.47213045071</v>
      </c>
      <c r="G62" s="1341">
        <f>'CALC. PREV'!G66</f>
        <v>135671.51999195205</v>
      </c>
      <c r="H62" s="1341">
        <f>'CALC. PREV'!H66</f>
        <v>157557.18240520445</v>
      </c>
      <c r="I62" s="761">
        <f>'CALC. PREV'!I71</f>
        <v>156962.97888841326</v>
      </c>
      <c r="J62" s="761">
        <f>'CALC. PREV'!J71</f>
        <v>154043.64915146676</v>
      </c>
      <c r="K62" s="761">
        <f>'CALC. PREV'!K71</f>
        <v>154084.87606952575</v>
      </c>
      <c r="L62" s="761">
        <f>'CALC. PREV'!L71</f>
        <v>155554.29529854088</v>
      </c>
      <c r="M62" s="761">
        <f>'CALC. PREV'!M71</f>
        <v>162874.69446729193</v>
      </c>
      <c r="N62" s="455">
        <f>SUM(B62:M62)</f>
        <v>1863897.6684028457</v>
      </c>
      <c r="O62" s="20"/>
      <c r="Q62" s="484"/>
    </row>
    <row r="63" spans="1:17" ht="17.5" x14ac:dyDescent="0.35">
      <c r="A63" s="454" t="s">
        <v>496</v>
      </c>
      <c r="B63" s="458">
        <f>B62/B61</f>
        <v>1.0279342336754971</v>
      </c>
      <c r="C63" s="458">
        <f>C62/C61</f>
        <v>1.0656466654174894</v>
      </c>
      <c r="D63" s="497">
        <f>D62/D61-1</f>
        <v>0.11037548096059435</v>
      </c>
      <c r="E63" s="497">
        <f>E62/E61-1</f>
        <v>0.14629574824898883</v>
      </c>
      <c r="F63" s="497">
        <f t="shared" ref="F63:M63" si="10">F62/F61-1</f>
        <v>-6.9347939376097067E-2</v>
      </c>
      <c r="G63" s="497">
        <f t="shared" si="10"/>
        <v>4.1663940972413993E-2</v>
      </c>
      <c r="H63" s="497">
        <f t="shared" si="10"/>
        <v>0.16827582365218374</v>
      </c>
      <c r="I63" s="497">
        <f t="shared" si="10"/>
        <v>5.3838885006534332E-2</v>
      </c>
      <c r="J63" s="497">
        <f t="shared" si="10"/>
        <v>0.16247075140337452</v>
      </c>
      <c r="K63" s="497">
        <f t="shared" si="10"/>
        <v>0.10803802697755494</v>
      </c>
      <c r="L63" s="497">
        <f t="shared" si="10"/>
        <v>0.21540086648962298</v>
      </c>
      <c r="M63" s="497">
        <f t="shared" si="10"/>
        <v>9.6570375660918861E-2</v>
      </c>
      <c r="N63" s="487">
        <f>N62/N61-1</f>
        <v>9.0439913931746441E-2</v>
      </c>
      <c r="O63" s="20"/>
    </row>
    <row r="64" spans="1:17" ht="17.5" x14ac:dyDescent="0.35">
      <c r="A64" s="454" t="s">
        <v>498</v>
      </c>
      <c r="B64" s="455">
        <f>'CALC. PREV'!B68</f>
        <v>135684.66170873577</v>
      </c>
      <c r="C64" s="455">
        <f>'CALC. PREV'!C68</f>
        <v>122266.73687428547</v>
      </c>
      <c r="D64" s="455">
        <f>'CALC. PREV'!D68</f>
        <v>139023.46152813762</v>
      </c>
      <c r="E64" s="455">
        <f>'CALC. PREV'!E68</f>
        <v>142027.5375240274</v>
      </c>
      <c r="F64" s="455">
        <f>'CALC. PREV'!F68</f>
        <v>152487.51636851736</v>
      </c>
      <c r="G64" s="455">
        <f>'CALC. PREV'!G68</f>
        <v>142225.55901289504</v>
      </c>
      <c r="H64" s="455">
        <f>'CALC. PREV'!H68</f>
        <v>153125.74187738198</v>
      </c>
      <c r="I64" s="455">
        <f>'CALC. PREV'!I68</f>
        <v>155625.76317433591</v>
      </c>
      <c r="J64" s="455">
        <f>'CALC. PREV'!J68</f>
        <v>143125.93797009008</v>
      </c>
      <c r="K64" s="455">
        <f>'CALC. PREV'!K68</f>
        <v>156015.33670002013</v>
      </c>
      <c r="L64" s="455">
        <f>'CALC. PREV'!L68</f>
        <v>149433.0911588388</v>
      </c>
      <c r="M64" s="455">
        <f>'CALC. PREV'!M68</f>
        <v>158958.65610273459</v>
      </c>
      <c r="N64" s="455">
        <f>SUM(B64:M64)</f>
        <v>1750000</v>
      </c>
      <c r="O64" s="20"/>
      <c r="Q64" s="484"/>
    </row>
    <row r="65" spans="1:17" ht="17.5" x14ac:dyDescent="0.35">
      <c r="A65" s="14" t="s">
        <v>288</v>
      </c>
      <c r="B65" s="458">
        <f>B62/B64</f>
        <v>1.1970992001194076</v>
      </c>
      <c r="C65" s="458">
        <f>C62/C64</f>
        <v>1.2093804396860341</v>
      </c>
      <c r="D65" s="497">
        <f>D62/D64-1</f>
        <v>0.20395506024804</v>
      </c>
      <c r="E65" s="497">
        <f>E62/E64-1</f>
        <v>0.14541167745359762</v>
      </c>
      <c r="F65" s="497">
        <f t="shared" ref="F65:M65" si="11">F62/F64-1</f>
        <v>-3.7327935909918453E-2</v>
      </c>
      <c r="G65" s="497">
        <f t="shared" si="11"/>
        <v>-4.6082005698770079E-2</v>
      </c>
      <c r="H65" s="497">
        <f t="shared" si="11"/>
        <v>2.8939879562320803E-2</v>
      </c>
      <c r="I65" s="497">
        <f t="shared" si="11"/>
        <v>8.5925086361142711E-3</v>
      </c>
      <c r="J65" s="497">
        <f t="shared" si="11"/>
        <v>7.6280451581447251E-2</v>
      </c>
      <c r="K65" s="497">
        <f t="shared" si="11"/>
        <v>-1.2373531162556017E-2</v>
      </c>
      <c r="L65" s="497">
        <f t="shared" si="11"/>
        <v>4.0962842247542097E-2</v>
      </c>
      <c r="M65" s="497">
        <f t="shared" si="11"/>
        <v>2.4635577958248556E-2</v>
      </c>
      <c r="N65" s="487">
        <f>N62/N64-1</f>
        <v>6.5084381944483294E-2</v>
      </c>
      <c r="O65" s="20"/>
    </row>
    <row r="66" spans="1:17" x14ac:dyDescent="0.35">
      <c r="N66" s="470"/>
      <c r="O66" s="20"/>
    </row>
    <row r="67" spans="1:17" x14ac:dyDescent="0.35">
      <c r="N67" s="470"/>
      <c r="O67" s="20"/>
    </row>
    <row r="68" spans="1:17" x14ac:dyDescent="0.35">
      <c r="N68" s="470"/>
      <c r="O68" s="20"/>
    </row>
    <row r="69" spans="1:17" x14ac:dyDescent="0.35">
      <c r="N69" s="465"/>
      <c r="O69" s="20"/>
    </row>
    <row r="70" spans="1:17" ht="15.5" x14ac:dyDescent="0.35">
      <c r="A70" s="19" t="s">
        <v>303</v>
      </c>
      <c r="B70" s="19"/>
      <c r="N70" s="452"/>
      <c r="O70" s="20"/>
    </row>
    <row r="71" spans="1:17" x14ac:dyDescent="0.35">
      <c r="A71" s="17"/>
      <c r="N71" s="452"/>
      <c r="O71" s="20"/>
    </row>
    <row r="72" spans="1:17" ht="17.5" x14ac:dyDescent="0.35">
      <c r="A72" s="17"/>
      <c r="B72" s="453" t="s">
        <v>280</v>
      </c>
      <c r="C72" s="453" t="s">
        <v>281</v>
      </c>
      <c r="D72" s="453" t="s">
        <v>2</v>
      </c>
      <c r="E72" s="453" t="s">
        <v>3</v>
      </c>
      <c r="F72" s="453" t="s">
        <v>4</v>
      </c>
      <c r="G72" s="453" t="s">
        <v>5</v>
      </c>
      <c r="H72" s="453" t="s">
        <v>282</v>
      </c>
      <c r="I72" s="453" t="s">
        <v>7</v>
      </c>
      <c r="J72" s="453" t="s">
        <v>283</v>
      </c>
      <c r="K72" s="453" t="s">
        <v>284</v>
      </c>
      <c r="L72" s="453" t="s">
        <v>285</v>
      </c>
      <c r="M72" s="453" t="s">
        <v>286</v>
      </c>
      <c r="N72" s="453" t="s">
        <v>305</v>
      </c>
      <c r="O72" s="20"/>
    </row>
    <row r="73" spans="1:17" ht="17.5" x14ac:dyDescent="0.35">
      <c r="A73" s="454" t="s">
        <v>466</v>
      </c>
      <c r="B73" s="455">
        <f>'CALC. PREV'!B77</f>
        <v>51450</v>
      </c>
      <c r="C73" s="455">
        <f>'CALC. PREV'!C77</f>
        <v>53158</v>
      </c>
      <c r="D73" s="455">
        <f>'CALC. PREV'!D77</f>
        <v>52393</v>
      </c>
      <c r="E73" s="455">
        <f>'CALC. PREV'!E77</f>
        <v>41671</v>
      </c>
      <c r="F73" s="455">
        <f>'CALC. PREV'!F77</f>
        <v>52673</v>
      </c>
      <c r="G73" s="455">
        <f>'CALC. PREV'!G77</f>
        <v>40859</v>
      </c>
      <c r="H73" s="455">
        <f>'CALC. PREV'!H77</f>
        <v>43756</v>
      </c>
      <c r="I73" s="455">
        <f>'CALC. PREV'!I77</f>
        <v>41617</v>
      </c>
      <c r="J73" s="455">
        <f>'CALC. PREV'!J77</f>
        <v>32269</v>
      </c>
      <c r="K73" s="455">
        <f>'CALC. PREV'!K77</f>
        <v>28490</v>
      </c>
      <c r="L73" s="455">
        <f>'CALC. PREV'!L77</f>
        <v>36208</v>
      </c>
      <c r="M73" s="455">
        <f>'CALC. PREV'!M77</f>
        <v>47561</v>
      </c>
      <c r="N73" s="455">
        <f>SUM(B73:M73)</f>
        <v>522105</v>
      </c>
      <c r="O73" s="20"/>
      <c r="Q73" s="484"/>
    </row>
    <row r="74" spans="1:17" ht="17.5" x14ac:dyDescent="0.35">
      <c r="A74" s="454" t="s">
        <v>495</v>
      </c>
      <c r="B74" s="455">
        <f>'CALC. PREV'!B78</f>
        <v>48491</v>
      </c>
      <c r="C74" s="455">
        <f>'CALC. PREV'!C78</f>
        <v>50488</v>
      </c>
      <c r="D74" s="455">
        <f>'CALC. PREV'!D78</f>
        <v>54857</v>
      </c>
      <c r="E74" s="455">
        <f>'CALC. PREV'!E78</f>
        <v>56486</v>
      </c>
      <c r="F74" s="1341">
        <f>'CALC. PREV'!F78</f>
        <v>48089.82007202541</v>
      </c>
      <c r="G74" s="1341">
        <f>'CALC. PREV'!G78</f>
        <v>44445.641889507373</v>
      </c>
      <c r="H74" s="1341">
        <f>'CALC. PREV'!H78</f>
        <v>51615.328749297623</v>
      </c>
      <c r="I74" s="761">
        <f>'CALC. PREV'!I83</f>
        <v>51420.66920160217</v>
      </c>
      <c r="J74" s="761">
        <f>'CALC. PREV'!J83</f>
        <v>50464.304269202134</v>
      </c>
      <c r="K74" s="761">
        <f>'CALC. PREV'!K83</f>
        <v>50477.810101792245</v>
      </c>
      <c r="L74" s="761">
        <f>'CALC. PREV'!L83</f>
        <v>50959.188071481367</v>
      </c>
      <c r="M74" s="761">
        <f>'CALC. PREV'!M83</f>
        <v>53357.332058973043</v>
      </c>
      <c r="N74" s="455">
        <f>SUM(B74:M74)</f>
        <v>611152.09441388131</v>
      </c>
      <c r="O74" s="494"/>
      <c r="Q74" s="484"/>
    </row>
    <row r="75" spans="1:17" ht="17.5" x14ac:dyDescent="0.35">
      <c r="A75" s="454" t="s">
        <v>496</v>
      </c>
      <c r="B75" s="497">
        <f>B74/B73-1</f>
        <v>-5.7512147716229367E-2</v>
      </c>
      <c r="C75" s="497">
        <f>C74/C73-1</f>
        <v>-5.0227623311636993E-2</v>
      </c>
      <c r="D75" s="497">
        <f>D74/D73-1</f>
        <v>4.7029183287843779E-2</v>
      </c>
      <c r="E75" s="497">
        <f>E74/E73-1</f>
        <v>0.355523025605337</v>
      </c>
      <c r="F75" s="497">
        <f t="shared" ref="F75:M75" si="12">F74/F73-1</f>
        <v>-8.7011940234552609E-2</v>
      </c>
      <c r="G75" s="497">
        <f t="shared" si="12"/>
        <v>8.7780951308337851E-2</v>
      </c>
      <c r="H75" s="497">
        <f t="shared" si="12"/>
        <v>0.17961716677250261</v>
      </c>
      <c r="I75" s="497">
        <f t="shared" si="12"/>
        <v>0.23556885891828272</v>
      </c>
      <c r="J75" s="497">
        <f t="shared" si="12"/>
        <v>0.56386328269243347</v>
      </c>
      <c r="K75" s="497">
        <f t="shared" si="12"/>
        <v>0.77177290634581408</v>
      </c>
      <c r="L75" s="497">
        <f t="shared" si="12"/>
        <v>0.40740134974263609</v>
      </c>
      <c r="M75" s="497">
        <f t="shared" si="12"/>
        <v>0.12187153463915901</v>
      </c>
      <c r="N75" s="487">
        <f>N74/N73-1</f>
        <v>0.17055399663646442</v>
      </c>
    </row>
    <row r="76" spans="1:17" ht="17.5" x14ac:dyDescent="0.35">
      <c r="A76" s="454" t="s">
        <v>498</v>
      </c>
      <c r="B76" s="455">
        <f>'CALC. PREV'!B80</f>
        <v>39611.682845296957</v>
      </c>
      <c r="C76" s="455">
        <f>'CALC. PREV'!C80</f>
        <v>43107.78713721945</v>
      </c>
      <c r="D76" s="455">
        <f>'CALC. PREV'!D80</f>
        <v>41520.684899936714</v>
      </c>
      <c r="E76" s="455">
        <f>'CALC. PREV'!E80</f>
        <v>43110.861214602119</v>
      </c>
      <c r="F76" s="455">
        <f>'CALC. PREV'!F80</f>
        <v>51918.532069871253</v>
      </c>
      <c r="G76" s="455">
        <f>'CALC. PREV'!G80</f>
        <v>46041.774422024653</v>
      </c>
      <c r="H76" s="455">
        <f>'CALC. PREV'!H80</f>
        <v>52857.003979410059</v>
      </c>
      <c r="I76" s="455">
        <f>'CALC. PREV'!I80</f>
        <v>57143.146158679439</v>
      </c>
      <c r="J76" s="455">
        <f>'CALC. PREV'!J80</f>
        <v>49970.006163168568</v>
      </c>
      <c r="K76" s="455">
        <f>'CALC. PREV'!K80</f>
        <v>50769.266282663477</v>
      </c>
      <c r="L76" s="455">
        <f>'CALC. PREV'!L80</f>
        <v>51377.49445052087</v>
      </c>
      <c r="M76" s="455">
        <f>'CALC. PREV'!M80</f>
        <v>57571.760376606377</v>
      </c>
      <c r="N76" s="455">
        <f>SUM(B76:M76)</f>
        <v>584999.99999999988</v>
      </c>
      <c r="Q76" s="484"/>
    </row>
    <row r="77" spans="1:17" ht="17.5" x14ac:dyDescent="0.35">
      <c r="A77" s="14" t="s">
        <v>288</v>
      </c>
      <c r="B77" s="497">
        <f>B74/B76-1</f>
        <v>0.22415904897000027</v>
      </c>
      <c r="C77" s="497">
        <f>C74/C76-1</f>
        <v>0.17120370478048597</v>
      </c>
      <c r="D77" s="497">
        <f>D74/D76-1</f>
        <v>0.32119689576901989</v>
      </c>
      <c r="E77" s="497">
        <f>E74/E76-1</f>
        <v>0.31024986299432999</v>
      </c>
      <c r="F77" s="497">
        <f t="shared" ref="F77:M77" si="13">F74/F76-1</f>
        <v>-7.3744611898757362E-2</v>
      </c>
      <c r="G77" s="497">
        <f t="shared" si="13"/>
        <v>-3.4667050793632082E-2</v>
      </c>
      <c r="H77" s="497">
        <f t="shared" si="13"/>
        <v>-2.3491214723333931E-2</v>
      </c>
      <c r="I77" s="497">
        <f t="shared" si="13"/>
        <v>-0.10014284024870912</v>
      </c>
      <c r="J77" s="497">
        <f t="shared" si="13"/>
        <v>9.8918960389862143E-3</v>
      </c>
      <c r="K77" s="497">
        <f t="shared" si="13"/>
        <v>-5.7407995468856665E-3</v>
      </c>
      <c r="L77" s="497">
        <f t="shared" si="13"/>
        <v>-8.141821307427799E-3</v>
      </c>
      <c r="M77" s="497">
        <f t="shared" si="13"/>
        <v>-7.3203047641145602E-2</v>
      </c>
      <c r="N77" s="487">
        <f>N74/N76-1</f>
        <v>4.4704434895523892E-2</v>
      </c>
    </row>
    <row r="78" spans="1:17" x14ac:dyDescent="0.35">
      <c r="N78" s="470"/>
    </row>
    <row r="79" spans="1:17" x14ac:dyDescent="0.35">
      <c r="N79" s="470"/>
      <c r="O79" s="1"/>
    </row>
    <row r="80" spans="1:17" x14ac:dyDescent="0.35">
      <c r="N80" s="470"/>
    </row>
    <row r="84" ht="13.5" customHeight="1" x14ac:dyDescent="0.35"/>
    <row r="85" hidden="1" x14ac:dyDescent="0.35"/>
  </sheetData>
  <mergeCells count="5">
    <mergeCell ref="A11:B11"/>
    <mergeCell ref="A14:B14"/>
    <mergeCell ref="C22:D22"/>
    <mergeCell ref="A24:B24"/>
    <mergeCell ref="A34:B34"/>
  </mergeCells>
  <pageMargins left="0.7" right="0.7" top="0.75" bottom="0.75" header="0.3" footer="0.3"/>
  <pageSetup paperSize="9" orientation="portrait" horizontalDpi="4294967295" verticalDpi="4294967295" r:id="rId1"/>
  <ignoredErrors>
    <ignoredError sqref="N75 N63 N51 N39 N29 N19 N7"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E8201-B2AB-40DF-98F4-B6E8F84D2676}">
  <dimension ref="A1:V86"/>
  <sheetViews>
    <sheetView zoomScale="70" zoomScaleNormal="70" workbookViewId="0">
      <selection activeCell="M11" sqref="M11"/>
    </sheetView>
  </sheetViews>
  <sheetFormatPr baseColWidth="10" defaultColWidth="10.81640625" defaultRowHeight="14.5" x14ac:dyDescent="0.35"/>
  <cols>
    <col min="1" max="1" width="30.26953125" bestFit="1" customWidth="1"/>
    <col min="2" max="2" width="12.7265625" customWidth="1"/>
    <col min="3" max="3" width="13" customWidth="1"/>
    <col min="4" max="4" width="14.08984375" bestFit="1" customWidth="1"/>
    <col min="5" max="5" width="11.453125" customWidth="1"/>
    <col min="6" max="6" width="12.7265625" bestFit="1" customWidth="1"/>
    <col min="7" max="7" width="12.26953125" customWidth="1"/>
    <col min="9" max="9" width="14.26953125" bestFit="1" customWidth="1"/>
    <col min="10" max="13" width="14.7265625" bestFit="1" customWidth="1"/>
    <col min="14" max="14" width="13.26953125" bestFit="1" customWidth="1"/>
    <col min="15" max="15" width="17.453125" bestFit="1" customWidth="1"/>
    <col min="16" max="17" width="17.453125" customWidth="1"/>
    <col min="18" max="18" width="20.453125" customWidth="1"/>
    <col min="19" max="19" width="14.26953125" customWidth="1"/>
    <col min="20" max="20" width="11.7265625" bestFit="1" customWidth="1"/>
  </cols>
  <sheetData>
    <row r="1" spans="1:19" ht="15.5" x14ac:dyDescent="0.35">
      <c r="D1" s="742" t="s">
        <v>452</v>
      </c>
    </row>
    <row r="2" spans="1:19" ht="15.5" x14ac:dyDescent="0.35">
      <c r="A2" s="19" t="s">
        <v>189</v>
      </c>
      <c r="B2" s="19"/>
    </row>
    <row r="3" spans="1:19" x14ac:dyDescent="0.35">
      <c r="A3" s="17"/>
      <c r="B3" s="20"/>
      <c r="N3" s="452" t="s">
        <v>279</v>
      </c>
      <c r="P3" s="15"/>
    </row>
    <row r="4" spans="1:19" ht="17.5" x14ac:dyDescent="0.35">
      <c r="A4" s="17"/>
      <c r="B4" s="453" t="s">
        <v>280</v>
      </c>
      <c r="C4" s="453" t="s">
        <v>281</v>
      </c>
      <c r="D4" s="453" t="s">
        <v>2</v>
      </c>
      <c r="E4" s="453" t="s">
        <v>3</v>
      </c>
      <c r="F4" s="453" t="s">
        <v>4</v>
      </c>
      <c r="G4" s="453" t="s">
        <v>5</v>
      </c>
      <c r="H4" s="453" t="s">
        <v>282</v>
      </c>
      <c r="I4" s="453" t="s">
        <v>7</v>
      </c>
      <c r="J4" s="453" t="s">
        <v>283</v>
      </c>
      <c r="K4" s="453" t="s">
        <v>284</v>
      </c>
      <c r="L4" s="453" t="s">
        <v>285</v>
      </c>
      <c r="M4" s="453" t="s">
        <v>286</v>
      </c>
      <c r="N4" s="452"/>
      <c r="P4" s="15"/>
    </row>
    <row r="5" spans="1:19" ht="17.5" x14ac:dyDescent="0.35">
      <c r="A5" s="454" t="s">
        <v>466</v>
      </c>
      <c r="B5" s="455">
        <f>'Trafic mens2025'!C21</f>
        <v>246</v>
      </c>
      <c r="C5" s="455">
        <f>'Trafic mens2025'!D21</f>
        <v>237</v>
      </c>
      <c r="D5" s="455">
        <f>'Trafic mens2025'!E21</f>
        <v>244</v>
      </c>
      <c r="E5" s="455">
        <f>'Trafic mens2025'!F21</f>
        <v>220</v>
      </c>
      <c r="F5" s="455">
        <f>'Trafic mens2025'!G21</f>
        <v>247</v>
      </c>
      <c r="G5" s="455">
        <f>'Trafic mens2025'!H21</f>
        <v>214</v>
      </c>
      <c r="H5" s="455">
        <f>'Trafic mens2025'!I21</f>
        <v>212</v>
      </c>
      <c r="I5" s="455">
        <f>'Trafic mens2025'!J21</f>
        <v>227</v>
      </c>
      <c r="J5" s="455">
        <f>'Trafic mens2025'!K21</f>
        <v>209</v>
      </c>
      <c r="K5" s="455">
        <f>'Trafic mens2025'!L21</f>
        <v>221</v>
      </c>
      <c r="L5" s="455">
        <f>'Trafic mens2025'!M21</f>
        <v>228</v>
      </c>
      <c r="M5" s="455">
        <f>'Trafic mens2025'!N21</f>
        <v>243</v>
      </c>
      <c r="N5" s="456">
        <f>SUM(B5:M5)</f>
        <v>2748</v>
      </c>
      <c r="P5" s="21"/>
    </row>
    <row r="6" spans="1:19" ht="17.5" x14ac:dyDescent="0.35">
      <c r="A6" s="454" t="s">
        <v>495</v>
      </c>
      <c r="B6" s="455">
        <f>'Trafic mens2026'!C21</f>
        <v>266</v>
      </c>
      <c r="C6" s="455">
        <f>'Trafic mens2026'!D21</f>
        <v>213</v>
      </c>
      <c r="D6" s="455">
        <f>'Trafic mens2026'!E21</f>
        <v>262</v>
      </c>
      <c r="E6" s="455">
        <f>'Trafic mens2026'!F21</f>
        <v>237</v>
      </c>
      <c r="F6" s="763">
        <f>+'Trafic mens2026'!Y21</f>
        <v>221</v>
      </c>
      <c r="G6" s="763">
        <f>+'Trafic mens2026'!Z21</f>
        <v>224</v>
      </c>
      <c r="H6" s="763">
        <f>+'Trafic mens2026'!AA21</f>
        <v>227</v>
      </c>
      <c r="I6" s="763">
        <f>+'Trafic mens2026'!AB21</f>
        <v>0</v>
      </c>
      <c r="J6" s="763">
        <f>+'Trafic mens2026'!AC21</f>
        <v>0</v>
      </c>
      <c r="K6" s="763">
        <f>+'Trafic mens2026'!AD21</f>
        <v>0</v>
      </c>
      <c r="L6" s="763">
        <f>+'Trafic mens2026'!AE21</f>
        <v>0</v>
      </c>
      <c r="M6" s="763">
        <f>+'Trafic mens2026'!AF21</f>
        <v>0</v>
      </c>
      <c r="N6" s="15">
        <f>AVERAGEIF(B6:M6, "&lt;&gt;0")</f>
        <v>235.71428571428572</v>
      </c>
      <c r="O6" s="15" t="s">
        <v>287</v>
      </c>
      <c r="P6" s="15"/>
      <c r="R6" s="15"/>
    </row>
    <row r="7" spans="1:19" ht="17.5" x14ac:dyDescent="0.35">
      <c r="A7" s="454" t="s">
        <v>496</v>
      </c>
      <c r="B7" s="457">
        <f>+B6/B5</f>
        <v>1.0813008130081301</v>
      </c>
      <c r="C7" s="457">
        <f t="shared" ref="C7:M7" si="0">+C6/C5</f>
        <v>0.89873417721518989</v>
      </c>
      <c r="D7" s="457">
        <f t="shared" si="0"/>
        <v>1.0737704918032787</v>
      </c>
      <c r="E7" s="457">
        <f t="shared" si="0"/>
        <v>1.0772727272727274</v>
      </c>
      <c r="F7" s="457">
        <f t="shared" si="0"/>
        <v>0.89473684210526316</v>
      </c>
      <c r="G7" s="457">
        <f t="shared" si="0"/>
        <v>1.0467289719626167</v>
      </c>
      <c r="H7" s="457">
        <f t="shared" si="0"/>
        <v>1.070754716981132</v>
      </c>
      <c r="I7" s="457">
        <f t="shared" si="0"/>
        <v>0</v>
      </c>
      <c r="J7" s="457">
        <f t="shared" si="0"/>
        <v>0</v>
      </c>
      <c r="K7" s="457">
        <f>+K6/K5</f>
        <v>0</v>
      </c>
      <c r="L7" s="457">
        <f t="shared" si="0"/>
        <v>0</v>
      </c>
      <c r="M7" s="457">
        <f t="shared" si="0"/>
        <v>0</v>
      </c>
      <c r="N7" s="785">
        <f>AVERAGEIF(B7:M7, "&lt;&gt;0")</f>
        <v>1.0204712486211911</v>
      </c>
      <c r="O7" t="s">
        <v>287</v>
      </c>
    </row>
    <row r="8" spans="1:19" ht="17.5" x14ac:dyDescent="0.35">
      <c r="A8" s="454" t="s">
        <v>498</v>
      </c>
      <c r="B8" s="455">
        <f>COEFFICIENTS_SAISONNIERS_2026!C14</f>
        <v>237.35672891178365</v>
      </c>
      <c r="C8" s="455">
        <f>COEFFICIENTS_SAISONNIERS_2026!D14</f>
        <v>219.21909207984547</v>
      </c>
      <c r="D8" s="455">
        <f>COEFFICIENTS_SAISONNIERS_2026!E14</f>
        <v>228.62379265936895</v>
      </c>
      <c r="E8" s="455">
        <f>COEFFICIENTS_SAISONNIERS_2026!F14</f>
        <v>227.28026400515131</v>
      </c>
      <c r="F8" s="455">
        <f>COEFFICIENTS_SAISONNIERS_2026!G14</f>
        <v>238.02849323889242</v>
      </c>
      <c r="G8" s="455">
        <f>COEFFICIENTS_SAISONNIERS_2026!H14</f>
        <v>218.09948486799743</v>
      </c>
      <c r="H8" s="455">
        <f>COEFFICIENTS_SAISONNIERS_2026!I14</f>
        <v>237.35672891178365</v>
      </c>
      <c r="I8" s="455">
        <f>COEFFICIENTS_SAISONNIERS_2026!J14</f>
        <v>225.48889246619444</v>
      </c>
      <c r="J8" s="455">
        <f>COEFFICIENTS_SAISONNIERS_2026!K14</f>
        <v>225.93673535093367</v>
      </c>
      <c r="K8" s="455">
        <f>COEFFICIENTS_SAISONNIERS_2026!L14</f>
        <v>236.68496458467482</v>
      </c>
      <c r="L8" s="455">
        <f>COEFFICIENTS_SAISONNIERS_2026!M14</f>
        <v>237.13280746941405</v>
      </c>
      <c r="M8" s="455">
        <f>COEFFICIENTS_SAISONNIERS_2026!N14</f>
        <v>250.79201545396006</v>
      </c>
      <c r="N8" s="456">
        <f>SUM(B8:M8)</f>
        <v>2782.0000000000005</v>
      </c>
      <c r="R8" s="15"/>
    </row>
    <row r="9" spans="1:19" ht="17.5" x14ac:dyDescent="0.35">
      <c r="A9" s="14" t="s">
        <v>288</v>
      </c>
      <c r="B9" s="458">
        <f>+B6/B8</f>
        <v>1.1206760441110644</v>
      </c>
      <c r="C9" s="458">
        <f>+C6/C8</f>
        <v>0.97163070049765421</v>
      </c>
      <c r="D9" s="458">
        <f t="shared" ref="C9:M9" si="1">+D6/D8</f>
        <v>1.145987462426358</v>
      </c>
      <c r="E9" s="458">
        <f>+E6/E8</f>
        <v>1.0427654202066061</v>
      </c>
      <c r="F9" s="458">
        <f>+F6/F8</f>
        <v>0.92846027377990359</v>
      </c>
      <c r="G9" s="458">
        <f>+G6/G8</f>
        <v>1.0270542369028235</v>
      </c>
      <c r="H9" s="458">
        <f t="shared" si="1"/>
        <v>0.95636639854590832</v>
      </c>
      <c r="I9" s="458">
        <f>+I6/I8</f>
        <v>0</v>
      </c>
      <c r="J9" s="458">
        <f>+J6/J8</f>
        <v>0</v>
      </c>
      <c r="K9" s="458">
        <f>+K6/K8</f>
        <v>0</v>
      </c>
      <c r="L9" s="458">
        <f>+L6/L8</f>
        <v>0</v>
      </c>
      <c r="M9" s="458">
        <f t="shared" si="1"/>
        <v>0</v>
      </c>
      <c r="N9" s="785">
        <f>AVERAGEIF(B9:M9, "&lt;&gt;0")</f>
        <v>1.027562933781474</v>
      </c>
      <c r="O9" t="s">
        <v>287</v>
      </c>
    </row>
    <row r="10" spans="1:19" x14ac:dyDescent="0.35">
      <c r="B10" s="1065" t="s">
        <v>289</v>
      </c>
      <c r="C10" s="1065"/>
      <c r="D10" s="1065"/>
      <c r="E10" s="459"/>
      <c r="F10" s="459"/>
      <c r="G10" s="459"/>
      <c r="H10" s="459"/>
      <c r="I10" s="459">
        <f>I5*$N7</f>
        <v>231.64697343701039</v>
      </c>
      <c r="J10" s="459">
        <f t="shared" ref="H10:M10" si="2">J5*$N7</f>
        <v>213.27849096182894</v>
      </c>
      <c r="K10" s="459">
        <f t="shared" si="2"/>
        <v>225.52414594528324</v>
      </c>
      <c r="L10" s="459">
        <f t="shared" si="2"/>
        <v>232.66744468563158</v>
      </c>
      <c r="M10" s="459">
        <f>M5*$N7</f>
        <v>247.97451341494943</v>
      </c>
      <c r="N10" s="460">
        <f>SUM(B6:M6)+SUM(E10:M10)</f>
        <v>2801.0915684447036</v>
      </c>
      <c r="O10" s="1"/>
    </row>
    <row r="11" spans="1:19" ht="15.5" x14ac:dyDescent="0.35">
      <c r="A11" s="19"/>
      <c r="B11" s="1065" t="s">
        <v>290</v>
      </c>
      <c r="C11" s="1065"/>
      <c r="D11" s="1065"/>
      <c r="E11" s="461"/>
      <c r="F11" s="461"/>
      <c r="G11" s="461"/>
      <c r="H11" s="461"/>
      <c r="I11" s="461">
        <f>I8*$N9</f>
        <v>231.70402787769808</v>
      </c>
      <c r="J11" s="461">
        <f>J8*$N9</f>
        <v>232.16421462621386</v>
      </c>
      <c r="K11" s="461">
        <f t="shared" ref="H11:M11" si="3">K8*$N9</f>
        <v>243.20869659059272</v>
      </c>
      <c r="L11" s="461">
        <f t="shared" si="3"/>
        <v>243.66888333910853</v>
      </c>
      <c r="M11" s="461">
        <f t="shared" si="3"/>
        <v>257.70457916883998</v>
      </c>
      <c r="N11" s="460">
        <f>SUM(B6:M6)+SUM(E11:M11)</f>
        <v>2858.450401602453</v>
      </c>
      <c r="O11" s="1" t="s">
        <v>292</v>
      </c>
      <c r="P11" s="1"/>
    </row>
    <row r="12" spans="1:19" ht="15.5" x14ac:dyDescent="0.35">
      <c r="A12" s="462"/>
      <c r="B12" s="1065" t="s">
        <v>291</v>
      </c>
      <c r="C12" s="1065"/>
      <c r="D12" s="1065"/>
      <c r="E12" s="463"/>
      <c r="F12" s="463"/>
      <c r="G12" s="463"/>
      <c r="H12" s="463"/>
      <c r="I12" s="463">
        <f>$N6*COEFFICIENTS_SAISONNIERS_2026!J13</f>
        <v>229.26363719988959</v>
      </c>
      <c r="J12" s="463">
        <f>$N6*COEFFICIENTS_SAISONNIERS_2026!K13</f>
        <v>229.71897709502343</v>
      </c>
      <c r="K12" s="463">
        <f>$N6*COEFFICIENTS_SAISONNIERS_2026!L13</f>
        <v>240.64713457823567</v>
      </c>
      <c r="L12" s="463">
        <f>$N6*COEFFICIENTS_SAISONNIERS_2026!M13</f>
        <v>241.10247447336951</v>
      </c>
      <c r="M12" s="463">
        <f>$N6*COEFFICIENTS_SAISONNIERS_2026!N13</f>
        <v>254.99034127495167</v>
      </c>
      <c r="N12" s="460">
        <f>SUM(B6:M6)+SUM(E12:M12)</f>
        <v>2845.7225646214697</v>
      </c>
    </row>
    <row r="13" spans="1:19" ht="15.5" x14ac:dyDescent="0.35">
      <c r="A13" s="462"/>
      <c r="B13" s="462"/>
      <c r="G13" s="1"/>
      <c r="H13" s="1"/>
      <c r="J13" s="464"/>
      <c r="K13" s="464"/>
      <c r="L13" s="464"/>
      <c r="M13" s="464"/>
      <c r="N13" s="465"/>
    </row>
    <row r="14" spans="1:19" ht="15.5" x14ac:dyDescent="0.35">
      <c r="A14" s="1063" t="s">
        <v>293</v>
      </c>
      <c r="B14" s="1063"/>
      <c r="G14" s="1"/>
      <c r="H14" s="1"/>
      <c r="J14" s="464"/>
      <c r="K14" s="464"/>
      <c r="L14" s="464"/>
      <c r="M14" s="464"/>
      <c r="N14" s="465"/>
    </row>
    <row r="15" spans="1:19" x14ac:dyDescent="0.35">
      <c r="A15" s="17"/>
      <c r="N15" s="452"/>
    </row>
    <row r="16" spans="1:19" ht="17.5" x14ac:dyDescent="0.35">
      <c r="A16" s="17"/>
      <c r="B16" s="453" t="s">
        <v>280</v>
      </c>
      <c r="C16" s="453" t="s">
        <v>281</v>
      </c>
      <c r="D16" s="453" t="s">
        <v>2</v>
      </c>
      <c r="E16" s="453" t="s">
        <v>3</v>
      </c>
      <c r="F16" s="453" t="s">
        <v>4</v>
      </c>
      <c r="G16" s="453" t="s">
        <v>5</v>
      </c>
      <c r="H16" s="453" t="s">
        <v>282</v>
      </c>
      <c r="I16" s="453" t="s">
        <v>7</v>
      </c>
      <c r="J16" s="453" t="s">
        <v>283</v>
      </c>
      <c r="K16" s="453" t="s">
        <v>284</v>
      </c>
      <c r="L16" s="453" t="s">
        <v>285</v>
      </c>
      <c r="M16" s="453" t="s">
        <v>286</v>
      </c>
      <c r="N16" s="452"/>
      <c r="R16" s="466"/>
      <c r="S16" s="466"/>
    </row>
    <row r="17" spans="1:22" ht="17.5" x14ac:dyDescent="0.35">
      <c r="A17" s="454" t="s">
        <v>466</v>
      </c>
      <c r="B17" s="16">
        <f>'Trafic mens2025'!C73</f>
        <v>3615145.5114890225</v>
      </c>
      <c r="C17" s="16">
        <f>'Trafic mens2025'!D73</f>
        <v>3783743.1524409913</v>
      </c>
      <c r="D17" s="16">
        <f>'Trafic mens2025'!E73</f>
        <v>3803233.9166429983</v>
      </c>
      <c r="E17" s="16">
        <f>'Trafic mens2025'!F73</f>
        <v>3843718.9808730246</v>
      </c>
      <c r="F17" s="16">
        <f>'Trafic mens2025'!G73</f>
        <v>4162238.788202018</v>
      </c>
      <c r="G17" s="16">
        <f>'Trafic mens2025'!H73</f>
        <v>3625573.8188910265</v>
      </c>
      <c r="H17" s="16">
        <f>'Trafic mens2025'!I73</f>
        <v>4135296.1531300237</v>
      </c>
      <c r="I17" s="16">
        <f>'Trafic mens2025'!J73</f>
        <v>4273333.7455200031</v>
      </c>
      <c r="J17" s="16">
        <f>'Trafic mens2025'!K73</f>
        <v>3846162.0129199973</v>
      </c>
      <c r="K17" s="16">
        <f>'Trafic mens2025'!L73</f>
        <v>3786490.8477910752</v>
      </c>
      <c r="L17" s="16">
        <f>'Trafic mens2025'!M73</f>
        <v>3690333.3686800259</v>
      </c>
      <c r="M17" s="16">
        <f>'Trafic mens2025'!N73</f>
        <v>4370330.8141269982</v>
      </c>
      <c r="N17" s="456">
        <f>SUM(B17:M17)</f>
        <v>46935601.110707201</v>
      </c>
    </row>
    <row r="18" spans="1:22" ht="17.5" x14ac:dyDescent="0.35">
      <c r="A18" s="454" t="s">
        <v>495</v>
      </c>
      <c r="B18" s="16">
        <f>'Trafic mens2026'!C73</f>
        <v>4130728.8890399965</v>
      </c>
      <c r="C18" s="16">
        <f>'Trafic mens2026'!D73</f>
        <v>3878339.6047890079</v>
      </c>
      <c r="D18" s="16">
        <f>'Trafic mens2026'!E73</f>
        <v>4262772.5046399971</v>
      </c>
      <c r="E18" s="16">
        <f>'Trafic mens2026'!F73</f>
        <v>4259824.8781999927</v>
      </c>
      <c r="F18" s="764">
        <f>+'Trafic mens2026'!Y74</f>
        <v>3832711.4215000002</v>
      </c>
      <c r="G18" s="764">
        <f>+'Trafic mens2026'!Z74</f>
        <v>3542274</v>
      </c>
      <c r="H18" s="764">
        <f>+'Trafic mens2026'!AA74</f>
        <v>4113691</v>
      </c>
      <c r="I18" s="764">
        <f>+'Trafic mens2026'!AB74</f>
        <v>0</v>
      </c>
      <c r="J18" s="764">
        <f>+'Trafic mens2026'!AC74</f>
        <v>0</v>
      </c>
      <c r="K18" s="764">
        <f>+'Trafic mens2026'!AD74</f>
        <v>0</v>
      </c>
      <c r="L18" s="764">
        <f>+'Trafic mens2026'!AE74</f>
        <v>0</v>
      </c>
      <c r="M18" s="764">
        <f>+'Trafic mens2026'!AF74</f>
        <v>0</v>
      </c>
      <c r="N18" s="15">
        <f>AVERAGEIF(B18:M18, "&lt;&gt;0")</f>
        <v>4002906.0425955704</v>
      </c>
      <c r="O18" s="15" t="s">
        <v>287</v>
      </c>
    </row>
    <row r="19" spans="1:22" ht="17.5" x14ac:dyDescent="0.35">
      <c r="A19" s="454" t="s">
        <v>496</v>
      </c>
      <c r="B19" s="467">
        <f t="shared" ref="B19:M19" si="4">B18/B17</f>
        <v>1.1426176002908977</v>
      </c>
      <c r="C19" s="467">
        <f t="shared" si="4"/>
        <v>1.0250007594429316</v>
      </c>
      <c r="D19" s="467">
        <f t="shared" si="4"/>
        <v>1.1208283787084596</v>
      </c>
      <c r="E19" s="467">
        <f t="shared" si="4"/>
        <v>1.1082560664287839</v>
      </c>
      <c r="F19" s="467">
        <f t="shared" si="4"/>
        <v>0.92082929801238877</v>
      </c>
      <c r="G19" s="467">
        <f t="shared" si="4"/>
        <v>0.97702437653951679</v>
      </c>
      <c r="H19" s="467">
        <f t="shared" si="4"/>
        <v>0.99477542784603934</v>
      </c>
      <c r="I19" s="467">
        <f t="shared" si="4"/>
        <v>0</v>
      </c>
      <c r="J19" s="467">
        <f t="shared" si="4"/>
        <v>0</v>
      </c>
      <c r="K19" s="467">
        <f t="shared" si="4"/>
        <v>0</v>
      </c>
      <c r="L19" s="467">
        <f t="shared" si="4"/>
        <v>0</v>
      </c>
      <c r="M19" s="467">
        <f t="shared" si="4"/>
        <v>0</v>
      </c>
      <c r="N19" s="785">
        <f>AVERAGEIF(B19:M19, "&lt;&gt;0")</f>
        <v>1.0413331296098598</v>
      </c>
      <c r="O19" t="s">
        <v>287</v>
      </c>
    </row>
    <row r="20" spans="1:22" ht="17.5" x14ac:dyDescent="0.35">
      <c r="A20" s="454" t="s">
        <v>498</v>
      </c>
      <c r="B20" s="16">
        <f>COEFFICIENTS_SAISONNIERS_2026!C34</f>
        <v>3884471.7077749502</v>
      </c>
      <c r="C20" s="16">
        <f>COEFFICIENTS_SAISONNIERS_2026!D34</f>
        <v>3932456.3248746437</v>
      </c>
      <c r="D20" s="16">
        <f>COEFFICIENTS_SAISONNIERS_2026!E34</f>
        <v>4050445.0322871143</v>
      </c>
      <c r="E20" s="16">
        <f>COEFFICIENTS_SAISONNIERS_2026!F34</f>
        <v>4263577.3898151908</v>
      </c>
      <c r="F20" s="16">
        <f>COEFFICIENTS_SAISONNIERS_2026!G34</f>
        <v>4463003.4029692225</v>
      </c>
      <c r="G20" s="16">
        <f>COEFFICIENTS_SAISONNIERS_2026!H34</f>
        <v>3920762.0128533929</v>
      </c>
      <c r="H20" s="16">
        <f>COEFFICIENTS_SAISONNIERS_2026!I34</f>
        <v>4412909.2005197247</v>
      </c>
      <c r="I20" s="16">
        <f>COEFFICIENTS_SAISONNIERS_2026!J34</f>
        <v>4221437.4313752633</v>
      </c>
      <c r="J20" s="16">
        <f>COEFFICIENTS_SAISONNIERS_2026!K34</f>
        <v>4142923.5810817238</v>
      </c>
      <c r="K20" s="16">
        <f>COEFFICIENTS_SAISONNIERS_2026!L34</f>
        <v>4144032.3575352994</v>
      </c>
      <c r="L20" s="16">
        <f>COEFFICIENTS_SAISONNIERS_2026!M34</f>
        <v>4183551.6211201018</v>
      </c>
      <c r="M20" s="16">
        <f>COEFFICIENTS_SAISONNIERS_2026!N34</f>
        <v>4380429.9377933796</v>
      </c>
      <c r="N20" s="456">
        <f>SUM(B20:M20)</f>
        <v>50000000.000000015</v>
      </c>
    </row>
    <row r="21" spans="1:22" ht="17.5" x14ac:dyDescent="0.35">
      <c r="A21" s="14" t="s">
        <v>288</v>
      </c>
      <c r="B21" s="467">
        <f>B18/B20</f>
        <v>1.0633952824967552</v>
      </c>
      <c r="C21" s="467">
        <f t="shared" ref="C21:M21" si="5">C18/C20</f>
        <v>0.98623844345242384</v>
      </c>
      <c r="D21" s="467">
        <f t="shared" si="5"/>
        <v>1.0524207761518469</v>
      </c>
      <c r="E21" s="467">
        <f t="shared" si="5"/>
        <v>0.9991198678311406</v>
      </c>
      <c r="F21" s="467">
        <f t="shared" si="5"/>
        <v>0.858774030723371</v>
      </c>
      <c r="G21" s="467">
        <f t="shared" si="5"/>
        <v>0.90346570089880496</v>
      </c>
      <c r="H21" s="467">
        <f t="shared" si="5"/>
        <v>0.93219479782532466</v>
      </c>
      <c r="I21" s="467">
        <f t="shared" si="5"/>
        <v>0</v>
      </c>
      <c r="J21" s="467">
        <f t="shared" si="5"/>
        <v>0</v>
      </c>
      <c r="K21" s="467">
        <f t="shared" si="5"/>
        <v>0</v>
      </c>
      <c r="L21" s="467">
        <f t="shared" si="5"/>
        <v>0</v>
      </c>
      <c r="M21" s="467">
        <f t="shared" si="5"/>
        <v>0</v>
      </c>
      <c r="N21" s="785">
        <f>AVERAGEIF(B21:M21, "&lt;&gt;0")</f>
        <v>0.97080127133995242</v>
      </c>
      <c r="O21" t="s">
        <v>287</v>
      </c>
      <c r="P21" s="468" t="s">
        <v>294</v>
      </c>
      <c r="Q21" s="468" t="s">
        <v>295</v>
      </c>
      <c r="R21" s="468" t="s">
        <v>296</v>
      </c>
      <c r="S21" s="469" t="s">
        <v>297</v>
      </c>
    </row>
    <row r="22" spans="1:22" x14ac:dyDescent="0.35">
      <c r="B22" s="1065" t="s">
        <v>289</v>
      </c>
      <c r="C22" s="1065"/>
      <c r="D22" s="1066"/>
      <c r="E22" s="697"/>
      <c r="F22" s="697"/>
      <c r="G22" s="697"/>
      <c r="H22" s="697">
        <f>H17*$N19</f>
        <v>4306220.8850025013</v>
      </c>
      <c r="I22" s="697">
        <f t="shared" ref="H22:I22" si="6">I17*$N19</f>
        <v>4449964.0030897688</v>
      </c>
      <c r="J22" s="697">
        <f t="shared" ref="J22:M22" si="7">J17*$N19</f>
        <v>4005135.9259005389</v>
      </c>
      <c r="K22" s="697">
        <f t="shared" si="7"/>
        <v>3942998.3647693717</v>
      </c>
      <c r="L22" s="697">
        <f t="shared" si="7"/>
        <v>3842866.3961112681</v>
      </c>
      <c r="M22" s="697">
        <f t="shared" si="7"/>
        <v>4550970.2641052734</v>
      </c>
      <c r="N22" s="460">
        <f>SUM(B18:M18)+SUM(E22:M22)</f>
        <v>53118498.137147717</v>
      </c>
      <c r="P22" s="471">
        <f>SUM(Q22:S22)</f>
        <v>53118498.137147725</v>
      </c>
      <c r="Q22" s="472">
        <f>N46</f>
        <v>4779677.9911412504</v>
      </c>
      <c r="R22" s="472">
        <f>N58</f>
        <v>10855470.986031346</v>
      </c>
      <c r="S22" s="472">
        <f>N34</f>
        <v>37483349.159975126</v>
      </c>
      <c r="T22" s="1065" t="s">
        <v>289</v>
      </c>
      <c r="U22" s="1065"/>
      <c r="V22" s="1065"/>
    </row>
    <row r="23" spans="1:22" x14ac:dyDescent="0.35">
      <c r="B23" s="1065" t="s">
        <v>290</v>
      </c>
      <c r="C23" s="1065"/>
      <c r="D23" s="1066"/>
      <c r="E23" s="698"/>
      <c r="F23" s="698"/>
      <c r="G23" s="698"/>
      <c r="H23" s="698">
        <f>H20*$N21</f>
        <v>4284057.8621723214</v>
      </c>
      <c r="I23" s="698">
        <f t="shared" ref="H23:I23" si="8">I20*$N21</f>
        <v>4098176.8252611686</v>
      </c>
      <c r="J23" s="698">
        <f t="shared" ref="J23:M23" si="9">J20*$N21</f>
        <v>4021955.4795784061</v>
      </c>
      <c r="K23" s="698">
        <f t="shared" si="9"/>
        <v>4023031.8811691687</v>
      </c>
      <c r="L23" s="698">
        <f t="shared" si="9"/>
        <v>4061397.2324997135</v>
      </c>
      <c r="M23" s="698">
        <f t="shared" si="9"/>
        <v>4252526.9526254013</v>
      </c>
      <c r="N23" s="460">
        <f>SUM(B18:M18)+SUM(E23:M23)</f>
        <v>52761488.531475171</v>
      </c>
      <c r="O23" s="1" t="s">
        <v>292</v>
      </c>
      <c r="P23" s="472">
        <f>SUM(Q23:S23)</f>
        <v>52761488.531475179</v>
      </c>
      <c r="Q23" s="472">
        <f>N47</f>
        <v>4747553.759193779</v>
      </c>
      <c r="R23" s="472">
        <f>N59</f>
        <v>10782511.328811623</v>
      </c>
      <c r="S23" s="472">
        <f>N35</f>
        <v>37231423.443469778</v>
      </c>
      <c r="T23" s="1065" t="s">
        <v>290</v>
      </c>
      <c r="U23" s="1065"/>
      <c r="V23" s="1065"/>
    </row>
    <row r="24" spans="1:22" x14ac:dyDescent="0.35">
      <c r="B24" s="1065" t="s">
        <v>291</v>
      </c>
      <c r="C24" s="1065"/>
      <c r="D24" s="1066"/>
      <c r="E24" s="699"/>
      <c r="F24" s="699"/>
      <c r="G24" s="699"/>
      <c r="H24" s="699">
        <f>$N18*COEFFICIENTS_SAISONNIERS_2026!I33</f>
        <v>4239470.6170046385</v>
      </c>
      <c r="I24" s="699">
        <f>$N18*COEFFICIENTS_SAISONNIERS_2026!J33</f>
        <v>4055524.1765978797</v>
      </c>
      <c r="J24" s="699">
        <f>$N18*COEFFICIENTS_SAISONNIERS_2026!K33</f>
        <v>3980096.1208136911</v>
      </c>
      <c r="K24" s="699">
        <f>$N18*COEFFICIENTS_SAISONNIERS_2026!L33</f>
        <v>3981161.3195255082</v>
      </c>
      <c r="L24" s="699">
        <f>$N18*COEFFICIENTS_SAISONNIERS_2026!M33</f>
        <v>4019127.3752861158</v>
      </c>
      <c r="M24" s="699">
        <f>$N18*COEFFICIENTS_SAISONNIERS_2026!N33</f>
        <v>4208267.8721183175</v>
      </c>
      <c r="N24" s="460">
        <f>SUM(B18:M18)+SUM(E24:M24)</f>
        <v>52503989.779515147</v>
      </c>
      <c r="P24" s="473">
        <f>SUM(Q24:S24)</f>
        <v>52503989.779515147</v>
      </c>
      <c r="Q24" s="472">
        <f>N48</f>
        <v>4724383.655357033</v>
      </c>
      <c r="R24" s="472">
        <f>N60</f>
        <v>10729888.036947755</v>
      </c>
      <c r="S24" s="472">
        <f>N36</f>
        <v>37049718.087210357</v>
      </c>
      <c r="T24" s="1065" t="s">
        <v>291</v>
      </c>
      <c r="U24" s="1065"/>
      <c r="V24" s="1065"/>
    </row>
    <row r="25" spans="1:22" x14ac:dyDescent="0.35">
      <c r="C25" s="1"/>
      <c r="D25" s="1"/>
      <c r="E25" s="1"/>
      <c r="F25" s="1"/>
      <c r="G25" s="1"/>
      <c r="H25" s="1"/>
      <c r="I25" s="474"/>
      <c r="J25" s="474"/>
      <c r="K25" s="474"/>
      <c r="L25" s="474"/>
      <c r="M25" s="474"/>
      <c r="N25" s="470"/>
      <c r="O25" s="21"/>
      <c r="T25" s="21"/>
    </row>
    <row r="26" spans="1:22" ht="15.5" x14ac:dyDescent="0.35">
      <c r="A26" s="1063" t="s">
        <v>298</v>
      </c>
      <c r="B26" s="1063"/>
      <c r="L26" s="20"/>
      <c r="N26" s="452"/>
      <c r="O26" s="475"/>
      <c r="P26" s="475"/>
      <c r="Q26" s="475"/>
    </row>
    <row r="27" spans="1:22" x14ac:dyDescent="0.35">
      <c r="A27" s="17"/>
      <c r="N27" s="452"/>
    </row>
    <row r="28" spans="1:22" ht="17.5" x14ac:dyDescent="0.35">
      <c r="A28" s="17"/>
      <c r="B28" s="453" t="s">
        <v>280</v>
      </c>
      <c r="C28" s="453" t="s">
        <v>281</v>
      </c>
      <c r="D28" s="453" t="s">
        <v>2</v>
      </c>
      <c r="E28" s="453" t="s">
        <v>3</v>
      </c>
      <c r="F28" s="453" t="s">
        <v>4</v>
      </c>
      <c r="G28" s="453" t="s">
        <v>5</v>
      </c>
      <c r="H28" s="453" t="s">
        <v>282</v>
      </c>
      <c r="I28" s="453" t="s">
        <v>7</v>
      </c>
      <c r="J28" s="453" t="s">
        <v>283</v>
      </c>
      <c r="K28" s="453" t="s">
        <v>284</v>
      </c>
      <c r="L28" s="453" t="s">
        <v>285</v>
      </c>
      <c r="M28" s="453" t="s">
        <v>286</v>
      </c>
      <c r="N28" s="452"/>
    </row>
    <row r="29" spans="1:22" ht="17.5" x14ac:dyDescent="0.35">
      <c r="A29" s="454" t="s">
        <v>466</v>
      </c>
      <c r="B29" s="16">
        <f>'Trafic mens2025'!C718</f>
        <v>2475424.4026829973</v>
      </c>
      <c r="C29" s="16">
        <f>'Trafic mens2025'!D718</f>
        <v>2632090.5657510054</v>
      </c>
      <c r="D29" s="16">
        <f>'Trafic mens2025'!E718</f>
        <v>2741839.9575730031</v>
      </c>
      <c r="E29" s="16">
        <f>'Trafic mens2025'!F718</f>
        <v>2755337.149763016</v>
      </c>
      <c r="F29" s="16">
        <f>'Trafic mens2025'!G718</f>
        <v>2951913.497972013</v>
      </c>
      <c r="G29" s="16">
        <f>'Trafic mens2025'!H718</f>
        <v>2637505.8269609977</v>
      </c>
      <c r="H29" s="16">
        <f>'Trafic mens2025'!I718</f>
        <v>2991471.2144300062</v>
      </c>
      <c r="I29" s="16">
        <f>'Trafic mens2025'!J718</f>
        <v>3244153.4035200151</v>
      </c>
      <c r="J29" s="16">
        <f>'Trafic mens2025'!K718</f>
        <v>3026633.0098300236</v>
      </c>
      <c r="K29" s="16">
        <f>'Trafic mens2025'!L718</f>
        <v>2885178.8980809953</v>
      </c>
      <c r="L29" s="16">
        <f>'Trafic mens2025'!M718</f>
        <v>2892558.7511800099</v>
      </c>
      <c r="M29" s="16">
        <f>'Trafic mens2025'!N718</f>
        <v>3241081.2895270316</v>
      </c>
      <c r="N29" s="456">
        <f>SUM(B29:M29)</f>
        <v>34475187.967271112</v>
      </c>
      <c r="R29" s="15"/>
    </row>
    <row r="30" spans="1:22" ht="17.5" x14ac:dyDescent="0.35">
      <c r="A30" s="454" t="s">
        <v>495</v>
      </c>
      <c r="B30" s="16">
        <f>'Trafic mens2026'!C1069</f>
        <v>3010311.0937760016</v>
      </c>
      <c r="C30" s="16">
        <f>'Trafic mens2026'!D1069</f>
        <v>2680517.4502289989</v>
      </c>
      <c r="D30" s="16">
        <f>'Trafic mens2026'!E1069</f>
        <v>2982124.4346400006</v>
      </c>
      <c r="E30" s="16">
        <f>'Trafic mens2026'!F1069</f>
        <v>2992704.4849999971</v>
      </c>
      <c r="F30" s="764">
        <f>+'Trafic mens2026'!Y1069</f>
        <v>2704573.0862078038</v>
      </c>
      <c r="G30" s="764">
        <f>+'Trafic mens2026'!Z1069</f>
        <v>2499624.3835713114</v>
      </c>
      <c r="H30" s="764">
        <f>+'Trafic mens2026'!AA1069</f>
        <v>2902847.8119077892</v>
      </c>
      <c r="I30" s="764">
        <f>+'Trafic mens2026'!AB1069</f>
        <v>0</v>
      </c>
      <c r="J30" s="764">
        <f>+'Trafic mens2026'!AC1069</f>
        <v>0</v>
      </c>
      <c r="K30" s="764">
        <f>+'Trafic mens2026'!AD1069</f>
        <v>0</v>
      </c>
      <c r="L30" s="764">
        <f>+'Trafic mens2026'!AE1069</f>
        <v>0</v>
      </c>
      <c r="M30" s="764">
        <f>+'Trafic mens2026'!AF1069</f>
        <v>0</v>
      </c>
      <c r="N30" s="15">
        <f>AVERAGEIF(B30:M30, "&lt;&gt;0")</f>
        <v>2824671.8207617002</v>
      </c>
      <c r="O30" s="15" t="s">
        <v>287</v>
      </c>
      <c r="P30" s="15"/>
      <c r="R30" s="15"/>
    </row>
    <row r="31" spans="1:22" ht="17.5" x14ac:dyDescent="0.35">
      <c r="A31" s="454" t="s">
        <v>496</v>
      </c>
      <c r="B31" s="467">
        <f t="shared" ref="B31:M31" si="10">B30/B29</f>
        <v>1.2160787824961512</v>
      </c>
      <c r="C31" s="467">
        <f t="shared" si="10"/>
        <v>1.01839863913048</v>
      </c>
      <c r="D31" s="467">
        <f t="shared" si="10"/>
        <v>1.0876362153827863</v>
      </c>
      <c r="E31" s="467">
        <f t="shared" si="10"/>
        <v>1.0861481997792528</v>
      </c>
      <c r="F31" s="467">
        <f t="shared" si="10"/>
        <v>0.91621014235880083</v>
      </c>
      <c r="G31" s="467">
        <f t="shared" si="10"/>
        <v>0.94772279098675705</v>
      </c>
      <c r="H31" s="467">
        <f t="shared" si="10"/>
        <v>0.97037464305365106</v>
      </c>
      <c r="I31" s="467">
        <f t="shared" si="10"/>
        <v>0</v>
      </c>
      <c r="J31" s="467">
        <f t="shared" si="10"/>
        <v>0</v>
      </c>
      <c r="K31" s="467">
        <f t="shared" si="10"/>
        <v>0</v>
      </c>
      <c r="L31" s="467">
        <f t="shared" si="10"/>
        <v>0</v>
      </c>
      <c r="M31" s="467">
        <f t="shared" si="10"/>
        <v>0</v>
      </c>
      <c r="N31" s="785">
        <f>AVERAGEIF(B31:M31, "&lt;&gt;0")</f>
        <v>1.0346527733125541</v>
      </c>
      <c r="O31" t="s">
        <v>287</v>
      </c>
      <c r="P31" s="21"/>
    </row>
    <row r="32" spans="1:22" ht="17.5" x14ac:dyDescent="0.35">
      <c r="A32" s="454" t="s">
        <v>498</v>
      </c>
      <c r="B32" s="16">
        <f>COEFFICIENTS_SAISONNIERS_2026!C114</f>
        <v>2978791.1907356819</v>
      </c>
      <c r="C32" s="16">
        <f>COEFFICIENTS_SAISONNIERS_2026!D114</f>
        <v>3018943.6475385092</v>
      </c>
      <c r="D32" s="16">
        <f>COEFFICIENTS_SAISONNIERS_2026!E114</f>
        <v>3133339.8017776562</v>
      </c>
      <c r="E32" s="16">
        <f>COEFFICIENTS_SAISONNIERS_2026!F114</f>
        <v>3288582.476085796</v>
      </c>
      <c r="F32" s="16">
        <f>COEFFICIENTS_SAISONNIERS_2026!G114</f>
        <v>3356973.9810234741</v>
      </c>
      <c r="G32" s="16">
        <f>COEFFICIENTS_SAISONNIERS_2026!H114</f>
        <v>3033198.8723292821</v>
      </c>
      <c r="H32" s="16">
        <f>COEFFICIENTS_SAISONNIERS_2026!I114</f>
        <v>3340623.6656046966</v>
      </c>
      <c r="I32" s="16">
        <f>COEFFICIENTS_SAISONNIERS_2026!J114</f>
        <v>3151049.009409898</v>
      </c>
      <c r="J32" s="16">
        <f>COEFFICIENTS_SAISONNIERS_2026!K114</f>
        <v>3129504.799974761</v>
      </c>
      <c r="K32" s="16">
        <f>COEFFICIENTS_SAISONNIERS_2026!L114</f>
        <v>3104477.333651986</v>
      </c>
      <c r="L32" s="16">
        <f>COEFFICIENTS_SAISONNIERS_2026!M114</f>
        <v>3178105.8220932358</v>
      </c>
      <c r="M32" s="16">
        <f>COEFFICIENTS_SAISONNIERS_2026!N114</f>
        <v>3286409.3997750175</v>
      </c>
      <c r="N32" s="456">
        <f>SUM(B32:M32)</f>
        <v>37999999.999999993</v>
      </c>
      <c r="Q32" s="476"/>
      <c r="R32" s="15"/>
    </row>
    <row r="33" spans="1:19" ht="17.5" x14ac:dyDescent="0.35">
      <c r="A33" s="14" t="s">
        <v>288</v>
      </c>
      <c r="B33" s="467">
        <f t="shared" ref="B33:M33" si="11">B30/B32</f>
        <v>1.0105814409342788</v>
      </c>
      <c r="C33" s="467">
        <f t="shared" si="11"/>
        <v>0.88789913399495035</v>
      </c>
      <c r="D33" s="467">
        <f t="shared" si="11"/>
        <v>0.95173987607349009</v>
      </c>
      <c r="E33" s="467">
        <f t="shared" si="11"/>
        <v>0.91002871503531058</v>
      </c>
      <c r="F33" s="467">
        <f t="shared" si="11"/>
        <v>0.80565804248004136</v>
      </c>
      <c r="G33" s="467">
        <f t="shared" si="11"/>
        <v>0.82408852461816218</v>
      </c>
      <c r="H33" s="467">
        <f t="shared" si="11"/>
        <v>0.86895385487318455</v>
      </c>
      <c r="I33" s="467">
        <f t="shared" si="11"/>
        <v>0</v>
      </c>
      <c r="J33" s="467">
        <f t="shared" si="11"/>
        <v>0</v>
      </c>
      <c r="K33" s="467">
        <f t="shared" si="11"/>
        <v>0</v>
      </c>
      <c r="L33" s="467">
        <f t="shared" si="11"/>
        <v>0</v>
      </c>
      <c r="M33" s="467">
        <f t="shared" si="11"/>
        <v>0</v>
      </c>
      <c r="N33" s="785">
        <f>AVERAGEIF(B33:M33, "&lt;&gt;0")</f>
        <v>0.89413565542991691</v>
      </c>
      <c r="O33" t="s">
        <v>287</v>
      </c>
      <c r="P33" s="477"/>
    </row>
    <row r="34" spans="1:19" x14ac:dyDescent="0.35">
      <c r="B34" s="1065" t="s">
        <v>289</v>
      </c>
      <c r="C34" s="1065"/>
      <c r="D34" s="1066"/>
      <c r="E34" s="697">
        <f>E22*'Trafic mens2026'!$P$1069</f>
        <v>0</v>
      </c>
      <c r="F34" s="697">
        <f>F22*'Trafic mens2026'!$P$1069</f>
        <v>0</v>
      </c>
      <c r="G34" s="697">
        <f>G22*'Trafic mens2026'!$P$1069</f>
        <v>0</v>
      </c>
      <c r="H34" s="697">
        <f>H22*'Trafic mens2026'!$P$1069</f>
        <v>3038707.543571244</v>
      </c>
      <c r="I34" s="697">
        <f>I22*'Trafic mens2026'!$P$1069</f>
        <v>3140140.6351224631</v>
      </c>
      <c r="J34" s="697">
        <f>J22*'Trafic mens2026'!$P$1069</f>
        <v>2826245.3497099457</v>
      </c>
      <c r="K34" s="697">
        <f>K22*'Trafic mens2026'!$P$1069</f>
        <v>2782397.6510454384</v>
      </c>
      <c r="L34" s="697">
        <f>L22*'Trafic mens2026'!$P$1069</f>
        <v>2711738.9977530069</v>
      </c>
      <c r="M34" s="697">
        <f>M22*'Trafic mens2026'!$P$1069</f>
        <v>3211416.2374411216</v>
      </c>
      <c r="N34" s="460">
        <f>SUM(B30:M30)+SUM(E34:M34)</f>
        <v>37483349.159975126</v>
      </c>
    </row>
    <row r="35" spans="1:19" x14ac:dyDescent="0.35">
      <c r="B35" s="1065" t="s">
        <v>290</v>
      </c>
      <c r="C35" s="1065"/>
      <c r="D35" s="1066"/>
      <c r="E35" s="698">
        <f>E23*'Trafic mens2026'!$P$1069</f>
        <v>0</v>
      </c>
      <c r="F35" s="698">
        <f>F23*'Trafic mens2026'!$P$1069</f>
        <v>0</v>
      </c>
      <c r="G35" s="698">
        <f>G23*'Trafic mens2026'!$P$1069</f>
        <v>0</v>
      </c>
      <c r="H35" s="698">
        <f>H23*'Trafic mens2026'!$P$1069</f>
        <v>3023068.0892884964</v>
      </c>
      <c r="I35" s="698">
        <f>I23*'Trafic mens2026'!$P$1069</f>
        <v>2891900.1524471799</v>
      </c>
      <c r="J35" s="698">
        <f>J23*'Trafic mens2026'!$P$1069</f>
        <v>2838114.1567231761</v>
      </c>
      <c r="K35" s="698">
        <f>K23*'Trafic mens2026'!$P$1069</f>
        <v>2838873.7251989022</v>
      </c>
      <c r="L35" s="698">
        <f>L23*'Trafic mens2026'!$P$1069</f>
        <v>2865946.4382838048</v>
      </c>
      <c r="M35" s="698">
        <f>M23*'Trafic mens2026'!$P$1069</f>
        <v>3000818.1361963125</v>
      </c>
      <c r="N35" s="460">
        <f>SUM(B30:M30)+SUM(E35:M35)</f>
        <v>37231423.443469778</v>
      </c>
      <c r="O35" s="1" t="s">
        <v>292</v>
      </c>
      <c r="P35" s="1"/>
    </row>
    <row r="36" spans="1:19" x14ac:dyDescent="0.35">
      <c r="B36" s="1065" t="s">
        <v>291</v>
      </c>
      <c r="C36" s="1065"/>
      <c r="D36" s="1066"/>
      <c r="E36" s="699">
        <f>E24*'Trafic mens2026'!$P$1069</f>
        <v>0</v>
      </c>
      <c r="F36" s="699">
        <f>F24*'Trafic mens2026'!$P$1069</f>
        <v>0</v>
      </c>
      <c r="G36" s="699">
        <f>G24*'Trafic mens2026'!$P$1069</f>
        <v>0</v>
      </c>
      <c r="H36" s="699">
        <f>H24*'Trafic mens2026'!$P$1069</f>
        <v>2991604.8639091463</v>
      </c>
      <c r="I36" s="699">
        <f>I24*'Trafic mens2026'!$P$1069</f>
        <v>2861802.0853234464</v>
      </c>
      <c r="J36" s="699">
        <f>J24*'Trafic mens2026'!$P$1069</f>
        <v>2808575.8788121669</v>
      </c>
      <c r="K36" s="699">
        <f>K24*'Trafic mens2026'!$P$1069</f>
        <v>2809327.5419171122</v>
      </c>
      <c r="L36" s="699">
        <f>L24*'Trafic mens2026'!$P$1069</f>
        <v>2836118.4899711711</v>
      </c>
      <c r="M36" s="699">
        <f>M24*'Trafic mens2026'!$P$1069</f>
        <v>2969586.4819454122</v>
      </c>
      <c r="N36" s="460">
        <f>SUM(B30:M30)+SUM(E36:M36)</f>
        <v>37049718.087210357</v>
      </c>
    </row>
    <row r="37" spans="1:19" x14ac:dyDescent="0.35">
      <c r="B37" s="478"/>
      <c r="C37" s="478"/>
      <c r="D37" s="478"/>
      <c r="E37" s="478"/>
      <c r="F37" s="478"/>
      <c r="G37" s="478"/>
      <c r="H37" s="478"/>
      <c r="I37" s="478"/>
      <c r="J37" s="478"/>
      <c r="K37" s="478"/>
      <c r="L37" s="478"/>
      <c r="M37" s="478"/>
      <c r="N37" s="478"/>
    </row>
    <row r="38" spans="1:19" ht="15.5" x14ac:dyDescent="0.35">
      <c r="A38" s="1063" t="s">
        <v>299</v>
      </c>
      <c r="B38" s="1063"/>
      <c r="G38" s="479"/>
      <c r="H38" s="479"/>
      <c r="N38" s="452"/>
      <c r="P38" s="15"/>
      <c r="R38" s="15"/>
    </row>
    <row r="39" spans="1:19" x14ac:dyDescent="0.35">
      <c r="A39" s="17"/>
      <c r="N39" s="452"/>
    </row>
    <row r="40" spans="1:19" ht="17.5" x14ac:dyDescent="0.35">
      <c r="A40" s="17"/>
      <c r="B40" s="453" t="s">
        <v>280</v>
      </c>
      <c r="C40" s="453" t="s">
        <v>281</v>
      </c>
      <c r="D40" s="453" t="s">
        <v>2</v>
      </c>
      <c r="E40" s="453" t="s">
        <v>3</v>
      </c>
      <c r="F40" s="453" t="s">
        <v>4</v>
      </c>
      <c r="G40" s="453" t="s">
        <v>5</v>
      </c>
      <c r="H40" s="453" t="s">
        <v>282</v>
      </c>
      <c r="I40" s="453" t="s">
        <v>7</v>
      </c>
      <c r="J40" s="453" t="s">
        <v>283</v>
      </c>
      <c r="K40" s="453" t="s">
        <v>284</v>
      </c>
      <c r="L40" s="453" t="s">
        <v>285</v>
      </c>
      <c r="M40" s="453" t="s">
        <v>286</v>
      </c>
      <c r="N40" s="452"/>
      <c r="R40" s="15"/>
    </row>
    <row r="41" spans="1:19" ht="17.5" x14ac:dyDescent="0.35">
      <c r="A41" s="454" t="s">
        <v>466</v>
      </c>
      <c r="B41" s="16">
        <f>'Trafic mens2025'!C763</f>
        <v>314537.39943200024</v>
      </c>
      <c r="C41" s="16">
        <f>'Trafic mens2025'!D763</f>
        <v>286803.71013999917</v>
      </c>
      <c r="D41" s="16">
        <f>'Trafic mens2025'!E763</f>
        <v>176694.61211999974</v>
      </c>
      <c r="E41" s="16">
        <f>'Trafic mens2025'!F763</f>
        <v>414105.37216000049</v>
      </c>
      <c r="F41" s="16">
        <f>'Trafic mens2025'!G763</f>
        <v>339987.50987000088</v>
      </c>
      <c r="G41" s="16">
        <f>'Trafic mens2025'!H763</f>
        <v>328865.23131</v>
      </c>
      <c r="H41" s="16">
        <f>'Trafic mens2025'!I763</f>
        <v>422541.95876000123</v>
      </c>
      <c r="I41" s="16">
        <f>'Trafic mens2025'!J763</f>
        <v>347369.04200000188</v>
      </c>
      <c r="J41" s="16">
        <f>'Trafic mens2025'!K763</f>
        <v>290454.92700000072</v>
      </c>
      <c r="K41" s="16">
        <f>'Trafic mens2025'!L763</f>
        <v>432276.76071000029</v>
      </c>
      <c r="L41" s="16">
        <f>'Trafic mens2025'!M763</f>
        <v>213045.35349999971</v>
      </c>
      <c r="M41" s="16">
        <f>'Trafic mens2025'!N763</f>
        <v>372025.63860000024</v>
      </c>
      <c r="N41" s="456">
        <f>SUM(B41:M41)</f>
        <v>3938707.5156020042</v>
      </c>
    </row>
    <row r="42" spans="1:19" ht="17.5" x14ac:dyDescent="0.35">
      <c r="A42" s="454" t="s">
        <v>495</v>
      </c>
      <c r="B42" s="16">
        <f>'Trafic mens2026'!C1077</f>
        <v>328973.75726400001</v>
      </c>
      <c r="C42" s="16">
        <f>'Trafic mens2026'!D1077</f>
        <v>401703.40655999933</v>
      </c>
      <c r="D42" s="16">
        <f>'Trafic mens2026'!E1077</f>
        <v>401523.5660000004</v>
      </c>
      <c r="E42" s="16">
        <f>'Trafic mens2026'!F1077</f>
        <v>355342.07200000004</v>
      </c>
      <c r="F42" s="764">
        <f>+'Trafic mens2026'!Y1077</f>
        <v>344872.82340778399</v>
      </c>
      <c r="G42" s="764">
        <f>+'Trafic mens2026'!Z1077</f>
        <v>318738.85125060531</v>
      </c>
      <c r="H42" s="764">
        <f>+'Trafic mens2026'!AA1077</f>
        <v>370155.76540379255</v>
      </c>
      <c r="I42" s="764">
        <f>+'Trafic mens2026'!AB1077</f>
        <v>0</v>
      </c>
      <c r="J42" s="764">
        <f>+'Trafic mens2026'!AC1077</f>
        <v>0</v>
      </c>
      <c r="K42" s="764">
        <f>+'Trafic mens2026'!AD1077</f>
        <v>0</v>
      </c>
      <c r="L42" s="764">
        <f>+'Trafic mens2026'!AE1077</f>
        <v>0</v>
      </c>
      <c r="M42" s="764">
        <f>+'Trafic mens2026'!AF1077</f>
        <v>0</v>
      </c>
      <c r="N42" s="15">
        <f>AVERAGEIF(B42:M42, "&lt;&gt;0")</f>
        <v>360187.17741231166</v>
      </c>
      <c r="O42" s="15" t="s">
        <v>287</v>
      </c>
      <c r="Q42" s="21"/>
      <c r="R42" s="470"/>
      <c r="S42" s="470"/>
    </row>
    <row r="43" spans="1:19" ht="17.5" x14ac:dyDescent="0.35">
      <c r="A43" s="454" t="s">
        <v>496</v>
      </c>
      <c r="B43" s="467">
        <f t="shared" ref="B43:M43" si="12">B42/B41</f>
        <v>1.0458971106713202</v>
      </c>
      <c r="C43" s="467">
        <f t="shared" si="12"/>
        <v>1.4006213739840168</v>
      </c>
      <c r="D43" s="467">
        <f t="shared" si="12"/>
        <v>2.2724154470953031</v>
      </c>
      <c r="E43" s="467">
        <f t="shared" si="12"/>
        <v>0.85809577921318125</v>
      </c>
      <c r="F43" s="467">
        <f t="shared" si="12"/>
        <v>1.0143690970872756</v>
      </c>
      <c r="G43" s="467">
        <f t="shared" si="12"/>
        <v>0.96920811598399348</v>
      </c>
      <c r="H43" s="467">
        <f t="shared" si="12"/>
        <v>0.87602132221391205</v>
      </c>
      <c r="I43" s="467">
        <f t="shared" si="12"/>
        <v>0</v>
      </c>
      <c r="J43" s="467">
        <f t="shared" si="12"/>
        <v>0</v>
      </c>
      <c r="K43" s="467">
        <f t="shared" si="12"/>
        <v>0</v>
      </c>
      <c r="L43" s="467">
        <f t="shared" si="12"/>
        <v>0</v>
      </c>
      <c r="M43" s="467">
        <f t="shared" si="12"/>
        <v>0</v>
      </c>
      <c r="N43" s="785">
        <f>AVERAGEIF(B43:M43, "&lt;&gt;0")</f>
        <v>1.2052326066070003</v>
      </c>
      <c r="O43" t="s">
        <v>287</v>
      </c>
      <c r="Q43" s="21"/>
      <c r="R43" s="470"/>
    </row>
    <row r="44" spans="1:19" ht="17.5" x14ac:dyDescent="0.35">
      <c r="A44" s="454" t="s">
        <v>498</v>
      </c>
      <c r="B44" s="16">
        <f>COEFFICIENTS_SAISONNIERS_2026!C154</f>
        <v>333625.40043864481</v>
      </c>
      <c r="C44" s="16">
        <f>COEFFICIENTS_SAISONNIERS_2026!D154</f>
        <v>314922.52538067172</v>
      </c>
      <c r="D44" s="16">
        <f>COEFFICIENTS_SAISONNIERS_2026!E154</f>
        <v>322336.87617387366</v>
      </c>
      <c r="E44" s="16">
        <f>COEFFICIENTS_SAISONNIERS_2026!F154</f>
        <v>354146.32303620182</v>
      </c>
      <c r="F44" s="16">
        <f>COEFFICIENTS_SAISONNIERS_2026!G154</f>
        <v>385727.2104728854</v>
      </c>
      <c r="G44" s="16">
        <f>COEFFICIENTS_SAISONNIERS_2026!H154</f>
        <v>264748.60503208591</v>
      </c>
      <c r="H44" s="16">
        <f>COEFFICIENTS_SAISONNIERS_2026!I154</f>
        <v>347008.37454207649</v>
      </c>
      <c r="I44" s="16">
        <f>COEFFICIENTS_SAISONNIERS_2026!J154</f>
        <v>331416.54671903129</v>
      </c>
      <c r="J44" s="16">
        <f>COEFFICIENTS_SAISONNIERS_2026!K154</f>
        <v>347899.38743991789</v>
      </c>
      <c r="K44" s="16">
        <f>COEFFICIENTS_SAISONNIERS_2026!L154</f>
        <v>343794.88535140053</v>
      </c>
      <c r="L44" s="16">
        <f>COEFFICIENTS_SAISONNIERS_2026!M154</f>
        <v>316897.77761033078</v>
      </c>
      <c r="M44" s="16">
        <f>COEFFICIENTS_SAISONNIERS_2026!N154</f>
        <v>337476.08780287922</v>
      </c>
      <c r="N44" s="456">
        <f>SUM(B44:M44)</f>
        <v>3999999.9999999995</v>
      </c>
      <c r="P44" s="21"/>
      <c r="Q44" s="21"/>
      <c r="R44" s="470"/>
    </row>
    <row r="45" spans="1:19" ht="17.5" x14ac:dyDescent="0.35">
      <c r="A45" s="14" t="s">
        <v>288</v>
      </c>
      <c r="B45" s="467">
        <f t="shared" ref="B45:M45" si="13">B42/B44</f>
        <v>0.98605728709945673</v>
      </c>
      <c r="C45" s="467">
        <f t="shared" si="13"/>
        <v>1.2755626358401284</v>
      </c>
      <c r="D45" s="467">
        <f t="shared" si="13"/>
        <v>1.2456643830704996</v>
      </c>
      <c r="E45" s="467">
        <f t="shared" si="13"/>
        <v>1.0033764263131315</v>
      </c>
      <c r="F45" s="467">
        <f t="shared" si="13"/>
        <v>0.89408476779479562</v>
      </c>
      <c r="G45" s="467">
        <f t="shared" si="13"/>
        <v>1.2039302386955961</v>
      </c>
      <c r="H45" s="467">
        <f>H42/H44</f>
        <v>1.066705568395178</v>
      </c>
      <c r="I45" s="467">
        <f t="shared" si="13"/>
        <v>0</v>
      </c>
      <c r="J45" s="467">
        <f t="shared" si="13"/>
        <v>0</v>
      </c>
      <c r="K45" s="467">
        <f t="shared" si="13"/>
        <v>0</v>
      </c>
      <c r="L45" s="467">
        <f t="shared" si="13"/>
        <v>0</v>
      </c>
      <c r="M45" s="467">
        <f t="shared" si="13"/>
        <v>0</v>
      </c>
      <c r="N45" s="785">
        <f>AVERAGEIF(B45:M45, "&lt;&gt;0")</f>
        <v>1.0964830438869695</v>
      </c>
      <c r="O45" t="s">
        <v>287</v>
      </c>
    </row>
    <row r="46" spans="1:19" x14ac:dyDescent="0.35">
      <c r="B46" s="1065" t="s">
        <v>289</v>
      </c>
      <c r="C46" s="1065"/>
      <c r="D46" s="1066"/>
      <c r="E46" s="697">
        <f>E22*'Trafic mens2026'!$P$1077</f>
        <v>0</v>
      </c>
      <c r="F46" s="697">
        <f>F22*'Trafic mens2026'!$P$1077</f>
        <v>0</v>
      </c>
      <c r="G46" s="697">
        <f>G22*'Trafic mens2026'!$P$1077</f>
        <v>0</v>
      </c>
      <c r="H46" s="697">
        <f>H22*'Trafic mens2026'!$P$1077</f>
        <v>387479.878212996</v>
      </c>
      <c r="I46" s="697">
        <f>I22*'Trafic mens2026'!$P$1077</f>
        <v>400414.08836565947</v>
      </c>
      <c r="J46" s="697">
        <f>J22*'Trafic mens2026'!$P$1077</f>
        <v>360387.8254827456</v>
      </c>
      <c r="K46" s="697">
        <f>K22*'Trafic mens2026'!$P$1077</f>
        <v>354796.5993792701</v>
      </c>
      <c r="L46" s="697">
        <f>L22*'Trafic mens2026'!$P$1077</f>
        <v>345786.58246258169</v>
      </c>
      <c r="M46" s="697">
        <f>M22*'Trafic mens2026'!$P$1077</f>
        <v>409502.77535181603</v>
      </c>
      <c r="N46" s="460">
        <f>SUM(B42:M42)+SUM(E46:M46)</f>
        <v>4779677.9911412504</v>
      </c>
    </row>
    <row r="47" spans="1:19" x14ac:dyDescent="0.35">
      <c r="B47" s="1065" t="s">
        <v>290</v>
      </c>
      <c r="C47" s="1065"/>
      <c r="D47" s="1066"/>
      <c r="E47" s="698">
        <f>E23*'Trafic mens2026'!$P$1077</f>
        <v>0</v>
      </c>
      <c r="F47" s="698">
        <f>F23*'Trafic mens2026'!$P$1077</f>
        <v>0</v>
      </c>
      <c r="G47" s="698">
        <f>G23*'Trafic mens2026'!$P$1077</f>
        <v>0</v>
      </c>
      <c r="H47" s="698">
        <f>H23*'Trafic mens2026'!$P$1077</f>
        <v>385485.61790531443</v>
      </c>
      <c r="I47" s="698">
        <f>I23*'Trafic mens2026'!$P$1077</f>
        <v>368759.77790131356</v>
      </c>
      <c r="J47" s="698">
        <f>J23*'Trafic mens2026'!$P$1077</f>
        <v>361901.27283826674</v>
      </c>
      <c r="K47" s="698">
        <f>K23*'Trafic mens2026'!$P$1077</f>
        <v>361998.12898393022</v>
      </c>
      <c r="L47" s="698">
        <f>L23*'Trafic mens2026'!$P$1077</f>
        <v>365450.29784803384</v>
      </c>
      <c r="M47" s="698">
        <f>M23*'Trafic mens2026'!$P$1077</f>
        <v>382648.4218307386</v>
      </c>
      <c r="N47" s="460">
        <f>SUM(B42:M42)+SUM(E47:M47)</f>
        <v>4747553.759193779</v>
      </c>
      <c r="O47" s="1" t="s">
        <v>292</v>
      </c>
    </row>
    <row r="48" spans="1:19" x14ac:dyDescent="0.35">
      <c r="B48" s="1065" t="s">
        <v>291</v>
      </c>
      <c r="C48" s="1065"/>
      <c r="D48" s="1066"/>
      <c r="E48" s="699">
        <f>E24*'Trafic mens2026'!$P$1077</f>
        <v>0</v>
      </c>
      <c r="F48" s="699">
        <f>F24*'Trafic mens2026'!$P$1077</f>
        <v>0</v>
      </c>
      <c r="G48" s="699">
        <f>G24*'Trafic mens2026'!$P$1077</f>
        <v>0</v>
      </c>
      <c r="H48" s="699">
        <f>H24*'Trafic mens2026'!$P$1077</f>
        <v>381473.59418688487</v>
      </c>
      <c r="I48" s="699">
        <f>I24*'Trafic mens2026'!$P$1077</f>
        <v>364921.8319271364</v>
      </c>
      <c r="J48" s="699">
        <f>J24*'Trafic mens2026'!$P$1077</f>
        <v>358134.70821713575</v>
      </c>
      <c r="K48" s="699">
        <f>K24*'Trafic mens2026'!$P$1077</f>
        <v>358230.55631182244</v>
      </c>
      <c r="L48" s="699">
        <f>L24*'Trafic mens2026'!$P$1077</f>
        <v>361646.79599278799</v>
      </c>
      <c r="M48" s="699">
        <f>M24*'Trafic mens2026'!$P$1077</f>
        <v>378665.92683508439</v>
      </c>
      <c r="N48" s="460">
        <f>SUM(B42:M42)+SUM(E48:M48)</f>
        <v>4724383.655357033</v>
      </c>
    </row>
    <row r="49" spans="1:18" x14ac:dyDescent="0.35">
      <c r="G49" s="1"/>
      <c r="H49" s="1"/>
      <c r="J49" s="464"/>
      <c r="K49" s="464"/>
      <c r="L49" s="464"/>
      <c r="M49" s="464"/>
      <c r="N49" s="470"/>
      <c r="R49" s="15"/>
    </row>
    <row r="50" spans="1:18" ht="15.5" x14ac:dyDescent="0.35">
      <c r="A50" s="19" t="s">
        <v>300</v>
      </c>
      <c r="B50" s="19"/>
      <c r="N50" s="452"/>
    </row>
    <row r="51" spans="1:18" x14ac:dyDescent="0.35">
      <c r="A51" s="17"/>
      <c r="N51" s="452"/>
    </row>
    <row r="52" spans="1:18" ht="17.5" x14ac:dyDescent="0.35">
      <c r="A52" s="17"/>
      <c r="B52" s="453" t="s">
        <v>280</v>
      </c>
      <c r="C52" s="453" t="s">
        <v>281</v>
      </c>
      <c r="D52" s="453" t="s">
        <v>2</v>
      </c>
      <c r="E52" s="453" t="s">
        <v>3</v>
      </c>
      <c r="F52" s="453" t="s">
        <v>4</v>
      </c>
      <c r="G52" s="453" t="s">
        <v>5</v>
      </c>
      <c r="H52" s="453" t="s">
        <v>282</v>
      </c>
      <c r="I52" s="453" t="s">
        <v>7</v>
      </c>
      <c r="J52" s="453" t="s">
        <v>283</v>
      </c>
      <c r="K52" s="453" t="s">
        <v>284</v>
      </c>
      <c r="L52" s="453" t="s">
        <v>285</v>
      </c>
      <c r="M52" s="453" t="s">
        <v>286</v>
      </c>
      <c r="N52" s="452"/>
    </row>
    <row r="53" spans="1:18" ht="17.5" x14ac:dyDescent="0.35">
      <c r="A53" s="454" t="s">
        <v>466</v>
      </c>
      <c r="B53" s="16">
        <f>'Trafic mens2025'!C739</f>
        <v>825183.70937400125</v>
      </c>
      <c r="C53" s="16">
        <f>'Trafic mens2025'!D739</f>
        <v>864848.87654999993</v>
      </c>
      <c r="D53" s="16">
        <f>'Trafic mens2025'!E739</f>
        <v>884699.34695000038</v>
      </c>
      <c r="E53" s="16">
        <f>'Trafic mens2025'!F739</f>
        <v>674276.45895000058</v>
      </c>
      <c r="F53" s="16">
        <f>'Trafic mens2025'!G739</f>
        <v>870337.78035999776</v>
      </c>
      <c r="G53" s="16">
        <f>'Trafic mens2025'!H739</f>
        <v>659202.76061999938</v>
      </c>
      <c r="H53" s="16">
        <f>'Trafic mens2025'!I739</f>
        <v>721282.97993999883</v>
      </c>
      <c r="I53" s="16">
        <f>'Trafic mens2025'!J739</f>
        <v>681811.29999999912</v>
      </c>
      <c r="J53" s="16">
        <f>'Trafic mens2025'!K739</f>
        <v>529074.07608999964</v>
      </c>
      <c r="K53" s="16">
        <f>'Trafic mens2025'!L739</f>
        <v>469035.18900000013</v>
      </c>
      <c r="L53" s="16">
        <f>'Trafic mens2025'!M739</f>
        <v>584729.26400000043</v>
      </c>
      <c r="M53" s="16">
        <f>'Trafic mens2025'!N739</f>
        <v>757223.88599999901</v>
      </c>
      <c r="N53" s="456">
        <f>SUM(B53:M53)</f>
        <v>8521705.627833996</v>
      </c>
    </row>
    <row r="54" spans="1:18" ht="17.5" x14ac:dyDescent="0.35">
      <c r="A54" s="454" t="s">
        <v>495</v>
      </c>
      <c r="B54" s="16">
        <f>'Trafic mens2026'!C1075</f>
        <v>791444.03799999901</v>
      </c>
      <c r="C54" s="16">
        <f>'Trafic mens2026'!D1075</f>
        <v>796118.74799999979</v>
      </c>
      <c r="D54" s="16">
        <f>'Trafic mens2026'!E1075</f>
        <v>879124.50399999926</v>
      </c>
      <c r="E54" s="16">
        <f>'Trafic mens2026'!F1075</f>
        <v>911778.32120000024</v>
      </c>
      <c r="F54" s="764">
        <f>+'Trafic mens2026'!Y1075</f>
        <v>783265.51188441226</v>
      </c>
      <c r="G54" s="764">
        <f>+'Trafic mens2026'!Z1075</f>
        <v>723910.76517808333</v>
      </c>
      <c r="H54" s="764">
        <f>+'Trafic mens2026'!AA1075</f>
        <v>840687.42268841842</v>
      </c>
      <c r="I54" s="764">
        <f>+'Trafic mens2026'!AB1075</f>
        <v>0</v>
      </c>
      <c r="J54" s="764">
        <f>+'Trafic mens2026'!AC1075</f>
        <v>0</v>
      </c>
      <c r="K54" s="764">
        <f>+'Trafic mens2026'!AD1075</f>
        <v>0</v>
      </c>
      <c r="L54" s="764">
        <f>+'Trafic mens2026'!AE1075</f>
        <v>0</v>
      </c>
      <c r="M54" s="764">
        <f>+'Trafic mens2026'!AF1075</f>
        <v>0</v>
      </c>
      <c r="N54" s="15">
        <f>AVERAGEIF(B54:M54, "&lt;&gt;0")</f>
        <v>818047.04442155885</v>
      </c>
      <c r="O54" s="15" t="s">
        <v>287</v>
      </c>
    </row>
    <row r="55" spans="1:18" ht="17.5" x14ac:dyDescent="0.35">
      <c r="A55" s="454" t="s">
        <v>496</v>
      </c>
      <c r="B55" s="467">
        <f t="shared" ref="B55:M55" si="14">B54/B53</f>
        <v>0.95911253337805502</v>
      </c>
      <c r="C55" s="467">
        <f t="shared" si="14"/>
        <v>0.92052931973020069</v>
      </c>
      <c r="D55" s="467">
        <f t="shared" si="14"/>
        <v>0.99369860171229873</v>
      </c>
      <c r="E55" s="467">
        <f t="shared" si="14"/>
        <v>1.3522321728684452</v>
      </c>
      <c r="F55" s="467">
        <f t="shared" si="14"/>
        <v>0.89995577528580939</v>
      </c>
      <c r="G55" s="467">
        <f t="shared" si="14"/>
        <v>1.0981610035995968</v>
      </c>
      <c r="H55" s="467">
        <f t="shared" si="14"/>
        <v>1.165544517296599</v>
      </c>
      <c r="I55" s="467">
        <f t="shared" si="14"/>
        <v>0</v>
      </c>
      <c r="J55" s="467">
        <f t="shared" si="14"/>
        <v>0</v>
      </c>
      <c r="K55" s="467">
        <f t="shared" si="14"/>
        <v>0</v>
      </c>
      <c r="L55" s="467">
        <f t="shared" si="14"/>
        <v>0</v>
      </c>
      <c r="M55" s="467">
        <f t="shared" si="14"/>
        <v>0</v>
      </c>
      <c r="N55" s="785">
        <f>AVERAGEIF(B55:M55, "&lt;&gt;0")</f>
        <v>1.0556048462672862</v>
      </c>
      <c r="O55" t="s">
        <v>287</v>
      </c>
    </row>
    <row r="56" spans="1:18" ht="17.5" x14ac:dyDescent="0.35">
      <c r="A56" s="454" t="s">
        <v>498</v>
      </c>
      <c r="B56" s="16">
        <f>COEFFICIENTS_SAISONNIERS_2026!C134</f>
        <v>553513.88344362052</v>
      </c>
      <c r="C56" s="16">
        <f>COEFFICIENTS_SAISONNIERS_2026!D134</f>
        <v>588296.99620170332</v>
      </c>
      <c r="D56" s="16">
        <f>COEFFICIENTS_SAISONNIERS_2026!E134</f>
        <v>577033.45770006324</v>
      </c>
      <c r="E56" s="16">
        <f>COEFFICIENTS_SAISONNIERS_2026!F134</f>
        <v>599164.39428286953</v>
      </c>
      <c r="F56" s="16">
        <f>COEFFICIENTS_SAISONNIERS_2026!G134</f>
        <v>719942.4997462678</v>
      </c>
      <c r="G56" s="16">
        <f>COEFFICIENTS_SAISONNIERS_2026!H134</f>
        <v>625474.295764343</v>
      </c>
      <c r="H56" s="16">
        <f>COEFFICIENTS_SAISONNIERS_2026!I134</f>
        <v>732235.2972596027</v>
      </c>
      <c r="I56" s="16">
        <f>COEFFICIENTS_SAISONNIERS_2026!J134</f>
        <v>760823.40374700387</v>
      </c>
      <c r="J56" s="16">
        <f>COEFFICIENTS_SAISONNIERS_2026!K134</f>
        <v>665004.51367016055</v>
      </c>
      <c r="K56" s="16">
        <f>COEFFICIENTS_SAISONNIERS_2026!L134</f>
        <v>705687.26920728292</v>
      </c>
      <c r="L56" s="16">
        <f>COEFFICIENTS_SAISONNIERS_2026!M134</f>
        <v>696498.62256179552</v>
      </c>
      <c r="M56" s="16">
        <f>COEFFICIENTS_SAISONNIERS_2026!N134</f>
        <v>776325.36641528853</v>
      </c>
      <c r="N56" s="456">
        <f>SUM(B56:M56)</f>
        <v>8000000.0000000009</v>
      </c>
    </row>
    <row r="57" spans="1:18" ht="17.5" x14ac:dyDescent="0.35">
      <c r="A57" s="14" t="s">
        <v>288</v>
      </c>
      <c r="B57" s="467">
        <f t="shared" ref="B57:M57" si="15">B54/B56</f>
        <v>1.4298539958494345</v>
      </c>
      <c r="C57" s="467">
        <f t="shared" si="15"/>
        <v>1.3532599233721785</v>
      </c>
      <c r="D57" s="467">
        <f t="shared" si="15"/>
        <v>1.5235243160838694</v>
      </c>
      <c r="E57" s="467">
        <f t="shared" si="15"/>
        <v>1.5217498401107319</v>
      </c>
      <c r="F57" s="467">
        <f t="shared" si="15"/>
        <v>1.0879556522367573</v>
      </c>
      <c r="G57" s="467">
        <f t="shared" si="15"/>
        <v>1.1573789204134262</v>
      </c>
      <c r="H57" s="467">
        <f t="shared" si="15"/>
        <v>1.1481110318427681</v>
      </c>
      <c r="I57" s="467">
        <f t="shared" si="15"/>
        <v>0</v>
      </c>
      <c r="J57" s="467">
        <f t="shared" si="15"/>
        <v>0</v>
      </c>
      <c r="K57" s="467">
        <f t="shared" si="15"/>
        <v>0</v>
      </c>
      <c r="L57" s="467">
        <f t="shared" si="15"/>
        <v>0</v>
      </c>
      <c r="M57" s="467">
        <f t="shared" si="15"/>
        <v>0</v>
      </c>
      <c r="N57" s="785">
        <f>AVERAGEIF(B57:M57, "&lt;&gt;0")</f>
        <v>1.3174048114155952</v>
      </c>
      <c r="O57" t="s">
        <v>287</v>
      </c>
    </row>
    <row r="58" spans="1:18" x14ac:dyDescent="0.35">
      <c r="B58" s="1065" t="s">
        <v>289</v>
      </c>
      <c r="C58" s="1065"/>
      <c r="D58" s="1066"/>
      <c r="E58" s="697">
        <f>E22*'Trafic mens2026'!$P$1075</f>
        <v>0</v>
      </c>
      <c r="F58" s="697">
        <f>F22*'Trafic mens2026'!$P$1075</f>
        <v>0</v>
      </c>
      <c r="G58" s="697">
        <f>G22*'Trafic mens2026'!$P$1075</f>
        <v>0</v>
      </c>
      <c r="H58" s="697">
        <f>H22*'Trafic mens2026'!$P$1075</f>
        <v>880033.46321826137</v>
      </c>
      <c r="I58" s="697">
        <f>I22*'Trafic mens2026'!$P$1075</f>
        <v>909409.27960164601</v>
      </c>
      <c r="J58" s="697">
        <f>J22*'Trafic mens2026'!$P$1075</f>
        <v>818502.75070784765</v>
      </c>
      <c r="K58" s="697">
        <f>K22*'Trafic mens2026'!$P$1075</f>
        <v>805804.1143446631</v>
      </c>
      <c r="L58" s="697">
        <f>L22*'Trafic mens2026'!$P$1075</f>
        <v>785340.81589567929</v>
      </c>
      <c r="M58" s="697">
        <f>M22*'Trafic mens2026'!$P$1075</f>
        <v>930051.2513123356</v>
      </c>
      <c r="N58" s="460">
        <f>SUM(B54:M54)+SUM(E58:M58)</f>
        <v>10855470.986031346</v>
      </c>
    </row>
    <row r="59" spans="1:18" x14ac:dyDescent="0.35">
      <c r="B59" s="1065" t="s">
        <v>290</v>
      </c>
      <c r="C59" s="1065"/>
      <c r="D59" s="1066"/>
      <c r="E59" s="698">
        <f>E23*'Trafic mens2026'!$P$1075</f>
        <v>0</v>
      </c>
      <c r="F59" s="698">
        <f>F23*'Trafic mens2026'!$P$1075</f>
        <v>0</v>
      </c>
      <c r="G59" s="698">
        <f>G23*'Trafic mens2026'!$P$1075</f>
        <v>0</v>
      </c>
      <c r="H59" s="698">
        <f>H23*'Trafic mens2026'!$P$1075</f>
        <v>875504.15497851069</v>
      </c>
      <c r="I59" s="698">
        <f>I23*'Trafic mens2026'!$P$1075</f>
        <v>837516.89491267491</v>
      </c>
      <c r="J59" s="698">
        <f>J23*'Trafic mens2026'!$P$1075</f>
        <v>821940.05001696339</v>
      </c>
      <c r="K59" s="698">
        <f>K23*'Trafic mens2026'!$P$1075</f>
        <v>822160.0269863361</v>
      </c>
      <c r="L59" s="698">
        <f>L23*'Trafic mens2026'!$P$1075</f>
        <v>830000.49636787479</v>
      </c>
      <c r="M59" s="698">
        <f>M23*'Trafic mens2026'!$P$1075</f>
        <v>869060.39459835039</v>
      </c>
      <c r="N59" s="460">
        <f>SUM(B54:M54)+SUM(E59:M59)</f>
        <v>10782511.328811623</v>
      </c>
      <c r="O59" s="1" t="s">
        <v>301</v>
      </c>
    </row>
    <row r="60" spans="1:18" x14ac:dyDescent="0.35">
      <c r="B60" s="1065" t="s">
        <v>291</v>
      </c>
      <c r="C60" s="1065"/>
      <c r="D60" s="1066"/>
      <c r="E60" s="699">
        <f>E24*'Trafic mens2026'!$P$1075</f>
        <v>0</v>
      </c>
      <c r="F60" s="699">
        <f>F24*'Trafic mens2026'!$P$1075</f>
        <v>0</v>
      </c>
      <c r="G60" s="699">
        <f>G24*'Trafic mens2026'!$P$1075</f>
        <v>0</v>
      </c>
      <c r="H60" s="699">
        <f>H24*'Trafic mens2026'!$P$1075</f>
        <v>866392.15890860755</v>
      </c>
      <c r="I60" s="699">
        <f>I24*'Trafic mens2026'!$P$1075</f>
        <v>828800.25934729702</v>
      </c>
      <c r="J60" s="699">
        <f>J24*'Trafic mens2026'!$P$1075</f>
        <v>813385.53378438822</v>
      </c>
      <c r="K60" s="699">
        <f>K24*'Trafic mens2026'!$P$1075</f>
        <v>813603.22129657341</v>
      </c>
      <c r="L60" s="699">
        <f>L24*'Trafic mens2026'!$P$1075</f>
        <v>821362.08932215674</v>
      </c>
      <c r="M60" s="699">
        <f>M24*'Trafic mens2026'!$P$1075</f>
        <v>860015.46333782072</v>
      </c>
      <c r="N60" s="460">
        <f>SUM(B54:M54)+SUM(E60:M60)</f>
        <v>10729888.036947755</v>
      </c>
    </row>
    <row r="61" spans="1:18" x14ac:dyDescent="0.35">
      <c r="G61" s="1"/>
      <c r="H61" s="1"/>
      <c r="J61" s="464"/>
      <c r="K61" s="464"/>
      <c r="L61" s="464"/>
      <c r="M61" s="464"/>
      <c r="N61" s="465"/>
    </row>
    <row r="62" spans="1:18" ht="15.5" x14ac:dyDescent="0.35">
      <c r="A62" s="19" t="s">
        <v>302</v>
      </c>
      <c r="B62" s="19"/>
      <c r="N62" s="452"/>
    </row>
    <row r="63" spans="1:18" x14ac:dyDescent="0.35">
      <c r="A63" s="17"/>
      <c r="N63" s="452"/>
    </row>
    <row r="64" spans="1:18" ht="17.5" x14ac:dyDescent="0.35">
      <c r="A64" s="17"/>
      <c r="B64" s="453" t="s">
        <v>280</v>
      </c>
      <c r="C64" s="453" t="s">
        <v>281</v>
      </c>
      <c r="D64" s="453" t="s">
        <v>2</v>
      </c>
      <c r="E64" s="453" t="s">
        <v>3</v>
      </c>
      <c r="F64" s="453" t="s">
        <v>4</v>
      </c>
      <c r="G64" s="453" t="s">
        <v>5</v>
      </c>
      <c r="H64" s="453" t="s">
        <v>282</v>
      </c>
      <c r="I64" s="453" t="s">
        <v>7</v>
      </c>
      <c r="J64" s="453" t="s">
        <v>283</v>
      </c>
      <c r="K64" s="453" t="s">
        <v>284</v>
      </c>
      <c r="L64" s="453" t="s">
        <v>285</v>
      </c>
      <c r="M64" s="453" t="s">
        <v>286</v>
      </c>
      <c r="N64" s="452"/>
    </row>
    <row r="65" spans="1:17" ht="17.5" x14ac:dyDescent="0.35">
      <c r="A65" s="454" t="s">
        <v>466</v>
      </c>
      <c r="B65" s="16">
        <f>'Trafic mens2025'!C1201</f>
        <v>158014</v>
      </c>
      <c r="C65" s="16">
        <f>'Trafic mens2025'!D1201</f>
        <v>138758</v>
      </c>
      <c r="D65" s="16">
        <f>'Trafic mens2025'!E1201</f>
        <v>150740</v>
      </c>
      <c r="E65" s="16">
        <f>'Trafic mens2025'!F1201</f>
        <v>141918</v>
      </c>
      <c r="F65" s="16">
        <f>'Trafic mens2025'!G1201</f>
        <v>157734</v>
      </c>
      <c r="G65" s="16">
        <f>'Trafic mens2025'!H1201</f>
        <v>130245</v>
      </c>
      <c r="H65" s="16">
        <f>'Trafic mens2025'!I1201</f>
        <v>134863</v>
      </c>
      <c r="I65" s="16">
        <f>'Trafic mens2025'!J1201</f>
        <v>148944</v>
      </c>
      <c r="J65" s="16">
        <f>'Trafic mens2025'!K1201</f>
        <v>132514</v>
      </c>
      <c r="K65" s="16">
        <f>'Trafic mens2025'!L1201</f>
        <v>139061</v>
      </c>
      <c r="L65" s="16">
        <f>'Trafic mens2025'!M1201</f>
        <v>127986</v>
      </c>
      <c r="M65" s="16">
        <f>'Trafic mens2025'!N1201</f>
        <v>148531</v>
      </c>
      <c r="N65" s="456">
        <f>SUM(B65:M65)</f>
        <v>1709308</v>
      </c>
    </row>
    <row r="66" spans="1:17" ht="17.5" x14ac:dyDescent="0.35">
      <c r="A66" s="454" t="s">
        <v>495</v>
      </c>
      <c r="B66" s="16">
        <f>'Trafic mens2026'!C1201</f>
        <v>162428</v>
      </c>
      <c r="C66" s="16">
        <f>'Trafic mens2026'!D1201</f>
        <v>147867</v>
      </c>
      <c r="D66" s="16">
        <f>'Trafic mens2026'!E1201</f>
        <v>167378</v>
      </c>
      <c r="E66" s="16">
        <f>'Trafic mens2026'!F1201</f>
        <v>162680</v>
      </c>
      <c r="F66" s="764">
        <f>'Trafic mens2026'!Y1204</f>
        <v>146795.47213045071</v>
      </c>
      <c r="G66" s="764">
        <f>'Trafic mens2026'!Z1204</f>
        <v>135671.51999195205</v>
      </c>
      <c r="H66" s="764">
        <f>'Trafic mens2026'!AA1204</f>
        <v>157557.18240520445</v>
      </c>
      <c r="I66" s="764">
        <f>'Trafic mens2026'!AB1204</f>
        <v>0</v>
      </c>
      <c r="J66" s="764">
        <f>'Trafic mens2026'!AC1204</f>
        <v>0</v>
      </c>
      <c r="K66" s="764">
        <f>'Trafic mens2026'!AD1204</f>
        <v>0</v>
      </c>
      <c r="L66" s="764">
        <f>'Trafic mens2026'!AE1204</f>
        <v>0</v>
      </c>
      <c r="M66" s="764">
        <f>'Trafic mens2026'!AF1204</f>
        <v>0</v>
      </c>
      <c r="N66" s="15">
        <f>AVERAGEIF(B66:M66, "&lt;&gt;0")</f>
        <v>154339.59636108673</v>
      </c>
      <c r="O66" s="15" t="s">
        <v>287</v>
      </c>
    </row>
    <row r="67" spans="1:17" ht="17.5" x14ac:dyDescent="0.35">
      <c r="A67" s="454" t="s">
        <v>496</v>
      </c>
      <c r="B67" s="467">
        <f t="shared" ref="B67:M67" si="16">B66/B65</f>
        <v>1.0279342336754971</v>
      </c>
      <c r="C67" s="467">
        <f t="shared" si="16"/>
        <v>1.0656466654174894</v>
      </c>
      <c r="D67" s="467">
        <f t="shared" si="16"/>
        <v>1.1103754809605944</v>
      </c>
      <c r="E67" s="467">
        <f t="shared" si="16"/>
        <v>1.1462957482489888</v>
      </c>
      <c r="F67" s="467">
        <f t="shared" si="16"/>
        <v>0.93065206062390293</v>
      </c>
      <c r="G67" s="467">
        <f t="shared" si="16"/>
        <v>1.041663940972414</v>
      </c>
      <c r="H67" s="467">
        <f t="shared" si="16"/>
        <v>1.1682758236521837</v>
      </c>
      <c r="I67" s="467">
        <f t="shared" si="16"/>
        <v>0</v>
      </c>
      <c r="J67" s="467">
        <f t="shared" si="16"/>
        <v>0</v>
      </c>
      <c r="K67" s="467">
        <f t="shared" si="16"/>
        <v>0</v>
      </c>
      <c r="L67" s="467">
        <f t="shared" si="16"/>
        <v>0</v>
      </c>
      <c r="M67" s="467">
        <f t="shared" si="16"/>
        <v>0</v>
      </c>
      <c r="N67" s="785">
        <f>AVERAGEIF(B67:M67, "&lt;&gt;0")</f>
        <v>1.0701205647930101</v>
      </c>
      <c r="O67" t="s">
        <v>287</v>
      </c>
    </row>
    <row r="68" spans="1:17" ht="17.5" x14ac:dyDescent="0.35">
      <c r="A68" s="454" t="s">
        <v>498</v>
      </c>
      <c r="B68" s="16">
        <f>COEFFICIENTS_SAISONNIERS_2026!C174</f>
        <v>135684.66170873577</v>
      </c>
      <c r="C68" s="16">
        <f>COEFFICIENTS_SAISONNIERS_2026!D174</f>
        <v>122266.73687428547</v>
      </c>
      <c r="D68" s="16">
        <f>COEFFICIENTS_SAISONNIERS_2026!E174</f>
        <v>139023.46152813762</v>
      </c>
      <c r="E68" s="16">
        <f>COEFFICIENTS_SAISONNIERS_2026!F174</f>
        <v>142027.5375240274</v>
      </c>
      <c r="F68" s="16">
        <f>COEFFICIENTS_SAISONNIERS_2026!G174</f>
        <v>152487.51636851736</v>
      </c>
      <c r="G68" s="16">
        <f>COEFFICIENTS_SAISONNIERS_2026!H174</f>
        <v>142225.55901289504</v>
      </c>
      <c r="H68" s="16">
        <f>COEFFICIENTS_SAISONNIERS_2026!I174</f>
        <v>153125.74187738198</v>
      </c>
      <c r="I68" s="16">
        <f>COEFFICIENTS_SAISONNIERS_2026!J174</f>
        <v>155625.76317433591</v>
      </c>
      <c r="J68" s="16">
        <f>COEFFICIENTS_SAISONNIERS_2026!K174</f>
        <v>143125.93797009008</v>
      </c>
      <c r="K68" s="16">
        <f>COEFFICIENTS_SAISONNIERS_2026!L174</f>
        <v>156015.33670002013</v>
      </c>
      <c r="L68" s="16">
        <f>COEFFICIENTS_SAISONNIERS_2026!M174</f>
        <v>149433.0911588388</v>
      </c>
      <c r="M68" s="16">
        <f>COEFFICIENTS_SAISONNIERS_2026!N174</f>
        <v>158958.65610273459</v>
      </c>
      <c r="N68" s="456">
        <f>SUM(B68:M68)</f>
        <v>1750000</v>
      </c>
    </row>
    <row r="69" spans="1:17" ht="17.5" x14ac:dyDescent="0.35">
      <c r="A69" s="14" t="s">
        <v>288</v>
      </c>
      <c r="B69" s="467">
        <f t="shared" ref="B69:M69" si="17">B66/B68</f>
        <v>1.1970992001194076</v>
      </c>
      <c r="C69" s="467">
        <f t="shared" si="17"/>
        <v>1.2093804396860341</v>
      </c>
      <c r="D69" s="467">
        <f t="shared" si="17"/>
        <v>1.20395506024804</v>
      </c>
      <c r="E69" s="467">
        <f t="shared" si="17"/>
        <v>1.1454116774535976</v>
      </c>
      <c r="F69" s="467">
        <f t="shared" si="17"/>
        <v>0.96267206409008155</v>
      </c>
      <c r="G69" s="467">
        <f t="shared" si="17"/>
        <v>0.95391799430122992</v>
      </c>
      <c r="H69" s="467">
        <f t="shared" si="17"/>
        <v>1.0289398795623208</v>
      </c>
      <c r="I69" s="467">
        <f t="shared" si="17"/>
        <v>0</v>
      </c>
      <c r="J69" s="467">
        <f t="shared" si="17"/>
        <v>0</v>
      </c>
      <c r="K69" s="467">
        <f t="shared" si="17"/>
        <v>0</v>
      </c>
      <c r="L69" s="467">
        <f t="shared" si="17"/>
        <v>0</v>
      </c>
      <c r="M69" s="467">
        <f t="shared" si="17"/>
        <v>0</v>
      </c>
      <c r="N69" s="785">
        <f>AVERAGEIF(B69:M69, "&lt;&gt;0")</f>
        <v>1.1001966164943873</v>
      </c>
      <c r="O69" t="s">
        <v>287</v>
      </c>
    </row>
    <row r="70" spans="1:17" x14ac:dyDescent="0.35">
      <c r="B70" s="1065" t="s">
        <v>289</v>
      </c>
      <c r="C70" s="1065"/>
      <c r="D70" s="1065"/>
      <c r="E70" s="697">
        <f>'Trafic mens2026'!X1108</f>
        <v>0</v>
      </c>
      <c r="F70" s="697">
        <f>'Trafic mens2026'!Y1108</f>
        <v>0</v>
      </c>
      <c r="G70" s="697">
        <f>'Trafic mens2026'!Z1108</f>
        <v>0</v>
      </c>
      <c r="H70" s="697">
        <f>'Trafic mens2026'!AA1108</f>
        <v>164931.20884758726</v>
      </c>
      <c r="I70" s="697">
        <f>'Trafic mens2026'!AB1108</f>
        <v>170436.66870735027</v>
      </c>
      <c r="J70" s="697">
        <f>'Trafic mens2026'!AC1108</f>
        <v>153399.44872737126</v>
      </c>
      <c r="K70" s="697">
        <f>'Trafic mens2026'!AD1108</f>
        <v>151019.53758349636</v>
      </c>
      <c r="L70" s="697">
        <f>'Trafic mens2026'!AE1108</f>
        <v>147184.41461231135</v>
      </c>
      <c r="M70" s="697">
        <f>'Trafic mens2026'!AF1108</f>
        <v>174305.27767454972</v>
      </c>
      <c r="N70" s="460">
        <f>SUM(B66:M66)+SUM(E70:M70)</f>
        <v>2041653.7306802734</v>
      </c>
    </row>
    <row r="71" spans="1:17" x14ac:dyDescent="0.35">
      <c r="B71" s="1065" t="s">
        <v>290</v>
      </c>
      <c r="C71" s="1065"/>
      <c r="D71" s="1065"/>
      <c r="E71" s="698">
        <f>'Trafic mens2026'!X1115</f>
        <v>0</v>
      </c>
      <c r="F71" s="698">
        <f>'Trafic mens2026'!Y1115</f>
        <v>0</v>
      </c>
      <c r="G71" s="698">
        <f>'Trafic mens2026'!Z1115</f>
        <v>0</v>
      </c>
      <c r="H71" s="698">
        <f>'Trafic mens2026'!AA1115</f>
        <v>164082.34989568606</v>
      </c>
      <c r="I71" s="698">
        <f>'Trafic mens2026'!AB1115</f>
        <v>156962.97888841326</v>
      </c>
      <c r="J71" s="698">
        <f>'Trafic mens2026'!AC1115</f>
        <v>154043.64915146676</v>
      </c>
      <c r="K71" s="698">
        <f>'Trafic mens2026'!AD1115</f>
        <v>154084.87606952575</v>
      </c>
      <c r="L71" s="698">
        <f>'Trafic mens2026'!AE1115</f>
        <v>155554.29529854088</v>
      </c>
      <c r="M71" s="698">
        <f>'Trafic mens2026'!AF1115</f>
        <v>162874.69446729193</v>
      </c>
      <c r="N71" s="460">
        <f>SUM(B66:M66)+SUM(E71:M71)</f>
        <v>2027980.0182985319</v>
      </c>
      <c r="O71" s="1" t="s">
        <v>292</v>
      </c>
    </row>
    <row r="72" spans="1:17" x14ac:dyDescent="0.35">
      <c r="B72" s="1065" t="s">
        <v>291</v>
      </c>
      <c r="C72" s="1065"/>
      <c r="D72" s="1065"/>
      <c r="E72" s="699">
        <f>'Trafic mens2026'!X1122</f>
        <v>0</v>
      </c>
      <c r="F72" s="699">
        <f>'Trafic mens2026'!Y1122</f>
        <v>0</v>
      </c>
      <c r="G72" s="699">
        <f>'Trafic mens2026'!Z1122</f>
        <v>0</v>
      </c>
      <c r="H72" s="699">
        <f>'Trafic mens2026'!AA1122</f>
        <v>162374.62787188063</v>
      </c>
      <c r="I72" s="699">
        <f>'Trafic mens2026'!AB1122</f>
        <v>155329.35323556114</v>
      </c>
      <c r="J72" s="699">
        <f>'Trafic mens2026'!AC1122</f>
        <v>152440.40704498452</v>
      </c>
      <c r="K72" s="699">
        <f>'Trafic mens2026'!AD1122</f>
        <v>152481.20488510802</v>
      </c>
      <c r="L72" s="699">
        <f>'Trafic mens2026'!AE1122</f>
        <v>153935.33082035213</v>
      </c>
      <c r="M72" s="699">
        <f>'Trafic mens2026'!AF1122</f>
        <v>161179.54137471854</v>
      </c>
      <c r="N72" s="460">
        <f>SUM(B66:M66)+SUM(E72:M72)</f>
        <v>2018117.639760212</v>
      </c>
      <c r="P72" s="20"/>
      <c r="Q72" s="20"/>
    </row>
    <row r="73" spans="1:17" x14ac:dyDescent="0.35">
      <c r="G73" s="1"/>
      <c r="H73" s="1"/>
      <c r="J73" s="464"/>
      <c r="K73" s="464"/>
      <c r="L73" s="464"/>
      <c r="M73" s="464"/>
      <c r="N73" s="465"/>
      <c r="P73" s="480"/>
      <c r="Q73" s="480"/>
    </row>
    <row r="74" spans="1:17" ht="15.5" x14ac:dyDescent="0.35">
      <c r="A74" s="19" t="s">
        <v>303</v>
      </c>
      <c r="B74" s="19"/>
      <c r="H74" s="18"/>
      <c r="I74" s="18"/>
      <c r="N74" s="456"/>
      <c r="O74" s="481"/>
    </row>
    <row r="75" spans="1:17" x14ac:dyDescent="0.35">
      <c r="A75" s="17"/>
      <c r="N75" s="452"/>
    </row>
    <row r="76" spans="1:17" ht="17.5" x14ac:dyDescent="0.35">
      <c r="A76" s="17"/>
      <c r="B76" s="453" t="s">
        <v>280</v>
      </c>
      <c r="C76" s="453" t="s">
        <v>281</v>
      </c>
      <c r="D76" s="453" t="s">
        <v>2</v>
      </c>
      <c r="E76" s="453" t="s">
        <v>3</v>
      </c>
      <c r="F76" s="453" t="s">
        <v>4</v>
      </c>
      <c r="G76" s="453" t="s">
        <v>5</v>
      </c>
      <c r="H76" s="453" t="s">
        <v>282</v>
      </c>
      <c r="I76" s="453" t="s">
        <v>7</v>
      </c>
      <c r="J76" s="453" t="s">
        <v>283</v>
      </c>
      <c r="K76" s="453" t="s">
        <v>284</v>
      </c>
      <c r="L76" s="453" t="s">
        <v>285</v>
      </c>
      <c r="M76" s="453" t="s">
        <v>286</v>
      </c>
      <c r="N76" s="452"/>
    </row>
    <row r="77" spans="1:17" ht="17.5" x14ac:dyDescent="0.35">
      <c r="A77" s="454" t="s">
        <v>466</v>
      </c>
      <c r="B77" s="16">
        <f>'Trafic mens2025'!C1205</f>
        <v>51450</v>
      </c>
      <c r="C77" s="16">
        <f>'Trafic mens2025'!D1205</f>
        <v>53158</v>
      </c>
      <c r="D77" s="16">
        <f>'Trafic mens2025'!E1205</f>
        <v>52393</v>
      </c>
      <c r="E77" s="16">
        <f>'Trafic mens2025'!F1205</f>
        <v>41671</v>
      </c>
      <c r="F77" s="16">
        <f>'Trafic mens2025'!G1205</f>
        <v>52673</v>
      </c>
      <c r="G77" s="16">
        <f>'Trafic mens2025'!H1205</f>
        <v>40859</v>
      </c>
      <c r="H77" s="16">
        <f>'Trafic mens2025'!I1205</f>
        <v>43756</v>
      </c>
      <c r="I77" s="16">
        <f>'Trafic mens2025'!J1205</f>
        <v>41617</v>
      </c>
      <c r="J77" s="16">
        <f>'Trafic mens2025'!K1205</f>
        <v>32269</v>
      </c>
      <c r="K77" s="16">
        <f>'Trafic mens2025'!L1205</f>
        <v>28490</v>
      </c>
      <c r="L77" s="16">
        <f>'Trafic mens2025'!M1205</f>
        <v>36208</v>
      </c>
      <c r="M77" s="16">
        <f>'Trafic mens2025'!N1205</f>
        <v>47561</v>
      </c>
      <c r="N77" s="456">
        <f>SUM(B77:M77)</f>
        <v>522105</v>
      </c>
    </row>
    <row r="78" spans="1:17" ht="17.5" x14ac:dyDescent="0.35">
      <c r="A78" s="454" t="s">
        <v>495</v>
      </c>
      <c r="B78" s="16">
        <f>'Trafic mens2026'!C1205</f>
        <v>48491</v>
      </c>
      <c r="C78" s="16">
        <f>'Trafic mens2026'!D1205</f>
        <v>50488</v>
      </c>
      <c r="D78" s="16">
        <f>'Trafic mens2026'!E1205</f>
        <v>54857</v>
      </c>
      <c r="E78" s="16">
        <f>'Trafic mens2026'!F1205</f>
        <v>56486</v>
      </c>
      <c r="F78" s="764">
        <f>'Trafic mens2026'!Y1205</f>
        <v>48089.82007202541</v>
      </c>
      <c r="G78" s="764">
        <f>'Trafic mens2026'!Z1205</f>
        <v>44445.641889507373</v>
      </c>
      <c r="H78" s="764">
        <f>'Trafic mens2026'!AA1205</f>
        <v>51615.328749297623</v>
      </c>
      <c r="I78" s="764">
        <f>'Trafic mens2026'!AB1205</f>
        <v>0</v>
      </c>
      <c r="J78" s="764">
        <f>'Trafic mens2026'!AC1205</f>
        <v>0</v>
      </c>
      <c r="K78" s="764">
        <f>'Trafic mens2026'!AD1205</f>
        <v>0</v>
      </c>
      <c r="L78" s="764">
        <f>'Trafic mens2026'!AE1205</f>
        <v>0</v>
      </c>
      <c r="M78" s="764">
        <f>'Trafic mens2026'!AF1205</f>
        <v>0</v>
      </c>
      <c r="N78" s="15">
        <f>AVERAGEIF(B78:M78, "&lt;&gt;0")</f>
        <v>50638.970101547195</v>
      </c>
      <c r="O78" s="15" t="s">
        <v>287</v>
      </c>
    </row>
    <row r="79" spans="1:17" ht="17.5" x14ac:dyDescent="0.35">
      <c r="A79" s="454" t="s">
        <v>496</v>
      </c>
      <c r="B79" s="467">
        <f t="shared" ref="B79:M79" si="18">B78/B77</f>
        <v>0.94248785228377063</v>
      </c>
      <c r="C79" s="467">
        <f t="shared" si="18"/>
        <v>0.94977237668836301</v>
      </c>
      <c r="D79" s="467">
        <f t="shared" si="18"/>
        <v>1.0470291832878438</v>
      </c>
      <c r="E79" s="467">
        <f t="shared" si="18"/>
        <v>1.355523025605337</v>
      </c>
      <c r="F79" s="467">
        <f t="shared" si="18"/>
        <v>0.91298805976544739</v>
      </c>
      <c r="G79" s="467">
        <f t="shared" si="18"/>
        <v>1.0877809513083379</v>
      </c>
      <c r="H79" s="467">
        <f t="shared" si="18"/>
        <v>1.1796171667725026</v>
      </c>
      <c r="I79" s="467">
        <f t="shared" si="18"/>
        <v>0</v>
      </c>
      <c r="J79" s="467">
        <f t="shared" si="18"/>
        <v>0</v>
      </c>
      <c r="K79" s="467">
        <f t="shared" si="18"/>
        <v>0</v>
      </c>
      <c r="L79" s="467">
        <f t="shared" si="18"/>
        <v>0</v>
      </c>
      <c r="M79" s="467">
        <f t="shared" si="18"/>
        <v>0</v>
      </c>
      <c r="N79" s="785">
        <f>AVERAGEIF(B79:M79, "&lt;&gt;0")</f>
        <v>1.067885516530229</v>
      </c>
      <c r="O79" t="s">
        <v>287</v>
      </c>
    </row>
    <row r="80" spans="1:17" ht="17.5" x14ac:dyDescent="0.35">
      <c r="A80" s="454" t="s">
        <v>498</v>
      </c>
      <c r="B80" s="16">
        <f>COEFFICIENTS_SAISONNIERS_2026!C194</f>
        <v>39611.682845296957</v>
      </c>
      <c r="C80" s="16">
        <f>COEFFICIENTS_SAISONNIERS_2026!D194</f>
        <v>43107.78713721945</v>
      </c>
      <c r="D80" s="16">
        <f>COEFFICIENTS_SAISONNIERS_2026!E194</f>
        <v>41520.684899936714</v>
      </c>
      <c r="E80" s="16">
        <f>COEFFICIENTS_SAISONNIERS_2026!F194</f>
        <v>43110.861214602119</v>
      </c>
      <c r="F80" s="16">
        <f>COEFFICIENTS_SAISONNIERS_2026!G194</f>
        <v>51918.532069871253</v>
      </c>
      <c r="G80" s="16">
        <f>COEFFICIENTS_SAISONNIERS_2026!H194</f>
        <v>46041.774422024653</v>
      </c>
      <c r="H80" s="16">
        <f>COEFFICIENTS_SAISONNIERS_2026!I194</f>
        <v>52857.003979410059</v>
      </c>
      <c r="I80" s="16">
        <f>COEFFICIENTS_SAISONNIERS_2026!J194</f>
        <v>57143.146158679439</v>
      </c>
      <c r="J80" s="16">
        <f>COEFFICIENTS_SAISONNIERS_2026!K194</f>
        <v>49970.006163168568</v>
      </c>
      <c r="K80" s="16">
        <f>COEFFICIENTS_SAISONNIERS_2026!L194</f>
        <v>50769.266282663477</v>
      </c>
      <c r="L80" s="16">
        <f>COEFFICIENTS_SAISONNIERS_2026!M194</f>
        <v>51377.49445052087</v>
      </c>
      <c r="M80" s="16">
        <f>COEFFICIENTS_SAISONNIERS_2026!N194</f>
        <v>57571.760376606377</v>
      </c>
      <c r="N80" s="456">
        <f>SUM(B80:M80)</f>
        <v>584999.99999999988</v>
      </c>
    </row>
    <row r="81" spans="1:15" ht="17.5" x14ac:dyDescent="0.35">
      <c r="A81" s="14" t="s">
        <v>288</v>
      </c>
      <c r="B81" s="467">
        <f t="shared" ref="B81:M81" si="19">B78/B80</f>
        <v>1.2241590489700003</v>
      </c>
      <c r="C81" s="467">
        <f t="shared" si="19"/>
        <v>1.171203704780486</v>
      </c>
      <c r="D81" s="467">
        <f t="shared" si="19"/>
        <v>1.3211968957690199</v>
      </c>
      <c r="E81" s="467">
        <f t="shared" si="19"/>
        <v>1.31024986299433</v>
      </c>
      <c r="F81" s="467">
        <f t="shared" si="19"/>
        <v>0.92625538810124264</v>
      </c>
      <c r="G81" s="467">
        <f t="shared" si="19"/>
        <v>0.96533294920636792</v>
      </c>
      <c r="H81" s="467">
        <f t="shared" si="19"/>
        <v>0.97650878527666607</v>
      </c>
      <c r="I81" s="467">
        <f t="shared" si="19"/>
        <v>0</v>
      </c>
      <c r="J81" s="467">
        <f t="shared" si="19"/>
        <v>0</v>
      </c>
      <c r="K81" s="467">
        <f t="shared" si="19"/>
        <v>0</v>
      </c>
      <c r="L81" s="467">
        <f t="shared" si="19"/>
        <v>0</v>
      </c>
      <c r="M81" s="467">
        <f t="shared" si="19"/>
        <v>0</v>
      </c>
      <c r="N81" s="785">
        <f>AVERAGEIF(B81:M81, "&lt;&gt;0")</f>
        <v>1.127843805014016</v>
      </c>
      <c r="O81" t="s">
        <v>287</v>
      </c>
    </row>
    <row r="82" spans="1:15" x14ac:dyDescent="0.35">
      <c r="B82" s="1065" t="s">
        <v>289</v>
      </c>
      <c r="C82" s="1065"/>
      <c r="D82" s="1065"/>
      <c r="E82" s="697">
        <f>'Trafic mens2026'!X1109</f>
        <v>0</v>
      </c>
      <c r="F82" s="697">
        <f>'Trafic mens2026'!Y1109</f>
        <v>0</v>
      </c>
      <c r="G82" s="697">
        <f>'Trafic mens2026'!Z1109</f>
        <v>0</v>
      </c>
      <c r="H82" s="697">
        <f>'Trafic mens2026'!AA1109</f>
        <v>54031.040894052436</v>
      </c>
      <c r="I82" s="697">
        <f>'Trafic mens2026'!AB1109</f>
        <v>55834.615420073809</v>
      </c>
      <c r="J82" s="697">
        <f>'Trafic mens2026'!AC1109</f>
        <v>50253.265862938861</v>
      </c>
      <c r="K82" s="697">
        <f>'Trafic mens2026'!AD1109</f>
        <v>49473.613077772257</v>
      </c>
      <c r="L82" s="697">
        <f>'Trafic mens2026'!AE1109</f>
        <v>48217.236631266584</v>
      </c>
      <c r="M82" s="697">
        <f>'Trafic mens2026'!AF1109</f>
        <v>57101.961792966838</v>
      </c>
      <c r="N82" s="460">
        <f>SUM(B78:M78)+SUM(E82:M82)</f>
        <v>669384.5243899012</v>
      </c>
    </row>
    <row r="83" spans="1:15" x14ac:dyDescent="0.35">
      <c r="B83" s="1065" t="s">
        <v>290</v>
      </c>
      <c r="C83" s="1065"/>
      <c r="D83" s="1065"/>
      <c r="E83" s="698">
        <f>'Trafic mens2026'!X1116</f>
        <v>0</v>
      </c>
      <c r="F83" s="698">
        <f>'Trafic mens2026'!Y1116</f>
        <v>0</v>
      </c>
      <c r="G83" s="698">
        <f>'Trafic mens2026'!Z1116</f>
        <v>0</v>
      </c>
      <c r="H83" s="698">
        <f>'Trafic mens2026'!AA1116</f>
        <v>53752.956879123281</v>
      </c>
      <c r="I83" s="698">
        <f>'Trafic mens2026'!AB1116</f>
        <v>51420.66920160217</v>
      </c>
      <c r="J83" s="698">
        <f>'Trafic mens2026'!AC1116</f>
        <v>50464.304269202134</v>
      </c>
      <c r="K83" s="698">
        <f>'Trafic mens2026'!AD1116</f>
        <v>50477.810101792245</v>
      </c>
      <c r="L83" s="698">
        <f>'Trafic mens2026'!AE1116</f>
        <v>50959.188071481367</v>
      </c>
      <c r="M83" s="698">
        <f>'Trafic mens2026'!AF1116</f>
        <v>53357.332058973043</v>
      </c>
      <c r="N83" s="460">
        <f>SUM(B78:M78)+SUM(E83:M83)</f>
        <v>664905.05129300454</v>
      </c>
      <c r="O83" s="1" t="s">
        <v>292</v>
      </c>
    </row>
    <row r="84" spans="1:15" x14ac:dyDescent="0.35">
      <c r="B84" s="1065" t="s">
        <v>291</v>
      </c>
      <c r="C84" s="1065"/>
      <c r="D84" s="1065"/>
      <c r="E84" s="699">
        <f>'Trafic mens2026'!X1123</f>
        <v>0</v>
      </c>
      <c r="F84" s="699">
        <f>'Trafic mens2026'!Y1123</f>
        <v>0</v>
      </c>
      <c r="G84" s="699">
        <f>'Trafic mens2026'!Z1123</f>
        <v>0</v>
      </c>
      <c r="H84" s="699">
        <f>'Trafic mens2026'!AA1123</f>
        <v>53193.511525217145</v>
      </c>
      <c r="I84" s="699">
        <f>'Trafic mens2026'!AB1123</f>
        <v>50885.497628729063</v>
      </c>
      <c r="J84" s="699">
        <f>'Trafic mens2026'!AC1123</f>
        <v>49939.086268172025</v>
      </c>
      <c r="K84" s="699">
        <f>'Trafic mens2026'!AD1123</f>
        <v>49952.451535931257</v>
      </c>
      <c r="L84" s="699">
        <f>'Trafic mens2026'!AE1123</f>
        <v>50428.819461815321</v>
      </c>
      <c r="M84" s="699">
        <f>'Trafic mens2026'!AF1123</f>
        <v>52802.004254693435</v>
      </c>
      <c r="N84" s="460">
        <f>SUM(B78:M78)+SUM(E84:M84)</f>
        <v>661674.16138538858</v>
      </c>
      <c r="O84" s="1"/>
    </row>
    <row r="86" spans="1:15" x14ac:dyDescent="0.35">
      <c r="N86" s="456"/>
      <c r="O86" s="481"/>
    </row>
  </sheetData>
  <mergeCells count="27">
    <mergeCell ref="T22:V22"/>
    <mergeCell ref="B10:D10"/>
    <mergeCell ref="B11:D11"/>
    <mergeCell ref="B12:D12"/>
    <mergeCell ref="A14:B14"/>
    <mergeCell ref="B22:D22"/>
    <mergeCell ref="B48:D48"/>
    <mergeCell ref="B23:D23"/>
    <mergeCell ref="T23:V23"/>
    <mergeCell ref="B24:D24"/>
    <mergeCell ref="T24:V24"/>
    <mergeCell ref="A26:B26"/>
    <mergeCell ref="B34:D34"/>
    <mergeCell ref="B35:D35"/>
    <mergeCell ref="B36:D36"/>
    <mergeCell ref="A38:B38"/>
    <mergeCell ref="B46:D46"/>
    <mergeCell ref="B47:D47"/>
    <mergeCell ref="B82:D82"/>
    <mergeCell ref="B83:D83"/>
    <mergeCell ref="B84:D84"/>
    <mergeCell ref="B58:D58"/>
    <mergeCell ref="B59:D59"/>
    <mergeCell ref="B60:D60"/>
    <mergeCell ref="B70:D70"/>
    <mergeCell ref="B71:D71"/>
    <mergeCell ref="B72:D72"/>
  </mergeCells>
  <pageMargins left="0.7" right="0.7" top="0.75" bottom="0.75" header="0.3" footer="0.3"/>
  <pageSetup paperSize="9" orientation="portrait" horizontalDpi="4294967295" verticalDpi="4294967295"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15821-0CF7-4A9E-8271-A7103002C78A}">
  <dimension ref="A1:S225"/>
  <sheetViews>
    <sheetView topLeftCell="A6" zoomScale="90" zoomScaleNormal="90" workbookViewId="0">
      <selection activeCell="J4" sqref="J4"/>
    </sheetView>
  </sheetViews>
  <sheetFormatPr baseColWidth="10" defaultColWidth="11.453125" defaultRowHeight="12.5" x14ac:dyDescent="0.25"/>
  <cols>
    <col min="1" max="1" width="15.54296875" style="504" customWidth="1"/>
    <col min="2" max="2" width="18.453125" style="537" customWidth="1"/>
    <col min="3" max="3" width="14.26953125" style="504" bestFit="1" customWidth="1"/>
    <col min="4" max="4" width="9.81640625" style="504" customWidth="1"/>
    <col min="5" max="5" width="10.1796875" style="504" customWidth="1"/>
    <col min="6" max="6" width="10.26953125" style="504" bestFit="1" customWidth="1"/>
    <col min="7" max="7" width="9.81640625" style="504" customWidth="1"/>
    <col min="8" max="8" width="12.26953125" style="504" customWidth="1"/>
    <col min="9" max="9" width="10.26953125" style="504" bestFit="1" customWidth="1"/>
    <col min="10" max="10" width="12" style="504" customWidth="1"/>
    <col min="11" max="11" width="10.26953125" style="504" bestFit="1" customWidth="1"/>
    <col min="12" max="12" width="10.26953125" style="504" customWidth="1"/>
    <col min="13" max="13" width="10.26953125" style="504" bestFit="1" customWidth="1"/>
    <col min="14" max="14" width="9.54296875" style="504" customWidth="1"/>
    <col min="15" max="15" width="13.54296875" style="504" customWidth="1"/>
    <col min="16" max="16" width="13.7265625" style="506" customWidth="1"/>
    <col min="17" max="16384" width="11.453125" style="504"/>
  </cols>
  <sheetData>
    <row r="1" spans="1:16" x14ac:dyDescent="0.25">
      <c r="B1" s="505"/>
    </row>
    <row r="2" spans="1:16" ht="15.75" customHeight="1" x14ac:dyDescent="0.25">
      <c r="B2" s="1086" t="s">
        <v>497</v>
      </c>
      <c r="C2" s="1086"/>
      <c r="D2" s="1086"/>
      <c r="E2" s="1086"/>
      <c r="F2" s="1086"/>
      <c r="G2" s="1086"/>
      <c r="H2" s="1086"/>
      <c r="I2" s="1086"/>
      <c r="J2" s="1086"/>
      <c r="K2" s="1086"/>
      <c r="L2" s="1086"/>
      <c r="M2" s="1086"/>
      <c r="N2" s="1086"/>
      <c r="O2" s="1086"/>
      <c r="P2" s="507"/>
    </row>
    <row r="3" spans="1:16" ht="7.5" customHeight="1" x14ac:dyDescent="0.25">
      <c r="B3" s="508"/>
      <c r="C3" s="508"/>
      <c r="D3" s="508"/>
      <c r="E3" s="508"/>
      <c r="F3" s="508"/>
      <c r="G3" s="508"/>
      <c r="H3" s="508"/>
      <c r="I3" s="508"/>
      <c r="J3" s="508"/>
      <c r="K3" s="508"/>
      <c r="L3" s="508"/>
      <c r="M3" s="508"/>
      <c r="N3" s="508"/>
      <c r="O3" s="508"/>
      <c r="P3" s="507"/>
    </row>
    <row r="4" spans="1:16" ht="14.5" x14ac:dyDescent="0.35">
      <c r="B4" s="1082" t="s">
        <v>316</v>
      </c>
      <c r="C4" s="1082"/>
      <c r="D4" s="1082"/>
      <c r="E4" s="1082"/>
      <c r="F4" s="1084" t="s">
        <v>317</v>
      </c>
      <c r="G4" s="1084"/>
      <c r="H4" s="1084"/>
      <c r="J4" s="509">
        <v>2782</v>
      </c>
    </row>
    <row r="5" spans="1:16" ht="26" x14ac:dyDescent="0.25">
      <c r="B5" s="510" t="s">
        <v>318</v>
      </c>
      <c r="C5" s="511" t="s">
        <v>0</v>
      </c>
      <c r="D5" s="511" t="s">
        <v>1</v>
      </c>
      <c r="E5" s="511" t="s">
        <v>2</v>
      </c>
      <c r="F5" s="511" t="s">
        <v>3</v>
      </c>
      <c r="G5" s="511" t="s">
        <v>4</v>
      </c>
      <c r="H5" s="512" t="s">
        <v>5</v>
      </c>
      <c r="I5" s="511" t="s">
        <v>6</v>
      </c>
      <c r="J5" s="511" t="s">
        <v>7</v>
      </c>
      <c r="K5" s="511" t="s">
        <v>8</v>
      </c>
      <c r="L5" s="511" t="s">
        <v>9</v>
      </c>
      <c r="M5" s="511" t="s">
        <v>10</v>
      </c>
      <c r="N5" s="511" t="s">
        <v>14</v>
      </c>
      <c r="O5" s="513" t="s">
        <v>319</v>
      </c>
    </row>
    <row r="6" spans="1:16" ht="13" x14ac:dyDescent="0.3">
      <c r="B6" s="514">
        <v>2021</v>
      </c>
      <c r="C6" s="515">
        <v>212</v>
      </c>
      <c r="D6" s="515">
        <v>186</v>
      </c>
      <c r="E6" s="515">
        <v>202</v>
      </c>
      <c r="F6" s="515">
        <v>185</v>
      </c>
      <c r="G6" s="515">
        <v>203</v>
      </c>
      <c r="H6" s="515">
        <v>188</v>
      </c>
      <c r="I6" s="515">
        <v>207</v>
      </c>
      <c r="J6" s="515">
        <v>189</v>
      </c>
      <c r="K6" s="515">
        <v>187</v>
      </c>
      <c r="L6" s="515">
        <v>190</v>
      </c>
      <c r="M6" s="515">
        <v>193</v>
      </c>
      <c r="N6" s="515">
        <v>189</v>
      </c>
      <c r="O6" s="515">
        <f>+AVERAGE(C6:N6)</f>
        <v>194.25</v>
      </c>
    </row>
    <row r="7" spans="1:16" ht="13" x14ac:dyDescent="0.3">
      <c r="B7" s="514">
        <v>2022</v>
      </c>
      <c r="C7" s="515">
        <v>190</v>
      </c>
      <c r="D7" s="515">
        <v>181</v>
      </c>
      <c r="E7" s="515">
        <v>174</v>
      </c>
      <c r="F7" s="515">
        <v>212</v>
      </c>
      <c r="G7" s="515">
        <v>188</v>
      </c>
      <c r="H7" s="515">
        <v>181</v>
      </c>
      <c r="I7" s="515">
        <v>198</v>
      </c>
      <c r="J7" s="515">
        <v>186</v>
      </c>
      <c r="K7" s="515">
        <v>175</v>
      </c>
      <c r="L7" s="515">
        <v>182</v>
      </c>
      <c r="M7" s="515">
        <v>196</v>
      </c>
      <c r="N7" s="515">
        <v>205</v>
      </c>
      <c r="O7" s="515">
        <f>+AVERAGE(C7:N7)</f>
        <v>189</v>
      </c>
    </row>
    <row r="8" spans="1:16" ht="13" x14ac:dyDescent="0.3">
      <c r="B8" s="514">
        <v>2023</v>
      </c>
      <c r="C8" s="515">
        <v>199</v>
      </c>
      <c r="D8" s="515">
        <v>176</v>
      </c>
      <c r="E8" s="515">
        <v>202</v>
      </c>
      <c r="F8" s="515">
        <v>197</v>
      </c>
      <c r="G8" s="515">
        <v>209</v>
      </c>
      <c r="H8" s="515">
        <v>182</v>
      </c>
      <c r="I8" s="515">
        <v>223</v>
      </c>
      <c r="J8" s="515">
        <v>208</v>
      </c>
      <c r="K8" s="515">
        <v>207</v>
      </c>
      <c r="L8" s="515">
        <v>230</v>
      </c>
      <c r="M8" s="515">
        <v>207</v>
      </c>
      <c r="N8" s="515">
        <v>242</v>
      </c>
      <c r="O8" s="515">
        <f>+AVERAGE(C8:N8)</f>
        <v>206.83333333333334</v>
      </c>
    </row>
    <row r="9" spans="1:16" ht="13" x14ac:dyDescent="0.3">
      <c r="B9" s="514">
        <v>2024</v>
      </c>
      <c r="C9" s="515">
        <v>213</v>
      </c>
      <c r="D9" s="515">
        <v>199</v>
      </c>
      <c r="E9" s="515">
        <v>199</v>
      </c>
      <c r="F9" s="515">
        <v>201</v>
      </c>
      <c r="G9" s="515">
        <v>216</v>
      </c>
      <c r="H9" s="515">
        <v>209</v>
      </c>
      <c r="I9" s="515">
        <v>220</v>
      </c>
      <c r="J9" s="515">
        <v>197</v>
      </c>
      <c r="K9" s="515">
        <v>231</v>
      </c>
      <c r="L9" s="515">
        <v>234</v>
      </c>
      <c r="M9" s="515">
        <v>235</v>
      </c>
      <c r="N9" s="515">
        <v>241</v>
      </c>
      <c r="O9" s="515">
        <f>+AVERAGE(C9:N9)</f>
        <v>216.25</v>
      </c>
    </row>
    <row r="10" spans="1:16" ht="13" x14ac:dyDescent="0.3">
      <c r="B10" s="516">
        <v>2025</v>
      </c>
      <c r="C10" s="517">
        <v>246</v>
      </c>
      <c r="D10" s="517">
        <v>237</v>
      </c>
      <c r="E10" s="517">
        <v>244</v>
      </c>
      <c r="F10" s="517">
        <v>220</v>
      </c>
      <c r="G10" s="517">
        <v>247</v>
      </c>
      <c r="H10" s="517">
        <v>214</v>
      </c>
      <c r="I10" s="517">
        <v>212</v>
      </c>
      <c r="J10" s="517">
        <v>227</v>
      </c>
      <c r="K10" s="517">
        <v>209</v>
      </c>
      <c r="L10" s="517">
        <v>221</v>
      </c>
      <c r="M10" s="517">
        <v>228</v>
      </c>
      <c r="N10" s="517">
        <v>243</v>
      </c>
      <c r="O10" s="517">
        <f>+AVERAGE(C10:N10)</f>
        <v>229</v>
      </c>
    </row>
    <row r="11" spans="1:16" ht="13" x14ac:dyDescent="0.3">
      <c r="B11" s="510" t="s">
        <v>305</v>
      </c>
      <c r="C11" s="518">
        <f>SUM(C6:C10)</f>
        <v>1060</v>
      </c>
      <c r="D11" s="518">
        <f t="shared" ref="D11:N11" si="0">SUM(D6:D10)</f>
        <v>979</v>
      </c>
      <c r="E11" s="518">
        <f t="shared" si="0"/>
        <v>1021</v>
      </c>
      <c r="F11" s="518">
        <f t="shared" si="0"/>
        <v>1015</v>
      </c>
      <c r="G11" s="518">
        <f t="shared" si="0"/>
        <v>1063</v>
      </c>
      <c r="H11" s="518">
        <f t="shared" si="0"/>
        <v>974</v>
      </c>
      <c r="I11" s="518">
        <f t="shared" si="0"/>
        <v>1060</v>
      </c>
      <c r="J11" s="518">
        <f t="shared" si="0"/>
        <v>1007</v>
      </c>
      <c r="K11" s="518">
        <f t="shared" si="0"/>
        <v>1009</v>
      </c>
      <c r="L11" s="518">
        <f t="shared" si="0"/>
        <v>1057</v>
      </c>
      <c r="M11" s="518">
        <f t="shared" si="0"/>
        <v>1059</v>
      </c>
      <c r="N11" s="518">
        <f t="shared" si="0"/>
        <v>1120</v>
      </c>
      <c r="O11" s="518"/>
      <c r="P11" s="519"/>
    </row>
    <row r="12" spans="1:16" ht="21" customHeight="1" x14ac:dyDescent="0.25">
      <c r="A12" s="520"/>
      <c r="B12" s="521" t="s">
        <v>320</v>
      </c>
      <c r="C12" s="522">
        <f>+C11/5</f>
        <v>212</v>
      </c>
      <c r="D12" s="522">
        <f t="shared" ref="D12:N12" si="1">+D11/5</f>
        <v>195.8</v>
      </c>
      <c r="E12" s="522">
        <f t="shared" si="1"/>
        <v>204.2</v>
      </c>
      <c r="F12" s="522">
        <f t="shared" si="1"/>
        <v>203</v>
      </c>
      <c r="G12" s="522">
        <f t="shared" si="1"/>
        <v>212.6</v>
      </c>
      <c r="H12" s="522">
        <f t="shared" si="1"/>
        <v>194.8</v>
      </c>
      <c r="I12" s="522">
        <f t="shared" si="1"/>
        <v>212</v>
      </c>
      <c r="J12" s="522">
        <f t="shared" si="1"/>
        <v>201.4</v>
      </c>
      <c r="K12" s="522">
        <f t="shared" si="1"/>
        <v>201.8</v>
      </c>
      <c r="L12" s="522">
        <f t="shared" si="1"/>
        <v>211.4</v>
      </c>
      <c r="M12" s="522">
        <f t="shared" si="1"/>
        <v>211.8</v>
      </c>
      <c r="N12" s="522">
        <f t="shared" si="1"/>
        <v>224</v>
      </c>
      <c r="O12" s="522">
        <f>AVERAGE(C12:N12)</f>
        <v>207.06666666666669</v>
      </c>
      <c r="P12" s="523" t="s">
        <v>321</v>
      </c>
    </row>
    <row r="13" spans="1:16" ht="13" x14ac:dyDescent="0.3">
      <c r="B13" s="524" t="s">
        <v>322</v>
      </c>
      <c r="C13" s="525">
        <f>C12/$O$12</f>
        <v>1.0238248551191242</v>
      </c>
      <c r="D13" s="525">
        <f t="shared" ref="D13:N13" si="2">D12/$O$12</f>
        <v>0.94558918222794586</v>
      </c>
      <c r="E13" s="525">
        <f t="shared" si="2"/>
        <v>0.98615582743077901</v>
      </c>
      <c r="F13" s="525">
        <f t="shared" si="2"/>
        <v>0.98036059240180284</v>
      </c>
      <c r="G13" s="525">
        <f t="shared" si="2"/>
        <v>1.0267224726336122</v>
      </c>
      <c r="H13" s="525">
        <f t="shared" si="2"/>
        <v>0.94075981970379907</v>
      </c>
      <c r="I13" s="525">
        <f t="shared" si="2"/>
        <v>1.0238248551191242</v>
      </c>
      <c r="J13" s="525">
        <f t="shared" si="2"/>
        <v>0.97263361236316792</v>
      </c>
      <c r="K13" s="525">
        <f t="shared" si="2"/>
        <v>0.97456535737282668</v>
      </c>
      <c r="L13" s="525">
        <f t="shared" si="2"/>
        <v>1.0209272376046361</v>
      </c>
      <c r="M13" s="525">
        <f t="shared" si="2"/>
        <v>1.0228589826142949</v>
      </c>
      <c r="N13" s="525">
        <f t="shared" si="2"/>
        <v>1.0817772054088859</v>
      </c>
      <c r="O13" s="526">
        <f>AVERAGE(C13:N13)</f>
        <v>1</v>
      </c>
    </row>
    <row r="14" spans="1:16" ht="13" x14ac:dyDescent="0.3">
      <c r="B14" s="527" t="s">
        <v>399</v>
      </c>
      <c r="C14" s="528">
        <f>C13*$O$14</f>
        <v>237.35672891178365</v>
      </c>
      <c r="D14" s="528">
        <f t="shared" ref="D14:M14" si="3">D13*$O$14</f>
        <v>219.21909207984547</v>
      </c>
      <c r="E14" s="528">
        <f t="shared" si="3"/>
        <v>228.62379265936895</v>
      </c>
      <c r="F14" s="528">
        <f t="shared" si="3"/>
        <v>227.28026400515131</v>
      </c>
      <c r="G14" s="528">
        <f t="shared" si="3"/>
        <v>238.02849323889242</v>
      </c>
      <c r="H14" s="528">
        <f t="shared" si="3"/>
        <v>218.09948486799743</v>
      </c>
      <c r="I14" s="528">
        <f t="shared" si="3"/>
        <v>237.35672891178365</v>
      </c>
      <c r="J14" s="528">
        <f>J13*$O$14</f>
        <v>225.48889246619444</v>
      </c>
      <c r="K14" s="528">
        <f t="shared" si="3"/>
        <v>225.93673535093367</v>
      </c>
      <c r="L14" s="528">
        <f t="shared" si="3"/>
        <v>236.68496458467482</v>
      </c>
      <c r="M14" s="528">
        <f t="shared" si="3"/>
        <v>237.13280746941405</v>
      </c>
      <c r="N14" s="528">
        <f>N13*$O$14</f>
        <v>250.79201545396006</v>
      </c>
      <c r="O14" s="529">
        <f>J4/12</f>
        <v>231.83333333333334</v>
      </c>
    </row>
    <row r="24" spans="2:16" s="506" customFormat="1" ht="15.5" x14ac:dyDescent="0.35">
      <c r="B24" s="1082" t="s">
        <v>323</v>
      </c>
      <c r="C24" s="1082"/>
      <c r="D24" s="1082"/>
      <c r="E24" s="504"/>
      <c r="F24" s="1083" t="s">
        <v>324</v>
      </c>
      <c r="G24" s="1083"/>
      <c r="H24" s="1083"/>
      <c r="I24" s="504"/>
      <c r="J24" s="530">
        <v>50000000</v>
      </c>
      <c r="K24" s="504"/>
      <c r="L24" s="504"/>
      <c r="M24" s="504"/>
      <c r="N24" s="504"/>
      <c r="O24" s="504"/>
    </row>
    <row r="25" spans="2:16" s="506" customFormat="1" ht="26" x14ac:dyDescent="0.25">
      <c r="B25" s="510" t="s">
        <v>318</v>
      </c>
      <c r="C25" s="511" t="s">
        <v>0</v>
      </c>
      <c r="D25" s="511" t="s">
        <v>1</v>
      </c>
      <c r="E25" s="511" t="s">
        <v>2</v>
      </c>
      <c r="F25" s="511" t="s">
        <v>3</v>
      </c>
      <c r="G25" s="511" t="s">
        <v>4</v>
      </c>
      <c r="H25" s="512" t="s">
        <v>5</v>
      </c>
      <c r="I25" s="511" t="s">
        <v>6</v>
      </c>
      <c r="J25" s="511" t="s">
        <v>7</v>
      </c>
      <c r="K25" s="511" t="s">
        <v>8</v>
      </c>
      <c r="L25" s="511" t="s">
        <v>9</v>
      </c>
      <c r="M25" s="511" t="s">
        <v>10</v>
      </c>
      <c r="N25" s="511" t="s">
        <v>14</v>
      </c>
      <c r="O25" s="513" t="s">
        <v>319</v>
      </c>
    </row>
    <row r="26" spans="2:16" s="506" customFormat="1" ht="13" x14ac:dyDescent="0.3">
      <c r="B26" s="514">
        <v>2021</v>
      </c>
      <c r="C26" s="515">
        <v>2223169.3821590096</v>
      </c>
      <c r="D26" s="515">
        <v>2173246.3208799986</v>
      </c>
      <c r="E26" s="515">
        <v>2436883.8822279926</v>
      </c>
      <c r="F26" s="515">
        <v>2434519.0148379733</v>
      </c>
      <c r="G26" s="515">
        <v>2516183.4297959893</v>
      </c>
      <c r="H26" s="515">
        <v>2498912.3973319922</v>
      </c>
      <c r="I26" s="515">
        <v>2754609.9299730058</v>
      </c>
      <c r="J26" s="515">
        <v>2073864.134424007</v>
      </c>
      <c r="K26" s="515">
        <v>2377822.4630630193</v>
      </c>
      <c r="L26" s="515">
        <v>2206532.8347390224</v>
      </c>
      <c r="M26" s="515">
        <v>2492475.5566900051</v>
      </c>
      <c r="N26" s="515">
        <v>2125649.3903480163</v>
      </c>
      <c r="O26" s="515">
        <f>+AVERAGE(C26:N26)</f>
        <v>2359489.0613725027</v>
      </c>
    </row>
    <row r="27" spans="2:16" s="506" customFormat="1" ht="13" x14ac:dyDescent="0.3">
      <c r="B27" s="514">
        <v>2022</v>
      </c>
      <c r="C27" s="515">
        <v>2190991.022728994</v>
      </c>
      <c r="D27" s="515">
        <v>2302829.8011139967</v>
      </c>
      <c r="E27" s="515">
        <v>2517802.2585480092</v>
      </c>
      <c r="F27" s="515">
        <v>2561043.3860370032</v>
      </c>
      <c r="G27" s="515">
        <v>2624709.1713250014</v>
      </c>
      <c r="H27" s="515">
        <v>2314960.1497370065</v>
      </c>
      <c r="I27" s="515">
        <v>2572759.8073170059</v>
      </c>
      <c r="J27" s="515">
        <v>2468715.0957730035</v>
      </c>
      <c r="K27" s="515">
        <v>2152902.8210110036</v>
      </c>
      <c r="L27" s="515">
        <v>2429934.6231020084</v>
      </c>
      <c r="M27" s="515">
        <v>2328710.0546990032</v>
      </c>
      <c r="N27" s="515">
        <v>2203744.1578399972</v>
      </c>
      <c r="O27" s="515">
        <f>+AVERAGE(C27:N27)</f>
        <v>2389091.8624360031</v>
      </c>
    </row>
    <row r="28" spans="2:16" s="506" customFormat="1" ht="13" x14ac:dyDescent="0.3">
      <c r="B28" s="514">
        <v>2023</v>
      </c>
      <c r="C28" s="515">
        <v>2886618.3235850092</v>
      </c>
      <c r="D28" s="515">
        <v>2621699.1179780052</v>
      </c>
      <c r="E28" s="515">
        <v>2727007.0305160056</v>
      </c>
      <c r="F28" s="515">
        <v>2889461.2207667381</v>
      </c>
      <c r="G28" s="515">
        <v>2921298.0614899946</v>
      </c>
      <c r="H28" s="515">
        <v>2503381.8815312567</v>
      </c>
      <c r="I28" s="515">
        <v>2887044.2735229796</v>
      </c>
      <c r="J28" s="515">
        <v>3109845.8530879989</v>
      </c>
      <c r="K28" s="515">
        <v>2957123.0421810029</v>
      </c>
      <c r="L28" s="515">
        <v>3036907.3416149961</v>
      </c>
      <c r="M28" s="515">
        <v>2892474.1698439806</v>
      </c>
      <c r="N28" s="515">
        <v>3271139.7844240074</v>
      </c>
      <c r="O28" s="515">
        <f>+AVERAGE(C28:N28)</f>
        <v>2892000.0083784983</v>
      </c>
    </row>
    <row r="29" spans="2:16" s="506" customFormat="1" ht="13" x14ac:dyDescent="0.3">
      <c r="B29" s="514">
        <v>2024</v>
      </c>
      <c r="C29" s="515">
        <v>2969157.2037429977</v>
      </c>
      <c r="D29" s="515">
        <v>3175084.5261790063</v>
      </c>
      <c r="E29" s="515">
        <v>2993427.5990069956</v>
      </c>
      <c r="F29" s="515">
        <v>3511455.7443110258</v>
      </c>
      <c r="G29" s="515">
        <v>3728619.0962329716</v>
      </c>
      <c r="H29" s="515">
        <v>3071973.2404150055</v>
      </c>
      <c r="I29" s="515">
        <v>3424276.1751129953</v>
      </c>
      <c r="J29" s="515">
        <v>3163809.8316720002</v>
      </c>
      <c r="K29" s="515">
        <v>3474909.8090209928</v>
      </c>
      <c r="L29" s="515">
        <v>3353017.8330359873</v>
      </c>
      <c r="M29" s="515">
        <v>3550152.317778023</v>
      </c>
      <c r="N29" s="515">
        <v>3687024.7556220233</v>
      </c>
      <c r="O29" s="515">
        <f>+AVERAGE(C29:N29)</f>
        <v>3341909.0110108354</v>
      </c>
    </row>
    <row r="30" spans="2:16" s="506" customFormat="1" ht="13" x14ac:dyDescent="0.3">
      <c r="B30" s="516">
        <v>2025</v>
      </c>
      <c r="C30" s="517">
        <v>3615145.5114890225</v>
      </c>
      <c r="D30" s="517">
        <v>3783743.1524409913</v>
      </c>
      <c r="E30" s="517">
        <v>3803233.9166429983</v>
      </c>
      <c r="F30" s="517">
        <v>3843718.9808730246</v>
      </c>
      <c r="G30" s="517">
        <v>4162238.788202018</v>
      </c>
      <c r="H30" s="517">
        <v>3625573.8188910265</v>
      </c>
      <c r="I30" s="517">
        <v>4135296.1531300237</v>
      </c>
      <c r="J30" s="517">
        <v>4273333.7455200031</v>
      </c>
      <c r="K30" s="517">
        <v>3846162.0129199973</v>
      </c>
      <c r="L30" s="517">
        <v>3786490.8477910752</v>
      </c>
      <c r="M30" s="517">
        <v>3690333.3686800259</v>
      </c>
      <c r="N30" s="517">
        <v>4370330.8141269982</v>
      </c>
      <c r="O30" s="517">
        <f>+AVERAGE(C30:N30)</f>
        <v>3911300.0925589334</v>
      </c>
    </row>
    <row r="31" spans="2:16" s="506" customFormat="1" ht="13" x14ac:dyDescent="0.3">
      <c r="B31" s="510" t="s">
        <v>305</v>
      </c>
      <c r="C31" s="518">
        <f>SUM(C26:C30)</f>
        <v>13885081.443705034</v>
      </c>
      <c r="D31" s="518">
        <f t="shared" ref="D31:N31" si="4">SUM(D26:D30)</f>
        <v>14056602.918591999</v>
      </c>
      <c r="E31" s="518">
        <f t="shared" si="4"/>
        <v>14478354.686942</v>
      </c>
      <c r="F31" s="518">
        <f t="shared" si="4"/>
        <v>15240198.346825764</v>
      </c>
      <c r="G31" s="518">
        <f t="shared" si="4"/>
        <v>15953048.547045974</v>
      </c>
      <c r="H31" s="518">
        <f t="shared" si="4"/>
        <v>14014801.487906286</v>
      </c>
      <c r="I31" s="518">
        <f t="shared" si="4"/>
        <v>15773986.339056011</v>
      </c>
      <c r="J31" s="518">
        <f t="shared" si="4"/>
        <v>15089568.660477012</v>
      </c>
      <c r="K31" s="518">
        <f t="shared" si="4"/>
        <v>14808920.148196017</v>
      </c>
      <c r="L31" s="518">
        <f t="shared" si="4"/>
        <v>14812883.480283091</v>
      </c>
      <c r="M31" s="518">
        <f t="shared" si="4"/>
        <v>14954145.467691038</v>
      </c>
      <c r="N31" s="518">
        <f t="shared" si="4"/>
        <v>15657888.902361043</v>
      </c>
      <c r="O31" s="518"/>
    </row>
    <row r="32" spans="2:16" ht="21" x14ac:dyDescent="0.25">
      <c r="B32" s="521" t="s">
        <v>320</v>
      </c>
      <c r="C32" s="522">
        <f>C31/5</f>
        <v>2777016.2887410065</v>
      </c>
      <c r="D32" s="522">
        <f>D31/5</f>
        <v>2811320.5837183995</v>
      </c>
      <c r="E32" s="522">
        <f t="shared" ref="E32:N32" si="5">E31/5</f>
        <v>2895670.9373884001</v>
      </c>
      <c r="F32" s="522">
        <f t="shared" si="5"/>
        <v>3048039.6693651527</v>
      </c>
      <c r="G32" s="522">
        <f t="shared" si="5"/>
        <v>3190609.709409195</v>
      </c>
      <c r="H32" s="522">
        <f t="shared" si="5"/>
        <v>2802960.2975812573</v>
      </c>
      <c r="I32" s="522">
        <f t="shared" si="5"/>
        <v>3154797.2678112024</v>
      </c>
      <c r="J32" s="522">
        <f t="shared" si="5"/>
        <v>3017913.7320954027</v>
      </c>
      <c r="K32" s="522">
        <f t="shared" si="5"/>
        <v>2961784.0296392036</v>
      </c>
      <c r="L32" s="522">
        <f t="shared" si="5"/>
        <v>2962576.6960566184</v>
      </c>
      <c r="M32" s="522">
        <f t="shared" si="5"/>
        <v>2990829.0935382075</v>
      </c>
      <c r="N32" s="522">
        <f t="shared" si="5"/>
        <v>3131577.7804722087</v>
      </c>
      <c r="O32" s="522">
        <f>AVERAGE(C32:N32)</f>
        <v>2978758.0071513541</v>
      </c>
      <c r="P32" s="523" t="s">
        <v>321</v>
      </c>
    </row>
    <row r="33" spans="2:16" ht="13" x14ac:dyDescent="0.3">
      <c r="B33" s="524" t="s">
        <v>322</v>
      </c>
      <c r="C33" s="525">
        <f>C32/$O$32</f>
        <v>0.93227320986598805</v>
      </c>
      <c r="D33" s="525">
        <f t="shared" ref="D33:N33" si="6">D32/$O$32</f>
        <v>0.9437895179699145</v>
      </c>
      <c r="E33" s="525">
        <f t="shared" si="6"/>
        <v>0.97210680774890745</v>
      </c>
      <c r="F33" s="525">
        <f t="shared" si="6"/>
        <v>1.0232585735556459</v>
      </c>
      <c r="G33" s="525">
        <f t="shared" si="6"/>
        <v>1.0711208167126134</v>
      </c>
      <c r="H33" s="525">
        <f t="shared" si="6"/>
        <v>0.94098288308481437</v>
      </c>
      <c r="I33" s="525">
        <f t="shared" si="6"/>
        <v>1.059098208124734</v>
      </c>
      <c r="J33" s="525">
        <f t="shared" si="6"/>
        <v>1.0131449835300632</v>
      </c>
      <c r="K33" s="525">
        <f t="shared" si="6"/>
        <v>0.9943016594596138</v>
      </c>
      <c r="L33" s="525">
        <f t="shared" si="6"/>
        <v>0.99456776580847184</v>
      </c>
      <c r="M33" s="525">
        <f t="shared" si="6"/>
        <v>1.0040523890688244</v>
      </c>
      <c r="N33" s="525">
        <f t="shared" si="6"/>
        <v>1.0513031850704111</v>
      </c>
      <c r="O33" s="526">
        <f>AVERAGE(C33:N33)</f>
        <v>1.0000000000000002</v>
      </c>
    </row>
    <row r="34" spans="2:16" ht="13" x14ac:dyDescent="0.3">
      <c r="B34" s="527" t="s">
        <v>399</v>
      </c>
      <c r="C34" s="528">
        <f>C33*$O$34</f>
        <v>3884471.7077749502</v>
      </c>
      <c r="D34" s="528">
        <f t="shared" ref="D34:N34" si="7">D33*$O$34</f>
        <v>3932456.3248746437</v>
      </c>
      <c r="E34" s="528">
        <f t="shared" si="7"/>
        <v>4050445.0322871143</v>
      </c>
      <c r="F34" s="528">
        <f t="shared" si="7"/>
        <v>4263577.3898151908</v>
      </c>
      <c r="G34" s="528">
        <f t="shared" si="7"/>
        <v>4463003.4029692225</v>
      </c>
      <c r="H34" s="528">
        <f t="shared" si="7"/>
        <v>3920762.0128533929</v>
      </c>
      <c r="I34" s="528">
        <f t="shared" si="7"/>
        <v>4412909.2005197247</v>
      </c>
      <c r="J34" s="528">
        <f t="shared" si="7"/>
        <v>4221437.4313752633</v>
      </c>
      <c r="K34" s="528">
        <f t="shared" si="7"/>
        <v>4142923.5810817238</v>
      </c>
      <c r="L34" s="528">
        <f t="shared" si="7"/>
        <v>4144032.3575352994</v>
      </c>
      <c r="M34" s="528">
        <f t="shared" si="7"/>
        <v>4183551.6211201018</v>
      </c>
      <c r="N34" s="528">
        <f t="shared" si="7"/>
        <v>4380429.9377933796</v>
      </c>
      <c r="O34" s="531">
        <f>+J24/12</f>
        <v>4166666.6666666665</v>
      </c>
      <c r="P34" s="532"/>
    </row>
    <row r="44" spans="2:16" ht="15.5" x14ac:dyDescent="0.35">
      <c r="B44" s="1087" t="s">
        <v>325</v>
      </c>
      <c r="C44" s="1087"/>
      <c r="D44" s="1087"/>
      <c r="F44" s="1083" t="s">
        <v>326</v>
      </c>
      <c r="G44" s="1083"/>
      <c r="H44" s="1083"/>
      <c r="J44" s="530">
        <v>12500000</v>
      </c>
    </row>
    <row r="45" spans="2:16" ht="26" x14ac:dyDescent="0.25">
      <c r="B45" s="510" t="s">
        <v>318</v>
      </c>
      <c r="C45" s="511" t="s">
        <v>0</v>
      </c>
      <c r="D45" s="511" t="s">
        <v>1</v>
      </c>
      <c r="E45" s="511" t="s">
        <v>2</v>
      </c>
      <c r="F45" s="511" t="s">
        <v>3</v>
      </c>
      <c r="G45" s="511" t="s">
        <v>4</v>
      </c>
      <c r="H45" s="512" t="s">
        <v>5</v>
      </c>
      <c r="I45" s="511" t="s">
        <v>6</v>
      </c>
      <c r="J45" s="511" t="s">
        <v>7</v>
      </c>
      <c r="K45" s="511" t="s">
        <v>8</v>
      </c>
      <c r="L45" s="511" t="s">
        <v>9</v>
      </c>
      <c r="M45" s="511" t="s">
        <v>10</v>
      </c>
      <c r="N45" s="511" t="s">
        <v>14</v>
      </c>
      <c r="O45" s="513" t="s">
        <v>319</v>
      </c>
    </row>
    <row r="46" spans="2:16" ht="13" x14ac:dyDescent="0.3">
      <c r="B46" s="514">
        <v>2021</v>
      </c>
      <c r="C46" s="515">
        <v>524642.25604799995</v>
      </c>
      <c r="D46" s="515">
        <v>692964.74744999991</v>
      </c>
      <c r="E46" s="515">
        <v>432596.08513200004</v>
      </c>
      <c r="F46" s="515">
        <v>700178.07264799997</v>
      </c>
      <c r="G46" s="515">
        <v>447449.81425699993</v>
      </c>
      <c r="H46" s="515">
        <v>720406.88110300014</v>
      </c>
      <c r="I46" s="515">
        <v>726924.61008999962</v>
      </c>
      <c r="J46" s="515">
        <v>362636.680589</v>
      </c>
      <c r="K46" s="515">
        <v>516475.46689000021</v>
      </c>
      <c r="L46" s="515">
        <v>429557.92437499954</v>
      </c>
      <c r="M46" s="515">
        <v>726306.57363400026</v>
      </c>
      <c r="N46" s="515">
        <v>437735.91386100015</v>
      </c>
      <c r="O46" s="515">
        <f>AVERAGE(C46:N46)</f>
        <v>559822.91883975</v>
      </c>
    </row>
    <row r="47" spans="2:16" ht="13" x14ac:dyDescent="0.3">
      <c r="B47" s="514">
        <v>2022</v>
      </c>
      <c r="C47" s="515">
        <v>573082.95553400053</v>
      </c>
      <c r="D47" s="515">
        <v>627857.43137200037</v>
      </c>
      <c r="E47" s="515">
        <v>559740.47435500054</v>
      </c>
      <c r="F47" s="515">
        <v>623000.93814999994</v>
      </c>
      <c r="G47" s="515">
        <v>606821.77572000003</v>
      </c>
      <c r="H47" s="515">
        <v>592851.04605800053</v>
      </c>
      <c r="I47" s="515">
        <v>522382.93897999986</v>
      </c>
      <c r="J47" s="515">
        <v>606250.81603600038</v>
      </c>
      <c r="K47" s="515">
        <v>625933.10899999982</v>
      </c>
      <c r="L47" s="515">
        <v>851901.46546999994</v>
      </c>
      <c r="M47" s="515">
        <v>588988.42722000007</v>
      </c>
      <c r="N47" s="515">
        <v>472017.68299999979</v>
      </c>
      <c r="O47" s="515">
        <f>AVERAGE(C47:N47)</f>
        <v>604235.75507458346</v>
      </c>
    </row>
    <row r="48" spans="2:16" ht="13" x14ac:dyDescent="0.3">
      <c r="B48" s="514">
        <v>2023</v>
      </c>
      <c r="C48" s="515">
        <v>796707.81929999974</v>
      </c>
      <c r="D48" s="515">
        <v>696721.62546000013</v>
      </c>
      <c r="E48" s="515">
        <v>553717.81850000017</v>
      </c>
      <c r="F48" s="515">
        <v>748309.05996999948</v>
      </c>
      <c r="G48" s="515">
        <v>754052.25622599956</v>
      </c>
      <c r="H48" s="515">
        <v>545436.43328</v>
      </c>
      <c r="I48" s="515">
        <v>414020.69591999991</v>
      </c>
      <c r="J48" s="515">
        <v>812863.56614000001</v>
      </c>
      <c r="K48" s="515">
        <v>821040.77331000019</v>
      </c>
      <c r="L48" s="515">
        <v>781799.77188199991</v>
      </c>
      <c r="M48" s="515">
        <v>603367.29483999999</v>
      </c>
      <c r="N48" s="515">
        <v>859103.30473600025</v>
      </c>
      <c r="O48" s="515">
        <f>AVERAGE(C48:N48)</f>
        <v>698928.36829699995</v>
      </c>
    </row>
    <row r="49" spans="2:16" ht="13" x14ac:dyDescent="0.3">
      <c r="B49" s="514">
        <v>2024</v>
      </c>
      <c r="C49" s="515">
        <v>824547.31307099981</v>
      </c>
      <c r="D49" s="515">
        <v>888800.12676000013</v>
      </c>
      <c r="E49" s="515">
        <v>765366.99</v>
      </c>
      <c r="F49" s="515">
        <v>700200.4341999999</v>
      </c>
      <c r="G49" s="515">
        <v>876045.51328800002</v>
      </c>
      <c r="H49" s="515">
        <v>564320.35760999972</v>
      </c>
      <c r="I49" s="515">
        <v>995683.52799999947</v>
      </c>
      <c r="J49" s="515">
        <v>784280.74817400007</v>
      </c>
      <c r="K49" s="515">
        <v>796545.05322999996</v>
      </c>
      <c r="L49" s="515">
        <v>710712.92432300025</v>
      </c>
      <c r="M49" s="515">
        <v>828509.74658299994</v>
      </c>
      <c r="N49" s="515">
        <v>721098.84314400016</v>
      </c>
      <c r="O49" s="515">
        <f>AVERAGE(C49:N49)</f>
        <v>788009.29819858342</v>
      </c>
    </row>
    <row r="50" spans="2:16" ht="13" x14ac:dyDescent="0.3">
      <c r="B50" s="516">
        <v>2025</v>
      </c>
      <c r="C50" s="517">
        <v>989187.69632300024</v>
      </c>
      <c r="D50" s="517">
        <v>758511.37625000055</v>
      </c>
      <c r="E50" s="517">
        <v>915160.21119999979</v>
      </c>
      <c r="F50" s="517">
        <v>853163.80900599982</v>
      </c>
      <c r="G50" s="517">
        <v>879849.37970000005</v>
      </c>
      <c r="H50" s="517">
        <v>876832.91599999997</v>
      </c>
      <c r="I50" s="517">
        <v>1016953.3850000007</v>
      </c>
      <c r="J50" s="517">
        <v>1052462.389</v>
      </c>
      <c r="K50" s="517">
        <v>1059584.6050000002</v>
      </c>
      <c r="L50" s="517">
        <v>821461.43184499978</v>
      </c>
      <c r="M50" s="517">
        <v>937973.90999999968</v>
      </c>
      <c r="N50" s="517">
        <v>1201150.7485779987</v>
      </c>
      <c r="O50" s="517">
        <f>AVERAGE(C50:N50)</f>
        <v>946857.6548251668</v>
      </c>
    </row>
    <row r="51" spans="2:16" ht="13" x14ac:dyDescent="0.3">
      <c r="B51" s="510" t="s">
        <v>305</v>
      </c>
      <c r="C51" s="518">
        <f>SUM(C46:C50)</f>
        <v>3708168.0402760003</v>
      </c>
      <c r="D51" s="518">
        <f t="shared" ref="D51:N51" si="8">SUM(D46:D50)</f>
        <v>3664855.3072920013</v>
      </c>
      <c r="E51" s="518">
        <f t="shared" si="8"/>
        <v>3226581.5791870002</v>
      </c>
      <c r="F51" s="518">
        <f t="shared" si="8"/>
        <v>3624852.3139739991</v>
      </c>
      <c r="G51" s="518">
        <f t="shared" si="8"/>
        <v>3564218.7391909994</v>
      </c>
      <c r="H51" s="518">
        <f t="shared" si="8"/>
        <v>3299847.6340510007</v>
      </c>
      <c r="I51" s="518">
        <f t="shared" si="8"/>
        <v>3675965.1579899993</v>
      </c>
      <c r="J51" s="518">
        <f t="shared" si="8"/>
        <v>3618494.1999390004</v>
      </c>
      <c r="K51" s="518">
        <f t="shared" si="8"/>
        <v>3819579.0074300002</v>
      </c>
      <c r="L51" s="518">
        <f t="shared" si="8"/>
        <v>3595433.5178949991</v>
      </c>
      <c r="M51" s="518">
        <f t="shared" si="8"/>
        <v>3685145.9522770001</v>
      </c>
      <c r="N51" s="518">
        <f t="shared" si="8"/>
        <v>3691106.4933189992</v>
      </c>
      <c r="O51" s="518"/>
    </row>
    <row r="52" spans="2:16" ht="21" x14ac:dyDescent="0.25">
      <c r="B52" s="521" t="s">
        <v>320</v>
      </c>
      <c r="C52" s="522">
        <f>C51/5</f>
        <v>741633.60805520008</v>
      </c>
      <c r="D52" s="522">
        <f t="shared" ref="D52:N52" si="9">D51/5</f>
        <v>732971.06145840022</v>
      </c>
      <c r="E52" s="522">
        <f t="shared" si="9"/>
        <v>645316.31583740003</v>
      </c>
      <c r="F52" s="522">
        <f t="shared" si="9"/>
        <v>724970.46279479982</v>
      </c>
      <c r="G52" s="522">
        <f t="shared" si="9"/>
        <v>712843.74783819984</v>
      </c>
      <c r="H52" s="522">
        <f t="shared" si="9"/>
        <v>659969.52681020019</v>
      </c>
      <c r="I52" s="522">
        <f t="shared" si="9"/>
        <v>735193.03159799986</v>
      </c>
      <c r="J52" s="522">
        <f t="shared" si="9"/>
        <v>723698.83998780011</v>
      </c>
      <c r="K52" s="522">
        <f t="shared" si="9"/>
        <v>763915.80148600007</v>
      </c>
      <c r="L52" s="522">
        <f t="shared" si="9"/>
        <v>719086.70357899985</v>
      </c>
      <c r="M52" s="522">
        <f t="shared" si="9"/>
        <v>737029.19045540004</v>
      </c>
      <c r="N52" s="522">
        <f t="shared" si="9"/>
        <v>738221.29866379988</v>
      </c>
      <c r="O52" s="522">
        <f>AVERAGE(C52:N52)</f>
        <v>719570.79904701689</v>
      </c>
      <c r="P52" s="523" t="s">
        <v>321</v>
      </c>
    </row>
    <row r="53" spans="2:16" ht="13" x14ac:dyDescent="0.3">
      <c r="B53" s="524" t="s">
        <v>322</v>
      </c>
      <c r="C53" s="525">
        <f>C52/$O$52</f>
        <v>1.03066106773288</v>
      </c>
      <c r="D53" s="525">
        <f t="shared" ref="D53:N53" si="10">D52/$O$52</f>
        <v>1.0186225767209152</v>
      </c>
      <c r="E53" s="525">
        <f t="shared" si="10"/>
        <v>0.89680725884380275</v>
      </c>
      <c r="F53" s="525">
        <f t="shared" si="10"/>
        <v>1.0075040062144462</v>
      </c>
      <c r="G53" s="525">
        <f t="shared" si="10"/>
        <v>0.99065130044503447</v>
      </c>
      <c r="H53" s="525">
        <f t="shared" si="10"/>
        <v>0.91717107987740576</v>
      </c>
      <c r="I53" s="525">
        <f t="shared" si="10"/>
        <v>1.0217104871010227</v>
      </c>
      <c r="J53" s="525">
        <f t="shared" si="10"/>
        <v>1.0057368099792965</v>
      </c>
      <c r="K53" s="525">
        <f t="shared" si="10"/>
        <v>1.0616270177968765</v>
      </c>
      <c r="L53" s="525">
        <f t="shared" si="10"/>
        <v>0.99932724414517904</v>
      </c>
      <c r="M53" s="525">
        <f t="shared" si="10"/>
        <v>1.0242622288612944</v>
      </c>
      <c r="N53" s="525">
        <f t="shared" si="10"/>
        <v>1.0259189222818426</v>
      </c>
      <c r="O53" s="526">
        <f>AVERAGE(C53:N53)</f>
        <v>0.99999999999999989</v>
      </c>
    </row>
    <row r="54" spans="2:16" ht="13" x14ac:dyDescent="0.3">
      <c r="B54" s="527" t="s">
        <v>399</v>
      </c>
      <c r="C54" s="528">
        <f>C53*$O$54</f>
        <v>1073605.2788884167</v>
      </c>
      <c r="D54" s="528">
        <f t="shared" ref="D54:N54" si="11">D53*$O$54</f>
        <v>1061065.1840842867</v>
      </c>
      <c r="E54" s="528">
        <f t="shared" si="11"/>
        <v>934174.22796229448</v>
      </c>
      <c r="F54" s="528">
        <f t="shared" si="11"/>
        <v>1049483.3398067148</v>
      </c>
      <c r="G54" s="528">
        <f t="shared" si="11"/>
        <v>1031928.4379635776</v>
      </c>
      <c r="H54" s="528">
        <f t="shared" si="11"/>
        <v>955386.54153896426</v>
      </c>
      <c r="I54" s="528">
        <f t="shared" si="11"/>
        <v>1064281.7573968987</v>
      </c>
      <c r="J54" s="528">
        <f t="shared" si="11"/>
        <v>1047642.5103951005</v>
      </c>
      <c r="K54" s="528">
        <f t="shared" si="11"/>
        <v>1105861.4768717464</v>
      </c>
      <c r="L54" s="528">
        <f t="shared" si="11"/>
        <v>1040965.8793178948</v>
      </c>
      <c r="M54" s="528">
        <f t="shared" si="11"/>
        <v>1066939.821730515</v>
      </c>
      <c r="N54" s="528">
        <f t="shared" si="11"/>
        <v>1068665.5440435859</v>
      </c>
      <c r="O54" s="531">
        <f>J44/12</f>
        <v>1041666.6666666666</v>
      </c>
      <c r="P54" s="532"/>
    </row>
    <row r="64" spans="2:16" s="506" customFormat="1" ht="15.5" x14ac:dyDescent="0.35">
      <c r="B64" s="1087" t="s">
        <v>327</v>
      </c>
      <c r="C64" s="1087"/>
      <c r="D64" s="1087"/>
      <c r="E64" s="1087"/>
      <c r="F64" s="1083" t="s">
        <v>326</v>
      </c>
      <c r="G64" s="1083"/>
      <c r="H64" s="1083"/>
      <c r="I64" s="504"/>
      <c r="J64" s="509">
        <f>+J24-J44-J84</f>
        <v>36505000</v>
      </c>
      <c r="K64" s="504"/>
      <c r="L64" s="533"/>
      <c r="M64" s="504"/>
      <c r="N64" s="504"/>
      <c r="O64" s="504"/>
    </row>
    <row r="65" spans="2:16" s="506" customFormat="1" ht="26" x14ac:dyDescent="0.25">
      <c r="B65" s="510" t="s">
        <v>318</v>
      </c>
      <c r="C65" s="511" t="s">
        <v>0</v>
      </c>
      <c r="D65" s="511" t="s">
        <v>1</v>
      </c>
      <c r="E65" s="511" t="s">
        <v>2</v>
      </c>
      <c r="F65" s="511" t="s">
        <v>3</v>
      </c>
      <c r="G65" s="511" t="s">
        <v>4</v>
      </c>
      <c r="H65" s="512" t="s">
        <v>5</v>
      </c>
      <c r="I65" s="511" t="s">
        <v>6</v>
      </c>
      <c r="J65" s="511" t="s">
        <v>7</v>
      </c>
      <c r="K65" s="511" t="s">
        <v>8</v>
      </c>
      <c r="L65" s="511" t="s">
        <v>9</v>
      </c>
      <c r="M65" s="511" t="s">
        <v>10</v>
      </c>
      <c r="N65" s="511" t="s">
        <v>14</v>
      </c>
      <c r="O65" s="513" t="s">
        <v>319</v>
      </c>
    </row>
    <row r="66" spans="2:16" s="506" customFormat="1" ht="13" x14ac:dyDescent="0.3">
      <c r="B66" s="514">
        <v>2021</v>
      </c>
      <c r="C66" s="515">
        <v>1550434.0011489983</v>
      </c>
      <c r="D66" s="515">
        <v>1409707.4991100002</v>
      </c>
      <c r="E66" s="515">
        <v>1927805.1384959929</v>
      </c>
      <c r="F66" s="515">
        <v>1625428.3126609982</v>
      </c>
      <c r="G66" s="515">
        <v>1937441.5172349936</v>
      </c>
      <c r="H66" s="515">
        <v>1682707.9328089955</v>
      </c>
      <c r="I66" s="515">
        <v>1932451.3084720077</v>
      </c>
      <c r="J66" s="515">
        <v>1620388.8602900035</v>
      </c>
      <c r="K66" s="515">
        <v>1768084.0518260137</v>
      </c>
      <c r="L66" s="515">
        <v>1677866.2192940183</v>
      </c>
      <c r="M66" s="515">
        <v>1661718.5791259985</v>
      </c>
      <c r="N66" s="515">
        <v>1591774.4123870069</v>
      </c>
      <c r="O66" s="515">
        <f>AVERAGE(C66:N66)</f>
        <v>1698817.3194045853</v>
      </c>
    </row>
    <row r="67" spans="2:16" s="506" customFormat="1" ht="13" x14ac:dyDescent="0.3">
      <c r="B67" s="514">
        <v>2022</v>
      </c>
      <c r="C67" s="515">
        <v>1507457.5283380116</v>
      </c>
      <c r="D67" s="515">
        <v>1603946.5773720019</v>
      </c>
      <c r="E67" s="515">
        <v>1881617.225962996</v>
      </c>
      <c r="F67" s="515">
        <v>1830945.1771770041</v>
      </c>
      <c r="G67" s="515">
        <v>1905153.8185449983</v>
      </c>
      <c r="H67" s="515">
        <v>1627957.1390190041</v>
      </c>
      <c r="I67" s="515">
        <v>1946211.6835570051</v>
      </c>
      <c r="J67" s="515">
        <v>1777763.2893370024</v>
      </c>
      <c r="K67" s="515">
        <v>1444935.1641110063</v>
      </c>
      <c r="L67" s="515">
        <v>1493374.3075320011</v>
      </c>
      <c r="M67" s="515">
        <v>1635252.7546790058</v>
      </c>
      <c r="N67" s="515">
        <v>1615369.6126600006</v>
      </c>
      <c r="O67" s="515">
        <f>AVERAGE(C67:N67)</f>
        <v>1689165.3565241697</v>
      </c>
    </row>
    <row r="68" spans="2:16" s="506" customFormat="1" ht="13" x14ac:dyDescent="0.3">
      <c r="B68" s="514">
        <v>2023</v>
      </c>
      <c r="C68" s="515">
        <v>1909648.3345550038</v>
      </c>
      <c r="D68" s="515">
        <v>1798320.5480580067</v>
      </c>
      <c r="E68" s="515">
        <v>2052485.3188860111</v>
      </c>
      <c r="F68" s="515">
        <v>1965522.6560520004</v>
      </c>
      <c r="G68" s="515">
        <v>1848842.467964005</v>
      </c>
      <c r="H68" s="515">
        <v>1563615.1023512711</v>
      </c>
      <c r="I68" s="515">
        <v>1848251.5189429936</v>
      </c>
      <c r="J68" s="515">
        <v>1671542.4680579966</v>
      </c>
      <c r="K68" s="515">
        <v>1515384.5668509984</v>
      </c>
      <c r="L68" s="515">
        <v>1555403.452563005</v>
      </c>
      <c r="M68" s="515">
        <v>1740824.927544002</v>
      </c>
      <c r="N68" s="515">
        <v>1834644.5735480075</v>
      </c>
      <c r="O68" s="515">
        <f>AVERAGE(C68:N68)</f>
        <v>1775373.8279477749</v>
      </c>
    </row>
    <row r="69" spans="2:16" s="506" customFormat="1" ht="13" x14ac:dyDescent="0.3">
      <c r="B69" s="514">
        <v>2024</v>
      </c>
      <c r="C69" s="515">
        <v>1602385.5104020154</v>
      </c>
      <c r="D69" s="515">
        <v>1579743.3115990064</v>
      </c>
      <c r="E69" s="515">
        <v>1561505.2041670033</v>
      </c>
      <c r="F69" s="515">
        <v>1976294.4792310111</v>
      </c>
      <c r="G69" s="515">
        <v>2007500.4150150083</v>
      </c>
      <c r="H69" s="515">
        <v>1744715.4894949973</v>
      </c>
      <c r="I69" s="515">
        <v>1670958.8726130039</v>
      </c>
      <c r="J69" s="515">
        <v>1519471.5758779952</v>
      </c>
      <c r="K69" s="515">
        <v>1879011.7282609991</v>
      </c>
      <c r="L69" s="515">
        <v>1764559.0121830055</v>
      </c>
      <c r="M69" s="515">
        <v>1833067.456325009</v>
      </c>
      <c r="N69" s="515">
        <v>2063549.2455840081</v>
      </c>
      <c r="O69" s="515">
        <f>AVERAGE(C69:N69)</f>
        <v>1766896.8583960887</v>
      </c>
    </row>
    <row r="70" spans="2:16" s="506" customFormat="1" ht="13" x14ac:dyDescent="0.3">
      <c r="B70" s="516">
        <v>2025</v>
      </c>
      <c r="C70" s="517">
        <v>1723653.3764819978</v>
      </c>
      <c r="D70" s="517">
        <v>2088025.9476410043</v>
      </c>
      <c r="E70" s="517">
        <v>1928500.8166829972</v>
      </c>
      <c r="F70" s="517">
        <v>2235875.6139169997</v>
      </c>
      <c r="G70" s="517">
        <v>2318140.2552620126</v>
      </c>
      <c r="H70" s="517">
        <v>2009422.7637710087</v>
      </c>
      <c r="I70" s="517">
        <v>2333316.9746900126</v>
      </c>
      <c r="J70" s="517">
        <v>2460484.3845200394</v>
      </c>
      <c r="K70" s="517">
        <v>2183710.746830014</v>
      </c>
      <c r="L70" s="517">
        <v>2409514.2334459973</v>
      </c>
      <c r="M70" s="517">
        <v>2089600.3036800269</v>
      </c>
      <c r="N70" s="517">
        <v>2332338.2460490465</v>
      </c>
      <c r="O70" s="517">
        <f>AVERAGE(C70:N70)</f>
        <v>2176048.6385809295</v>
      </c>
    </row>
    <row r="71" spans="2:16" ht="13" x14ac:dyDescent="0.3">
      <c r="B71" s="510" t="s">
        <v>305</v>
      </c>
      <c r="C71" s="518">
        <f>SUM(C66:C70)</f>
        <v>8293578.7509260271</v>
      </c>
      <c r="D71" s="518">
        <f t="shared" ref="D71:N71" si="12">SUM(D66:D70)</f>
        <v>8479743.8837800194</v>
      </c>
      <c r="E71" s="518">
        <f t="shared" si="12"/>
        <v>9351913.7041950002</v>
      </c>
      <c r="F71" s="518">
        <f t="shared" si="12"/>
        <v>9634066.2390380129</v>
      </c>
      <c r="G71" s="518">
        <f t="shared" si="12"/>
        <v>10017078.474021018</v>
      </c>
      <c r="H71" s="518">
        <f t="shared" si="12"/>
        <v>8628418.4274452776</v>
      </c>
      <c r="I71" s="518">
        <f t="shared" si="12"/>
        <v>9731190.3582750224</v>
      </c>
      <c r="J71" s="518">
        <f t="shared" si="12"/>
        <v>9049650.5780830365</v>
      </c>
      <c r="K71" s="518">
        <f t="shared" si="12"/>
        <v>8791126.2578790318</v>
      </c>
      <c r="L71" s="518">
        <f t="shared" si="12"/>
        <v>8900717.2250180282</v>
      </c>
      <c r="M71" s="518">
        <f t="shared" si="12"/>
        <v>8960464.021354042</v>
      </c>
      <c r="N71" s="518">
        <f t="shared" si="12"/>
        <v>9437676.0902280696</v>
      </c>
      <c r="O71" s="518"/>
    </row>
    <row r="72" spans="2:16" ht="21" x14ac:dyDescent="0.25">
      <c r="B72" s="521" t="s">
        <v>320</v>
      </c>
      <c r="C72" s="522">
        <f>C71/5</f>
        <v>1658715.7501852054</v>
      </c>
      <c r="D72" s="522">
        <f t="shared" ref="D72:N72" si="13">D71/5</f>
        <v>1695948.776756004</v>
      </c>
      <c r="E72" s="522">
        <f t="shared" si="13"/>
        <v>1870382.7408390001</v>
      </c>
      <c r="F72" s="522">
        <f t="shared" si="13"/>
        <v>1926813.2478076026</v>
      </c>
      <c r="G72" s="522">
        <f t="shared" si="13"/>
        <v>2003415.6948042035</v>
      </c>
      <c r="H72" s="522">
        <f t="shared" si="13"/>
        <v>1725683.6854890555</v>
      </c>
      <c r="I72" s="522">
        <f t="shared" si="13"/>
        <v>1946238.0716550045</v>
      </c>
      <c r="J72" s="522">
        <f t="shared" si="13"/>
        <v>1809930.1156166072</v>
      </c>
      <c r="K72" s="522">
        <f t="shared" si="13"/>
        <v>1758225.2515758064</v>
      </c>
      <c r="L72" s="522">
        <f t="shared" si="13"/>
        <v>1780143.4450036057</v>
      </c>
      <c r="M72" s="522">
        <f t="shared" si="13"/>
        <v>1792092.8042708084</v>
      </c>
      <c r="N72" s="522">
        <f t="shared" si="13"/>
        <v>1887535.218045614</v>
      </c>
      <c r="O72" s="522">
        <f>AVERAGE(C72:N72)</f>
        <v>1821260.4001707097</v>
      </c>
      <c r="P72" s="523" t="s">
        <v>321</v>
      </c>
    </row>
    <row r="73" spans="2:16" ht="13" x14ac:dyDescent="0.3">
      <c r="B73" s="524" t="s">
        <v>322</v>
      </c>
      <c r="C73" s="525">
        <f>C72/$O$72</f>
        <v>0.91075155976033484</v>
      </c>
      <c r="D73" s="525">
        <f t="shared" ref="D73:N73" si="14">D72/$O$72</f>
        <v>0.93119510894600244</v>
      </c>
      <c r="E73" s="525">
        <f t="shared" si="14"/>
        <v>1.0269716184811826</v>
      </c>
      <c r="F73" s="525">
        <f t="shared" si="14"/>
        <v>1.0579559340482005</v>
      </c>
      <c r="G73" s="525">
        <f t="shared" si="14"/>
        <v>1.1000160628411073</v>
      </c>
      <c r="H73" s="525">
        <f t="shared" si="14"/>
        <v>0.94752166429759543</v>
      </c>
      <c r="I73" s="525">
        <f t="shared" si="14"/>
        <v>1.068621527966336</v>
      </c>
      <c r="J73" s="525">
        <f t="shared" si="14"/>
        <v>0.99377887722533231</v>
      </c>
      <c r="K73" s="525">
        <f t="shared" si="14"/>
        <v>0.96538927185316559</v>
      </c>
      <c r="L73" s="525">
        <f t="shared" si="14"/>
        <v>0.97742390096262455</v>
      </c>
      <c r="M73" s="525">
        <f t="shared" si="14"/>
        <v>0.98398493927767416</v>
      </c>
      <c r="N73" s="525">
        <f t="shared" si="14"/>
        <v>1.0363895343404448</v>
      </c>
      <c r="O73" s="526">
        <f>AVERAGE(C73:N73)</f>
        <v>1.0000000000000002</v>
      </c>
    </row>
    <row r="74" spans="2:16" ht="13" x14ac:dyDescent="0.3">
      <c r="B74" s="527" t="s">
        <v>399</v>
      </c>
      <c r="C74" s="528">
        <f>C73*$O$74</f>
        <v>2770582.1407542522</v>
      </c>
      <c r="D74" s="528">
        <f t="shared" ref="D74:N74" si="15">D73*$O$74</f>
        <v>2832773.1210061517</v>
      </c>
      <c r="E74" s="528">
        <f t="shared" si="15"/>
        <v>3124133.2443879643</v>
      </c>
      <c r="F74" s="528">
        <f t="shared" si="15"/>
        <v>3218390.1143691302</v>
      </c>
      <c r="G74" s="528">
        <f t="shared" si="15"/>
        <v>3346340.5311678853</v>
      </c>
      <c r="H74" s="528">
        <f t="shared" si="15"/>
        <v>2882439.862931977</v>
      </c>
      <c r="I74" s="528">
        <f t="shared" si="15"/>
        <v>3250835.7398675918</v>
      </c>
      <c r="J74" s="528">
        <f t="shared" si="15"/>
        <v>3023158.1594258966</v>
      </c>
      <c r="K74" s="528">
        <f t="shared" si="15"/>
        <v>2936794.6140833176</v>
      </c>
      <c r="L74" s="528">
        <f t="shared" si="15"/>
        <v>2973404.9587200508</v>
      </c>
      <c r="M74" s="528">
        <f t="shared" si="15"/>
        <v>2993364.1840276248</v>
      </c>
      <c r="N74" s="528">
        <f t="shared" si="15"/>
        <v>3152783.3292581616</v>
      </c>
      <c r="O74" s="531">
        <f>J64/12</f>
        <v>3042083.3333333335</v>
      </c>
      <c r="P74" s="532"/>
    </row>
    <row r="84" spans="2:19" ht="15.5" x14ac:dyDescent="0.35">
      <c r="B84" s="534" t="s">
        <v>328</v>
      </c>
      <c r="F84" s="1083" t="s">
        <v>326</v>
      </c>
      <c r="G84" s="1083"/>
      <c r="H84" s="1083"/>
      <c r="J84" s="530">
        <v>995000</v>
      </c>
    </row>
    <row r="85" spans="2:19" ht="26" x14ac:dyDescent="0.25">
      <c r="B85" s="510" t="s">
        <v>318</v>
      </c>
      <c r="C85" s="511" t="s">
        <v>0</v>
      </c>
      <c r="D85" s="511" t="s">
        <v>1</v>
      </c>
      <c r="E85" s="511" t="s">
        <v>2</v>
      </c>
      <c r="F85" s="511" t="s">
        <v>3</v>
      </c>
      <c r="G85" s="511" t="s">
        <v>4</v>
      </c>
      <c r="H85" s="512" t="s">
        <v>5</v>
      </c>
      <c r="I85" s="511" t="s">
        <v>6</v>
      </c>
      <c r="J85" s="511" t="s">
        <v>7</v>
      </c>
      <c r="K85" s="511" t="s">
        <v>8</v>
      </c>
      <c r="L85" s="511" t="s">
        <v>9</v>
      </c>
      <c r="M85" s="511" t="s">
        <v>10</v>
      </c>
      <c r="N85" s="511" t="s">
        <v>14</v>
      </c>
      <c r="O85" s="513" t="s">
        <v>319</v>
      </c>
      <c r="R85" s="504" t="s">
        <v>329</v>
      </c>
      <c r="S85" s="535">
        <v>33127147</v>
      </c>
    </row>
    <row r="86" spans="2:19" ht="13" x14ac:dyDescent="0.3">
      <c r="B86" s="514">
        <v>2021</v>
      </c>
      <c r="C86" s="515">
        <v>91747.851219999997</v>
      </c>
      <c r="D86" s="515">
        <v>54804.658300000039</v>
      </c>
      <c r="E86" s="515">
        <v>60809.883000000162</v>
      </c>
      <c r="F86" s="515">
        <v>67666.913509000064</v>
      </c>
      <c r="G86" s="515">
        <v>106359.16649399995</v>
      </c>
      <c r="H86" s="515">
        <v>80533.084419999854</v>
      </c>
      <c r="I86" s="515">
        <v>80601.597910999946</v>
      </c>
      <c r="J86" s="515">
        <v>69547.491395000048</v>
      </c>
      <c r="K86" s="515">
        <v>73893.078397000107</v>
      </c>
      <c r="L86" s="515">
        <v>75066.914920000025</v>
      </c>
      <c r="M86" s="515">
        <v>82710.647930000123</v>
      </c>
      <c r="N86" s="515">
        <v>78196.567100000073</v>
      </c>
      <c r="O86" s="515">
        <f>AVERAGE(C86:N86)</f>
        <v>76828.154549666695</v>
      </c>
      <c r="R86" s="504" t="s">
        <v>330</v>
      </c>
      <c r="S86" s="535">
        <v>7500000</v>
      </c>
    </row>
    <row r="87" spans="2:19" ht="13" x14ac:dyDescent="0.3">
      <c r="B87" s="514">
        <v>2022</v>
      </c>
      <c r="C87" s="515">
        <v>89890.917356999998</v>
      </c>
      <c r="D87" s="515">
        <v>55663.55049999999</v>
      </c>
      <c r="E87" s="515">
        <v>61409.372159999941</v>
      </c>
      <c r="F87" s="515">
        <v>85936.706719999973</v>
      </c>
      <c r="G87" s="515">
        <v>88010.141989999989</v>
      </c>
      <c r="H87" s="515">
        <v>80793.950659999988</v>
      </c>
      <c r="I87" s="515">
        <v>81082.788780000104</v>
      </c>
      <c r="J87" s="515">
        <v>74476.492400000046</v>
      </c>
      <c r="K87" s="515">
        <v>69843.600900000049</v>
      </c>
      <c r="L87" s="515">
        <v>68620.243100000007</v>
      </c>
      <c r="M87" s="515">
        <v>90425.909400000019</v>
      </c>
      <c r="N87" s="515">
        <v>98119.261780000059</v>
      </c>
      <c r="O87" s="515">
        <f>AVERAGE(C87:N87)</f>
        <v>78689.411312250013</v>
      </c>
      <c r="R87" s="536" t="s">
        <v>331</v>
      </c>
      <c r="S87" s="535">
        <f>+S85-S86-S88</f>
        <v>24646708</v>
      </c>
    </row>
    <row r="88" spans="2:19" ht="13" x14ac:dyDescent="0.3">
      <c r="B88" s="514">
        <v>2023</v>
      </c>
      <c r="C88" s="515">
        <v>75387.497700000051</v>
      </c>
      <c r="D88" s="515">
        <v>57400.228999999985</v>
      </c>
      <c r="E88" s="515">
        <v>58907.472130000002</v>
      </c>
      <c r="F88" s="515">
        <v>83583.775399999926</v>
      </c>
      <c r="G88" s="515">
        <v>83895.386900000027</v>
      </c>
      <c r="H88" s="515">
        <v>77040.263899999991</v>
      </c>
      <c r="I88" s="515">
        <v>58977.479689999978</v>
      </c>
      <c r="J88" s="515">
        <v>57707.97419999999</v>
      </c>
      <c r="K88" s="515">
        <v>86569.126389999918</v>
      </c>
      <c r="L88" s="515">
        <v>93463.27235999993</v>
      </c>
      <c r="M88" s="515">
        <v>84391.275080000109</v>
      </c>
      <c r="N88" s="515">
        <v>94310.194219999888</v>
      </c>
      <c r="O88" s="515">
        <f>AVERAGE(C88:N88)</f>
        <v>75969.495580833303</v>
      </c>
      <c r="R88" s="504" t="s">
        <v>332</v>
      </c>
      <c r="S88" s="535">
        <v>980439</v>
      </c>
    </row>
    <row r="89" spans="2:19" ht="13" x14ac:dyDescent="0.3">
      <c r="B89" s="514">
        <v>2024</v>
      </c>
      <c r="C89" s="515">
        <v>82608.208309999958</v>
      </c>
      <c r="D89" s="515">
        <v>69872.889400000029</v>
      </c>
      <c r="E89" s="515">
        <v>69375.240800000043</v>
      </c>
      <c r="F89" s="515">
        <v>63160.666099999973</v>
      </c>
      <c r="G89" s="515">
        <v>66119.14200000008</v>
      </c>
      <c r="H89" s="515">
        <v>74351.018040000039</v>
      </c>
      <c r="I89" s="515">
        <v>81938.689000000086</v>
      </c>
      <c r="J89" s="515">
        <v>67012.073700000023</v>
      </c>
      <c r="K89" s="515">
        <v>76025.810280000078</v>
      </c>
      <c r="L89" s="515">
        <v>76364.133900000015</v>
      </c>
      <c r="M89" s="515">
        <v>87017.75887000002</v>
      </c>
      <c r="N89" s="515">
        <v>78689.750300000116</v>
      </c>
      <c r="O89" s="515">
        <f>AVERAGE(C89:N89)</f>
        <v>74377.948391666709</v>
      </c>
      <c r="S89" s="535"/>
    </row>
    <row r="90" spans="2:19" ht="13" x14ac:dyDescent="0.3">
      <c r="B90" s="516">
        <v>2025</v>
      </c>
      <c r="C90" s="517">
        <v>92913.293310000081</v>
      </c>
      <c r="D90" s="517">
        <v>77226.747000000003</v>
      </c>
      <c r="E90" s="517">
        <v>78177.886809999938</v>
      </c>
      <c r="F90" s="517">
        <v>84998.337000000116</v>
      </c>
      <c r="G90" s="517">
        <v>96843.167880000226</v>
      </c>
      <c r="H90" s="517">
        <v>84465.718500000046</v>
      </c>
      <c r="I90" s="517">
        <v>65998.217499999868</v>
      </c>
      <c r="J90" s="517">
        <v>81077.610000000175</v>
      </c>
      <c r="K90" s="517">
        <v>79047.083000000042</v>
      </c>
      <c r="L90" s="517">
        <v>90753.23350000022</v>
      </c>
      <c r="M90" s="517">
        <v>79312.057000000263</v>
      </c>
      <c r="N90" s="517">
        <v>81032.933500000378</v>
      </c>
      <c r="O90" s="517">
        <f>AVERAGE(C90:N90)</f>
        <v>82653.857083333467</v>
      </c>
      <c r="R90" s="504" t="s">
        <v>333</v>
      </c>
      <c r="S90" s="535">
        <v>25521154</v>
      </c>
    </row>
    <row r="91" spans="2:19" ht="13" x14ac:dyDescent="0.3">
      <c r="B91" s="510" t="s">
        <v>305</v>
      </c>
      <c r="C91" s="518">
        <f>SUM(C86:C90)</f>
        <v>432547.76789700013</v>
      </c>
      <c r="D91" s="518">
        <f t="shared" ref="D91:N91" si="16">SUM(D86:D90)</f>
        <v>314968.07420000003</v>
      </c>
      <c r="E91" s="518">
        <f t="shared" si="16"/>
        <v>328679.85490000009</v>
      </c>
      <c r="F91" s="518">
        <f t="shared" si="16"/>
        <v>385346.39872900007</v>
      </c>
      <c r="G91" s="518">
        <f t="shared" si="16"/>
        <v>441227.00526400027</v>
      </c>
      <c r="H91" s="518">
        <f t="shared" si="16"/>
        <v>397184.03551999992</v>
      </c>
      <c r="I91" s="518">
        <f t="shared" si="16"/>
        <v>368598.77288099995</v>
      </c>
      <c r="J91" s="518">
        <f t="shared" si="16"/>
        <v>349821.64169500029</v>
      </c>
      <c r="K91" s="518">
        <f t="shared" si="16"/>
        <v>385378.69896700024</v>
      </c>
      <c r="L91" s="518">
        <f t="shared" si="16"/>
        <v>404267.7977800002</v>
      </c>
      <c r="M91" s="518">
        <f t="shared" si="16"/>
        <v>423857.64828000055</v>
      </c>
      <c r="N91" s="518">
        <f t="shared" si="16"/>
        <v>430348.70690000051</v>
      </c>
      <c r="O91" s="518"/>
      <c r="R91" s="536" t="s">
        <v>334</v>
      </c>
      <c r="S91" s="535">
        <f>+S85-S90-S92</f>
        <v>4044825</v>
      </c>
    </row>
    <row r="92" spans="2:19" ht="21" x14ac:dyDescent="0.25">
      <c r="B92" s="521" t="s">
        <v>320</v>
      </c>
      <c r="C92" s="522">
        <f>C91/5</f>
        <v>86509.553579400032</v>
      </c>
      <c r="D92" s="522">
        <f t="shared" ref="D92:N92" si="17">D91/5</f>
        <v>62993.614840000009</v>
      </c>
      <c r="E92" s="522">
        <f t="shared" si="17"/>
        <v>65735.970980000013</v>
      </c>
      <c r="F92" s="522">
        <f t="shared" si="17"/>
        <v>77069.279745800013</v>
      </c>
      <c r="G92" s="522">
        <f t="shared" si="17"/>
        <v>88245.401052800051</v>
      </c>
      <c r="H92" s="522">
        <f t="shared" si="17"/>
        <v>79436.807103999978</v>
      </c>
      <c r="I92" s="522">
        <f t="shared" si="17"/>
        <v>73719.754576199994</v>
      </c>
      <c r="J92" s="522">
        <f t="shared" si="17"/>
        <v>69964.328339000058</v>
      </c>
      <c r="K92" s="522">
        <f t="shared" si="17"/>
        <v>77075.739793400047</v>
      </c>
      <c r="L92" s="522">
        <f t="shared" si="17"/>
        <v>80853.559556000037</v>
      </c>
      <c r="M92" s="522">
        <f t="shared" si="17"/>
        <v>84771.529656000115</v>
      </c>
      <c r="N92" s="522">
        <f t="shared" si="17"/>
        <v>86069.741380000109</v>
      </c>
      <c r="O92" s="522">
        <f>AVERAGE(C92:N92)</f>
        <v>77703.77338355004</v>
      </c>
      <c r="P92" s="523" t="s">
        <v>321</v>
      </c>
      <c r="R92" s="504" t="s">
        <v>335</v>
      </c>
      <c r="S92" s="535">
        <v>3561168</v>
      </c>
    </row>
    <row r="93" spans="2:19" ht="13" x14ac:dyDescent="0.3">
      <c r="B93" s="524" t="s">
        <v>322</v>
      </c>
      <c r="C93" s="525">
        <f>C92/$O$92</f>
        <v>1.1133250009929914</v>
      </c>
      <c r="D93" s="525">
        <f t="shared" ref="D93:N93" si="18">D92/$O$92</f>
        <v>0.81068926381554351</v>
      </c>
      <c r="E93" s="525">
        <f t="shared" si="18"/>
        <v>0.84598170870703659</v>
      </c>
      <c r="F93" s="525">
        <f t="shared" si="18"/>
        <v>0.99183445526360559</v>
      </c>
      <c r="G93" s="525">
        <f t="shared" si="18"/>
        <v>1.1356642954418181</v>
      </c>
      <c r="H93" s="525">
        <f t="shared" si="18"/>
        <v>1.0223030831706923</v>
      </c>
      <c r="I93" s="525">
        <f t="shared" si="18"/>
        <v>0.94872811661687628</v>
      </c>
      <c r="J93" s="525">
        <f t="shared" si="18"/>
        <v>0.90039807968722885</v>
      </c>
      <c r="K93" s="525">
        <f t="shared" si="18"/>
        <v>0.99191759212194264</v>
      </c>
      <c r="L93" s="525">
        <f t="shared" si="18"/>
        <v>1.0405358200161334</v>
      </c>
      <c r="M93" s="525">
        <f t="shared" si="18"/>
        <v>1.0909576969648982</v>
      </c>
      <c r="N93" s="525">
        <f t="shared" si="18"/>
        <v>1.1076648872012327</v>
      </c>
      <c r="O93" s="526">
        <f>AVERAGE(C93:N93)</f>
        <v>1</v>
      </c>
      <c r="R93" s="504" t="s">
        <v>11</v>
      </c>
    </row>
    <row r="94" spans="2:19" ht="13" x14ac:dyDescent="0.3">
      <c r="B94" s="527" t="s">
        <v>399</v>
      </c>
      <c r="C94" s="528">
        <f>C93*$O$94</f>
        <v>92313.197999002208</v>
      </c>
      <c r="D94" s="528">
        <f t="shared" ref="D94:N94" si="19">D93*$O$94</f>
        <v>67219.651458038818</v>
      </c>
      <c r="E94" s="528">
        <f t="shared" si="19"/>
        <v>70145.983346958456</v>
      </c>
      <c r="F94" s="528">
        <f t="shared" si="19"/>
        <v>82239.606915607306</v>
      </c>
      <c r="G94" s="528">
        <f t="shared" si="19"/>
        <v>94165.497830384091</v>
      </c>
      <c r="H94" s="528">
        <f t="shared" si="19"/>
        <v>84765.963979569904</v>
      </c>
      <c r="I94" s="528">
        <f t="shared" si="19"/>
        <v>78665.373002815992</v>
      </c>
      <c r="J94" s="528">
        <f t="shared" si="19"/>
        <v>74658.007440732734</v>
      </c>
      <c r="K94" s="528">
        <f t="shared" si="19"/>
        <v>82246.500346777742</v>
      </c>
      <c r="L94" s="528">
        <f t="shared" si="19"/>
        <v>86277.761743004405</v>
      </c>
      <c r="M94" s="528">
        <f t="shared" si="19"/>
        <v>90458.575706672811</v>
      </c>
      <c r="N94" s="528">
        <f t="shared" si="19"/>
        <v>91843.880230435549</v>
      </c>
      <c r="O94" s="531">
        <f>J84/12</f>
        <v>82916.666666666672</v>
      </c>
      <c r="P94" s="532"/>
    </row>
    <row r="98" spans="2:16" x14ac:dyDescent="0.25">
      <c r="P98" s="506" t="s">
        <v>11</v>
      </c>
    </row>
    <row r="104" spans="2:16" ht="15.5" x14ac:dyDescent="0.35">
      <c r="B104" s="1082" t="s">
        <v>336</v>
      </c>
      <c r="C104" s="1082"/>
      <c r="D104" s="1082"/>
      <c r="F104" s="1083" t="s">
        <v>324</v>
      </c>
      <c r="G104" s="1083"/>
      <c r="H104" s="1083"/>
      <c r="J104" s="530">
        <v>38000000</v>
      </c>
    </row>
    <row r="105" spans="2:16" ht="26" x14ac:dyDescent="0.25">
      <c r="B105" s="510" t="s">
        <v>318</v>
      </c>
      <c r="C105" s="511" t="s">
        <v>0</v>
      </c>
      <c r="D105" s="511" t="s">
        <v>1</v>
      </c>
      <c r="E105" s="511" t="s">
        <v>2</v>
      </c>
      <c r="F105" s="511" t="s">
        <v>3</v>
      </c>
      <c r="G105" s="511" t="s">
        <v>4</v>
      </c>
      <c r="H105" s="512" t="s">
        <v>5</v>
      </c>
      <c r="I105" s="511" t="s">
        <v>6</v>
      </c>
      <c r="J105" s="511" t="s">
        <v>7</v>
      </c>
      <c r="K105" s="511" t="s">
        <v>8</v>
      </c>
      <c r="L105" s="511" t="s">
        <v>9</v>
      </c>
      <c r="M105" s="511" t="s">
        <v>10</v>
      </c>
      <c r="N105" s="511" t="s">
        <v>14</v>
      </c>
      <c r="O105" s="513" t="s">
        <v>319</v>
      </c>
    </row>
    <row r="106" spans="2:16" ht="13" x14ac:dyDescent="0.3">
      <c r="B106" s="514">
        <v>2021</v>
      </c>
      <c r="C106" s="515">
        <v>1862347.6577129962</v>
      </c>
      <c r="D106" s="515">
        <v>1979097.7078450029</v>
      </c>
      <c r="E106" s="515">
        <v>2154556.5176149942</v>
      </c>
      <c r="F106" s="515">
        <v>2142140.0785860009</v>
      </c>
      <c r="G106" s="515">
        <v>2173819.0819170056</v>
      </c>
      <c r="H106" s="515">
        <v>2361417.0180199998</v>
      </c>
      <c r="I106" s="515">
        <v>2428841.7386600021</v>
      </c>
      <c r="J106" s="515">
        <v>1786761.182497004</v>
      </c>
      <c r="K106" s="515">
        <v>2027765.6084690089</v>
      </c>
      <c r="L106" s="515">
        <v>1954608.8279640079</v>
      </c>
      <c r="M106" s="515">
        <v>2162503.5217400077</v>
      </c>
      <c r="N106" s="515">
        <v>1874205.6041450142</v>
      </c>
      <c r="O106" s="515">
        <f>AVERAGE(C106:N106)</f>
        <v>2075672.0454309203</v>
      </c>
    </row>
    <row r="107" spans="2:16" ht="13" x14ac:dyDescent="0.3">
      <c r="B107" s="514">
        <v>2022</v>
      </c>
      <c r="C107" s="515">
        <v>1857278.2671150053</v>
      </c>
      <c r="D107" s="515">
        <v>1985214.2591500031</v>
      </c>
      <c r="E107" s="515">
        <v>2172950.4364639986</v>
      </c>
      <c r="F107" s="515">
        <v>2238510.9480970004</v>
      </c>
      <c r="G107" s="515">
        <v>2296113.3080590055</v>
      </c>
      <c r="H107" s="515">
        <v>2066663.5321190064</v>
      </c>
      <c r="I107" s="515">
        <v>2278911.1610950003</v>
      </c>
      <c r="J107" s="515">
        <v>2215745.376173004</v>
      </c>
      <c r="K107" s="515">
        <v>1918348.1371210061</v>
      </c>
      <c r="L107" s="515">
        <v>2187898.051752001</v>
      </c>
      <c r="M107" s="515">
        <v>2079673.4854190089</v>
      </c>
      <c r="N107" s="515">
        <v>1920053.6976100025</v>
      </c>
      <c r="O107" s="515">
        <f>AVERAGE(C107:N107)</f>
        <v>2101446.7216811702</v>
      </c>
    </row>
    <row r="108" spans="2:16" ht="13" x14ac:dyDescent="0.3">
      <c r="B108" s="514">
        <v>2023</v>
      </c>
      <c r="C108" s="515">
        <v>2505075.5789050092</v>
      </c>
      <c r="D108" s="515">
        <v>2278596.6161680054</v>
      </c>
      <c r="E108" s="515">
        <v>2421550.6331700161</v>
      </c>
      <c r="F108" s="515">
        <v>2531745.8422240005</v>
      </c>
      <c r="G108" s="515">
        <v>2412627.8494500048</v>
      </c>
      <c r="H108" s="515">
        <v>2047036.2575152707</v>
      </c>
      <c r="I108" s="515">
        <v>2071051.0509529989</v>
      </c>
      <c r="J108" s="515">
        <v>2325949.8765780018</v>
      </c>
      <c r="K108" s="515">
        <v>2182734.6883639973</v>
      </c>
      <c r="L108" s="515">
        <v>2174176.2098630005</v>
      </c>
      <c r="M108" s="515">
        <v>2170232.0071470011</v>
      </c>
      <c r="N108" s="515">
        <v>2496116.3955079992</v>
      </c>
      <c r="O108" s="515">
        <f>AVERAGE(C108:N108)</f>
        <v>2301407.7504871082</v>
      </c>
    </row>
    <row r="109" spans="2:16" ht="13" x14ac:dyDescent="0.3">
      <c r="B109" s="514">
        <v>2024</v>
      </c>
      <c r="C109" s="515">
        <v>2334690.796544008</v>
      </c>
      <c r="D109" s="515">
        <v>2308560.7765889992</v>
      </c>
      <c r="E109" s="515">
        <v>2116438.5075470023</v>
      </c>
      <c r="F109" s="515">
        <v>2514692.5136210076</v>
      </c>
      <c r="G109" s="515">
        <v>2601306.4785530032</v>
      </c>
      <c r="H109" s="515">
        <v>2123745.2195250001</v>
      </c>
      <c r="I109" s="515">
        <v>2604935.9400130059</v>
      </c>
      <c r="J109" s="515">
        <v>2100329.2880240041</v>
      </c>
      <c r="K109" s="515">
        <v>2437647.9927999973</v>
      </c>
      <c r="L109" s="515">
        <v>2298554.1683589946</v>
      </c>
      <c r="M109" s="515">
        <v>2468202.2769390033</v>
      </c>
      <c r="N109" s="515">
        <v>2642919.4683940094</v>
      </c>
      <c r="O109" s="515">
        <f>AVERAGE(C109:N109)</f>
        <v>2379335.2855756697</v>
      </c>
    </row>
    <row r="110" spans="2:16" ht="13" x14ac:dyDescent="0.3">
      <c r="B110" s="516">
        <v>2025</v>
      </c>
      <c r="C110" s="517">
        <v>2475424.4026829973</v>
      </c>
      <c r="D110" s="517">
        <v>2632090.5657510054</v>
      </c>
      <c r="E110" s="517">
        <v>2741839.9575730031</v>
      </c>
      <c r="F110" s="517">
        <v>2755337.149763016</v>
      </c>
      <c r="G110" s="517">
        <v>2951913.497972013</v>
      </c>
      <c r="H110" s="517">
        <v>2637505.8269609977</v>
      </c>
      <c r="I110" s="517">
        <v>2991471.2144300062</v>
      </c>
      <c r="J110" s="517">
        <v>3244153.4035200151</v>
      </c>
      <c r="K110" s="517">
        <v>3026633.0098300236</v>
      </c>
      <c r="L110" s="517">
        <v>2885178.8980809953</v>
      </c>
      <c r="M110" s="517">
        <v>2892558.7511800099</v>
      </c>
      <c r="N110" s="517">
        <v>3241081.2895270316</v>
      </c>
      <c r="O110" s="517">
        <f>AVERAGE(C110:N110)</f>
        <v>2872932.330605926</v>
      </c>
    </row>
    <row r="111" spans="2:16" ht="13" x14ac:dyDescent="0.3">
      <c r="B111" s="510" t="s">
        <v>305</v>
      </c>
      <c r="C111" s="518">
        <f>SUM(C106:C110)</f>
        <v>11034816.702960016</v>
      </c>
      <c r="D111" s="518">
        <f t="shared" ref="D111:N111" si="20">SUM(D106:D110)</f>
        <v>11183559.925503016</v>
      </c>
      <c r="E111" s="518">
        <f t="shared" si="20"/>
        <v>11607336.052369013</v>
      </c>
      <c r="F111" s="518">
        <f t="shared" si="20"/>
        <v>12182426.532291025</v>
      </c>
      <c r="G111" s="518">
        <f t="shared" si="20"/>
        <v>12435780.215951033</v>
      </c>
      <c r="H111" s="518">
        <f t="shared" si="20"/>
        <v>11236367.854140274</v>
      </c>
      <c r="I111" s="518">
        <f t="shared" si="20"/>
        <v>12375211.105151014</v>
      </c>
      <c r="J111" s="518">
        <f t="shared" si="20"/>
        <v>11672939.126792029</v>
      </c>
      <c r="K111" s="518">
        <f t="shared" si="20"/>
        <v>11593129.436584033</v>
      </c>
      <c r="L111" s="518">
        <f t="shared" si="20"/>
        <v>11500416.156019</v>
      </c>
      <c r="M111" s="518">
        <f t="shared" si="20"/>
        <v>11773170.042425031</v>
      </c>
      <c r="N111" s="518">
        <f t="shared" si="20"/>
        <v>12174376.455184057</v>
      </c>
      <c r="O111" s="518"/>
    </row>
    <row r="112" spans="2:16" ht="21" x14ac:dyDescent="0.25">
      <c r="B112" s="521" t="s">
        <v>320</v>
      </c>
      <c r="C112" s="522">
        <f>C111/5</f>
        <v>2206963.3405920034</v>
      </c>
      <c r="D112" s="522">
        <f>D111/5</f>
        <v>2236711.9851006032</v>
      </c>
      <c r="E112" s="522">
        <f>E111/5</f>
        <v>2321467.2104738029</v>
      </c>
      <c r="F112" s="522">
        <f>F111/5</f>
        <v>2436485.306458205</v>
      </c>
      <c r="G112" s="522">
        <f t="shared" ref="G112:N112" si="21">G111/5</f>
        <v>2487156.0431902064</v>
      </c>
      <c r="H112" s="522">
        <f t="shared" si="21"/>
        <v>2247273.570828055</v>
      </c>
      <c r="I112" s="522">
        <f t="shared" si="21"/>
        <v>2475042.2210302027</v>
      </c>
      <c r="J112" s="522">
        <f t="shared" si="21"/>
        <v>2334587.8253584057</v>
      </c>
      <c r="K112" s="522">
        <f t="shared" si="21"/>
        <v>2318625.8873168067</v>
      </c>
      <c r="L112" s="522">
        <f t="shared" si="21"/>
        <v>2300083.2312038001</v>
      </c>
      <c r="M112" s="522">
        <f t="shared" si="21"/>
        <v>2354634.0084850062</v>
      </c>
      <c r="N112" s="522">
        <f t="shared" si="21"/>
        <v>2434875.2910368117</v>
      </c>
      <c r="O112" s="522">
        <f>AVERAGE(C112:N112)</f>
        <v>2346158.8267561593</v>
      </c>
      <c r="P112" s="523" t="s">
        <v>321</v>
      </c>
    </row>
    <row r="113" spans="2:16" ht="13" x14ac:dyDescent="0.3">
      <c r="B113" s="524" t="s">
        <v>322</v>
      </c>
      <c r="C113" s="525">
        <f>C112/$O$112</f>
        <v>0.94067090233758388</v>
      </c>
      <c r="D113" s="525">
        <f t="shared" ref="D113:N113" si="22">D112/$O$112</f>
        <v>0.95335062553847671</v>
      </c>
      <c r="E113" s="525">
        <f t="shared" si="22"/>
        <v>0.98947572687715457</v>
      </c>
      <c r="F113" s="525">
        <f t="shared" si="22"/>
        <v>1.0384997292902514</v>
      </c>
      <c r="G113" s="525">
        <f t="shared" si="22"/>
        <v>1.0600970466389918</v>
      </c>
      <c r="H113" s="525">
        <f t="shared" si="22"/>
        <v>0.95785227547240492</v>
      </c>
      <c r="I113" s="525">
        <f t="shared" si="22"/>
        <v>1.0549337891383253</v>
      </c>
      <c r="J113" s="525">
        <f t="shared" si="22"/>
        <v>0.99506810823470471</v>
      </c>
      <c r="K113" s="525">
        <f t="shared" si="22"/>
        <v>0.98826467367624038</v>
      </c>
      <c r="L113" s="525">
        <f t="shared" si="22"/>
        <v>0.98036126325852191</v>
      </c>
      <c r="M113" s="525">
        <f t="shared" si="22"/>
        <v>1.0036123648715483</v>
      </c>
      <c r="N113" s="525">
        <f t="shared" si="22"/>
        <v>1.0378134946657951</v>
      </c>
      <c r="O113" s="526">
        <f>AVERAGE(C113:N113)</f>
        <v>0.99999999999999989</v>
      </c>
    </row>
    <row r="114" spans="2:16" ht="13" x14ac:dyDescent="0.3">
      <c r="B114" s="527" t="s">
        <v>399</v>
      </c>
      <c r="C114" s="528">
        <f>C113*$O$114</f>
        <v>2978791.1907356819</v>
      </c>
      <c r="D114" s="528">
        <f t="shared" ref="D114:N114" si="23">D113*$O$114</f>
        <v>3018943.6475385092</v>
      </c>
      <c r="E114" s="528">
        <f t="shared" si="23"/>
        <v>3133339.8017776562</v>
      </c>
      <c r="F114" s="528">
        <f t="shared" si="23"/>
        <v>3288582.476085796</v>
      </c>
      <c r="G114" s="528">
        <f t="shared" si="23"/>
        <v>3356973.9810234741</v>
      </c>
      <c r="H114" s="528">
        <f t="shared" si="23"/>
        <v>3033198.8723292821</v>
      </c>
      <c r="I114" s="528">
        <f t="shared" si="23"/>
        <v>3340623.6656046966</v>
      </c>
      <c r="J114" s="528">
        <f t="shared" si="23"/>
        <v>3151049.009409898</v>
      </c>
      <c r="K114" s="528">
        <f t="shared" si="23"/>
        <v>3129504.799974761</v>
      </c>
      <c r="L114" s="528">
        <f t="shared" si="23"/>
        <v>3104477.333651986</v>
      </c>
      <c r="M114" s="528">
        <f t="shared" si="23"/>
        <v>3178105.8220932358</v>
      </c>
      <c r="N114" s="528">
        <f t="shared" si="23"/>
        <v>3286409.3997750175</v>
      </c>
      <c r="O114" s="531">
        <f>J104/12</f>
        <v>3166666.6666666665</v>
      </c>
      <c r="P114" s="532"/>
    </row>
    <row r="124" spans="2:16" ht="15.5" x14ac:dyDescent="0.35">
      <c r="B124" s="1085" t="s">
        <v>337</v>
      </c>
      <c r="C124" s="1085"/>
      <c r="D124" s="1085"/>
      <c r="E124" s="1085"/>
      <c r="F124" s="1083" t="s">
        <v>326</v>
      </c>
      <c r="G124" s="1083"/>
      <c r="H124" s="1083"/>
      <c r="J124" s="509">
        <f>+J24-J104-J144</f>
        <v>8000000</v>
      </c>
      <c r="L124" s="533" t="s">
        <v>338</v>
      </c>
    </row>
    <row r="125" spans="2:16" ht="26" x14ac:dyDescent="0.25">
      <c r="B125" s="510" t="s">
        <v>318</v>
      </c>
      <c r="C125" s="511" t="s">
        <v>0</v>
      </c>
      <c r="D125" s="511" t="s">
        <v>1</v>
      </c>
      <c r="E125" s="511" t="s">
        <v>2</v>
      </c>
      <c r="F125" s="511" t="s">
        <v>3</v>
      </c>
      <c r="G125" s="511" t="s">
        <v>4</v>
      </c>
      <c r="H125" s="512" t="s">
        <v>5</v>
      </c>
      <c r="I125" s="511" t="s">
        <v>6</v>
      </c>
      <c r="J125" s="511" t="s">
        <v>7</v>
      </c>
      <c r="K125" s="511" t="s">
        <v>8</v>
      </c>
      <c r="L125" s="511" t="s">
        <v>9</v>
      </c>
      <c r="M125" s="511" t="s">
        <v>10</v>
      </c>
      <c r="N125" s="511" t="s">
        <v>14</v>
      </c>
      <c r="O125" s="513" t="s">
        <v>319</v>
      </c>
    </row>
    <row r="126" spans="2:16" ht="13" x14ac:dyDescent="0.3">
      <c r="B126" s="514">
        <v>2021</v>
      </c>
      <c r="C126" s="515">
        <v>83831.801741999996</v>
      </c>
      <c r="D126" s="515">
        <v>21391.902019999987</v>
      </c>
      <c r="E126" s="515">
        <v>21299.299600000002</v>
      </c>
      <c r="F126" s="515">
        <v>54297.506019999986</v>
      </c>
      <c r="G126" s="515">
        <v>55559.076810000006</v>
      </c>
      <c r="H126" s="515">
        <v>27072.812999999995</v>
      </c>
      <c r="I126" s="515">
        <v>31734.2935</v>
      </c>
      <c r="J126" s="515">
        <v>35210.830149999994</v>
      </c>
      <c r="K126" s="515">
        <v>31726.339949999994</v>
      </c>
      <c r="L126" s="515">
        <v>37558.774149999997</v>
      </c>
      <c r="M126" s="515">
        <v>39632.948000000004</v>
      </c>
      <c r="N126" s="515">
        <v>30764.690000000002</v>
      </c>
      <c r="O126" s="515">
        <f>AVERAGE(C126:N126)</f>
        <v>39173.356245166666</v>
      </c>
    </row>
    <row r="127" spans="2:16" ht="13" x14ac:dyDescent="0.3">
      <c r="B127" s="514">
        <v>2022</v>
      </c>
      <c r="C127" s="515">
        <v>45632.540500000003</v>
      </c>
      <c r="D127" s="515">
        <v>22864.57187</v>
      </c>
      <c r="E127" s="515">
        <v>28346.63607</v>
      </c>
      <c r="F127" s="515">
        <v>47711.269990000001</v>
      </c>
      <c r="G127" s="515">
        <v>41949.935069999992</v>
      </c>
      <c r="H127" s="515">
        <v>25514.691999999995</v>
      </c>
      <c r="I127" s="515">
        <v>31498.982999999982</v>
      </c>
      <c r="J127" s="515">
        <v>21597.338</v>
      </c>
      <c r="K127" s="515">
        <v>17897.393000000004</v>
      </c>
      <c r="L127" s="515">
        <v>27087.071</v>
      </c>
      <c r="M127" s="515">
        <v>25201.849399999988</v>
      </c>
      <c r="N127" s="515">
        <v>43107.117400000003</v>
      </c>
      <c r="O127" s="515">
        <f>AVERAGE(C127:N127)</f>
        <v>31534.116441666662</v>
      </c>
    </row>
    <row r="128" spans="2:16" ht="13" x14ac:dyDescent="0.3">
      <c r="B128" s="514">
        <v>2023</v>
      </c>
      <c r="C128" s="515">
        <v>114107.22103</v>
      </c>
      <c r="D128" s="515">
        <v>73557.965459999978</v>
      </c>
      <c r="E128" s="515">
        <v>67377.429000000033</v>
      </c>
      <c r="F128" s="515">
        <v>105266.28934474001</v>
      </c>
      <c r="G128" s="515">
        <v>244534.66040000034</v>
      </c>
      <c r="H128" s="515">
        <v>326690.23599999998</v>
      </c>
      <c r="I128" s="515">
        <v>567079.99097000109</v>
      </c>
      <c r="J128" s="515">
        <v>573202.3046900006</v>
      </c>
      <c r="K128" s="515">
        <v>537772.25562999921</v>
      </c>
      <c r="L128" s="515">
        <v>616840.92681000009</v>
      </c>
      <c r="M128" s="515">
        <v>470276.90237999987</v>
      </c>
      <c r="N128" s="515">
        <v>493313.84091999952</v>
      </c>
      <c r="O128" s="515">
        <f>AVERAGE(C128:N128)</f>
        <v>349168.3352195617</v>
      </c>
    </row>
    <row r="129" spans="2:16" ht="13" x14ac:dyDescent="0.3">
      <c r="B129" s="514">
        <v>2024</v>
      </c>
      <c r="C129" s="515">
        <v>466674.59095999907</v>
      </c>
      <c r="D129" s="515">
        <v>649253.7934200007</v>
      </c>
      <c r="E129" s="515">
        <v>598949.70104000112</v>
      </c>
      <c r="F129" s="515">
        <v>780511.40078000037</v>
      </c>
      <c r="G129" s="515">
        <v>784716.08592999959</v>
      </c>
      <c r="H129" s="515">
        <v>696565.25127000059</v>
      </c>
      <c r="I129" s="515">
        <v>679601.1195000005</v>
      </c>
      <c r="J129" s="515">
        <v>798678.08991999924</v>
      </c>
      <c r="K129" s="515">
        <v>728231.25224999944</v>
      </c>
      <c r="L129" s="515">
        <v>807032.02262999816</v>
      </c>
      <c r="M129" s="515">
        <v>812224.00700000278</v>
      </c>
      <c r="N129" s="515">
        <v>829092.2785940005</v>
      </c>
      <c r="O129" s="515">
        <f>AVERAGE(C129:N129)</f>
        <v>719294.13277450018</v>
      </c>
    </row>
    <row r="130" spans="2:16" ht="13" x14ac:dyDescent="0.3">
      <c r="B130" s="516">
        <v>2025</v>
      </c>
      <c r="C130" s="517">
        <v>825183.70937400125</v>
      </c>
      <c r="D130" s="517">
        <v>864848.87654999993</v>
      </c>
      <c r="E130" s="517">
        <v>884699.34695000038</v>
      </c>
      <c r="F130" s="517">
        <v>674276.45895000058</v>
      </c>
      <c r="G130" s="517">
        <v>870337.78035999776</v>
      </c>
      <c r="H130" s="517">
        <v>659202.76061999938</v>
      </c>
      <c r="I130" s="517">
        <v>721282.97993999883</v>
      </c>
      <c r="J130" s="517">
        <v>681811.29999999912</v>
      </c>
      <c r="K130" s="517">
        <v>529074.07608999964</v>
      </c>
      <c r="L130" s="517">
        <v>469035.18900000013</v>
      </c>
      <c r="M130" s="517">
        <v>584729.26400000043</v>
      </c>
      <c r="N130" s="517">
        <v>757223.88599999901</v>
      </c>
      <c r="O130" s="517">
        <f>AVERAGE(C130:N130)</f>
        <v>710142.13565283304</v>
      </c>
    </row>
    <row r="131" spans="2:16" ht="13" x14ac:dyDescent="0.3">
      <c r="B131" s="510" t="s">
        <v>305</v>
      </c>
      <c r="C131" s="518">
        <f>SUM(C126:C130)</f>
        <v>1535429.8636060003</v>
      </c>
      <c r="D131" s="518">
        <f t="shared" ref="D131:N131" si="24">SUM(D126:D130)</f>
        <v>1631917.1093200007</v>
      </c>
      <c r="E131" s="518">
        <f t="shared" si="24"/>
        <v>1600672.4126600015</v>
      </c>
      <c r="F131" s="518">
        <f t="shared" si="24"/>
        <v>1662062.9250847409</v>
      </c>
      <c r="G131" s="518">
        <f t="shared" si="24"/>
        <v>1997097.5385699975</v>
      </c>
      <c r="H131" s="518">
        <f t="shared" si="24"/>
        <v>1735045.7528899999</v>
      </c>
      <c r="I131" s="518">
        <f t="shared" si="24"/>
        <v>2031197.3669100003</v>
      </c>
      <c r="J131" s="518">
        <f t="shared" si="24"/>
        <v>2110499.862759999</v>
      </c>
      <c r="K131" s="518">
        <f t="shared" si="24"/>
        <v>1844701.3169199983</v>
      </c>
      <c r="L131" s="518">
        <f t="shared" si="24"/>
        <v>1957553.9835899984</v>
      </c>
      <c r="M131" s="518">
        <f t="shared" si="24"/>
        <v>1932064.9707800031</v>
      </c>
      <c r="N131" s="518">
        <f t="shared" si="24"/>
        <v>2153501.812913999</v>
      </c>
      <c r="O131" s="518"/>
    </row>
    <row r="132" spans="2:16" ht="21" x14ac:dyDescent="0.25">
      <c r="B132" s="521" t="s">
        <v>320</v>
      </c>
      <c r="C132" s="522">
        <f>C131/5</f>
        <v>307085.97272120009</v>
      </c>
      <c r="D132" s="522">
        <f t="shared" ref="D132:N132" si="25">D131/5</f>
        <v>326383.42186400015</v>
      </c>
      <c r="E132" s="522">
        <f t="shared" si="25"/>
        <v>320134.48253200029</v>
      </c>
      <c r="F132" s="522">
        <f t="shared" si="25"/>
        <v>332412.58501694817</v>
      </c>
      <c r="G132" s="522">
        <f t="shared" si="25"/>
        <v>399419.50771399948</v>
      </c>
      <c r="H132" s="522">
        <f t="shared" si="25"/>
        <v>347009.150578</v>
      </c>
      <c r="I132" s="522">
        <f t="shared" si="25"/>
        <v>406239.47338200005</v>
      </c>
      <c r="J132" s="522">
        <f t="shared" si="25"/>
        <v>422099.97255199979</v>
      </c>
      <c r="K132" s="522">
        <f t="shared" si="25"/>
        <v>368940.26338399964</v>
      </c>
      <c r="L132" s="522">
        <f t="shared" si="25"/>
        <v>391510.79671799968</v>
      </c>
      <c r="M132" s="522">
        <f t="shared" si="25"/>
        <v>386412.99415600061</v>
      </c>
      <c r="N132" s="522">
        <f t="shared" si="25"/>
        <v>430700.3625827998</v>
      </c>
      <c r="O132" s="522">
        <f>AVERAGE(C132:N132)</f>
        <v>369862.41526674555</v>
      </c>
      <c r="P132" s="523" t="s">
        <v>321</v>
      </c>
    </row>
    <row r="133" spans="2:16" ht="13" x14ac:dyDescent="0.3">
      <c r="B133" s="524" t="s">
        <v>322</v>
      </c>
      <c r="C133" s="525">
        <f>C132/$O$132</f>
        <v>0.83027082516543083</v>
      </c>
      <c r="D133" s="525">
        <f t="shared" ref="D133:M133" si="26">D132/$O$132</f>
        <v>0.88244549430255503</v>
      </c>
      <c r="E133" s="525">
        <f t="shared" si="26"/>
        <v>0.86555018655009497</v>
      </c>
      <c r="F133" s="525">
        <f t="shared" si="26"/>
        <v>0.89874659142430435</v>
      </c>
      <c r="G133" s="525">
        <f t="shared" si="26"/>
        <v>1.0799137496194018</v>
      </c>
      <c r="H133" s="525">
        <f t="shared" si="26"/>
        <v>0.93821144364651454</v>
      </c>
      <c r="I133" s="525">
        <f t="shared" si="26"/>
        <v>1.0983529458894041</v>
      </c>
      <c r="J133" s="525">
        <f t="shared" si="26"/>
        <v>1.1412351056205059</v>
      </c>
      <c r="K133" s="525">
        <f t="shared" si="26"/>
        <v>0.99750677050524084</v>
      </c>
      <c r="L133" s="525">
        <f t="shared" si="26"/>
        <v>1.0585309038109245</v>
      </c>
      <c r="M133" s="525">
        <f t="shared" si="26"/>
        <v>1.0447479338426933</v>
      </c>
      <c r="N133" s="525">
        <f>N132/$O$132</f>
        <v>1.1644880496229328</v>
      </c>
      <c r="O133" s="526">
        <f>AVERAGE(C133:N133)</f>
        <v>1.0000000000000002</v>
      </c>
    </row>
    <row r="134" spans="2:16" ht="13" x14ac:dyDescent="0.3">
      <c r="B134" s="527" t="s">
        <v>399</v>
      </c>
      <c r="C134" s="528">
        <f>C133*$O$134</f>
        <v>553513.88344362052</v>
      </c>
      <c r="D134" s="528">
        <f t="shared" ref="D134:N134" si="27">D133*$O$134</f>
        <v>588296.99620170332</v>
      </c>
      <c r="E134" s="528">
        <f t="shared" si="27"/>
        <v>577033.45770006324</v>
      </c>
      <c r="F134" s="528">
        <f t="shared" si="27"/>
        <v>599164.39428286953</v>
      </c>
      <c r="G134" s="528">
        <f t="shared" si="27"/>
        <v>719942.4997462678</v>
      </c>
      <c r="H134" s="528">
        <f t="shared" si="27"/>
        <v>625474.295764343</v>
      </c>
      <c r="I134" s="528">
        <f t="shared" si="27"/>
        <v>732235.2972596027</v>
      </c>
      <c r="J134" s="528">
        <f t="shared" si="27"/>
        <v>760823.40374700387</v>
      </c>
      <c r="K134" s="528">
        <f t="shared" si="27"/>
        <v>665004.51367016055</v>
      </c>
      <c r="L134" s="528">
        <f t="shared" si="27"/>
        <v>705687.26920728292</v>
      </c>
      <c r="M134" s="528">
        <f t="shared" si="27"/>
        <v>696498.62256179552</v>
      </c>
      <c r="N134" s="528">
        <f t="shared" si="27"/>
        <v>776325.36641528853</v>
      </c>
      <c r="O134" s="531">
        <f>J124/12</f>
        <v>666666.66666666663</v>
      </c>
      <c r="P134" s="532"/>
    </row>
    <row r="144" spans="2:16" s="506" customFormat="1" ht="15.5" x14ac:dyDescent="0.35">
      <c r="B144" s="1082" t="s">
        <v>339</v>
      </c>
      <c r="C144" s="1082"/>
      <c r="D144" s="1082"/>
      <c r="E144" s="504"/>
      <c r="F144" s="1083" t="s">
        <v>324</v>
      </c>
      <c r="G144" s="1083"/>
      <c r="H144" s="1083"/>
      <c r="I144" s="504"/>
      <c r="J144" s="530">
        <v>4000000</v>
      </c>
      <c r="K144" s="504"/>
      <c r="L144" s="504"/>
      <c r="M144" s="504"/>
      <c r="N144" s="504"/>
      <c r="O144" s="504"/>
    </row>
    <row r="145" spans="2:16" s="506" customFormat="1" ht="26" x14ac:dyDescent="0.25">
      <c r="B145" s="510" t="s">
        <v>318</v>
      </c>
      <c r="C145" s="511" t="s">
        <v>0</v>
      </c>
      <c r="D145" s="511" t="s">
        <v>1</v>
      </c>
      <c r="E145" s="511" t="s">
        <v>2</v>
      </c>
      <c r="F145" s="511" t="s">
        <v>3</v>
      </c>
      <c r="G145" s="511" t="s">
        <v>4</v>
      </c>
      <c r="H145" s="512" t="s">
        <v>5</v>
      </c>
      <c r="I145" s="511" t="s">
        <v>6</v>
      </c>
      <c r="J145" s="511" t="s">
        <v>7</v>
      </c>
      <c r="K145" s="511" t="s">
        <v>8</v>
      </c>
      <c r="L145" s="511" t="s">
        <v>9</v>
      </c>
      <c r="M145" s="511" t="s">
        <v>10</v>
      </c>
      <c r="N145" s="511" t="s">
        <v>14</v>
      </c>
      <c r="O145" s="513" t="s">
        <v>319</v>
      </c>
    </row>
    <row r="146" spans="2:16" s="506" customFormat="1" ht="13" x14ac:dyDescent="0.3">
      <c r="B146" s="514">
        <v>2021</v>
      </c>
      <c r="C146" s="515">
        <v>276989.92270399997</v>
      </c>
      <c r="D146" s="515">
        <v>172756.71101499966</v>
      </c>
      <c r="E146" s="515">
        <v>261028.0650130001</v>
      </c>
      <c r="F146" s="515">
        <v>238081.43023199993</v>
      </c>
      <c r="G146" s="515">
        <v>286805.27106900018</v>
      </c>
      <c r="H146" s="515">
        <v>110422.56631199998</v>
      </c>
      <c r="I146" s="515">
        <v>294033.89781300013</v>
      </c>
      <c r="J146" s="515">
        <v>251892.12177699996</v>
      </c>
      <c r="K146" s="515">
        <v>318330.51464399998</v>
      </c>
      <c r="L146" s="515">
        <v>214365.23262500003</v>
      </c>
      <c r="M146" s="515">
        <v>290339.08694999956</v>
      </c>
      <c r="N146" s="515">
        <v>220679.09620299988</v>
      </c>
      <c r="O146" s="515">
        <f>AVERAGE(C146:N146)</f>
        <v>244643.65969641658</v>
      </c>
    </row>
    <row r="147" spans="2:16" s="506" customFormat="1" ht="13" x14ac:dyDescent="0.3">
      <c r="B147" s="514">
        <v>2022</v>
      </c>
      <c r="C147" s="515">
        <v>288080.21511399973</v>
      </c>
      <c r="D147" s="515">
        <v>294750.97009400011</v>
      </c>
      <c r="E147" s="515">
        <v>316505.18601400015</v>
      </c>
      <c r="F147" s="515">
        <v>274821.1679500009</v>
      </c>
      <c r="G147" s="515">
        <v>286645.92819599994</v>
      </c>
      <c r="H147" s="515">
        <v>222781.92561799937</v>
      </c>
      <c r="I147" s="515">
        <v>262349.66322200029</v>
      </c>
      <c r="J147" s="515">
        <v>231372.38159999999</v>
      </c>
      <c r="K147" s="515">
        <v>216657.2908899998</v>
      </c>
      <c r="L147" s="515">
        <v>214949.50034999999</v>
      </c>
      <c r="M147" s="515">
        <v>223834.7198799999</v>
      </c>
      <c r="N147" s="515">
        <v>240583.34282999989</v>
      </c>
      <c r="O147" s="515">
        <f>AVERAGE(C147:N147)</f>
        <v>256111.02431316665</v>
      </c>
    </row>
    <row r="148" spans="2:16" ht="13" x14ac:dyDescent="0.3">
      <c r="B148" s="514">
        <v>2023</v>
      </c>
      <c r="C148" s="515">
        <v>267435.52364999999</v>
      </c>
      <c r="D148" s="515">
        <v>269544.53634999983</v>
      </c>
      <c r="E148" s="515">
        <v>238078.96834600013</v>
      </c>
      <c r="F148" s="515">
        <v>252449.08919800021</v>
      </c>
      <c r="G148" s="515">
        <v>264135.55163999967</v>
      </c>
      <c r="H148" s="515">
        <v>129655.38801599995</v>
      </c>
      <c r="I148" s="515">
        <v>248913.23160000003</v>
      </c>
      <c r="J148" s="515">
        <v>210693.67182000008</v>
      </c>
      <c r="K148" s="515">
        <v>236616.09818699976</v>
      </c>
      <c r="L148" s="515">
        <v>245890.2049420001</v>
      </c>
      <c r="M148" s="515">
        <v>251965.26031699998</v>
      </c>
      <c r="N148" s="515">
        <v>281709.54799599887</v>
      </c>
      <c r="O148" s="515">
        <f>AVERAGE(C148:N148)</f>
        <v>241423.92267183322</v>
      </c>
    </row>
    <row r="149" spans="2:16" ht="13" x14ac:dyDescent="0.3">
      <c r="B149" s="514">
        <v>2024</v>
      </c>
      <c r="C149" s="515">
        <v>167791.81623899998</v>
      </c>
      <c r="D149" s="515">
        <v>217269.95616999973</v>
      </c>
      <c r="E149" s="515">
        <v>278039.39041999995</v>
      </c>
      <c r="F149" s="515">
        <v>216251.82991000015</v>
      </c>
      <c r="G149" s="515">
        <v>342596.53175000002</v>
      </c>
      <c r="H149" s="515">
        <v>251662.76961999998</v>
      </c>
      <c r="I149" s="515">
        <v>139739.11560000008</v>
      </c>
      <c r="J149" s="515">
        <v>264802.45372799993</v>
      </c>
      <c r="K149" s="515">
        <v>309030.56397100037</v>
      </c>
      <c r="L149" s="515">
        <v>247431.64204699974</v>
      </c>
      <c r="M149" s="515">
        <v>269726.03383900004</v>
      </c>
      <c r="N149" s="515">
        <v>215013.00863399982</v>
      </c>
      <c r="O149" s="515">
        <f>AVERAGE(C149:N149)</f>
        <v>243279.59266066665</v>
      </c>
    </row>
    <row r="150" spans="2:16" ht="13" x14ac:dyDescent="0.3">
      <c r="B150" s="516">
        <v>2025</v>
      </c>
      <c r="C150" s="517">
        <v>314537.39943200024</v>
      </c>
      <c r="D150" s="517">
        <v>286803.71013999917</v>
      </c>
      <c r="E150" s="517">
        <v>176694.61211999974</v>
      </c>
      <c r="F150" s="517">
        <v>414105.37216000049</v>
      </c>
      <c r="G150" s="517">
        <v>339987.50987000088</v>
      </c>
      <c r="H150" s="517">
        <v>328865.23131</v>
      </c>
      <c r="I150" s="517">
        <v>422541.95876000123</v>
      </c>
      <c r="J150" s="517">
        <v>347369.04200000188</v>
      </c>
      <c r="K150" s="517">
        <v>290454.92700000072</v>
      </c>
      <c r="L150" s="517">
        <v>432276.76071000029</v>
      </c>
      <c r="M150" s="517">
        <v>213045.35349999971</v>
      </c>
      <c r="N150" s="517">
        <v>372025.63860000024</v>
      </c>
      <c r="O150" s="517">
        <f>AVERAGE(C150:N150)</f>
        <v>328225.626300167</v>
      </c>
    </row>
    <row r="151" spans="2:16" ht="13" x14ac:dyDescent="0.3">
      <c r="B151" s="510" t="s">
        <v>305</v>
      </c>
      <c r="C151" s="518">
        <f>SUM(C146:C150)</f>
        <v>1314834.8771389998</v>
      </c>
      <c r="D151" s="518">
        <f t="shared" ref="D151:N151" si="28">SUM(D146:D150)</f>
        <v>1241125.8837689986</v>
      </c>
      <c r="E151" s="518">
        <f t="shared" si="28"/>
        <v>1270346.2219130001</v>
      </c>
      <c r="F151" s="518">
        <f t="shared" si="28"/>
        <v>1395708.8894500015</v>
      </c>
      <c r="G151" s="518">
        <f t="shared" si="28"/>
        <v>1520170.7925250009</v>
      </c>
      <c r="H151" s="518">
        <f t="shared" si="28"/>
        <v>1043387.8808759991</v>
      </c>
      <c r="I151" s="518">
        <f t="shared" si="28"/>
        <v>1367577.8669950019</v>
      </c>
      <c r="J151" s="518">
        <f t="shared" si="28"/>
        <v>1306129.6709250018</v>
      </c>
      <c r="K151" s="518">
        <f t="shared" si="28"/>
        <v>1371089.3946920005</v>
      </c>
      <c r="L151" s="518">
        <f t="shared" si="28"/>
        <v>1354913.3406740003</v>
      </c>
      <c r="M151" s="518">
        <f t="shared" si="28"/>
        <v>1248910.4544859992</v>
      </c>
      <c r="N151" s="518">
        <f t="shared" si="28"/>
        <v>1330010.6342629988</v>
      </c>
      <c r="O151" s="518"/>
    </row>
    <row r="152" spans="2:16" ht="21" x14ac:dyDescent="0.25">
      <c r="B152" s="521" t="s">
        <v>320</v>
      </c>
      <c r="C152" s="522">
        <f>C151/5</f>
        <v>262966.97542779997</v>
      </c>
      <c r="D152" s="522">
        <f t="shared" ref="D152:N152" si="29">D151/5</f>
        <v>248225.17675379972</v>
      </c>
      <c r="E152" s="522">
        <f t="shared" si="29"/>
        <v>254069.24438260001</v>
      </c>
      <c r="F152" s="522">
        <f t="shared" si="29"/>
        <v>279141.77789000032</v>
      </c>
      <c r="G152" s="522">
        <f t="shared" si="29"/>
        <v>304034.15850500017</v>
      </c>
      <c r="H152" s="522">
        <f t="shared" si="29"/>
        <v>208677.57617519982</v>
      </c>
      <c r="I152" s="522">
        <f t="shared" si="29"/>
        <v>273515.57339900039</v>
      </c>
      <c r="J152" s="522">
        <f t="shared" si="29"/>
        <v>261225.93418500037</v>
      </c>
      <c r="K152" s="522">
        <f t="shared" si="29"/>
        <v>274217.87893840007</v>
      </c>
      <c r="L152" s="522">
        <f t="shared" si="29"/>
        <v>270982.66813480004</v>
      </c>
      <c r="M152" s="522">
        <f t="shared" si="29"/>
        <v>249782.09089719984</v>
      </c>
      <c r="N152" s="522">
        <f t="shared" si="29"/>
        <v>266002.12685259979</v>
      </c>
      <c r="O152" s="522">
        <f>AVERAGE(C152:N152)</f>
        <v>262736.76512845006</v>
      </c>
      <c r="P152" s="523" t="s">
        <v>321</v>
      </c>
    </row>
    <row r="153" spans="2:16" ht="13" x14ac:dyDescent="0.3">
      <c r="B153" s="524" t="s">
        <v>322</v>
      </c>
      <c r="C153" s="525">
        <f>C152/$O$152</f>
        <v>1.0008762013159345</v>
      </c>
      <c r="D153" s="525">
        <f t="shared" ref="D153:N153" si="30">D152/$O$152</f>
        <v>0.94476757614201523</v>
      </c>
      <c r="E153" s="525">
        <f t="shared" si="30"/>
        <v>0.96701062852162101</v>
      </c>
      <c r="F153" s="525">
        <f t="shared" si="30"/>
        <v>1.0624389691086056</v>
      </c>
      <c r="G153" s="525">
        <f t="shared" si="30"/>
        <v>1.1571816314186563</v>
      </c>
      <c r="H153" s="525">
        <f t="shared" si="30"/>
        <v>0.79424581509625769</v>
      </c>
      <c r="I153" s="525">
        <f t="shared" si="30"/>
        <v>1.0410251236262296</v>
      </c>
      <c r="J153" s="525">
        <f t="shared" si="30"/>
        <v>0.99424964015709394</v>
      </c>
      <c r="K153" s="525">
        <f t="shared" si="30"/>
        <v>1.0436981623197537</v>
      </c>
      <c r="L153" s="525">
        <f t="shared" si="30"/>
        <v>1.0313846560542017</v>
      </c>
      <c r="M153" s="525">
        <f t="shared" si="30"/>
        <v>0.95069333283099233</v>
      </c>
      <c r="N153" s="525">
        <f t="shared" si="30"/>
        <v>1.0124282634086377</v>
      </c>
      <c r="O153" s="526">
        <f>AVERAGE(C153:N153)</f>
        <v>0.99999999999999989</v>
      </c>
    </row>
    <row r="154" spans="2:16" ht="13" x14ac:dyDescent="0.3">
      <c r="B154" s="527" t="s">
        <v>399</v>
      </c>
      <c r="C154" s="528">
        <f>C153*$O$154</f>
        <v>333625.40043864481</v>
      </c>
      <c r="D154" s="528">
        <f t="shared" ref="D154:N154" si="31">D153*$O$154</f>
        <v>314922.52538067172</v>
      </c>
      <c r="E154" s="528">
        <f t="shared" si="31"/>
        <v>322336.87617387366</v>
      </c>
      <c r="F154" s="528">
        <f t="shared" si="31"/>
        <v>354146.32303620182</v>
      </c>
      <c r="G154" s="528">
        <f t="shared" si="31"/>
        <v>385727.2104728854</v>
      </c>
      <c r="H154" s="528">
        <f t="shared" si="31"/>
        <v>264748.60503208591</v>
      </c>
      <c r="I154" s="528">
        <f t="shared" si="31"/>
        <v>347008.37454207649</v>
      </c>
      <c r="J154" s="528">
        <f t="shared" si="31"/>
        <v>331416.54671903129</v>
      </c>
      <c r="K154" s="528">
        <f t="shared" si="31"/>
        <v>347899.38743991789</v>
      </c>
      <c r="L154" s="528">
        <f t="shared" si="31"/>
        <v>343794.88535140053</v>
      </c>
      <c r="M154" s="528">
        <f t="shared" si="31"/>
        <v>316897.77761033078</v>
      </c>
      <c r="N154" s="528">
        <f t="shared" si="31"/>
        <v>337476.08780287922</v>
      </c>
      <c r="O154" s="531">
        <f>J144/12</f>
        <v>333333.33333333331</v>
      </c>
      <c r="P154" s="532"/>
    </row>
    <row r="164" spans="2:16" ht="14.5" x14ac:dyDescent="0.3">
      <c r="B164" s="534" t="s">
        <v>340</v>
      </c>
      <c r="F164" s="1084" t="s">
        <v>341</v>
      </c>
      <c r="G164" s="1084"/>
      <c r="H164" s="1084"/>
      <c r="J164" s="530">
        <v>1750000</v>
      </c>
    </row>
    <row r="165" spans="2:16" ht="26" x14ac:dyDescent="0.25">
      <c r="B165" s="510" t="s">
        <v>318</v>
      </c>
      <c r="C165" s="511" t="s">
        <v>0</v>
      </c>
      <c r="D165" s="511" t="s">
        <v>1</v>
      </c>
      <c r="E165" s="511" t="s">
        <v>2</v>
      </c>
      <c r="F165" s="511" t="s">
        <v>3</v>
      </c>
      <c r="G165" s="511" t="s">
        <v>4</v>
      </c>
      <c r="H165" s="512" t="s">
        <v>5</v>
      </c>
      <c r="I165" s="511" t="s">
        <v>6</v>
      </c>
      <c r="J165" s="511" t="s">
        <v>7</v>
      </c>
      <c r="K165" s="511" t="s">
        <v>8</v>
      </c>
      <c r="L165" s="511" t="s">
        <v>9</v>
      </c>
      <c r="M165" s="511" t="s">
        <v>10</v>
      </c>
      <c r="N165" s="511" t="s">
        <v>14</v>
      </c>
      <c r="O165" s="513" t="s">
        <v>319</v>
      </c>
    </row>
    <row r="166" spans="2:16" ht="13" x14ac:dyDescent="0.3">
      <c r="B166" s="514">
        <v>2021</v>
      </c>
      <c r="C166" s="515">
        <v>63695</v>
      </c>
      <c r="D166" s="515">
        <v>52593</v>
      </c>
      <c r="E166" s="515">
        <v>72303</v>
      </c>
      <c r="F166" s="515">
        <v>66714</v>
      </c>
      <c r="G166" s="515">
        <v>66837</v>
      </c>
      <c r="H166" s="515">
        <v>72095</v>
      </c>
      <c r="I166" s="515">
        <v>71934</v>
      </c>
      <c r="J166" s="515">
        <v>67368</v>
      </c>
      <c r="K166" s="515">
        <v>64722</v>
      </c>
      <c r="L166" s="515">
        <v>67332</v>
      </c>
      <c r="M166" s="515">
        <v>61984</v>
      </c>
      <c r="N166" s="515">
        <v>59737</v>
      </c>
      <c r="O166" s="515">
        <f>AVERAGE(C166:N166)</f>
        <v>65609.5</v>
      </c>
    </row>
    <row r="167" spans="2:16" ht="13" x14ac:dyDescent="0.3">
      <c r="B167" s="514">
        <v>2022</v>
      </c>
      <c r="C167" s="515">
        <v>68901</v>
      </c>
      <c r="D167" s="515">
        <v>69742</v>
      </c>
      <c r="E167" s="515">
        <v>69879</v>
      </c>
      <c r="F167" s="515">
        <v>67365</v>
      </c>
      <c r="G167" s="515">
        <v>76543</v>
      </c>
      <c r="H167" s="515">
        <v>73627</v>
      </c>
      <c r="I167" s="515">
        <v>73568</v>
      </c>
      <c r="J167" s="515">
        <v>72476</v>
      </c>
      <c r="K167" s="515">
        <v>66323</v>
      </c>
      <c r="L167" s="515">
        <v>65912</v>
      </c>
      <c r="M167" s="515">
        <v>66137</v>
      </c>
      <c r="N167" s="515">
        <v>69953</v>
      </c>
      <c r="O167" s="515">
        <f>AVERAGE(C167:N167)</f>
        <v>70035.5</v>
      </c>
      <c r="P167" s="506" t="s">
        <v>11</v>
      </c>
    </row>
    <row r="168" spans="2:16" ht="13" x14ac:dyDescent="0.3">
      <c r="B168" s="514">
        <v>2023</v>
      </c>
      <c r="C168" s="515">
        <v>74406</v>
      </c>
      <c r="D168" s="515">
        <v>61121</v>
      </c>
      <c r="E168" s="515">
        <v>79145</v>
      </c>
      <c r="F168" s="515">
        <v>87759</v>
      </c>
      <c r="G168" s="515">
        <v>103669</v>
      </c>
      <c r="H168" s="515">
        <v>102565</v>
      </c>
      <c r="I168" s="515">
        <v>118577</v>
      </c>
      <c r="J168" s="515">
        <v>119752</v>
      </c>
      <c r="K168" s="515">
        <v>116439</v>
      </c>
      <c r="L168" s="515">
        <v>133227</v>
      </c>
      <c r="M168" s="515">
        <v>117180</v>
      </c>
      <c r="N168" s="515">
        <v>124355</v>
      </c>
      <c r="O168" s="515">
        <f>AVERAGE(C168:N168)</f>
        <v>103182.91666666667</v>
      </c>
    </row>
    <row r="169" spans="2:16" ht="13" x14ac:dyDescent="0.3">
      <c r="B169" s="514">
        <v>2024</v>
      </c>
      <c r="C169" s="515">
        <v>117366</v>
      </c>
      <c r="D169" s="515">
        <v>112465</v>
      </c>
      <c r="E169" s="515">
        <v>122185</v>
      </c>
      <c r="F169" s="515">
        <v>141176</v>
      </c>
      <c r="G169" s="515">
        <v>137336</v>
      </c>
      <c r="H169" s="515">
        <v>127104</v>
      </c>
      <c r="I169" s="515">
        <v>145446</v>
      </c>
      <c r="J169" s="515">
        <v>144736</v>
      </c>
      <c r="K169" s="515">
        <v>128839</v>
      </c>
      <c r="L169" s="515">
        <v>149129</v>
      </c>
      <c r="M169" s="515">
        <v>157973</v>
      </c>
      <c r="N169" s="515">
        <v>162549</v>
      </c>
      <c r="O169" s="515">
        <f>AVERAGE(C169:N169)</f>
        <v>137192</v>
      </c>
    </row>
    <row r="170" spans="2:16" ht="13" x14ac:dyDescent="0.3">
      <c r="B170" s="516">
        <v>2025</v>
      </c>
      <c r="C170" s="517">
        <v>158014</v>
      </c>
      <c r="D170" s="517">
        <v>138758</v>
      </c>
      <c r="E170" s="517">
        <v>150740</v>
      </c>
      <c r="F170" s="517">
        <v>141918</v>
      </c>
      <c r="G170" s="517">
        <v>157734</v>
      </c>
      <c r="H170" s="517">
        <v>130245</v>
      </c>
      <c r="I170" s="517">
        <v>134863</v>
      </c>
      <c r="J170" s="517">
        <v>148944</v>
      </c>
      <c r="K170" s="517">
        <v>132514</v>
      </c>
      <c r="L170" s="517">
        <v>139061</v>
      </c>
      <c r="M170" s="517">
        <v>127986</v>
      </c>
      <c r="N170" s="517">
        <v>148531</v>
      </c>
      <c r="O170" s="517">
        <f>AVERAGE(C170:N170)</f>
        <v>142442.33333333334</v>
      </c>
    </row>
    <row r="171" spans="2:16" ht="13" x14ac:dyDescent="0.3">
      <c r="B171" s="510" t="s">
        <v>305</v>
      </c>
      <c r="C171" s="518">
        <f t="shared" ref="C171:N171" si="32">SUM(C166:C170)</f>
        <v>482382</v>
      </c>
      <c r="D171" s="518">
        <f t="shared" si="32"/>
        <v>434679</v>
      </c>
      <c r="E171" s="518">
        <f t="shared" si="32"/>
        <v>494252</v>
      </c>
      <c r="F171" s="518">
        <f t="shared" si="32"/>
        <v>504932</v>
      </c>
      <c r="G171" s="518">
        <f t="shared" si="32"/>
        <v>542119</v>
      </c>
      <c r="H171" s="518">
        <f t="shared" si="32"/>
        <v>505636</v>
      </c>
      <c r="I171" s="518">
        <f t="shared" si="32"/>
        <v>544388</v>
      </c>
      <c r="J171" s="518">
        <f t="shared" si="32"/>
        <v>553276</v>
      </c>
      <c r="K171" s="518">
        <f t="shared" si="32"/>
        <v>508837</v>
      </c>
      <c r="L171" s="518">
        <f t="shared" si="32"/>
        <v>554661</v>
      </c>
      <c r="M171" s="518">
        <f t="shared" si="32"/>
        <v>531260</v>
      </c>
      <c r="N171" s="518">
        <f t="shared" si="32"/>
        <v>565125</v>
      </c>
      <c r="O171" s="518"/>
    </row>
    <row r="172" spans="2:16" ht="21" x14ac:dyDescent="0.25">
      <c r="B172" s="521" t="s">
        <v>320</v>
      </c>
      <c r="C172" s="522">
        <f>C171/5</f>
        <v>96476.4</v>
      </c>
      <c r="D172" s="522">
        <f t="shared" ref="D172:N172" si="33">D171/5</f>
        <v>86935.8</v>
      </c>
      <c r="E172" s="522">
        <f t="shared" si="33"/>
        <v>98850.4</v>
      </c>
      <c r="F172" s="522">
        <f t="shared" si="33"/>
        <v>100986.4</v>
      </c>
      <c r="G172" s="522">
        <f t="shared" si="33"/>
        <v>108423.8</v>
      </c>
      <c r="H172" s="522">
        <f t="shared" si="33"/>
        <v>101127.2</v>
      </c>
      <c r="I172" s="522">
        <f t="shared" si="33"/>
        <v>108877.6</v>
      </c>
      <c r="J172" s="522">
        <f t="shared" si="33"/>
        <v>110655.2</v>
      </c>
      <c r="K172" s="522">
        <f t="shared" si="33"/>
        <v>101767.4</v>
      </c>
      <c r="L172" s="522">
        <f t="shared" si="33"/>
        <v>110932.2</v>
      </c>
      <c r="M172" s="522">
        <f t="shared" si="33"/>
        <v>106252</v>
      </c>
      <c r="N172" s="522">
        <f t="shared" si="33"/>
        <v>113025</v>
      </c>
      <c r="O172" s="522">
        <f>AVERAGE(C172:N172)</f>
        <v>103692.45</v>
      </c>
      <c r="P172" s="523" t="s">
        <v>321</v>
      </c>
    </row>
    <row r="173" spans="2:16" ht="13" x14ac:dyDescent="0.3">
      <c r="B173" s="524" t="s">
        <v>322</v>
      </c>
      <c r="C173" s="525">
        <f>C172/$O$172</f>
        <v>0.93040910885990247</v>
      </c>
      <c r="D173" s="525">
        <f t="shared" ref="D173:N173" si="34">D172/$O$172</f>
        <v>0.83840048142367174</v>
      </c>
      <c r="E173" s="525">
        <f t="shared" si="34"/>
        <v>0.95330373619294362</v>
      </c>
      <c r="F173" s="525">
        <f t="shared" si="34"/>
        <v>0.97390311445047351</v>
      </c>
      <c r="G173" s="525">
        <f t="shared" si="34"/>
        <v>1.0456286836698332</v>
      </c>
      <c r="H173" s="525">
        <f t="shared" si="34"/>
        <v>0.97526097608842299</v>
      </c>
      <c r="I173" s="525">
        <f t="shared" si="34"/>
        <v>1.0500050871591906</v>
      </c>
      <c r="J173" s="525">
        <f t="shared" si="34"/>
        <v>1.0671480903383033</v>
      </c>
      <c r="K173" s="525">
        <f t="shared" si="34"/>
        <v>0.98143500322347477</v>
      </c>
      <c r="L173" s="525">
        <f t="shared" si="34"/>
        <v>1.0698194516572808</v>
      </c>
      <c r="M173" s="525">
        <f t="shared" si="34"/>
        <v>1.0246840536606088</v>
      </c>
      <c r="N173" s="525">
        <f t="shared" si="34"/>
        <v>1.0900022132758942</v>
      </c>
      <c r="O173" s="526">
        <f>AVERAGE(C173:N173)</f>
        <v>1.0000000000000002</v>
      </c>
    </row>
    <row r="174" spans="2:16" ht="13" x14ac:dyDescent="0.3">
      <c r="B174" s="527" t="s">
        <v>399</v>
      </c>
      <c r="C174" s="528">
        <f>C173*$O$174</f>
        <v>135684.66170873577</v>
      </c>
      <c r="D174" s="528">
        <f t="shared" ref="D174:N174" si="35">D173*$O$174</f>
        <v>122266.73687428547</v>
      </c>
      <c r="E174" s="528">
        <f t="shared" si="35"/>
        <v>139023.46152813762</v>
      </c>
      <c r="F174" s="528">
        <f t="shared" si="35"/>
        <v>142027.5375240274</v>
      </c>
      <c r="G174" s="528">
        <f t="shared" si="35"/>
        <v>152487.51636851736</v>
      </c>
      <c r="H174" s="528">
        <f t="shared" si="35"/>
        <v>142225.55901289504</v>
      </c>
      <c r="I174" s="528">
        <f t="shared" si="35"/>
        <v>153125.74187738198</v>
      </c>
      <c r="J174" s="528">
        <f t="shared" si="35"/>
        <v>155625.76317433591</v>
      </c>
      <c r="K174" s="528">
        <f t="shared" si="35"/>
        <v>143125.93797009008</v>
      </c>
      <c r="L174" s="528">
        <f t="shared" si="35"/>
        <v>156015.33670002013</v>
      </c>
      <c r="M174" s="528">
        <f t="shared" si="35"/>
        <v>149433.0911588388</v>
      </c>
      <c r="N174" s="528">
        <f t="shared" si="35"/>
        <v>158958.65610273459</v>
      </c>
      <c r="O174" s="531">
        <f>J164/12</f>
        <v>145833.33333333334</v>
      </c>
      <c r="P174" s="532"/>
    </row>
    <row r="184" spans="2:16" s="506" customFormat="1" ht="15.5" x14ac:dyDescent="0.35">
      <c r="B184" s="1082" t="s">
        <v>342</v>
      </c>
      <c r="C184" s="1082"/>
      <c r="D184" s="1082"/>
      <c r="E184" s="1082"/>
      <c r="F184" s="1083" t="s">
        <v>324</v>
      </c>
      <c r="G184" s="1083"/>
      <c r="H184" s="1083"/>
      <c r="I184" s="504"/>
      <c r="J184" s="530">
        <v>585000</v>
      </c>
      <c r="K184" s="504"/>
      <c r="L184" s="504"/>
      <c r="M184" s="504"/>
      <c r="N184" s="504"/>
      <c r="O184" s="504"/>
    </row>
    <row r="185" spans="2:16" s="506" customFormat="1" ht="26" x14ac:dyDescent="0.25">
      <c r="B185" s="510" t="s">
        <v>318</v>
      </c>
      <c r="C185" s="511" t="s">
        <v>0</v>
      </c>
      <c r="D185" s="511" t="s">
        <v>1</v>
      </c>
      <c r="E185" s="511" t="s">
        <v>2</v>
      </c>
      <c r="F185" s="511" t="s">
        <v>3</v>
      </c>
      <c r="G185" s="511" t="s">
        <v>4</v>
      </c>
      <c r="H185" s="512" t="s">
        <v>5</v>
      </c>
      <c r="I185" s="511" t="s">
        <v>6</v>
      </c>
      <c r="J185" s="511" t="s">
        <v>7</v>
      </c>
      <c r="K185" s="511" t="s">
        <v>8</v>
      </c>
      <c r="L185" s="511" t="s">
        <v>9</v>
      </c>
      <c r="M185" s="511" t="s">
        <v>10</v>
      </c>
      <c r="N185" s="511" t="s">
        <v>14</v>
      </c>
      <c r="O185" s="513" t="s">
        <v>319</v>
      </c>
    </row>
    <row r="186" spans="2:16" s="506" customFormat="1" ht="13" x14ac:dyDescent="0.3">
      <c r="B186" s="514">
        <v>2021</v>
      </c>
      <c r="C186" s="515">
        <v>1383</v>
      </c>
      <c r="D186" s="515">
        <v>866</v>
      </c>
      <c r="E186" s="515">
        <v>1085</v>
      </c>
      <c r="F186" s="515">
        <v>2381</v>
      </c>
      <c r="G186" s="515">
        <v>1466</v>
      </c>
      <c r="H186" s="515">
        <v>1195</v>
      </c>
      <c r="I186" s="515">
        <v>1070</v>
      </c>
      <c r="J186" s="515">
        <v>1442</v>
      </c>
      <c r="K186" s="515">
        <v>1434</v>
      </c>
      <c r="L186" s="515">
        <v>1801</v>
      </c>
      <c r="M186" s="515">
        <v>1516</v>
      </c>
      <c r="N186" s="515">
        <v>1252</v>
      </c>
      <c r="O186" s="515">
        <f>AVERAGE(C186:N186)</f>
        <v>1407.5833333333333</v>
      </c>
    </row>
    <row r="187" spans="2:16" s="506" customFormat="1" ht="13" x14ac:dyDescent="0.3">
      <c r="B187" s="514">
        <v>2022</v>
      </c>
      <c r="C187" s="515">
        <v>1448</v>
      </c>
      <c r="D187" s="515">
        <v>1063</v>
      </c>
      <c r="E187" s="515">
        <v>1027</v>
      </c>
      <c r="F187" s="515">
        <v>1421</v>
      </c>
      <c r="G187" s="515">
        <v>1384</v>
      </c>
      <c r="H187" s="515">
        <v>945</v>
      </c>
      <c r="I187" s="515">
        <v>1761</v>
      </c>
      <c r="J187" s="515">
        <v>683</v>
      </c>
      <c r="K187" s="515">
        <v>1017</v>
      </c>
      <c r="L187" s="515">
        <v>1106</v>
      </c>
      <c r="M187" s="515">
        <v>1095</v>
      </c>
      <c r="N187" s="515">
        <v>1153</v>
      </c>
      <c r="O187" s="515">
        <f>AVERAGE(C187:N187)</f>
        <v>1175.25</v>
      </c>
    </row>
    <row r="188" spans="2:16" ht="13" x14ac:dyDescent="0.3">
      <c r="B188" s="514">
        <v>2023</v>
      </c>
      <c r="C188" s="515">
        <v>7711</v>
      </c>
      <c r="D188" s="515">
        <v>4475</v>
      </c>
      <c r="E188" s="515">
        <v>3415</v>
      </c>
      <c r="F188" s="515">
        <v>6086</v>
      </c>
      <c r="G188" s="515">
        <v>14868</v>
      </c>
      <c r="H188" s="515">
        <v>18936</v>
      </c>
      <c r="I188" s="515">
        <v>31005</v>
      </c>
      <c r="J188" s="515">
        <v>35491</v>
      </c>
      <c r="K188" s="515">
        <v>32334</v>
      </c>
      <c r="L188" s="515">
        <v>34364</v>
      </c>
      <c r="M188" s="515">
        <v>28910</v>
      </c>
      <c r="N188" s="515">
        <v>28943</v>
      </c>
      <c r="O188" s="515">
        <f>AVERAGE(C188:N188)</f>
        <v>20544.833333333332</v>
      </c>
    </row>
    <row r="189" spans="2:16" ht="13" x14ac:dyDescent="0.3">
      <c r="B189" s="514">
        <v>2024</v>
      </c>
      <c r="C189" s="515">
        <v>28208</v>
      </c>
      <c r="D189" s="515">
        <v>38599</v>
      </c>
      <c r="E189" s="515">
        <v>36627</v>
      </c>
      <c r="F189" s="515">
        <v>46609</v>
      </c>
      <c r="G189" s="515">
        <v>47833</v>
      </c>
      <c r="H189" s="515">
        <v>42907</v>
      </c>
      <c r="I189" s="515">
        <v>42769</v>
      </c>
      <c r="J189" s="515">
        <v>50888</v>
      </c>
      <c r="K189" s="515">
        <v>46733</v>
      </c>
      <c r="L189" s="515">
        <v>49846</v>
      </c>
      <c r="M189" s="515">
        <v>49263</v>
      </c>
      <c r="N189" s="515">
        <v>52188</v>
      </c>
      <c r="O189" s="515">
        <f>AVERAGE(C189:N189)</f>
        <v>44372.5</v>
      </c>
    </row>
    <row r="190" spans="2:16" ht="13" x14ac:dyDescent="0.3">
      <c r="B190" s="516">
        <v>2025</v>
      </c>
      <c r="C190" s="517">
        <v>51450</v>
      </c>
      <c r="D190" s="517">
        <v>53158</v>
      </c>
      <c r="E190" s="517">
        <v>52393</v>
      </c>
      <c r="F190" s="517">
        <v>41671</v>
      </c>
      <c r="G190" s="517">
        <v>52673</v>
      </c>
      <c r="H190" s="517">
        <v>40859</v>
      </c>
      <c r="I190" s="517">
        <v>43756</v>
      </c>
      <c r="J190" s="517">
        <v>41617</v>
      </c>
      <c r="K190" s="517">
        <v>32269</v>
      </c>
      <c r="L190" s="517">
        <v>28490</v>
      </c>
      <c r="M190" s="517">
        <v>36208</v>
      </c>
      <c r="N190" s="517">
        <v>47561</v>
      </c>
      <c r="O190" s="517">
        <f>AVERAGE(C190:N190)</f>
        <v>43508.75</v>
      </c>
    </row>
    <row r="191" spans="2:16" ht="13" x14ac:dyDescent="0.3">
      <c r="B191" s="510" t="s">
        <v>305</v>
      </c>
      <c r="C191" s="518">
        <f>SUM(C186:C190)</f>
        <v>90200</v>
      </c>
      <c r="D191" s="518">
        <f t="shared" ref="D191:N191" si="36">SUM(D186:D190)</f>
        <v>98161</v>
      </c>
      <c r="E191" s="518">
        <f t="shared" si="36"/>
        <v>94547</v>
      </c>
      <c r="F191" s="518">
        <f t="shared" si="36"/>
        <v>98168</v>
      </c>
      <c r="G191" s="518">
        <f t="shared" si="36"/>
        <v>118224</v>
      </c>
      <c r="H191" s="518">
        <f t="shared" si="36"/>
        <v>104842</v>
      </c>
      <c r="I191" s="518">
        <f t="shared" si="36"/>
        <v>120361</v>
      </c>
      <c r="J191" s="518">
        <f t="shared" si="36"/>
        <v>130121</v>
      </c>
      <c r="K191" s="518">
        <f t="shared" si="36"/>
        <v>113787</v>
      </c>
      <c r="L191" s="518">
        <f t="shared" si="36"/>
        <v>115607</v>
      </c>
      <c r="M191" s="518">
        <f t="shared" si="36"/>
        <v>116992</v>
      </c>
      <c r="N191" s="518">
        <f t="shared" si="36"/>
        <v>131097</v>
      </c>
      <c r="O191" s="518"/>
    </row>
    <row r="192" spans="2:16" ht="21" x14ac:dyDescent="0.25">
      <c r="B192" s="521" t="s">
        <v>320</v>
      </c>
      <c r="C192" s="522">
        <f>C191/5</f>
        <v>18040</v>
      </c>
      <c r="D192" s="522">
        <f t="shared" ref="D192:N192" si="37">D191/5</f>
        <v>19632.2</v>
      </c>
      <c r="E192" s="522">
        <f t="shared" si="37"/>
        <v>18909.400000000001</v>
      </c>
      <c r="F192" s="522">
        <f t="shared" si="37"/>
        <v>19633.599999999999</v>
      </c>
      <c r="G192" s="522">
        <f t="shared" si="37"/>
        <v>23644.799999999999</v>
      </c>
      <c r="H192" s="522">
        <f t="shared" si="37"/>
        <v>20968.400000000001</v>
      </c>
      <c r="I192" s="522">
        <f t="shared" si="37"/>
        <v>24072.2</v>
      </c>
      <c r="J192" s="522">
        <f t="shared" si="37"/>
        <v>26024.2</v>
      </c>
      <c r="K192" s="522">
        <f t="shared" si="37"/>
        <v>22757.4</v>
      </c>
      <c r="L192" s="522">
        <f t="shared" si="37"/>
        <v>23121.4</v>
      </c>
      <c r="M192" s="522">
        <f t="shared" si="37"/>
        <v>23398.400000000001</v>
      </c>
      <c r="N192" s="522">
        <f t="shared" si="37"/>
        <v>26219.4</v>
      </c>
      <c r="O192" s="522">
        <f>AVERAGE(C192:N192)</f>
        <v>22201.783333333336</v>
      </c>
      <c r="P192" s="523" t="s">
        <v>321</v>
      </c>
    </row>
    <row r="193" spans="2:16" ht="13" x14ac:dyDescent="0.3">
      <c r="B193" s="524" t="s">
        <v>322</v>
      </c>
      <c r="C193" s="525">
        <f>C192/$O$192</f>
        <v>0.8125473404163478</v>
      </c>
      <c r="D193" s="525">
        <f t="shared" ref="D193:N193" si="38">D192/$O$192</f>
        <v>0.88426230025065544</v>
      </c>
      <c r="E193" s="525">
        <f t="shared" si="38"/>
        <v>0.85170635692177876</v>
      </c>
      <c r="F193" s="525">
        <f t="shared" si="38"/>
        <v>0.88432535824824865</v>
      </c>
      <c r="G193" s="525">
        <f t="shared" si="38"/>
        <v>1.0649955296383846</v>
      </c>
      <c r="H193" s="525">
        <f t="shared" si="38"/>
        <v>0.94444665481076218</v>
      </c>
      <c r="I193" s="525">
        <f t="shared" si="38"/>
        <v>1.0842462354750781</v>
      </c>
      <c r="J193" s="525">
        <f t="shared" si="38"/>
        <v>1.1721671006908603</v>
      </c>
      <c r="K193" s="525">
        <f t="shared" si="38"/>
        <v>1.0250257674496117</v>
      </c>
      <c r="L193" s="525">
        <f t="shared" si="38"/>
        <v>1.0414208468238662</v>
      </c>
      <c r="M193" s="525">
        <f t="shared" si="38"/>
        <v>1.0538973220619665</v>
      </c>
      <c r="N193" s="525">
        <f t="shared" si="38"/>
        <v>1.1809591872124385</v>
      </c>
      <c r="O193" s="526">
        <f>AVERAGE(C193:N193)</f>
        <v>0.99999999999999989</v>
      </c>
    </row>
    <row r="194" spans="2:16" ht="13" x14ac:dyDescent="0.3">
      <c r="B194" s="527" t="s">
        <v>399</v>
      </c>
      <c r="C194" s="528">
        <f>C193*$O$194</f>
        <v>39611.682845296957</v>
      </c>
      <c r="D194" s="528">
        <f t="shared" ref="D194:N194" si="39">D193*$O$194</f>
        <v>43107.78713721945</v>
      </c>
      <c r="E194" s="528">
        <f t="shared" si="39"/>
        <v>41520.684899936714</v>
      </c>
      <c r="F194" s="528">
        <f t="shared" si="39"/>
        <v>43110.861214602119</v>
      </c>
      <c r="G194" s="528">
        <f t="shared" si="39"/>
        <v>51918.532069871253</v>
      </c>
      <c r="H194" s="528">
        <f t="shared" si="39"/>
        <v>46041.774422024653</v>
      </c>
      <c r="I194" s="528">
        <f t="shared" si="39"/>
        <v>52857.003979410059</v>
      </c>
      <c r="J194" s="528">
        <f t="shared" si="39"/>
        <v>57143.146158679439</v>
      </c>
      <c r="K194" s="528">
        <f t="shared" si="39"/>
        <v>49970.006163168568</v>
      </c>
      <c r="L194" s="528">
        <f t="shared" si="39"/>
        <v>50769.266282663477</v>
      </c>
      <c r="M194" s="528">
        <f t="shared" si="39"/>
        <v>51377.49445052087</v>
      </c>
      <c r="N194" s="528">
        <f t="shared" si="39"/>
        <v>57571.760376606377</v>
      </c>
      <c r="O194" s="531">
        <f>J184/12</f>
        <v>48750</v>
      </c>
      <c r="P194" s="532"/>
    </row>
    <row r="216" ht="12.65" hidden="1" customHeight="1" x14ac:dyDescent="0.25"/>
    <row r="217" ht="12.65" hidden="1" customHeight="1" x14ac:dyDescent="0.25"/>
    <row r="218" ht="12.65" hidden="1" customHeight="1" x14ac:dyDescent="0.25"/>
    <row r="222" ht="12.65" hidden="1" customHeight="1" x14ac:dyDescent="0.25"/>
    <row r="223" ht="12.65" hidden="1" customHeight="1" x14ac:dyDescent="0.25"/>
    <row r="224" ht="12.65" hidden="1" customHeight="1" x14ac:dyDescent="0.25"/>
    <row r="225" ht="13" customHeight="1" x14ac:dyDescent="0.25"/>
  </sheetData>
  <mergeCells count="19">
    <mergeCell ref="B124:E124"/>
    <mergeCell ref="F124:H124"/>
    <mergeCell ref="B2:O2"/>
    <mergeCell ref="B4:E4"/>
    <mergeCell ref="F4:H4"/>
    <mergeCell ref="B24:D24"/>
    <mergeCell ref="F24:H24"/>
    <mergeCell ref="B44:D44"/>
    <mergeCell ref="F44:H44"/>
    <mergeCell ref="B64:E64"/>
    <mergeCell ref="F64:H64"/>
    <mergeCell ref="F84:H84"/>
    <mergeCell ref="B104:D104"/>
    <mergeCell ref="F104:H104"/>
    <mergeCell ref="B144:D144"/>
    <mergeCell ref="F144:H144"/>
    <mergeCell ref="F164:H164"/>
    <mergeCell ref="B184:E184"/>
    <mergeCell ref="F184:H184"/>
  </mergeCells>
  <printOptions horizontalCentered="1" verticalCentered="1"/>
  <pageMargins left="0.23622047244094491" right="0.15748031496062992" top="0.17" bottom="0.19685039370078741" header="0.17" footer="0.15748031496062992"/>
  <pageSetup paperSize="9" scale="85"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0D0F7-0655-44CC-BB7E-B4C67C6B3ABE}">
  <dimension ref="A2:AH1447"/>
  <sheetViews>
    <sheetView topLeftCell="A126" zoomScale="46" zoomScaleNormal="60" workbookViewId="0">
      <selection activeCell="Y74" sqref="Y74:AA74"/>
    </sheetView>
  </sheetViews>
  <sheetFormatPr baseColWidth="10" defaultColWidth="11.453125" defaultRowHeight="15.5" x14ac:dyDescent="0.35"/>
  <cols>
    <col min="1" max="1" width="18.54296875" style="324" customWidth="1"/>
    <col min="2" max="2" width="66.90625" style="8" bestFit="1" customWidth="1"/>
    <col min="3" max="3" width="18.36328125" style="106" customWidth="1"/>
    <col min="4" max="4" width="12.453125" style="106" customWidth="1"/>
    <col min="5" max="5" width="15.1796875" style="106" customWidth="1"/>
    <col min="6" max="6" width="12.36328125" style="106" bestFit="1" customWidth="1"/>
    <col min="7" max="7" width="11.08984375" style="106" customWidth="1"/>
    <col min="8" max="8" width="13.453125" style="106" customWidth="1"/>
    <col min="9" max="9" width="12" style="106" customWidth="1"/>
    <col min="10" max="10" width="12.453125" style="106" customWidth="1"/>
    <col min="11" max="11" width="14" style="106" bestFit="1" customWidth="1"/>
    <col min="12" max="12" width="11.08984375" style="106" customWidth="1"/>
    <col min="13" max="13" width="14" style="106" customWidth="1"/>
    <col min="14" max="14" width="13" style="106" bestFit="1" customWidth="1"/>
    <col min="15" max="15" width="16.90625" style="11" customWidth="1"/>
    <col min="16" max="16" width="11.90625" style="324" bestFit="1" customWidth="1"/>
    <col min="17" max="17" width="12.54296875" style="324" bestFit="1" customWidth="1"/>
    <col min="18" max="18" width="11.453125" style="324"/>
    <col min="19" max="19" width="8.7265625" style="324" bestFit="1" customWidth="1"/>
    <col min="20" max="20" width="22.81640625" style="324" bestFit="1" customWidth="1"/>
    <col min="21" max="21" width="12.453125" style="324" customWidth="1"/>
    <col min="22" max="23" width="14.6328125" style="324" bestFit="1" customWidth="1"/>
    <col min="24" max="25" width="14.36328125" style="324" bestFit="1" customWidth="1"/>
    <col min="26" max="26" width="13.7265625" style="324" customWidth="1"/>
    <col min="27" max="27" width="16.1796875" style="324" bestFit="1" customWidth="1"/>
    <col min="28" max="28" width="14.36328125" style="324" bestFit="1" customWidth="1"/>
    <col min="29" max="29" width="14.6328125" style="324" bestFit="1" customWidth="1"/>
    <col min="30" max="32" width="14.36328125" style="324" bestFit="1" customWidth="1"/>
    <col min="33" max="16384" width="11.453125" style="324"/>
  </cols>
  <sheetData>
    <row r="2" spans="2:25" x14ac:dyDescent="0.35">
      <c r="B2" s="1075" t="s">
        <v>12</v>
      </c>
      <c r="C2" s="1075"/>
      <c r="D2" s="1075"/>
      <c r="E2" s="1075"/>
      <c r="F2" s="1075"/>
      <c r="G2" s="1075"/>
      <c r="H2" s="1075"/>
      <c r="I2" s="1075"/>
      <c r="J2" s="1075"/>
      <c r="K2" s="1075"/>
      <c r="L2" s="1075"/>
      <c r="M2" s="1075"/>
      <c r="N2" s="1075"/>
      <c r="O2" s="1075"/>
    </row>
    <row r="3" spans="2:25" x14ac:dyDescent="0.35">
      <c r="B3" s="105"/>
    </row>
    <row r="4" spans="2:25" ht="22.5" customHeight="1" x14ac:dyDescent="0.35">
      <c r="B4" s="1069" t="s">
        <v>514</v>
      </c>
      <c r="C4" s="1069"/>
      <c r="D4" s="1069"/>
      <c r="E4" s="1069"/>
      <c r="F4" s="1069"/>
      <c r="G4" s="1069"/>
      <c r="H4" s="1069"/>
      <c r="I4" s="1069"/>
      <c r="J4" s="1069"/>
      <c r="K4" s="1069"/>
      <c r="L4" s="1069"/>
      <c r="M4" s="1069"/>
      <c r="N4" s="1069"/>
      <c r="O4" s="1069"/>
    </row>
    <row r="6" spans="2:25" ht="27" customHeight="1" x14ac:dyDescent="0.35">
      <c r="B6" s="1074" t="s">
        <v>13</v>
      </c>
      <c r="C6" s="1112" t="s">
        <v>0</v>
      </c>
      <c r="D6" s="1112" t="s">
        <v>1</v>
      </c>
      <c r="E6" s="1112" t="s">
        <v>2</v>
      </c>
      <c r="F6" s="1112" t="s">
        <v>3</v>
      </c>
      <c r="G6" s="1112" t="s">
        <v>4</v>
      </c>
      <c r="H6" s="1112" t="s">
        <v>5</v>
      </c>
      <c r="I6" s="1112" t="s">
        <v>6</v>
      </c>
      <c r="J6" s="1112" t="s">
        <v>7</v>
      </c>
      <c r="K6" s="1112" t="s">
        <v>8</v>
      </c>
      <c r="L6" s="1112" t="s">
        <v>9</v>
      </c>
      <c r="M6" s="1112" t="s">
        <v>10</v>
      </c>
      <c r="N6" s="1112" t="s">
        <v>14</v>
      </c>
      <c r="O6" s="1077" t="s">
        <v>15</v>
      </c>
    </row>
    <row r="7" spans="2:25" ht="27" customHeight="1" x14ac:dyDescent="0.35">
      <c r="B7" s="1080"/>
      <c r="C7" s="1145"/>
      <c r="D7" s="1145"/>
      <c r="E7" s="1145"/>
      <c r="F7" s="1145"/>
      <c r="G7" s="1145"/>
      <c r="H7" s="1145"/>
      <c r="I7" s="1145"/>
      <c r="J7" s="1145"/>
      <c r="K7" s="1145"/>
      <c r="L7" s="1145"/>
      <c r="M7" s="1145"/>
      <c r="N7" s="1145"/>
      <c r="O7" s="1088"/>
    </row>
    <row r="8" spans="2:25" x14ac:dyDescent="0.35">
      <c r="B8" s="107"/>
      <c r="C8" s="108"/>
      <c r="D8" s="108"/>
      <c r="E8" s="108"/>
      <c r="F8" s="108"/>
      <c r="G8" s="108"/>
      <c r="H8" s="108"/>
      <c r="I8" s="108"/>
      <c r="J8" s="108"/>
      <c r="K8" s="108"/>
      <c r="L8" s="108"/>
      <c r="M8" s="108"/>
      <c r="N8" s="1161"/>
      <c r="O8" s="109"/>
    </row>
    <row r="9" spans="2:25" x14ac:dyDescent="0.35">
      <c r="B9" s="557" t="s">
        <v>213</v>
      </c>
      <c r="C9" s="558">
        <f>SUM(C11:C12)</f>
        <v>437</v>
      </c>
      <c r="D9" s="558">
        <f>SUM(D11:D12)</f>
        <v>377</v>
      </c>
      <c r="E9" s="558">
        <f>SUM(E11:E12)</f>
        <v>430</v>
      </c>
      <c r="F9" s="558">
        <f>SUM(F11:F12)</f>
        <v>417</v>
      </c>
      <c r="G9" s="558">
        <f t="shared" ref="G9:L9" si="0">SUM(G11:G12)</f>
        <v>0</v>
      </c>
      <c r="H9" s="558">
        <f t="shared" si="0"/>
        <v>0</v>
      </c>
      <c r="I9" s="558">
        <f t="shared" si="0"/>
        <v>0</v>
      </c>
      <c r="J9" s="558">
        <f t="shared" si="0"/>
        <v>0</v>
      </c>
      <c r="K9" s="558">
        <f t="shared" si="0"/>
        <v>0</v>
      </c>
      <c r="L9" s="558">
        <f t="shared" si="0"/>
        <v>0</v>
      </c>
      <c r="M9" s="558">
        <f>SUM(M11:M12)</f>
        <v>0</v>
      </c>
      <c r="N9" s="558">
        <f>SUM(N11:N12)</f>
        <v>0</v>
      </c>
      <c r="O9" s="559">
        <f>SUM(C9:N9)</f>
        <v>1661</v>
      </c>
    </row>
    <row r="10" spans="2:25" s="3" customFormat="1" x14ac:dyDescent="0.35">
      <c r="B10" s="1162"/>
      <c r="C10" s="561"/>
      <c r="D10" s="561"/>
      <c r="E10" s="561"/>
      <c r="F10" s="561"/>
      <c r="G10" s="1157"/>
      <c r="H10" s="1157"/>
      <c r="I10" s="1157"/>
      <c r="J10" s="1157"/>
      <c r="K10" s="1157"/>
      <c r="L10" s="1157"/>
      <c r="M10" s="1157"/>
      <c r="N10" s="1157"/>
      <c r="O10" s="585"/>
      <c r="P10" s="324"/>
      <c r="Q10" s="324"/>
      <c r="R10" s="324"/>
      <c r="S10" s="324"/>
      <c r="T10" s="324"/>
      <c r="U10" s="324"/>
      <c r="V10" s="324"/>
      <c r="W10" s="324"/>
      <c r="X10" s="324"/>
      <c r="Y10" s="324"/>
    </row>
    <row r="11" spans="2:25" x14ac:dyDescent="0.35">
      <c r="B11" s="560" t="s">
        <v>16</v>
      </c>
      <c r="C11" s="1100">
        <v>221</v>
      </c>
      <c r="D11" s="1163">
        <v>189</v>
      </c>
      <c r="E11" s="1163">
        <v>218</v>
      </c>
      <c r="F11" s="1100">
        <v>209</v>
      </c>
      <c r="G11" s="1100"/>
      <c r="H11" s="1100"/>
      <c r="I11" s="1100"/>
      <c r="J11" s="1113"/>
      <c r="K11" s="1113"/>
      <c r="L11" s="1113"/>
      <c r="M11" s="1113"/>
      <c r="N11" s="1113"/>
      <c r="O11" s="585">
        <f>SUM(C11:N11)</f>
        <v>837</v>
      </c>
      <c r="P11" s="27">
        <f>O11/$O$21</f>
        <v>0.85582822085889576</v>
      </c>
    </row>
    <row r="12" spans="2:25" x14ac:dyDescent="0.35">
      <c r="B12" s="560" t="s">
        <v>17</v>
      </c>
      <c r="C12" s="1100">
        <v>216</v>
      </c>
      <c r="D12" s="1163">
        <v>188</v>
      </c>
      <c r="E12" s="1163">
        <v>212</v>
      </c>
      <c r="F12" s="1100">
        <v>208</v>
      </c>
      <c r="G12" s="1163"/>
      <c r="H12" s="1100"/>
      <c r="I12" s="1100"/>
      <c r="J12" s="1113"/>
      <c r="K12" s="1113"/>
      <c r="L12" s="1113"/>
      <c r="M12" s="1113"/>
      <c r="N12" s="1113"/>
      <c r="O12" s="585">
        <f>SUM(C12:N12)</f>
        <v>824</v>
      </c>
    </row>
    <row r="13" spans="2:25" x14ac:dyDescent="0.35">
      <c r="B13" s="562"/>
      <c r="C13" s="564"/>
      <c r="D13" s="564"/>
      <c r="E13" s="564"/>
      <c r="F13" s="564"/>
      <c r="G13" s="1157"/>
      <c r="H13" s="1157"/>
      <c r="I13" s="1157"/>
      <c r="J13" s="1157"/>
      <c r="K13" s="1157"/>
      <c r="L13" s="1157"/>
      <c r="M13" s="1157"/>
      <c r="N13" s="1157"/>
      <c r="O13" s="585"/>
    </row>
    <row r="14" spans="2:25" x14ac:dyDescent="0.35">
      <c r="B14" s="563" t="s">
        <v>214</v>
      </c>
      <c r="C14" s="558">
        <f>SUM(C16:C17)</f>
        <v>76</v>
      </c>
      <c r="D14" s="558">
        <f>SUM(D16:D17)</f>
        <v>60</v>
      </c>
      <c r="E14" s="558">
        <f>SUM(E16:E17)</f>
        <v>74</v>
      </c>
      <c r="F14" s="558">
        <f>SUM(F16:F17)</f>
        <v>69</v>
      </c>
      <c r="G14" s="558">
        <f t="shared" ref="G14:L14" si="1">SUM(G16:G17)</f>
        <v>0</v>
      </c>
      <c r="H14" s="558">
        <f t="shared" si="1"/>
        <v>0</v>
      </c>
      <c r="I14" s="558">
        <f t="shared" si="1"/>
        <v>0</v>
      </c>
      <c r="J14" s="558">
        <f t="shared" si="1"/>
        <v>0</v>
      </c>
      <c r="K14" s="558">
        <f t="shared" si="1"/>
        <v>0</v>
      </c>
      <c r="L14" s="558">
        <f t="shared" si="1"/>
        <v>0</v>
      </c>
      <c r="M14" s="558">
        <f>SUM(M16:M17)</f>
        <v>0</v>
      </c>
      <c r="N14" s="558">
        <f>SUM(N16:N17)</f>
        <v>0</v>
      </c>
      <c r="O14" s="559">
        <f>SUM(C14:N14)</f>
        <v>279</v>
      </c>
    </row>
    <row r="15" spans="2:25" x14ac:dyDescent="0.35">
      <c r="B15" s="560"/>
      <c r="C15" s="564"/>
      <c r="D15" s="564"/>
      <c r="E15" s="564"/>
      <c r="F15" s="564"/>
      <c r="G15" s="1157"/>
      <c r="H15" s="1157"/>
      <c r="I15" s="1157"/>
      <c r="J15" s="1157"/>
      <c r="K15" s="1157"/>
      <c r="L15" s="1157"/>
      <c r="M15" s="1157"/>
      <c r="N15" s="1157"/>
      <c r="O15" s="585"/>
    </row>
    <row r="16" spans="2:25" x14ac:dyDescent="0.35">
      <c r="B16" s="560" t="s">
        <v>16</v>
      </c>
      <c r="C16" s="1101">
        <v>45</v>
      </c>
      <c r="D16" s="1101">
        <v>24</v>
      </c>
      <c r="E16" s="1101">
        <v>44</v>
      </c>
      <c r="F16" s="1101">
        <v>28</v>
      </c>
      <c r="G16" s="1101"/>
      <c r="H16" s="1101"/>
      <c r="I16" s="1102"/>
      <c r="J16" s="1114"/>
      <c r="K16" s="1114"/>
      <c r="L16" s="1114"/>
      <c r="M16" s="1114"/>
      <c r="N16" s="1114"/>
      <c r="O16" s="585">
        <f>SUM(C16:N16)</f>
        <v>141</v>
      </c>
      <c r="P16" s="27">
        <f>O16/$O$21</f>
        <v>0.14417177914110429</v>
      </c>
    </row>
    <row r="17" spans="2:32" s="3" customFormat="1" x14ac:dyDescent="0.35">
      <c r="B17" s="1164" t="s">
        <v>17</v>
      </c>
      <c r="C17" s="1101">
        <v>31</v>
      </c>
      <c r="D17" s="1101">
        <v>36</v>
      </c>
      <c r="E17" s="1102">
        <v>30</v>
      </c>
      <c r="F17" s="1102">
        <v>41</v>
      </c>
      <c r="G17" s="1102"/>
      <c r="H17" s="1102"/>
      <c r="I17" s="1102"/>
      <c r="J17" s="1114"/>
      <c r="K17" s="1114"/>
      <c r="L17" s="1114"/>
      <c r="M17" s="1114"/>
      <c r="N17" s="1114"/>
      <c r="O17" s="585">
        <f>SUM(C17:N17)</f>
        <v>138</v>
      </c>
    </row>
    <row r="18" spans="2:32" x14ac:dyDescent="0.35">
      <c r="B18" s="562"/>
      <c r="C18" s="564"/>
      <c r="D18" s="564"/>
      <c r="E18" s="564"/>
      <c r="F18" s="564"/>
      <c r="G18" s="564"/>
      <c r="H18" s="564"/>
      <c r="I18" s="564"/>
      <c r="J18" s="564"/>
      <c r="K18" s="564"/>
      <c r="L18" s="564"/>
      <c r="M18" s="564"/>
      <c r="N18" s="564"/>
      <c r="O18" s="585"/>
    </row>
    <row r="19" spans="2:32" x14ac:dyDescent="0.35">
      <c r="B19" s="445" t="s">
        <v>18</v>
      </c>
      <c r="C19" s="1103">
        <f>+C9+C14</f>
        <v>513</v>
      </c>
      <c r="D19" s="1103">
        <f>+D9+D14</f>
        <v>437</v>
      </c>
      <c r="E19" s="1103">
        <f>+E9+E14</f>
        <v>504</v>
      </c>
      <c r="F19" s="1103">
        <f>+F9+F14</f>
        <v>486</v>
      </c>
      <c r="G19" s="1103">
        <f t="shared" ref="G19:L19" si="2">+G9+G14</f>
        <v>0</v>
      </c>
      <c r="H19" s="1103">
        <f t="shared" si="2"/>
        <v>0</v>
      </c>
      <c r="I19" s="1103">
        <f t="shared" si="2"/>
        <v>0</v>
      </c>
      <c r="J19" s="1103">
        <f t="shared" si="2"/>
        <v>0</v>
      </c>
      <c r="K19" s="1103">
        <f t="shared" si="2"/>
        <v>0</v>
      </c>
      <c r="L19" s="1103">
        <f t="shared" si="2"/>
        <v>0</v>
      </c>
      <c r="M19" s="1103">
        <f>+M9+M14</f>
        <v>0</v>
      </c>
      <c r="N19" s="1103">
        <f>+N9+N14</f>
        <v>0</v>
      </c>
      <c r="O19" s="1165">
        <f>SUM(C19:N19)</f>
        <v>1940</v>
      </c>
    </row>
    <row r="20" spans="2:32" x14ac:dyDescent="0.35">
      <c r="B20" s="560"/>
      <c r="C20" s="564"/>
      <c r="D20" s="564"/>
      <c r="E20" s="564"/>
      <c r="F20" s="564"/>
      <c r="G20" s="564"/>
      <c r="H20" s="564"/>
      <c r="I20" s="564"/>
      <c r="J20" s="564"/>
      <c r="K20" s="564"/>
      <c r="L20" s="564"/>
      <c r="M20" s="564"/>
      <c r="N20" s="564"/>
      <c r="O20" s="585"/>
      <c r="T20" s="735" t="s">
        <v>452</v>
      </c>
      <c r="U20" s="704" t="s">
        <v>404</v>
      </c>
      <c r="V20" s="704" t="s">
        <v>405</v>
      </c>
      <c r="W20" s="704" t="s">
        <v>406</v>
      </c>
      <c r="X20" s="704" t="s">
        <v>407</v>
      </c>
      <c r="Y20" s="704" t="s">
        <v>408</v>
      </c>
      <c r="Z20" s="704" t="s">
        <v>409</v>
      </c>
      <c r="AA20" s="704" t="s">
        <v>410</v>
      </c>
      <c r="AB20" s="704" t="s">
        <v>411</v>
      </c>
      <c r="AC20" s="704" t="s">
        <v>412</v>
      </c>
      <c r="AD20" s="704" t="s">
        <v>413</v>
      </c>
      <c r="AE20" s="704" t="s">
        <v>414</v>
      </c>
      <c r="AF20" s="704" t="s">
        <v>415</v>
      </c>
    </row>
    <row r="21" spans="2:32" ht="18.5" x14ac:dyDescent="0.45">
      <c r="B21" s="560" t="s">
        <v>16</v>
      </c>
      <c r="C21" s="564">
        <v>266</v>
      </c>
      <c r="D21" s="564">
        <f>+D11+D16</f>
        <v>213</v>
      </c>
      <c r="E21" s="564">
        <f>+E11+E16</f>
        <v>262</v>
      </c>
      <c r="F21" s="564">
        <f>+F11+F16</f>
        <v>237</v>
      </c>
      <c r="G21" s="564">
        <f>+G11+G16</f>
        <v>0</v>
      </c>
      <c r="H21" s="564">
        <f>H16+H11</f>
        <v>0</v>
      </c>
      <c r="I21" s="564">
        <f t="shared" ref="I21:L22" si="3">I16+I11</f>
        <v>0</v>
      </c>
      <c r="J21" s="564">
        <f t="shared" si="3"/>
        <v>0</v>
      </c>
      <c r="K21" s="564">
        <f t="shared" si="3"/>
        <v>0</v>
      </c>
      <c r="L21" s="564">
        <f t="shared" si="3"/>
        <v>0</v>
      </c>
      <c r="M21" s="564">
        <f>M16+M11</f>
        <v>0</v>
      </c>
      <c r="N21" s="564">
        <f>N16+N11</f>
        <v>0</v>
      </c>
      <c r="O21" s="585">
        <f>SUM(C21:N21)</f>
        <v>978</v>
      </c>
      <c r="T21" s="736" t="s">
        <v>440</v>
      </c>
      <c r="U21" s="25"/>
      <c r="V21" s="25">
        <v>211</v>
      </c>
      <c r="W21" s="25">
        <v>261</v>
      </c>
      <c r="X21" s="25">
        <v>236</v>
      </c>
      <c r="Y21" s="25">
        <v>221</v>
      </c>
      <c r="Z21" s="25">
        <v>224</v>
      </c>
      <c r="AA21" s="25">
        <v>227</v>
      </c>
      <c r="AB21" s="25"/>
      <c r="AC21" s="25"/>
      <c r="AD21" s="25"/>
      <c r="AE21" s="25"/>
      <c r="AF21" s="25"/>
    </row>
    <row r="22" spans="2:32" x14ac:dyDescent="0.35">
      <c r="B22" s="115" t="s">
        <v>17</v>
      </c>
      <c r="C22" s="116">
        <v>247</v>
      </c>
      <c r="D22" s="116">
        <f>D17+D12</f>
        <v>224</v>
      </c>
      <c r="E22" s="116">
        <f>E17+E12</f>
        <v>242</v>
      </c>
      <c r="F22" s="116">
        <f>F17+F12</f>
        <v>249</v>
      </c>
      <c r="G22" s="116">
        <f>G17+G12</f>
        <v>0</v>
      </c>
      <c r="H22" s="116">
        <f>H17+H12</f>
        <v>0</v>
      </c>
      <c r="I22" s="116">
        <f t="shared" si="3"/>
        <v>0</v>
      </c>
      <c r="J22" s="116">
        <f t="shared" si="3"/>
        <v>0</v>
      </c>
      <c r="K22" s="116">
        <f t="shared" si="3"/>
        <v>0</v>
      </c>
      <c r="L22" s="116">
        <f t="shared" si="3"/>
        <v>0</v>
      </c>
      <c r="M22" s="116">
        <f>M17+M12</f>
        <v>0</v>
      </c>
      <c r="N22" s="116">
        <f>N17+N12</f>
        <v>0</v>
      </c>
      <c r="O22" s="233">
        <f>SUM(C22:N22)</f>
        <v>962</v>
      </c>
    </row>
    <row r="23" spans="2:32" x14ac:dyDescent="0.35">
      <c r="B23" s="117"/>
      <c r="C23" s="118"/>
      <c r="D23" s="118"/>
      <c r="E23" s="118"/>
      <c r="F23" s="118"/>
      <c r="G23" s="118"/>
      <c r="H23" s="118"/>
      <c r="I23" s="118"/>
      <c r="J23" s="118"/>
      <c r="K23" s="118"/>
      <c r="L23" s="118"/>
      <c r="N23" s="118"/>
      <c r="O23" s="160"/>
    </row>
    <row r="24" spans="2:32" ht="22.5" customHeight="1" x14ac:dyDescent="0.35">
      <c r="B24" s="1069" t="s">
        <v>515</v>
      </c>
      <c r="C24" s="1069"/>
      <c r="D24" s="1069"/>
      <c r="E24" s="1069"/>
      <c r="F24" s="1069"/>
      <c r="G24" s="1069"/>
      <c r="H24" s="1069"/>
      <c r="I24" s="1069"/>
      <c r="J24" s="1069"/>
      <c r="K24" s="1069"/>
      <c r="L24" s="1069"/>
      <c r="M24" s="1069"/>
      <c r="N24" s="1069"/>
      <c r="O24" s="1069"/>
    </row>
    <row r="26" spans="2:32" ht="15" customHeight="1" x14ac:dyDescent="0.35">
      <c r="B26" s="1074" t="s">
        <v>13</v>
      </c>
      <c r="C26" s="1112" t="s">
        <v>0</v>
      </c>
      <c r="D26" s="1112" t="s">
        <v>1</v>
      </c>
      <c r="E26" s="1112" t="s">
        <v>2</v>
      </c>
      <c r="F26" s="1112" t="s">
        <v>3</v>
      </c>
      <c r="G26" s="1112" t="s">
        <v>4</v>
      </c>
      <c r="H26" s="1112" t="s">
        <v>5</v>
      </c>
      <c r="I26" s="1112" t="s">
        <v>6</v>
      </c>
      <c r="J26" s="1112" t="s">
        <v>7</v>
      </c>
      <c r="K26" s="1112" t="s">
        <v>8</v>
      </c>
      <c r="L26" s="1112" t="s">
        <v>9</v>
      </c>
      <c r="M26" s="1112" t="s">
        <v>10</v>
      </c>
      <c r="N26" s="1112" t="s">
        <v>14</v>
      </c>
      <c r="O26" s="1077" t="s">
        <v>15</v>
      </c>
      <c r="Z26" s="28">
        <f>+POWER(AA21/V21,1/6)-1</f>
        <v>1.2256483216217529E-2</v>
      </c>
      <c r="AA26" s="1099">
        <f>+V21*(1+(POWER(Z26,5)))</f>
        <v>211.00000005835952</v>
      </c>
    </row>
    <row r="27" spans="2:32" ht="28.5" customHeight="1" x14ac:dyDescent="0.35">
      <c r="B27" s="1080"/>
      <c r="C27" s="1145"/>
      <c r="D27" s="1145"/>
      <c r="E27" s="1145"/>
      <c r="F27" s="1145"/>
      <c r="G27" s="1145"/>
      <c r="H27" s="1145"/>
      <c r="I27" s="1145"/>
      <c r="J27" s="1145"/>
      <c r="K27" s="1145"/>
      <c r="L27" s="1145"/>
      <c r="M27" s="1145"/>
      <c r="N27" s="1145"/>
      <c r="O27" s="1088"/>
    </row>
    <row r="28" spans="2:32" x14ac:dyDescent="0.35">
      <c r="B28" s="107"/>
      <c r="C28" s="108"/>
      <c r="D28" s="108"/>
      <c r="E28" s="108"/>
      <c r="F28" s="108"/>
      <c r="G28" s="108"/>
      <c r="H28" s="108"/>
      <c r="I28" s="108"/>
      <c r="J28" s="108"/>
      <c r="K28" s="108"/>
      <c r="L28" s="108"/>
      <c r="M28" s="108"/>
      <c r="N28" s="108"/>
      <c r="O28" s="109"/>
    </row>
    <row r="29" spans="2:32" x14ac:dyDescent="0.35">
      <c r="B29" s="563" t="s">
        <v>19</v>
      </c>
      <c r="C29" s="558">
        <f>SUM(C31:C41)</f>
        <v>221</v>
      </c>
      <c r="D29" s="558">
        <f>SUM(D31:D41)</f>
        <v>189</v>
      </c>
      <c r="E29" s="558">
        <f>SUM(E31:E41)</f>
        <v>218</v>
      </c>
      <c r="F29" s="558">
        <f>SUM(F31:F41)</f>
        <v>209</v>
      </c>
      <c r="G29" s="558">
        <f t="shared" ref="G29:L29" si="4">SUM(G31:G41)</f>
        <v>0</v>
      </c>
      <c r="H29" s="558">
        <f t="shared" si="4"/>
        <v>0</v>
      </c>
      <c r="I29" s="558">
        <f t="shared" si="4"/>
        <v>0</v>
      </c>
      <c r="J29" s="558">
        <f t="shared" si="4"/>
        <v>0</v>
      </c>
      <c r="K29" s="558">
        <f t="shared" si="4"/>
        <v>0</v>
      </c>
      <c r="L29" s="558">
        <f t="shared" si="4"/>
        <v>0</v>
      </c>
      <c r="M29" s="558">
        <f>SUM(M31:M41)</f>
        <v>0</v>
      </c>
      <c r="N29" s="558">
        <f>SUM(N31:N41)</f>
        <v>0</v>
      </c>
      <c r="O29" s="559">
        <f>SUM(C29:N29)</f>
        <v>837</v>
      </c>
      <c r="P29" s="28">
        <f>O29/$O$52</f>
        <v>0.85582822085889576</v>
      </c>
    </row>
    <row r="30" spans="2:32" x14ac:dyDescent="0.35">
      <c r="B30" s="560"/>
      <c r="C30" s="564"/>
      <c r="D30" s="564"/>
      <c r="E30" s="564"/>
      <c r="F30" s="564"/>
      <c r="G30" s="564"/>
      <c r="H30" s="564"/>
      <c r="I30" s="564"/>
      <c r="J30" s="564"/>
      <c r="K30" s="564"/>
      <c r="L30" s="564"/>
      <c r="M30" s="564"/>
      <c r="N30" s="564"/>
      <c r="O30" s="585"/>
    </row>
    <row r="31" spans="2:32" x14ac:dyDescent="0.35">
      <c r="B31" s="1166" t="s">
        <v>20</v>
      </c>
      <c r="C31" s="1113">
        <v>14</v>
      </c>
      <c r="D31" s="1113">
        <v>11</v>
      </c>
      <c r="E31" s="1113">
        <v>19</v>
      </c>
      <c r="F31" s="1113">
        <v>12</v>
      </c>
      <c r="G31" s="1113"/>
      <c r="H31" s="1113"/>
      <c r="I31" s="1167"/>
      <c r="J31" s="1113"/>
      <c r="K31" s="1113"/>
      <c r="L31" s="1113"/>
      <c r="M31" s="1113"/>
      <c r="N31" s="1113"/>
      <c r="O31" s="585">
        <f t="shared" ref="O31:O41" si="5">SUM(C31:N31)</f>
        <v>56</v>
      </c>
    </row>
    <row r="32" spans="2:32" x14ac:dyDescent="0.35">
      <c r="B32" s="1166" t="s">
        <v>21</v>
      </c>
      <c r="C32" s="1113">
        <v>77</v>
      </c>
      <c r="D32" s="1113">
        <v>72</v>
      </c>
      <c r="E32" s="1113">
        <v>82</v>
      </c>
      <c r="F32" s="1113">
        <v>72</v>
      </c>
      <c r="G32" s="1113"/>
      <c r="H32" s="1113"/>
      <c r="I32" s="1167"/>
      <c r="J32" s="1113"/>
      <c r="K32" s="1113"/>
      <c r="L32" s="1113"/>
      <c r="M32" s="1113"/>
      <c r="N32" s="1113"/>
      <c r="O32" s="585">
        <f t="shared" si="5"/>
        <v>303</v>
      </c>
    </row>
    <row r="33" spans="2:16" x14ac:dyDescent="0.35">
      <c r="B33" s="1166" t="s">
        <v>22</v>
      </c>
      <c r="C33" s="1113">
        <v>8</v>
      </c>
      <c r="D33" s="1113">
        <v>8</v>
      </c>
      <c r="E33" s="1113">
        <v>5</v>
      </c>
      <c r="F33" s="1113">
        <v>9</v>
      </c>
      <c r="G33" s="1113"/>
      <c r="H33" s="1113"/>
      <c r="I33" s="1167"/>
      <c r="J33" s="1113"/>
      <c r="K33" s="1113"/>
      <c r="L33" s="1113"/>
      <c r="M33" s="1113"/>
      <c r="N33" s="1113"/>
      <c r="O33" s="585">
        <f t="shared" si="5"/>
        <v>30</v>
      </c>
    </row>
    <row r="34" spans="2:16" x14ac:dyDescent="0.35">
      <c r="B34" s="1166" t="s">
        <v>23</v>
      </c>
      <c r="C34" s="1113">
        <v>45</v>
      </c>
      <c r="D34" s="1113">
        <v>35</v>
      </c>
      <c r="E34" s="1113">
        <v>41</v>
      </c>
      <c r="F34" s="1113">
        <v>35</v>
      </c>
      <c r="G34" s="1113"/>
      <c r="H34" s="1113"/>
      <c r="I34" s="1167"/>
      <c r="J34" s="1113"/>
      <c r="K34" s="1113"/>
      <c r="L34" s="1113"/>
      <c r="M34" s="1113"/>
      <c r="N34" s="1113"/>
      <c r="O34" s="585">
        <f t="shared" si="5"/>
        <v>156</v>
      </c>
    </row>
    <row r="35" spans="2:16" x14ac:dyDescent="0.35">
      <c r="B35" s="1166" t="s">
        <v>24</v>
      </c>
      <c r="C35" s="1113">
        <v>5</v>
      </c>
      <c r="D35" s="1113">
        <v>4</v>
      </c>
      <c r="E35" s="1113">
        <v>4</v>
      </c>
      <c r="F35" s="1113">
        <v>6</v>
      </c>
      <c r="G35" s="1113"/>
      <c r="H35" s="1113"/>
      <c r="I35" s="1167"/>
      <c r="J35" s="1113"/>
      <c r="K35" s="1113"/>
      <c r="L35" s="1113"/>
      <c r="M35" s="1113"/>
      <c r="N35" s="1113"/>
      <c r="O35" s="585">
        <f t="shared" si="5"/>
        <v>19</v>
      </c>
    </row>
    <row r="36" spans="2:16" x14ac:dyDescent="0.35">
      <c r="B36" s="1166" t="s">
        <v>25</v>
      </c>
      <c r="C36" s="1113">
        <v>27</v>
      </c>
      <c r="D36" s="1113">
        <v>23</v>
      </c>
      <c r="E36" s="1113">
        <v>25</v>
      </c>
      <c r="F36" s="1113">
        <v>21</v>
      </c>
      <c r="G36" s="1113"/>
      <c r="H36" s="1113"/>
      <c r="I36" s="1167"/>
      <c r="J36" s="1113"/>
      <c r="K36" s="1113"/>
      <c r="L36" s="1113"/>
      <c r="M36" s="1113"/>
      <c r="N36" s="1113"/>
      <c r="O36" s="585">
        <f t="shared" si="5"/>
        <v>96</v>
      </c>
    </row>
    <row r="37" spans="2:16" x14ac:dyDescent="0.35">
      <c r="B37" s="1166" t="s">
        <v>26</v>
      </c>
      <c r="C37" s="1113">
        <v>12</v>
      </c>
      <c r="D37" s="1113">
        <v>13</v>
      </c>
      <c r="E37" s="1113">
        <v>12</v>
      </c>
      <c r="F37" s="1113">
        <v>17</v>
      </c>
      <c r="G37" s="1113"/>
      <c r="H37" s="1113"/>
      <c r="I37" s="1167"/>
      <c r="J37" s="1113"/>
      <c r="K37" s="1113"/>
      <c r="L37" s="1113"/>
      <c r="M37" s="1113"/>
      <c r="N37" s="1113"/>
      <c r="O37" s="585">
        <f t="shared" si="5"/>
        <v>54</v>
      </c>
    </row>
    <row r="38" spans="2:16" x14ac:dyDescent="0.35">
      <c r="B38" s="1166" t="s">
        <v>27</v>
      </c>
      <c r="C38" s="1113">
        <v>0</v>
      </c>
      <c r="D38" s="1113">
        <v>0</v>
      </c>
      <c r="E38" s="1113">
        <v>0</v>
      </c>
      <c r="F38" s="1113">
        <v>2</v>
      </c>
      <c r="G38" s="1113"/>
      <c r="H38" s="1113"/>
      <c r="I38" s="1167"/>
      <c r="J38" s="1113"/>
      <c r="K38" s="1113"/>
      <c r="L38" s="1113"/>
      <c r="M38" s="1113"/>
      <c r="N38" s="1113"/>
      <c r="O38" s="585">
        <f t="shared" si="5"/>
        <v>2</v>
      </c>
    </row>
    <row r="39" spans="2:16" x14ac:dyDescent="0.35">
      <c r="B39" s="1166" t="s">
        <v>28</v>
      </c>
      <c r="C39" s="1113">
        <v>1</v>
      </c>
      <c r="D39" s="1113">
        <v>0</v>
      </c>
      <c r="E39" s="1113">
        <v>0</v>
      </c>
      <c r="F39" s="1113">
        <v>3</v>
      </c>
      <c r="G39" s="1113"/>
      <c r="H39" s="1113"/>
      <c r="I39" s="1167"/>
      <c r="J39" s="1113"/>
      <c r="K39" s="1113"/>
      <c r="L39" s="1113"/>
      <c r="M39" s="1113"/>
      <c r="N39" s="1113"/>
      <c r="O39" s="585">
        <f t="shared" si="5"/>
        <v>4</v>
      </c>
    </row>
    <row r="40" spans="2:16" x14ac:dyDescent="0.35">
      <c r="B40" s="1166" t="s">
        <v>29</v>
      </c>
      <c r="C40" s="1113">
        <v>10</v>
      </c>
      <c r="D40" s="1113">
        <v>16</v>
      </c>
      <c r="E40" s="1113">
        <v>18</v>
      </c>
      <c r="F40" s="1113">
        <v>10</v>
      </c>
      <c r="G40" s="1113"/>
      <c r="H40" s="1113"/>
      <c r="I40" s="1167"/>
      <c r="J40" s="1113"/>
      <c r="K40" s="1113"/>
      <c r="L40" s="1113"/>
      <c r="M40" s="1113"/>
      <c r="N40" s="1113"/>
      <c r="O40" s="585">
        <f t="shared" si="5"/>
        <v>54</v>
      </c>
    </row>
    <row r="41" spans="2:16" x14ac:dyDescent="0.35">
      <c r="B41" s="1166" t="s">
        <v>30</v>
      </c>
      <c r="C41" s="1113">
        <v>22</v>
      </c>
      <c r="D41" s="1113">
        <v>7</v>
      </c>
      <c r="E41" s="1113">
        <v>12</v>
      </c>
      <c r="F41" s="1113">
        <v>22</v>
      </c>
      <c r="G41" s="1113"/>
      <c r="H41" s="1113"/>
      <c r="I41" s="1113"/>
      <c r="J41" s="1113"/>
      <c r="K41" s="1113"/>
      <c r="L41" s="1113"/>
      <c r="M41" s="1113"/>
      <c r="N41" s="1113"/>
      <c r="O41" s="585">
        <f t="shared" si="5"/>
        <v>63</v>
      </c>
    </row>
    <row r="42" spans="2:16" x14ac:dyDescent="0.35">
      <c r="B42" s="560"/>
      <c r="C42" s="564"/>
      <c r="D42" s="564"/>
      <c r="E42" s="564"/>
      <c r="F42" s="564"/>
      <c r="G42" s="564"/>
      <c r="H42" s="564"/>
      <c r="I42" s="564"/>
      <c r="J42" s="564"/>
      <c r="K42" s="564"/>
      <c r="L42" s="564"/>
      <c r="M42" s="564"/>
      <c r="N42" s="564"/>
      <c r="O42" s="585"/>
    </row>
    <row r="43" spans="2:16" x14ac:dyDescent="0.35">
      <c r="B43" s="563" t="s">
        <v>31</v>
      </c>
      <c r="C43" s="558">
        <f>SUM(C45:C50)</f>
        <v>45</v>
      </c>
      <c r="D43" s="558">
        <f>SUM(D45:D50)</f>
        <v>24</v>
      </c>
      <c r="E43" s="558">
        <f>SUM(E45:E50)</f>
        <v>44</v>
      </c>
      <c r="F43" s="558">
        <f>SUM(F45:F50)</f>
        <v>28</v>
      </c>
      <c r="G43" s="558">
        <f t="shared" ref="G43:L43" si="6">SUM(G45:G50)</f>
        <v>0</v>
      </c>
      <c r="H43" s="558">
        <f t="shared" si="6"/>
        <v>0</v>
      </c>
      <c r="I43" s="558">
        <f t="shared" si="6"/>
        <v>0</v>
      </c>
      <c r="J43" s="558">
        <f t="shared" si="6"/>
        <v>0</v>
      </c>
      <c r="K43" s="558">
        <f t="shared" si="6"/>
        <v>0</v>
      </c>
      <c r="L43" s="558">
        <f t="shared" si="6"/>
        <v>0</v>
      </c>
      <c r="M43" s="558">
        <f>SUM(M45:M50)</f>
        <v>0</v>
      </c>
      <c r="N43" s="558">
        <f>SUM(N45:N50)</f>
        <v>0</v>
      </c>
      <c r="O43" s="559">
        <f>SUM(C43:N43)</f>
        <v>141</v>
      </c>
      <c r="P43" s="28">
        <f>O43/$O$52</f>
        <v>0.14417177914110429</v>
      </c>
    </row>
    <row r="44" spans="2:16" x14ac:dyDescent="0.35">
      <c r="B44" s="560"/>
      <c r="C44" s="564"/>
      <c r="D44" s="564"/>
      <c r="E44" s="564"/>
      <c r="F44" s="564"/>
      <c r="G44" s="564"/>
      <c r="H44" s="564"/>
      <c r="I44" s="564"/>
      <c r="J44" s="564"/>
      <c r="K44" s="564"/>
      <c r="L44" s="564"/>
      <c r="M44" s="564"/>
      <c r="N44" s="564"/>
      <c r="O44" s="585"/>
    </row>
    <row r="45" spans="2:16" x14ac:dyDescent="0.35">
      <c r="B45" s="1166" t="s">
        <v>32</v>
      </c>
      <c r="C45" s="1168">
        <v>13</v>
      </c>
      <c r="D45" s="1168">
        <v>1</v>
      </c>
      <c r="E45" s="1114">
        <v>9</v>
      </c>
      <c r="F45" s="1114">
        <v>11</v>
      </c>
      <c r="G45" s="1114"/>
      <c r="H45" s="1114"/>
      <c r="I45" s="1114"/>
      <c r="J45" s="1114"/>
      <c r="K45" s="1114"/>
      <c r="L45" s="1114"/>
      <c r="M45" s="1114"/>
      <c r="N45" s="1114"/>
      <c r="O45" s="585">
        <f t="shared" ref="O45:O50" si="7">SUM(C45:N45)</f>
        <v>34</v>
      </c>
    </row>
    <row r="46" spans="2:16" x14ac:dyDescent="0.35">
      <c r="B46" s="1166" t="s">
        <v>33</v>
      </c>
      <c r="C46" s="1168">
        <v>6</v>
      </c>
      <c r="D46" s="1168">
        <v>6</v>
      </c>
      <c r="E46" s="1114">
        <v>6</v>
      </c>
      <c r="F46" s="1114">
        <v>4</v>
      </c>
      <c r="G46" s="1114"/>
      <c r="H46" s="1114"/>
      <c r="I46" s="1114"/>
      <c r="J46" s="1114"/>
      <c r="K46" s="1114"/>
      <c r="L46" s="1114"/>
      <c r="M46" s="1114"/>
      <c r="N46" s="1114"/>
      <c r="O46" s="585">
        <f t="shared" si="7"/>
        <v>22</v>
      </c>
    </row>
    <row r="47" spans="2:16" x14ac:dyDescent="0.35">
      <c r="B47" s="1166" t="s">
        <v>34</v>
      </c>
      <c r="C47" s="1114">
        <v>0</v>
      </c>
      <c r="D47" s="1114">
        <v>0</v>
      </c>
      <c r="E47" s="1114">
        <v>0</v>
      </c>
      <c r="F47" s="1114">
        <v>0</v>
      </c>
      <c r="G47" s="1114"/>
      <c r="H47" s="1114"/>
      <c r="I47" s="1114"/>
      <c r="J47" s="1114"/>
      <c r="K47" s="1114"/>
      <c r="L47" s="1114"/>
      <c r="M47" s="1114"/>
      <c r="N47" s="1114"/>
      <c r="O47" s="585">
        <f t="shared" si="7"/>
        <v>0</v>
      </c>
    </row>
    <row r="48" spans="2:16" x14ac:dyDescent="0.35">
      <c r="B48" s="1166" t="s">
        <v>35</v>
      </c>
      <c r="C48" s="1114">
        <v>23</v>
      </c>
      <c r="D48" s="1114">
        <v>16</v>
      </c>
      <c r="E48" s="1114">
        <v>26</v>
      </c>
      <c r="F48" s="1114">
        <v>11</v>
      </c>
      <c r="G48" s="1114"/>
      <c r="H48" s="1114"/>
      <c r="I48" s="1114"/>
      <c r="J48" s="1114"/>
      <c r="K48" s="1114"/>
      <c r="L48" s="1114"/>
      <c r="M48" s="1114"/>
      <c r="N48" s="1114"/>
      <c r="O48" s="585">
        <f t="shared" si="7"/>
        <v>76</v>
      </c>
    </row>
    <row r="49" spans="2:15" x14ac:dyDescent="0.35">
      <c r="B49" s="1166" t="s">
        <v>29</v>
      </c>
      <c r="C49" s="1114">
        <v>3</v>
      </c>
      <c r="D49" s="1114">
        <v>1</v>
      </c>
      <c r="E49" s="1114">
        <v>3</v>
      </c>
      <c r="F49" s="1114">
        <v>2</v>
      </c>
      <c r="G49" s="1114"/>
      <c r="H49" s="1114"/>
      <c r="I49" s="1114"/>
      <c r="J49" s="1114"/>
      <c r="K49" s="1114"/>
      <c r="L49" s="1114"/>
      <c r="M49" s="1114"/>
      <c r="N49" s="1114"/>
      <c r="O49" s="585">
        <f t="shared" si="7"/>
        <v>9</v>
      </c>
    </row>
    <row r="50" spans="2:15" x14ac:dyDescent="0.35">
      <c r="B50" s="1166" t="s">
        <v>30</v>
      </c>
      <c r="C50" s="1114">
        <v>0</v>
      </c>
      <c r="D50" s="1114">
        <v>0</v>
      </c>
      <c r="E50" s="1114">
        <v>0</v>
      </c>
      <c r="F50" s="1114">
        <v>0</v>
      </c>
      <c r="G50" s="1114"/>
      <c r="H50" s="1114"/>
      <c r="I50" s="1114"/>
      <c r="J50" s="1114"/>
      <c r="K50" s="1114"/>
      <c r="L50" s="1114"/>
      <c r="M50" s="1114"/>
      <c r="N50" s="1114"/>
      <c r="O50" s="585">
        <f t="shared" si="7"/>
        <v>0</v>
      </c>
    </row>
    <row r="51" spans="2:15" x14ac:dyDescent="0.35">
      <c r="B51" s="1166"/>
      <c r="C51" s="567"/>
      <c r="D51" s="567"/>
      <c r="E51" s="567"/>
      <c r="F51" s="567"/>
      <c r="G51" s="567"/>
      <c r="H51" s="567"/>
      <c r="I51" s="564"/>
      <c r="J51" s="564"/>
      <c r="K51" s="564"/>
      <c r="L51" s="564"/>
      <c r="M51" s="564"/>
      <c r="N51" s="564"/>
      <c r="O51" s="585"/>
    </row>
    <row r="52" spans="2:15" x14ac:dyDescent="0.35">
      <c r="B52" s="432" t="s">
        <v>36</v>
      </c>
      <c r="C52" s="1169">
        <f>+C43+C29</f>
        <v>266</v>
      </c>
      <c r="D52" s="1169">
        <f>+D43+D29</f>
        <v>213</v>
      </c>
      <c r="E52" s="1169">
        <f>+E43+E29</f>
        <v>262</v>
      </c>
      <c r="F52" s="1169">
        <f>+F43+F29</f>
        <v>237</v>
      </c>
      <c r="G52" s="1169">
        <f t="shared" ref="G52:L52" si="8">+G43+G29</f>
        <v>0</v>
      </c>
      <c r="H52" s="1169">
        <f t="shared" si="8"/>
        <v>0</v>
      </c>
      <c r="I52" s="1169">
        <f t="shared" si="8"/>
        <v>0</v>
      </c>
      <c r="J52" s="1169">
        <f t="shared" si="8"/>
        <v>0</v>
      </c>
      <c r="K52" s="1169">
        <f t="shared" si="8"/>
        <v>0</v>
      </c>
      <c r="L52" s="1169">
        <f t="shared" si="8"/>
        <v>0</v>
      </c>
      <c r="M52" s="1169">
        <f>+M43+M29</f>
        <v>0</v>
      </c>
      <c r="N52" s="1169">
        <f>+N43+N29</f>
        <v>0</v>
      </c>
      <c r="O52" s="1170">
        <f>SUM(C52:N52)</f>
        <v>978</v>
      </c>
    </row>
    <row r="53" spans="2:15" x14ac:dyDescent="0.35">
      <c r="B53" s="120"/>
      <c r="C53" s="121"/>
      <c r="D53" s="121"/>
      <c r="E53" s="121"/>
      <c r="F53" s="121"/>
      <c r="G53" s="121"/>
      <c r="H53" s="121"/>
      <c r="I53" s="118"/>
      <c r="J53" s="118"/>
      <c r="K53" s="118"/>
      <c r="L53" s="118"/>
      <c r="M53" s="118"/>
      <c r="N53" s="118"/>
      <c r="O53" s="160"/>
    </row>
    <row r="54" spans="2:15" x14ac:dyDescent="0.35">
      <c r="B54" s="1069" t="s">
        <v>37</v>
      </c>
      <c r="C54" s="1069"/>
      <c r="D54" s="1069"/>
      <c r="E54" s="1069"/>
      <c r="F54" s="1069"/>
      <c r="G54" s="1069"/>
      <c r="H54" s="1069"/>
      <c r="I54" s="1069"/>
      <c r="J54" s="1069"/>
      <c r="K54" s="1069"/>
      <c r="L54" s="1069"/>
      <c r="M54" s="1069"/>
      <c r="N54" s="1069"/>
      <c r="O54" s="1069"/>
    </row>
    <row r="55" spans="2:15" x14ac:dyDescent="0.35">
      <c r="B55" s="105"/>
    </row>
    <row r="56" spans="2:15" ht="22.5" customHeight="1" x14ac:dyDescent="0.35">
      <c r="B56" s="1069" t="s">
        <v>516</v>
      </c>
      <c r="C56" s="1069"/>
      <c r="D56" s="1069"/>
      <c r="E56" s="1069"/>
      <c r="F56" s="1069"/>
      <c r="G56" s="1069"/>
      <c r="H56" s="1069"/>
      <c r="I56" s="1069"/>
      <c r="J56" s="1069"/>
      <c r="K56" s="1069"/>
      <c r="L56" s="1069"/>
      <c r="M56" s="1069"/>
      <c r="N56" s="1069"/>
      <c r="O56" s="1069"/>
    </row>
    <row r="57" spans="2:15" x14ac:dyDescent="0.35">
      <c r="B57" s="122"/>
      <c r="C57" s="123"/>
      <c r="D57" s="123"/>
      <c r="E57" s="123"/>
      <c r="F57" s="123"/>
      <c r="G57" s="123"/>
      <c r="H57" s="123"/>
      <c r="I57" s="124"/>
      <c r="J57" s="124"/>
      <c r="K57" s="124"/>
      <c r="L57" s="124"/>
      <c r="M57" s="123"/>
      <c r="N57" s="123"/>
      <c r="O57" s="1171"/>
    </row>
    <row r="58" spans="2:15" ht="15" customHeight="1" x14ac:dyDescent="0.35">
      <c r="B58" s="1074" t="s">
        <v>13</v>
      </c>
      <c r="C58" s="1112" t="s">
        <v>0</v>
      </c>
      <c r="D58" s="1112" t="s">
        <v>1</v>
      </c>
      <c r="E58" s="1112" t="s">
        <v>2</v>
      </c>
      <c r="F58" s="1112" t="s">
        <v>3</v>
      </c>
      <c r="G58" s="1112" t="s">
        <v>4</v>
      </c>
      <c r="H58" s="1112" t="s">
        <v>5</v>
      </c>
      <c r="I58" s="1112" t="s">
        <v>6</v>
      </c>
      <c r="J58" s="1112" t="s">
        <v>7</v>
      </c>
      <c r="K58" s="1112" t="s">
        <v>8</v>
      </c>
      <c r="L58" s="1112" t="s">
        <v>9</v>
      </c>
      <c r="M58" s="1112" t="s">
        <v>10</v>
      </c>
      <c r="N58" s="1112" t="s">
        <v>14</v>
      </c>
      <c r="O58" s="1077" t="s">
        <v>15</v>
      </c>
    </row>
    <row r="59" spans="2:15" ht="28.5" customHeight="1" x14ac:dyDescent="0.35">
      <c r="B59" s="1080"/>
      <c r="C59" s="1145"/>
      <c r="D59" s="1145"/>
      <c r="E59" s="1145"/>
      <c r="F59" s="1145"/>
      <c r="G59" s="1145"/>
      <c r="H59" s="1145"/>
      <c r="I59" s="1145"/>
      <c r="J59" s="1145"/>
      <c r="K59" s="1145"/>
      <c r="L59" s="1145"/>
      <c r="M59" s="1145"/>
      <c r="N59" s="1145"/>
      <c r="O59" s="1088"/>
    </row>
    <row r="60" spans="2:15" x14ac:dyDescent="0.35">
      <c r="B60" s="947"/>
      <c r="C60" s="1115"/>
      <c r="D60" s="1115"/>
      <c r="E60" s="1115"/>
      <c r="F60" s="1115"/>
      <c r="G60" s="1115"/>
      <c r="H60" s="1115"/>
      <c r="I60" s="1115"/>
      <c r="J60" s="1115"/>
      <c r="K60" s="1115"/>
      <c r="L60" s="1115"/>
      <c r="M60" s="1115"/>
      <c r="N60" s="1115"/>
      <c r="O60" s="1172"/>
    </row>
    <row r="61" spans="2:15" x14ac:dyDescent="0.35">
      <c r="B61" s="948" t="s">
        <v>19</v>
      </c>
      <c r="C61" s="571">
        <f>C63+C64</f>
        <v>4096983.0125399968</v>
      </c>
      <c r="D61" s="571">
        <f>D63+D64</f>
        <v>3844806.4082890078</v>
      </c>
      <c r="E61" s="571">
        <f>E63+E64</f>
        <v>4230849.509639997</v>
      </c>
      <c r="F61" s="571">
        <f>F63+F64</f>
        <v>4250440.8581999931</v>
      </c>
      <c r="G61" s="571">
        <f t="shared" ref="G61:L61" si="9">G63+G64</f>
        <v>0</v>
      </c>
      <c r="H61" s="571">
        <f t="shared" si="9"/>
        <v>0</v>
      </c>
      <c r="I61" s="571">
        <f t="shared" si="9"/>
        <v>0</v>
      </c>
      <c r="J61" s="571">
        <f t="shared" si="9"/>
        <v>0</v>
      </c>
      <c r="K61" s="571">
        <f t="shared" si="9"/>
        <v>0</v>
      </c>
      <c r="L61" s="571">
        <f t="shared" si="9"/>
        <v>0</v>
      </c>
      <c r="M61" s="571">
        <f>M63+M64</f>
        <v>0</v>
      </c>
      <c r="N61" s="571">
        <f>N63+N64</f>
        <v>0</v>
      </c>
      <c r="O61" s="572">
        <f>SUM(C61:N61)</f>
        <v>16423079.788668996</v>
      </c>
    </row>
    <row r="62" spans="2:15" x14ac:dyDescent="0.35">
      <c r="B62" s="948"/>
      <c r="C62" s="573"/>
      <c r="D62" s="573"/>
      <c r="E62" s="573"/>
      <c r="F62" s="573"/>
      <c r="G62" s="573"/>
      <c r="H62" s="573"/>
      <c r="I62" s="573"/>
      <c r="J62" s="573"/>
      <c r="K62" s="574"/>
      <c r="L62" s="575"/>
      <c r="M62" s="575"/>
      <c r="N62" s="576"/>
      <c r="O62" s="572"/>
    </row>
    <row r="63" spans="2:15" x14ac:dyDescent="0.35">
      <c r="B63" s="950" t="s">
        <v>38</v>
      </c>
      <c r="C63" s="1110">
        <v>2766425.7931400007</v>
      </c>
      <c r="D63" s="1110">
        <v>2658295.9002390071</v>
      </c>
      <c r="E63" s="1110">
        <v>3131972.8916399996</v>
      </c>
      <c r="F63" s="1110">
        <v>3029178.9421999943</v>
      </c>
      <c r="G63" s="1110"/>
      <c r="H63" s="1110"/>
      <c r="I63" s="1110"/>
      <c r="J63" s="579"/>
      <c r="K63" s="579"/>
      <c r="L63" s="579"/>
      <c r="M63" s="579"/>
      <c r="N63" s="579"/>
      <c r="O63" s="578">
        <f>SUM(C63:N63)</f>
        <v>11585873.527219001</v>
      </c>
    </row>
    <row r="64" spans="2:15" x14ac:dyDescent="0.35">
      <c r="B64" s="950" t="s">
        <v>39</v>
      </c>
      <c r="C64" s="1110">
        <v>1330557.2193999963</v>
      </c>
      <c r="D64" s="1110">
        <v>1186510.5080500005</v>
      </c>
      <c r="E64" s="1110">
        <v>1098876.6179999977</v>
      </c>
      <c r="F64" s="1110">
        <v>1221261.9159999993</v>
      </c>
      <c r="G64" s="1110"/>
      <c r="H64" s="1110"/>
      <c r="I64" s="1110"/>
      <c r="J64" s="579"/>
      <c r="K64" s="579"/>
      <c r="L64" s="579"/>
      <c r="M64" s="579"/>
      <c r="N64" s="579"/>
      <c r="O64" s="578">
        <f>SUM(C64:N64)</f>
        <v>4837206.2614499936</v>
      </c>
    </row>
    <row r="65" spans="1:32" x14ac:dyDescent="0.35">
      <c r="B65" s="950"/>
      <c r="C65" s="579"/>
      <c r="D65" s="579"/>
      <c r="E65" s="579"/>
      <c r="F65" s="579"/>
      <c r="G65" s="579"/>
      <c r="H65" s="579"/>
      <c r="I65" s="579"/>
      <c r="J65" s="579"/>
      <c r="K65" s="579"/>
      <c r="L65" s="579"/>
      <c r="M65" s="579"/>
      <c r="N65" s="579"/>
      <c r="O65" s="578"/>
    </row>
    <row r="66" spans="1:32" s="39" customFormat="1" x14ac:dyDescent="0.35">
      <c r="B66" s="1173" t="s">
        <v>40</v>
      </c>
      <c r="C66" s="580">
        <f>C606</f>
        <v>312902.17599999998</v>
      </c>
      <c r="D66" s="580">
        <f>D606</f>
        <v>190256.21600000001</v>
      </c>
      <c r="E66" s="580">
        <f>E606</f>
        <v>191309.78700000001</v>
      </c>
      <c r="F66" s="580">
        <f>F606</f>
        <v>190929.008</v>
      </c>
      <c r="G66" s="580">
        <f t="shared" ref="G66:L66" si="10">G606</f>
        <v>0</v>
      </c>
      <c r="H66" s="580">
        <f t="shared" si="10"/>
        <v>0</v>
      </c>
      <c r="I66" s="580">
        <f t="shared" si="10"/>
        <v>0</v>
      </c>
      <c r="J66" s="580">
        <f t="shared" si="10"/>
        <v>0</v>
      </c>
      <c r="K66" s="580">
        <f t="shared" si="10"/>
        <v>0</v>
      </c>
      <c r="L66" s="580">
        <f t="shared" si="10"/>
        <v>0</v>
      </c>
      <c r="M66" s="580">
        <f>M606</f>
        <v>0</v>
      </c>
      <c r="N66" s="580">
        <f>N606</f>
        <v>0</v>
      </c>
      <c r="O66" s="581">
        <f>SUM(C66:N66)</f>
        <v>885397.18700000003</v>
      </c>
      <c r="P66" s="324"/>
      <c r="Q66" s="324"/>
      <c r="R66" s="324"/>
      <c r="S66" s="324"/>
      <c r="T66" s="324"/>
    </row>
    <row r="67" spans="1:32" s="40" customFormat="1" x14ac:dyDescent="0.35">
      <c r="B67" s="1174"/>
      <c r="C67" s="1116"/>
      <c r="D67" s="1116"/>
      <c r="E67" s="1116"/>
      <c r="F67" s="1116"/>
      <c r="G67" s="1116"/>
      <c r="H67" s="1116"/>
      <c r="I67" s="1175"/>
      <c r="J67" s="1175"/>
      <c r="K67" s="1175"/>
      <c r="L67" s="1175"/>
      <c r="M67" s="1175"/>
      <c r="N67" s="1175"/>
      <c r="O67" s="581">
        <f>SUM(C67:N67)</f>
        <v>0</v>
      </c>
      <c r="P67" s="39"/>
      <c r="Q67" s="39"/>
      <c r="R67" s="39"/>
      <c r="S67" s="39"/>
      <c r="T67" s="39"/>
    </row>
    <row r="68" spans="1:32" x14ac:dyDescent="0.35">
      <c r="B68" s="948" t="s">
        <v>31</v>
      </c>
      <c r="C68" s="571">
        <f>C70+C71</f>
        <v>33745.876499999998</v>
      </c>
      <c r="D68" s="571">
        <f>D70+D71</f>
        <v>33533.196499999998</v>
      </c>
      <c r="E68" s="571">
        <f>E70+E71</f>
        <v>31922.994999999995</v>
      </c>
      <c r="F68" s="571">
        <f>F70+F71</f>
        <v>9384.0199999999986</v>
      </c>
      <c r="G68" s="571">
        <f t="shared" ref="G68:L68" si="11">G70+G71</f>
        <v>0</v>
      </c>
      <c r="H68" s="571">
        <f t="shared" si="11"/>
        <v>0</v>
      </c>
      <c r="I68" s="571">
        <f t="shared" si="11"/>
        <v>0</v>
      </c>
      <c r="J68" s="571">
        <f t="shared" si="11"/>
        <v>0</v>
      </c>
      <c r="K68" s="571">
        <f t="shared" si="11"/>
        <v>0</v>
      </c>
      <c r="L68" s="571">
        <f t="shared" si="11"/>
        <v>0</v>
      </c>
      <c r="M68" s="571">
        <f>M70+M71</f>
        <v>0</v>
      </c>
      <c r="N68" s="571">
        <f>N70+N71</f>
        <v>0</v>
      </c>
      <c r="O68" s="572">
        <f>SUM(C68:N68)</f>
        <v>108586.088</v>
      </c>
      <c r="P68" s="338">
        <f>O68/O73</f>
        <v>6.5683693833448846E-3</v>
      </c>
      <c r="Q68" s="40"/>
      <c r="R68" s="40"/>
      <c r="S68" s="40"/>
      <c r="T68" s="40"/>
    </row>
    <row r="69" spans="1:32" x14ac:dyDescent="0.35">
      <c r="B69" s="948"/>
      <c r="C69" s="571"/>
      <c r="D69" s="571"/>
      <c r="E69" s="571"/>
      <c r="F69" s="571"/>
      <c r="G69" s="571"/>
      <c r="H69" s="571"/>
      <c r="I69" s="571"/>
      <c r="J69" s="571"/>
      <c r="K69" s="571"/>
      <c r="L69" s="571"/>
      <c r="M69" s="571"/>
      <c r="N69" s="571"/>
      <c r="O69" s="572"/>
    </row>
    <row r="70" spans="1:32" x14ac:dyDescent="0.35">
      <c r="B70" s="950" t="s">
        <v>38</v>
      </c>
      <c r="C70" s="574">
        <f>C118</f>
        <v>29273.191500000001</v>
      </c>
      <c r="D70" s="574">
        <f>+D118</f>
        <v>29393.570499999998</v>
      </c>
      <c r="E70" s="574">
        <f>+E118</f>
        <v>31922.994999999995</v>
      </c>
      <c r="F70" s="574">
        <f>+F118</f>
        <v>9384.0199999999986</v>
      </c>
      <c r="G70" s="574">
        <f t="shared" ref="G70:L70" si="12">+G118</f>
        <v>0</v>
      </c>
      <c r="H70" s="574">
        <f t="shared" si="12"/>
        <v>0</v>
      </c>
      <c r="I70" s="574">
        <f t="shared" si="12"/>
        <v>0</v>
      </c>
      <c r="J70" s="574">
        <f t="shared" si="12"/>
        <v>0</v>
      </c>
      <c r="K70" s="574">
        <f t="shared" si="12"/>
        <v>0</v>
      </c>
      <c r="L70" s="574">
        <f t="shared" si="12"/>
        <v>0</v>
      </c>
      <c r="M70" s="574">
        <f>+M118</f>
        <v>0</v>
      </c>
      <c r="N70" s="574">
        <f>+N118</f>
        <v>0</v>
      </c>
      <c r="O70" s="578">
        <f>SUM(C70:N70)</f>
        <v>99973.777000000002</v>
      </c>
    </row>
    <row r="71" spans="1:32" x14ac:dyDescent="0.35">
      <c r="A71" s="359"/>
      <c r="B71" s="950" t="s">
        <v>39</v>
      </c>
      <c r="C71" s="577">
        <f>C130</f>
        <v>4472.6850000000004</v>
      </c>
      <c r="D71" s="577">
        <f>+D130</f>
        <v>4139.6259999999993</v>
      </c>
      <c r="E71" s="577">
        <f>+E130</f>
        <v>0</v>
      </c>
      <c r="F71" s="577">
        <f>+F130</f>
        <v>0</v>
      </c>
      <c r="G71" s="577">
        <f t="shared" ref="G71:L71" si="13">+G130</f>
        <v>0</v>
      </c>
      <c r="H71" s="577">
        <f t="shared" si="13"/>
        <v>0</v>
      </c>
      <c r="I71" s="577">
        <f t="shared" si="13"/>
        <v>0</v>
      </c>
      <c r="J71" s="577">
        <f t="shared" si="13"/>
        <v>0</v>
      </c>
      <c r="K71" s="577">
        <f t="shared" si="13"/>
        <v>0</v>
      </c>
      <c r="L71" s="577">
        <f t="shared" si="13"/>
        <v>0</v>
      </c>
      <c r="M71" s="577">
        <f>+M130</f>
        <v>0</v>
      </c>
      <c r="N71" s="577">
        <f>+N130</f>
        <v>0</v>
      </c>
      <c r="O71" s="578">
        <f>SUM(C71:N71)</f>
        <v>8612.3109999999997</v>
      </c>
    </row>
    <row r="72" spans="1:32" x14ac:dyDescent="0.35">
      <c r="A72" s="359"/>
      <c r="B72" s="950"/>
      <c r="C72" s="577"/>
      <c r="D72" s="577"/>
      <c r="E72" s="577"/>
      <c r="F72" s="577"/>
      <c r="G72" s="577"/>
      <c r="H72" s="577"/>
      <c r="I72" s="577"/>
      <c r="J72" s="577"/>
      <c r="K72" s="577"/>
      <c r="L72" s="577"/>
      <c r="M72" s="577"/>
      <c r="N72" s="577"/>
      <c r="O72" s="578"/>
    </row>
    <row r="73" spans="1:32" s="41" customFormat="1" x14ac:dyDescent="0.35">
      <c r="B73" s="445" t="s">
        <v>36</v>
      </c>
      <c r="C73" s="1117">
        <f>+C61+C68</f>
        <v>4130728.8890399965</v>
      </c>
      <c r="D73" s="1117">
        <f>+D61+D68</f>
        <v>3878339.6047890079</v>
      </c>
      <c r="E73" s="1117">
        <f>+E61+E68</f>
        <v>4262772.5046399971</v>
      </c>
      <c r="F73" s="1117">
        <f>+F61+F68</f>
        <v>4259824.8781999927</v>
      </c>
      <c r="G73" s="1117">
        <f t="shared" ref="G73:L73" si="14">+G61+G68</f>
        <v>0</v>
      </c>
      <c r="H73" s="1117">
        <f t="shared" si="14"/>
        <v>0</v>
      </c>
      <c r="I73" s="1117">
        <f t="shared" si="14"/>
        <v>0</v>
      </c>
      <c r="J73" s="1117">
        <f t="shared" si="14"/>
        <v>0</v>
      </c>
      <c r="K73" s="1117">
        <f t="shared" si="14"/>
        <v>0</v>
      </c>
      <c r="L73" s="1117">
        <f t="shared" si="14"/>
        <v>0</v>
      </c>
      <c r="M73" s="1117">
        <f>+M61+M68</f>
        <v>0</v>
      </c>
      <c r="N73" s="1117">
        <f>+N61+N68</f>
        <v>0</v>
      </c>
      <c r="O73" s="1176">
        <f>SUM(C73:N73)</f>
        <v>16531665.876668995</v>
      </c>
      <c r="P73" s="324"/>
      <c r="Q73" s="324"/>
      <c r="R73" s="324"/>
      <c r="S73" s="324"/>
      <c r="T73" s="735" t="s">
        <v>452</v>
      </c>
      <c r="U73" s="704" t="s">
        <v>404</v>
      </c>
      <c r="V73" s="704" t="s">
        <v>405</v>
      </c>
      <c r="W73" s="704" t="s">
        <v>406</v>
      </c>
      <c r="X73" s="704" t="s">
        <v>407</v>
      </c>
      <c r="Y73" s="704" t="s">
        <v>408</v>
      </c>
      <c r="Z73" s="704" t="s">
        <v>409</v>
      </c>
      <c r="AA73" s="704" t="s">
        <v>410</v>
      </c>
      <c r="AB73" s="704" t="s">
        <v>411</v>
      </c>
      <c r="AC73" s="704" t="s">
        <v>412</v>
      </c>
      <c r="AD73" s="704" t="s">
        <v>413</v>
      </c>
      <c r="AE73" s="704" t="s">
        <v>414</v>
      </c>
      <c r="AF73" s="704" t="s">
        <v>415</v>
      </c>
    </row>
    <row r="74" spans="1:32" ht="18.5" x14ac:dyDescent="0.45">
      <c r="B74" s="950"/>
      <c r="C74" s="571"/>
      <c r="D74" s="571"/>
      <c r="E74" s="571"/>
      <c r="F74" s="571"/>
      <c r="G74" s="571"/>
      <c r="H74" s="571"/>
      <c r="I74" s="571"/>
      <c r="J74" s="571"/>
      <c r="K74" s="571"/>
      <c r="L74" s="571"/>
      <c r="M74" s="571"/>
      <c r="N74" s="571"/>
      <c r="O74" s="572"/>
      <c r="P74" s="41"/>
      <c r="Q74" s="41"/>
      <c r="R74" s="41"/>
      <c r="S74" s="41"/>
      <c r="T74" s="736" t="s">
        <v>441</v>
      </c>
      <c r="U74" s="25"/>
      <c r="V74" s="25">
        <v>3575415.1965000001</v>
      </c>
      <c r="W74" s="25">
        <v>4262772.9950000001</v>
      </c>
      <c r="X74" s="25">
        <v>3983658.02</v>
      </c>
      <c r="Y74" s="25">
        <v>3832711.4215000002</v>
      </c>
      <c r="Z74" s="25">
        <v>3542274</v>
      </c>
      <c r="AA74" s="25">
        <v>4113691</v>
      </c>
      <c r="AB74" s="25"/>
      <c r="AC74" s="25"/>
      <c r="AD74" s="25"/>
      <c r="AE74" s="25"/>
      <c r="AF74" s="25"/>
    </row>
    <row r="75" spans="1:32" x14ac:dyDescent="0.35">
      <c r="B75" s="950" t="s">
        <v>38</v>
      </c>
      <c r="C75" s="577">
        <f>+C63+C70</f>
        <v>2795698.9846400009</v>
      </c>
      <c r="D75" s="577">
        <f>+D63+D70</f>
        <v>2687689.470739007</v>
      </c>
      <c r="E75" s="577">
        <f t="shared" ref="E75:L76" si="15">+E63+E70</f>
        <v>3163895.8866399997</v>
      </c>
      <c r="F75" s="577">
        <f t="shared" si="15"/>
        <v>3038562.9621999944</v>
      </c>
      <c r="G75" s="577">
        <f t="shared" si="15"/>
        <v>0</v>
      </c>
      <c r="H75" s="577">
        <f t="shared" si="15"/>
        <v>0</v>
      </c>
      <c r="I75" s="577">
        <f t="shared" si="15"/>
        <v>0</v>
      </c>
      <c r="J75" s="577">
        <f t="shared" si="15"/>
        <v>0</v>
      </c>
      <c r="K75" s="577">
        <f t="shared" si="15"/>
        <v>0</v>
      </c>
      <c r="L75" s="577">
        <f t="shared" si="15"/>
        <v>0</v>
      </c>
      <c r="M75" s="577">
        <f>+M63+M70</f>
        <v>0</v>
      </c>
      <c r="N75" s="577">
        <f>+N63+N70</f>
        <v>0</v>
      </c>
      <c r="O75" s="578">
        <f>SUM(C75:N75)</f>
        <v>11685847.304219</v>
      </c>
    </row>
    <row r="76" spans="1:32" x14ac:dyDescent="0.35">
      <c r="B76" s="950" t="s">
        <v>39</v>
      </c>
      <c r="C76" s="577">
        <f>+C64+C71</f>
        <v>1335029.9043999964</v>
      </c>
      <c r="D76" s="577">
        <f>+D64+D71</f>
        <v>1190650.1340500005</v>
      </c>
      <c r="E76" s="577">
        <f t="shared" si="15"/>
        <v>1098876.6179999977</v>
      </c>
      <c r="F76" s="577">
        <f t="shared" si="15"/>
        <v>1221261.9159999993</v>
      </c>
      <c r="G76" s="577">
        <f t="shared" si="15"/>
        <v>0</v>
      </c>
      <c r="H76" s="577">
        <f t="shared" si="15"/>
        <v>0</v>
      </c>
      <c r="I76" s="577">
        <f t="shared" si="15"/>
        <v>0</v>
      </c>
      <c r="J76" s="577">
        <f t="shared" si="15"/>
        <v>0</v>
      </c>
      <c r="K76" s="577">
        <f t="shared" si="15"/>
        <v>0</v>
      </c>
      <c r="L76" s="577">
        <f t="shared" si="15"/>
        <v>0</v>
      </c>
      <c r="M76" s="577">
        <f>+M64+M71</f>
        <v>0</v>
      </c>
      <c r="N76" s="577">
        <f>+N64+N71</f>
        <v>0</v>
      </c>
      <c r="O76" s="578">
        <f>SUM(C76:N76)</f>
        <v>4845818.5724499943</v>
      </c>
    </row>
    <row r="77" spans="1:32" s="3" customFormat="1" x14ac:dyDescent="0.35">
      <c r="B77" s="437"/>
      <c r="C77" s="837"/>
      <c r="D77" s="837"/>
      <c r="E77" s="837"/>
      <c r="F77" s="837"/>
      <c r="G77" s="837"/>
      <c r="H77" s="837"/>
      <c r="I77" s="837"/>
      <c r="J77" s="837"/>
      <c r="K77" s="837"/>
      <c r="L77" s="837"/>
      <c r="M77" s="837"/>
      <c r="N77" s="837"/>
      <c r="O77" s="838"/>
      <c r="P77" s="324"/>
      <c r="Q77" s="324"/>
      <c r="R77" s="324"/>
      <c r="S77" s="324"/>
      <c r="T77" s="324"/>
    </row>
    <row r="78" spans="1:32" s="3" customFormat="1" x14ac:dyDescent="0.35">
      <c r="B78" s="132"/>
      <c r="C78" s="133"/>
      <c r="D78" s="133"/>
      <c r="E78" s="133"/>
      <c r="F78" s="133"/>
      <c r="G78" s="133"/>
      <c r="H78" s="133"/>
      <c r="I78" s="133"/>
      <c r="J78" s="133"/>
      <c r="K78" s="133"/>
      <c r="L78" s="133"/>
      <c r="M78" s="133"/>
      <c r="N78" s="133"/>
      <c r="O78" s="134"/>
    </row>
    <row r="79" spans="1:32" s="3" customFormat="1" x14ac:dyDescent="0.35">
      <c r="B79" s="1069" t="s">
        <v>215</v>
      </c>
      <c r="C79" s="1069"/>
      <c r="D79" s="1069"/>
      <c r="E79" s="1069"/>
      <c r="F79" s="1069"/>
      <c r="G79" s="1069"/>
      <c r="H79" s="1069"/>
      <c r="I79" s="1069"/>
      <c r="J79" s="1069"/>
      <c r="K79" s="1069"/>
      <c r="L79" s="1069"/>
      <c r="M79" s="1069"/>
      <c r="N79" s="1069"/>
      <c r="O79" s="1069"/>
    </row>
    <row r="80" spans="1:32" s="3" customFormat="1" x14ac:dyDescent="0.35">
      <c r="B80" s="135"/>
      <c r="C80" s="171"/>
      <c r="D80" s="133"/>
      <c r="E80" s="133"/>
      <c r="F80" s="133"/>
      <c r="G80" s="133"/>
      <c r="H80" s="133"/>
      <c r="I80" s="133"/>
      <c r="J80" s="133"/>
      <c r="K80" s="133"/>
      <c r="L80" s="133"/>
      <c r="M80" s="133"/>
      <c r="N80" s="133"/>
      <c r="O80" s="133"/>
    </row>
    <row r="81" spans="2:20" s="3" customFormat="1" ht="22.5" customHeight="1" x14ac:dyDescent="0.35">
      <c r="B81" s="1068" t="s">
        <v>517</v>
      </c>
      <c r="C81" s="1068"/>
      <c r="D81" s="1068"/>
      <c r="E81" s="1068"/>
      <c r="F81" s="1068"/>
      <c r="G81" s="1068"/>
      <c r="H81" s="1068"/>
      <c r="I81" s="1068"/>
      <c r="J81" s="1068"/>
      <c r="K81" s="1068"/>
      <c r="L81" s="1068"/>
      <c r="M81" s="1068"/>
      <c r="N81" s="1068"/>
      <c r="O81" s="1068"/>
    </row>
    <row r="82" spans="2:20" s="3" customFormat="1" x14ac:dyDescent="0.35">
      <c r="B82" s="13"/>
      <c r="C82" s="106"/>
      <c r="D82" s="106"/>
      <c r="E82" s="106"/>
      <c r="F82" s="106"/>
      <c r="G82" s="106"/>
      <c r="H82" s="106"/>
      <c r="I82" s="106"/>
      <c r="J82" s="106"/>
      <c r="K82" s="106"/>
      <c r="L82" s="106"/>
      <c r="M82" s="106"/>
      <c r="N82" s="106"/>
      <c r="O82" s="11"/>
    </row>
    <row r="83" spans="2:20" ht="15" customHeight="1" x14ac:dyDescent="0.35">
      <c r="B83" s="1074" t="s">
        <v>13</v>
      </c>
      <c r="C83" s="1112" t="s">
        <v>0</v>
      </c>
      <c r="D83" s="1112" t="s">
        <v>1</v>
      </c>
      <c r="E83" s="1112" t="s">
        <v>2</v>
      </c>
      <c r="F83" s="1112" t="s">
        <v>3</v>
      </c>
      <c r="G83" s="1112" t="s">
        <v>4</v>
      </c>
      <c r="H83" s="1112" t="s">
        <v>5</v>
      </c>
      <c r="I83" s="1112" t="s">
        <v>6</v>
      </c>
      <c r="J83" s="1112" t="s">
        <v>7</v>
      </c>
      <c r="K83" s="1112" t="s">
        <v>8</v>
      </c>
      <c r="L83" s="1112" t="s">
        <v>9</v>
      </c>
      <c r="M83" s="1112" t="s">
        <v>10</v>
      </c>
      <c r="N83" s="1112" t="s">
        <v>14</v>
      </c>
      <c r="O83" s="1077" t="s">
        <v>15</v>
      </c>
      <c r="P83" s="3"/>
      <c r="Q83" s="3"/>
      <c r="R83" s="3"/>
      <c r="S83" s="3"/>
      <c r="T83" s="3"/>
    </row>
    <row r="84" spans="2:20" ht="28.5" customHeight="1" x14ac:dyDescent="0.35">
      <c r="B84" s="1080"/>
      <c r="C84" s="1145"/>
      <c r="D84" s="1145"/>
      <c r="E84" s="1145"/>
      <c r="F84" s="1145"/>
      <c r="G84" s="1145"/>
      <c r="H84" s="1145"/>
      <c r="I84" s="1145"/>
      <c r="J84" s="1145"/>
      <c r="K84" s="1145"/>
      <c r="L84" s="1145"/>
      <c r="M84" s="1145"/>
      <c r="N84" s="1145"/>
      <c r="O84" s="1088"/>
    </row>
    <row r="85" spans="2:20" s="3" customFormat="1" x14ac:dyDescent="0.35">
      <c r="B85" s="109"/>
      <c r="C85" s="108"/>
      <c r="D85" s="108"/>
      <c r="E85" s="108"/>
      <c r="F85" s="108"/>
      <c r="G85" s="108"/>
      <c r="H85" s="108"/>
      <c r="I85" s="108"/>
      <c r="J85" s="108"/>
      <c r="K85" s="108"/>
      <c r="L85" s="108"/>
      <c r="M85" s="108"/>
      <c r="N85" s="108"/>
      <c r="O85" s="109"/>
      <c r="P85" s="324"/>
      <c r="Q85" s="324"/>
      <c r="R85" s="324"/>
      <c r="S85" s="324"/>
      <c r="T85" s="324"/>
    </row>
    <row r="86" spans="2:20" s="3" customFormat="1" x14ac:dyDescent="0.35">
      <c r="B86" s="583" t="s">
        <v>216</v>
      </c>
      <c r="C86" s="558">
        <f>SUM(C88:C90)</f>
        <v>2381653.6946400064</v>
      </c>
      <c r="D86" s="558">
        <f>SUM(D88:D90)</f>
        <v>2284838.2407389977</v>
      </c>
      <c r="E86" s="558">
        <f>SUM(E88:E90)</f>
        <v>2684700.0636399891</v>
      </c>
      <c r="F86" s="558">
        <f>SUM(F88:F90)</f>
        <v>2554331.2040000027</v>
      </c>
      <c r="G86" s="558">
        <f t="shared" ref="G86:L86" si="16">SUM(G88:G90)</f>
        <v>0</v>
      </c>
      <c r="H86" s="558">
        <f t="shared" si="16"/>
        <v>0</v>
      </c>
      <c r="I86" s="558">
        <f t="shared" si="16"/>
        <v>0</v>
      </c>
      <c r="J86" s="558">
        <f t="shared" si="16"/>
        <v>0</v>
      </c>
      <c r="K86" s="558">
        <f t="shared" si="16"/>
        <v>0</v>
      </c>
      <c r="L86" s="558">
        <f t="shared" si="16"/>
        <v>0</v>
      </c>
      <c r="M86" s="558">
        <f>SUM(M88:M90)</f>
        <v>0</v>
      </c>
      <c r="N86" s="558">
        <f>SUM(N88:N90)</f>
        <v>0</v>
      </c>
      <c r="O86" s="559">
        <f>SUM(C86:N86)</f>
        <v>9905523.2030189969</v>
      </c>
    </row>
    <row r="87" spans="2:20" s="3" customFormat="1" x14ac:dyDescent="0.35">
      <c r="B87" s="583"/>
      <c r="C87" s="577"/>
      <c r="D87" s="577"/>
      <c r="E87" s="577"/>
      <c r="F87" s="577"/>
      <c r="G87" s="577"/>
      <c r="H87" s="577"/>
      <c r="I87" s="584"/>
      <c r="J87" s="584"/>
      <c r="K87" s="584"/>
      <c r="L87" s="584"/>
      <c r="M87" s="584"/>
      <c r="N87" s="584"/>
      <c r="O87" s="559"/>
    </row>
    <row r="88" spans="2:20" s="3" customFormat="1" x14ac:dyDescent="0.35">
      <c r="B88" s="585" t="s">
        <v>41</v>
      </c>
      <c r="C88" s="1110">
        <v>620359.69424100022</v>
      </c>
      <c r="D88" s="1110">
        <v>538237.63384000072</v>
      </c>
      <c r="E88" s="1110">
        <v>565661.03100000019</v>
      </c>
      <c r="F88" s="1110">
        <v>690930.2370000002</v>
      </c>
      <c r="G88" s="1110"/>
      <c r="H88" s="1110"/>
      <c r="I88" s="1177"/>
      <c r="J88" s="1110"/>
      <c r="K88" s="1110"/>
      <c r="L88" s="1110"/>
      <c r="M88" s="1110"/>
      <c r="N88" s="1110"/>
      <c r="O88" s="585">
        <f>SUM(C88:N88)</f>
        <v>2415188.5960810017</v>
      </c>
    </row>
    <row r="89" spans="2:20" s="3" customFormat="1" x14ac:dyDescent="0.35">
      <c r="B89" s="585" t="s">
        <v>42</v>
      </c>
      <c r="C89" s="1110">
        <v>1669490.075399006</v>
      </c>
      <c r="D89" s="1110">
        <v>1655437.4123989968</v>
      </c>
      <c r="E89" s="1110">
        <v>2010238.8186399892</v>
      </c>
      <c r="F89" s="1110">
        <v>1794693.6119900022</v>
      </c>
      <c r="G89" s="1110"/>
      <c r="H89" s="1110"/>
      <c r="I89" s="1177"/>
      <c r="J89" s="1110"/>
      <c r="K89" s="1110"/>
      <c r="L89" s="1110"/>
      <c r="M89" s="1110"/>
      <c r="N89" s="1110"/>
      <c r="O89" s="585">
        <f>SUM(C89:N89)</f>
        <v>7129859.9184279935</v>
      </c>
    </row>
    <row r="90" spans="2:20" s="3" customFormat="1" x14ac:dyDescent="0.35">
      <c r="B90" s="585" t="s">
        <v>43</v>
      </c>
      <c r="C90" s="577">
        <f>+C91+C92</f>
        <v>91803.925000000309</v>
      </c>
      <c r="D90" s="577">
        <f>+D91+D92</f>
        <v>91163.194500000085</v>
      </c>
      <c r="E90" s="577">
        <f>+E91+E92</f>
        <v>108800.21399999983</v>
      </c>
      <c r="F90" s="577">
        <f>+F91+F92</f>
        <v>68707.355009999999</v>
      </c>
      <c r="G90" s="577">
        <f t="shared" ref="G90:L90" si="17">+G91+G92</f>
        <v>0</v>
      </c>
      <c r="H90" s="577">
        <f t="shared" si="17"/>
        <v>0</v>
      </c>
      <c r="I90" s="577">
        <f t="shared" si="17"/>
        <v>0</v>
      </c>
      <c r="J90" s="577">
        <f t="shared" si="17"/>
        <v>0</v>
      </c>
      <c r="K90" s="577">
        <f t="shared" si="17"/>
        <v>0</v>
      </c>
      <c r="L90" s="577">
        <f t="shared" si="17"/>
        <v>0</v>
      </c>
      <c r="M90" s="577">
        <f>+M91+M92</f>
        <v>0</v>
      </c>
      <c r="N90" s="577">
        <f>+N91+N92</f>
        <v>0</v>
      </c>
      <c r="O90" s="585">
        <f>SUM(C90:N90)</f>
        <v>360474.68851000018</v>
      </c>
    </row>
    <row r="91" spans="2:20" s="3" customFormat="1" x14ac:dyDescent="0.35">
      <c r="B91" s="585" t="s">
        <v>44</v>
      </c>
      <c r="C91" s="586">
        <f>+C206</f>
        <v>67862.8035000003</v>
      </c>
      <c r="D91" s="586">
        <f>+D206</f>
        <v>67054.395000000091</v>
      </c>
      <c r="E91" s="586">
        <f>+E206</f>
        <v>81130.663999999844</v>
      </c>
      <c r="F91" s="586">
        <f>+F206</f>
        <v>60149.295009999994</v>
      </c>
      <c r="G91" s="586">
        <f t="shared" ref="G91:L91" si="18">+G206</f>
        <v>0</v>
      </c>
      <c r="H91" s="586">
        <f t="shared" si="18"/>
        <v>0</v>
      </c>
      <c r="I91" s="586">
        <f t="shared" si="18"/>
        <v>0</v>
      </c>
      <c r="J91" s="586">
        <f t="shared" si="18"/>
        <v>0</v>
      </c>
      <c r="K91" s="586">
        <f t="shared" si="18"/>
        <v>0</v>
      </c>
      <c r="L91" s="586">
        <f t="shared" si="18"/>
        <v>0</v>
      </c>
      <c r="M91" s="586">
        <f>+M206</f>
        <v>0</v>
      </c>
      <c r="N91" s="586">
        <f>+N206</f>
        <v>0</v>
      </c>
      <c r="O91" s="585">
        <f>SUM(C91:N91)</f>
        <v>276197.15751000022</v>
      </c>
    </row>
    <row r="92" spans="2:20" s="3" customFormat="1" x14ac:dyDescent="0.35">
      <c r="B92" s="585" t="s">
        <v>45</v>
      </c>
      <c r="C92" s="564">
        <f>+C196</f>
        <v>23941.121500000001</v>
      </c>
      <c r="D92" s="564">
        <f>+D196</f>
        <v>24108.799499999997</v>
      </c>
      <c r="E92" s="564">
        <f>+E196</f>
        <v>27669.549999999996</v>
      </c>
      <c r="F92" s="564">
        <f>+F196</f>
        <v>8558.0599999999977</v>
      </c>
      <c r="G92" s="564">
        <f t="shared" ref="G92:L92" si="19">+G196</f>
        <v>0</v>
      </c>
      <c r="H92" s="564">
        <f t="shared" si="19"/>
        <v>0</v>
      </c>
      <c r="I92" s="564">
        <f t="shared" si="19"/>
        <v>0</v>
      </c>
      <c r="J92" s="564">
        <f t="shared" si="19"/>
        <v>0</v>
      </c>
      <c r="K92" s="564">
        <f t="shared" si="19"/>
        <v>0</v>
      </c>
      <c r="L92" s="564">
        <f t="shared" si="19"/>
        <v>0</v>
      </c>
      <c r="M92" s="564">
        <f>+M196</f>
        <v>0</v>
      </c>
      <c r="N92" s="564">
        <f>+N196</f>
        <v>0</v>
      </c>
      <c r="O92" s="585">
        <f>SUM(C92:N92)</f>
        <v>84277.530999999988</v>
      </c>
    </row>
    <row r="93" spans="2:20" s="3" customFormat="1" x14ac:dyDescent="0.35">
      <c r="B93" s="585"/>
      <c r="C93" s="564"/>
      <c r="D93" s="564"/>
      <c r="E93" s="564"/>
      <c r="F93" s="564"/>
      <c r="G93" s="564"/>
      <c r="H93" s="564"/>
      <c r="I93" s="564"/>
      <c r="J93" s="564"/>
      <c r="K93" s="564"/>
      <c r="L93" s="564"/>
      <c r="M93" s="564"/>
      <c r="N93" s="564"/>
      <c r="O93" s="585"/>
    </row>
    <row r="94" spans="2:20" s="3" customFormat="1" x14ac:dyDescent="0.35">
      <c r="B94" s="585" t="s">
        <v>217</v>
      </c>
      <c r="C94" s="558">
        <f>SUM(C96:C98)</f>
        <v>957631.1563999966</v>
      </c>
      <c r="D94" s="558">
        <f>SUM(D96:D98)</f>
        <v>797382.61604999949</v>
      </c>
      <c r="E94" s="558">
        <f>SUM(E96:E98)</f>
        <v>698947.93700000038</v>
      </c>
      <c r="F94" s="558">
        <f>SUM(F96:F98)</f>
        <v>793715.35299999965</v>
      </c>
      <c r="G94" s="558">
        <f t="shared" ref="G94:L94" si="20">SUM(G96:G98)</f>
        <v>0</v>
      </c>
      <c r="H94" s="558">
        <f t="shared" si="20"/>
        <v>0</v>
      </c>
      <c r="I94" s="558">
        <f t="shared" si="20"/>
        <v>0</v>
      </c>
      <c r="J94" s="558">
        <f t="shared" si="20"/>
        <v>0</v>
      </c>
      <c r="K94" s="558">
        <f t="shared" si="20"/>
        <v>0</v>
      </c>
      <c r="L94" s="558">
        <f t="shared" si="20"/>
        <v>0</v>
      </c>
      <c r="M94" s="558">
        <f>SUM(M96:M98)</f>
        <v>0</v>
      </c>
      <c r="N94" s="558">
        <f>SUM(N96:N98)</f>
        <v>0</v>
      </c>
      <c r="O94" s="559">
        <f>SUM(C94:N94)</f>
        <v>3247677.0624499959</v>
      </c>
    </row>
    <row r="95" spans="2:20" s="3" customFormat="1" x14ac:dyDescent="0.35">
      <c r="B95" s="583"/>
      <c r="C95" s="577"/>
      <c r="D95" s="577"/>
      <c r="E95" s="577"/>
      <c r="F95" s="577"/>
      <c r="G95" s="577"/>
      <c r="H95" s="577"/>
      <c r="I95" s="584"/>
      <c r="J95" s="584"/>
      <c r="K95" s="584"/>
      <c r="L95" s="584"/>
      <c r="M95" s="584"/>
      <c r="N95" s="584"/>
      <c r="O95" s="585"/>
    </row>
    <row r="96" spans="2:20" s="3" customFormat="1" x14ac:dyDescent="0.35">
      <c r="B96" s="585" t="s">
        <v>41</v>
      </c>
      <c r="C96" s="1110">
        <v>448697.95699999999</v>
      </c>
      <c r="D96" s="1110">
        <v>284029.36499999993</v>
      </c>
      <c r="E96" s="1110">
        <v>232469.65800000002</v>
      </c>
      <c r="F96" s="1110">
        <v>290201.364</v>
      </c>
      <c r="G96" s="1110"/>
      <c r="H96" s="1110"/>
      <c r="I96" s="1110"/>
      <c r="J96" s="1110"/>
      <c r="K96" s="1110"/>
      <c r="L96" s="1110"/>
      <c r="M96" s="1110"/>
      <c r="N96" s="1110"/>
      <c r="O96" s="585">
        <f>SUM(C96:N96)</f>
        <v>1255398.344</v>
      </c>
    </row>
    <row r="97" spans="1:19" s="3" customFormat="1" x14ac:dyDescent="0.35">
      <c r="B97" s="585" t="s">
        <v>42</v>
      </c>
      <c r="C97" s="1110">
        <v>508649.78339999664</v>
      </c>
      <c r="D97" s="1110">
        <v>512747.41104999953</v>
      </c>
      <c r="E97" s="1110">
        <v>463939.11600000033</v>
      </c>
      <c r="F97" s="1110">
        <v>502392.01299999957</v>
      </c>
      <c r="G97" s="1110"/>
      <c r="H97" s="1110"/>
      <c r="I97" s="1110"/>
      <c r="J97" s="1110"/>
      <c r="K97" s="1110"/>
      <c r="L97" s="1110"/>
      <c r="M97" s="1110"/>
      <c r="N97" s="1110"/>
      <c r="O97" s="585">
        <f>SUM(C97:N97)</f>
        <v>1987728.3234499961</v>
      </c>
    </row>
    <row r="98" spans="1:19" s="3" customFormat="1" x14ac:dyDescent="0.35">
      <c r="B98" s="585" t="s">
        <v>43</v>
      </c>
      <c r="C98" s="577">
        <f>+C99+C100</f>
        <v>283.416</v>
      </c>
      <c r="D98" s="577">
        <f>+D99+D100</f>
        <v>605.84</v>
      </c>
      <c r="E98" s="577">
        <f>+E99+E100</f>
        <v>2539.1630000000009</v>
      </c>
      <c r="F98" s="577">
        <f>+F99+F100</f>
        <v>1121.9759999999999</v>
      </c>
      <c r="G98" s="577">
        <f t="shared" ref="G98:L98" si="21">+G99+G100</f>
        <v>0</v>
      </c>
      <c r="H98" s="577">
        <f t="shared" si="21"/>
        <v>0</v>
      </c>
      <c r="I98" s="577">
        <f t="shared" si="21"/>
        <v>0</v>
      </c>
      <c r="J98" s="577">
        <f t="shared" si="21"/>
        <v>0</v>
      </c>
      <c r="K98" s="577">
        <f t="shared" si="21"/>
        <v>0</v>
      </c>
      <c r="L98" s="577">
        <f t="shared" si="21"/>
        <v>0</v>
      </c>
      <c r="M98" s="577">
        <f>+M99+M100</f>
        <v>0</v>
      </c>
      <c r="N98" s="577">
        <f>+N99+N100</f>
        <v>0</v>
      </c>
      <c r="O98" s="585">
        <f>SUM(C98:N98)</f>
        <v>4550.3950000000004</v>
      </c>
    </row>
    <row r="99" spans="1:19" s="3" customFormat="1" x14ac:dyDescent="0.35">
      <c r="B99" s="585" t="s">
        <v>44</v>
      </c>
      <c r="C99" s="586">
        <f>+C228</f>
        <v>283.416</v>
      </c>
      <c r="D99" s="586">
        <f>+D228</f>
        <v>605.84</v>
      </c>
      <c r="E99" s="586">
        <f>+E228</f>
        <v>2539.1630000000009</v>
      </c>
      <c r="F99" s="586">
        <f>+F228</f>
        <v>1121.9759999999999</v>
      </c>
      <c r="G99" s="586">
        <f t="shared" ref="G99:L99" si="22">+G228</f>
        <v>0</v>
      </c>
      <c r="H99" s="586">
        <f t="shared" si="22"/>
        <v>0</v>
      </c>
      <c r="I99" s="586">
        <f t="shared" si="22"/>
        <v>0</v>
      </c>
      <c r="J99" s="586">
        <f t="shared" si="22"/>
        <v>0</v>
      </c>
      <c r="K99" s="586">
        <f t="shared" si="22"/>
        <v>0</v>
      </c>
      <c r="L99" s="586">
        <f t="shared" si="22"/>
        <v>0</v>
      </c>
      <c r="M99" s="586">
        <f>+M228</f>
        <v>0</v>
      </c>
      <c r="N99" s="586">
        <f>+N228</f>
        <v>0</v>
      </c>
      <c r="O99" s="585">
        <f>SUM(C99:N99)</f>
        <v>4550.3950000000004</v>
      </c>
    </row>
    <row r="100" spans="1:19" s="3" customFormat="1" x14ac:dyDescent="0.35">
      <c r="B100" s="585" t="s">
        <v>45</v>
      </c>
      <c r="C100" s="586">
        <f>+C218</f>
        <v>0</v>
      </c>
      <c r="D100" s="586">
        <f>+D218</f>
        <v>0</v>
      </c>
      <c r="E100" s="586">
        <f>+E218</f>
        <v>0</v>
      </c>
      <c r="F100" s="586">
        <f>+F218</f>
        <v>0</v>
      </c>
      <c r="G100" s="586">
        <f t="shared" ref="G100:L100" si="23">+G218</f>
        <v>0</v>
      </c>
      <c r="H100" s="586">
        <f t="shared" si="23"/>
        <v>0</v>
      </c>
      <c r="I100" s="586">
        <f t="shared" si="23"/>
        <v>0</v>
      </c>
      <c r="J100" s="586">
        <f t="shared" si="23"/>
        <v>0</v>
      </c>
      <c r="K100" s="586">
        <f t="shared" si="23"/>
        <v>0</v>
      </c>
      <c r="L100" s="586">
        <f t="shared" si="23"/>
        <v>0</v>
      </c>
      <c r="M100" s="586">
        <f>+M218</f>
        <v>0</v>
      </c>
      <c r="N100" s="586">
        <f>+N218</f>
        <v>0</v>
      </c>
      <c r="O100" s="585">
        <f>SUM(C100:N100)</f>
        <v>0</v>
      </c>
    </row>
    <row r="101" spans="1:19" s="3" customFormat="1" x14ac:dyDescent="0.35">
      <c r="B101" s="585"/>
      <c r="C101" s="564"/>
      <c r="D101" s="564"/>
      <c r="E101" s="564"/>
      <c r="F101" s="564"/>
      <c r="G101" s="564"/>
      <c r="H101" s="564"/>
      <c r="I101" s="564"/>
      <c r="J101" s="564"/>
      <c r="K101" s="564"/>
      <c r="L101" s="564"/>
      <c r="M101" s="564"/>
      <c r="N101" s="564"/>
      <c r="O101" s="585"/>
    </row>
    <row r="102" spans="1:19" s="3" customFormat="1" x14ac:dyDescent="0.35">
      <c r="B102" s="445" t="s">
        <v>36</v>
      </c>
      <c r="C102" s="1118">
        <f>+C86+C94</f>
        <v>3339284.8510400029</v>
      </c>
      <c r="D102" s="1118">
        <f>+D86+D94</f>
        <v>3082220.8567889971</v>
      </c>
      <c r="E102" s="1118">
        <f>+E86+E94</f>
        <v>3383648.0006399895</v>
      </c>
      <c r="F102" s="1118">
        <f>+F86+F94</f>
        <v>3348046.5570000024</v>
      </c>
      <c r="G102" s="1118">
        <f t="shared" ref="G102:L102" si="24">+G86+G94</f>
        <v>0</v>
      </c>
      <c r="H102" s="1118">
        <f t="shared" si="24"/>
        <v>0</v>
      </c>
      <c r="I102" s="1118">
        <f t="shared" si="24"/>
        <v>0</v>
      </c>
      <c r="J102" s="1118">
        <f t="shared" si="24"/>
        <v>0</v>
      </c>
      <c r="K102" s="1118">
        <f t="shared" si="24"/>
        <v>0</v>
      </c>
      <c r="L102" s="1118">
        <f t="shared" si="24"/>
        <v>0</v>
      </c>
      <c r="M102" s="1118">
        <f>+M86+M94</f>
        <v>0</v>
      </c>
      <c r="N102" s="1118">
        <f>+N86+N94</f>
        <v>0</v>
      </c>
      <c r="O102" s="1159">
        <f>SUM(C102:N102)</f>
        <v>13153200.265468992</v>
      </c>
    </row>
    <row r="103" spans="1:19" s="3" customFormat="1" x14ac:dyDescent="0.35">
      <c r="B103" s="587"/>
      <c r="C103" s="588"/>
      <c r="D103" s="588"/>
      <c r="E103" s="588"/>
      <c r="F103" s="588"/>
      <c r="G103" s="588"/>
      <c r="H103" s="588"/>
      <c r="I103" s="588"/>
      <c r="J103" s="588"/>
      <c r="K103" s="588"/>
      <c r="L103" s="588"/>
      <c r="M103" s="588"/>
      <c r="N103" s="588"/>
      <c r="O103" s="587"/>
      <c r="R103" s="427" t="s">
        <v>261</v>
      </c>
    </row>
    <row r="104" spans="1:19" s="3" customFormat="1" x14ac:dyDescent="0.35">
      <c r="A104" s="359"/>
      <c r="B104" s="585" t="s">
        <v>41</v>
      </c>
      <c r="C104" s="564">
        <f t="shared" ref="C104:M108" si="25">+C88+C96</f>
        <v>1069057.6512410003</v>
      </c>
      <c r="D104" s="564">
        <f t="shared" si="25"/>
        <v>822266.99884000071</v>
      </c>
      <c r="E104" s="564">
        <f t="shared" si="25"/>
        <v>798130.68900000025</v>
      </c>
      <c r="F104" s="564">
        <f t="shared" si="25"/>
        <v>981131.60100000026</v>
      </c>
      <c r="G104" s="564">
        <f t="shared" si="25"/>
        <v>0</v>
      </c>
      <c r="H104" s="564">
        <f t="shared" si="25"/>
        <v>0</v>
      </c>
      <c r="I104" s="564">
        <f t="shared" si="25"/>
        <v>0</v>
      </c>
      <c r="J104" s="564">
        <f t="shared" si="25"/>
        <v>0</v>
      </c>
      <c r="K104" s="564">
        <f t="shared" si="25"/>
        <v>0</v>
      </c>
      <c r="L104" s="564">
        <f t="shared" si="25"/>
        <v>0</v>
      </c>
      <c r="M104" s="564">
        <f t="shared" si="25"/>
        <v>0</v>
      </c>
      <c r="N104" s="564">
        <f>+N88+N96</f>
        <v>0</v>
      </c>
      <c r="O104" s="585">
        <f>SUM(C104:N104)</f>
        <v>3670586.9400810017</v>
      </c>
      <c r="P104" s="23">
        <f>O104/$O$102</f>
        <v>0.27906417191239524</v>
      </c>
      <c r="Q104" s="329">
        <f>+O104/O$73</f>
        <v>0.22203369989840352</v>
      </c>
      <c r="R104" s="428">
        <f>O104/O102</f>
        <v>0.27906417191239524</v>
      </c>
    </row>
    <row r="105" spans="1:19" s="3" customFormat="1" x14ac:dyDescent="0.35">
      <c r="A105" s="359"/>
      <c r="B105" s="585" t="s">
        <v>42</v>
      </c>
      <c r="C105" s="564">
        <f t="shared" si="25"/>
        <v>2178139.8587990026</v>
      </c>
      <c r="D105" s="564">
        <f t="shared" si="25"/>
        <v>2168184.8234489961</v>
      </c>
      <c r="E105" s="564">
        <f t="shared" si="25"/>
        <v>2474177.9346399894</v>
      </c>
      <c r="F105" s="564">
        <f t="shared" si="25"/>
        <v>2297085.6249900018</v>
      </c>
      <c r="G105" s="564">
        <f t="shared" si="25"/>
        <v>0</v>
      </c>
      <c r="H105" s="564">
        <f t="shared" si="25"/>
        <v>0</v>
      </c>
      <c r="I105" s="564">
        <f t="shared" si="25"/>
        <v>0</v>
      </c>
      <c r="J105" s="564">
        <f t="shared" si="25"/>
        <v>0</v>
      </c>
      <c r="K105" s="564">
        <f t="shared" si="25"/>
        <v>0</v>
      </c>
      <c r="L105" s="564">
        <f t="shared" si="25"/>
        <v>0</v>
      </c>
      <c r="M105" s="564">
        <f t="shared" si="25"/>
        <v>0</v>
      </c>
      <c r="N105" s="564">
        <f>+N89+N97</f>
        <v>0</v>
      </c>
      <c r="O105" s="585">
        <f>SUM(C105:N105)</f>
        <v>9117588.2418779898</v>
      </c>
      <c r="P105" s="23">
        <f>O105/$O$102</f>
        <v>0.69318402045579219</v>
      </c>
      <c r="Q105" s="329">
        <f t="shared" ref="Q105" si="26">+O105/O$73</f>
        <v>0.55152265415341883</v>
      </c>
      <c r="R105" s="428">
        <f>O105/O102</f>
        <v>0.69318402045579219</v>
      </c>
    </row>
    <row r="106" spans="1:19" s="3" customFormat="1" x14ac:dyDescent="0.35">
      <c r="A106" s="359"/>
      <c r="B106" s="585" t="s">
        <v>43</v>
      </c>
      <c r="C106" s="564">
        <f t="shared" si="25"/>
        <v>92087.341000000306</v>
      </c>
      <c r="D106" s="564">
        <f t="shared" si="25"/>
        <v>91769.034500000082</v>
      </c>
      <c r="E106" s="564">
        <f t="shared" si="25"/>
        <v>111339.37699999983</v>
      </c>
      <c r="F106" s="564">
        <f t="shared" si="25"/>
        <v>69829.331009999994</v>
      </c>
      <c r="G106" s="564">
        <f t="shared" si="25"/>
        <v>0</v>
      </c>
      <c r="H106" s="564">
        <f t="shared" si="25"/>
        <v>0</v>
      </c>
      <c r="I106" s="564">
        <f t="shared" si="25"/>
        <v>0</v>
      </c>
      <c r="J106" s="564">
        <f t="shared" si="25"/>
        <v>0</v>
      </c>
      <c r="K106" s="564">
        <f t="shared" si="25"/>
        <v>0</v>
      </c>
      <c r="L106" s="564">
        <f t="shared" si="25"/>
        <v>0</v>
      </c>
      <c r="M106" s="564">
        <f t="shared" si="25"/>
        <v>0</v>
      </c>
      <c r="N106" s="564">
        <f>+N90+N98</f>
        <v>0</v>
      </c>
      <c r="O106" s="585">
        <f>SUM(C106:N106)</f>
        <v>365025.08351000014</v>
      </c>
      <c r="P106" s="23">
        <f>O106/$O$102</f>
        <v>2.7751807631812467E-2</v>
      </c>
      <c r="Q106" s="329">
        <f>+S106/O$73</f>
        <v>2.3550780871966659E-2</v>
      </c>
      <c r="R106" s="428">
        <f>S106/O73</f>
        <v>2.3550780871966659E-2</v>
      </c>
      <c r="S106" s="328">
        <f>O106+O144</f>
        <v>389333.64051000011</v>
      </c>
    </row>
    <row r="107" spans="1:19" s="3" customFormat="1" x14ac:dyDescent="0.35">
      <c r="A107" s="359"/>
      <c r="B107" s="585" t="s">
        <v>44</v>
      </c>
      <c r="C107" s="564">
        <f t="shared" si="25"/>
        <v>68146.219500000298</v>
      </c>
      <c r="D107" s="564">
        <f t="shared" si="25"/>
        <v>67660.235000000088</v>
      </c>
      <c r="E107" s="564">
        <f t="shared" si="25"/>
        <v>83669.826999999845</v>
      </c>
      <c r="F107" s="564">
        <f t="shared" si="25"/>
        <v>61271.271009999997</v>
      </c>
      <c r="G107" s="564">
        <f t="shared" si="25"/>
        <v>0</v>
      </c>
      <c r="H107" s="564">
        <f t="shared" si="25"/>
        <v>0</v>
      </c>
      <c r="I107" s="564">
        <f t="shared" si="25"/>
        <v>0</v>
      </c>
      <c r="J107" s="564">
        <f t="shared" si="25"/>
        <v>0</v>
      </c>
      <c r="K107" s="564">
        <f t="shared" si="25"/>
        <v>0</v>
      </c>
      <c r="L107" s="564">
        <f t="shared" si="25"/>
        <v>0</v>
      </c>
      <c r="M107" s="564">
        <f t="shared" si="25"/>
        <v>0</v>
      </c>
      <c r="N107" s="564">
        <f>+N91+N99</f>
        <v>0</v>
      </c>
      <c r="O107" s="585">
        <f>SUM(C107:N107)</f>
        <v>280747.55251000024</v>
      </c>
    </row>
    <row r="108" spans="1:19" s="3" customFormat="1" x14ac:dyDescent="0.35">
      <c r="A108" s="359"/>
      <c r="B108" s="585" t="s">
        <v>45</v>
      </c>
      <c r="C108" s="564">
        <f t="shared" si="25"/>
        <v>23941.121500000001</v>
      </c>
      <c r="D108" s="564">
        <f t="shared" si="25"/>
        <v>24108.799499999997</v>
      </c>
      <c r="E108" s="564">
        <f t="shared" si="25"/>
        <v>27669.549999999996</v>
      </c>
      <c r="F108" s="564">
        <f t="shared" si="25"/>
        <v>8558.0599999999977</v>
      </c>
      <c r="G108" s="564">
        <f t="shared" si="25"/>
        <v>0</v>
      </c>
      <c r="H108" s="564">
        <f t="shared" si="25"/>
        <v>0</v>
      </c>
      <c r="I108" s="564">
        <f t="shared" si="25"/>
        <v>0</v>
      </c>
      <c r="J108" s="564">
        <f t="shared" si="25"/>
        <v>0</v>
      </c>
      <c r="K108" s="564">
        <f t="shared" si="25"/>
        <v>0</v>
      </c>
      <c r="L108" s="564">
        <f t="shared" si="25"/>
        <v>0</v>
      </c>
      <c r="M108" s="564">
        <f t="shared" si="25"/>
        <v>0</v>
      </c>
      <c r="N108" s="564">
        <f>+N92+N100</f>
        <v>0</v>
      </c>
      <c r="O108" s="585">
        <f>SUM(C108:N108)</f>
        <v>84277.530999999988</v>
      </c>
    </row>
    <row r="109" spans="1:19" s="3" customFormat="1" x14ac:dyDescent="0.35">
      <c r="A109" s="359"/>
      <c r="B109" s="840"/>
      <c r="C109" s="841"/>
      <c r="D109" s="841"/>
      <c r="E109" s="841"/>
      <c r="F109" s="841"/>
      <c r="G109" s="841"/>
      <c r="H109" s="841"/>
      <c r="I109" s="841"/>
      <c r="J109" s="841"/>
      <c r="K109" s="841"/>
      <c r="L109" s="842"/>
      <c r="M109" s="841"/>
      <c r="N109" s="841"/>
      <c r="O109" s="843"/>
    </row>
    <row r="110" spans="1:19" s="3" customFormat="1" x14ac:dyDescent="0.35">
      <c r="B110" s="132"/>
      <c r="C110" s="133"/>
      <c r="D110" s="133"/>
      <c r="E110" s="133"/>
      <c r="F110" s="133"/>
      <c r="G110" s="133"/>
      <c r="H110" s="133"/>
      <c r="I110" s="133"/>
      <c r="J110" s="133"/>
      <c r="K110" s="133"/>
      <c r="L110" s="133"/>
      <c r="M110" s="133"/>
      <c r="N110" s="133"/>
      <c r="O110" s="134"/>
    </row>
    <row r="111" spans="1:19" s="3" customFormat="1" x14ac:dyDescent="0.35">
      <c r="B111" s="1069" t="s">
        <v>46</v>
      </c>
      <c r="C111" s="1069"/>
      <c r="D111" s="1069"/>
      <c r="E111" s="1069"/>
      <c r="F111" s="1069"/>
      <c r="G111" s="1069"/>
      <c r="H111" s="1069"/>
      <c r="I111" s="1069"/>
      <c r="J111" s="1069"/>
      <c r="K111" s="1069"/>
      <c r="L111" s="1069"/>
      <c r="M111" s="1069"/>
      <c r="N111" s="1069"/>
      <c r="O111" s="1069"/>
    </row>
    <row r="112" spans="1:19" s="3" customFormat="1" ht="12.75" customHeight="1" x14ac:dyDescent="0.35">
      <c r="B112" s="105"/>
      <c r="C112" s="106"/>
      <c r="D112" s="106"/>
      <c r="E112" s="106"/>
      <c r="F112" s="106"/>
      <c r="G112" s="106"/>
      <c r="H112" s="106"/>
      <c r="I112" s="106"/>
      <c r="J112" s="106"/>
      <c r="K112" s="106"/>
      <c r="L112" s="106"/>
      <c r="M112" s="106"/>
      <c r="N112" s="106"/>
      <c r="O112" s="11"/>
    </row>
    <row r="113" spans="2:23" s="3" customFormat="1" ht="22.5" customHeight="1" x14ac:dyDescent="0.35">
      <c r="B113" s="1069" t="s">
        <v>518</v>
      </c>
      <c r="C113" s="1069"/>
      <c r="D113" s="1069"/>
      <c r="E113" s="1069"/>
      <c r="F113" s="1069"/>
      <c r="G113" s="1069"/>
      <c r="H113" s="1069"/>
      <c r="I113" s="1069"/>
      <c r="J113" s="1069"/>
      <c r="K113" s="1069"/>
      <c r="L113" s="1069"/>
      <c r="M113" s="1069"/>
      <c r="N113" s="1069"/>
      <c r="O113" s="1069"/>
    </row>
    <row r="114" spans="2:23" s="3" customFormat="1" x14ac:dyDescent="0.35">
      <c r="B114" s="8"/>
      <c r="C114" s="106"/>
      <c r="D114" s="106"/>
      <c r="E114" s="106"/>
      <c r="F114" s="106"/>
      <c r="G114" s="106"/>
      <c r="H114" s="106"/>
      <c r="I114" s="106"/>
      <c r="J114" s="106"/>
      <c r="K114" s="106"/>
      <c r="L114" s="106"/>
      <c r="M114" s="106"/>
      <c r="N114" s="106"/>
      <c r="O114" s="11"/>
    </row>
    <row r="115" spans="2:23" ht="15" customHeight="1" x14ac:dyDescent="0.35">
      <c r="B115" s="1074" t="s">
        <v>13</v>
      </c>
      <c r="C115" s="1136" t="s">
        <v>0</v>
      </c>
      <c r="D115" s="1112" t="s">
        <v>1</v>
      </c>
      <c r="E115" s="1112" t="s">
        <v>2</v>
      </c>
      <c r="F115" s="1112" t="s">
        <v>3</v>
      </c>
      <c r="G115" s="1112" t="s">
        <v>4</v>
      </c>
      <c r="H115" s="1112" t="s">
        <v>5</v>
      </c>
      <c r="I115" s="1112" t="s">
        <v>6</v>
      </c>
      <c r="J115" s="1112" t="s">
        <v>7</v>
      </c>
      <c r="K115" s="1112" t="s">
        <v>8</v>
      </c>
      <c r="L115" s="1112" t="s">
        <v>9</v>
      </c>
      <c r="M115" s="1112" t="s">
        <v>10</v>
      </c>
      <c r="N115" s="1112" t="s">
        <v>14</v>
      </c>
      <c r="O115" s="1077" t="s">
        <v>15</v>
      </c>
      <c r="P115" s="3"/>
      <c r="Q115" s="3"/>
      <c r="R115" s="3"/>
      <c r="S115" s="3"/>
      <c r="T115" s="3"/>
    </row>
    <row r="116" spans="2:23" ht="28.5" customHeight="1" x14ac:dyDescent="0.35">
      <c r="B116" s="1080"/>
      <c r="C116" s="1153"/>
      <c r="D116" s="1145"/>
      <c r="E116" s="1145"/>
      <c r="F116" s="1145"/>
      <c r="G116" s="1145"/>
      <c r="H116" s="1145"/>
      <c r="I116" s="1145"/>
      <c r="J116" s="1145"/>
      <c r="K116" s="1145"/>
      <c r="L116" s="1145"/>
      <c r="M116" s="1145"/>
      <c r="N116" s="1145"/>
      <c r="O116" s="1088"/>
    </row>
    <row r="117" spans="2:23" s="3" customFormat="1" x14ac:dyDescent="0.35">
      <c r="B117" s="1018"/>
      <c r="C117" s="1119"/>
      <c r="D117" s="1119"/>
      <c r="E117" s="1119"/>
      <c r="F117" s="1119"/>
      <c r="G117" s="1119"/>
      <c r="H117" s="1119"/>
      <c r="I117" s="1119"/>
      <c r="J117" s="1119"/>
      <c r="K117" s="1119"/>
      <c r="L117" s="1119"/>
      <c r="M117" s="1119"/>
      <c r="N117" s="1119"/>
      <c r="O117" s="1178"/>
      <c r="P117" s="324"/>
      <c r="Q117" s="324"/>
      <c r="R117" s="324"/>
      <c r="S117" s="324"/>
      <c r="T117" s="324"/>
      <c r="U117" s="324"/>
      <c r="V117" s="324"/>
      <c r="W117" s="324"/>
    </row>
    <row r="118" spans="2:23" s="3" customFormat="1" x14ac:dyDescent="0.35">
      <c r="B118" s="589" t="s">
        <v>47</v>
      </c>
      <c r="C118" s="596">
        <f>SUM(C122:C128)</f>
        <v>29273.191500000001</v>
      </c>
      <c r="D118" s="596">
        <f>SUM(D122:D128)</f>
        <v>29393.570499999998</v>
      </c>
      <c r="E118" s="596">
        <f>SUM(E122:E128)</f>
        <v>31922.994999999995</v>
      </c>
      <c r="F118" s="596">
        <f>SUM(F122:F128)</f>
        <v>9384.0199999999986</v>
      </c>
      <c r="G118" s="596">
        <f t="shared" ref="G118:L118" si="27">SUM(G122:G128)</f>
        <v>0</v>
      </c>
      <c r="H118" s="596">
        <f t="shared" si="27"/>
        <v>0</v>
      </c>
      <c r="I118" s="596">
        <f t="shared" si="27"/>
        <v>0</v>
      </c>
      <c r="J118" s="596">
        <f t="shared" si="27"/>
        <v>0</v>
      </c>
      <c r="K118" s="596">
        <f t="shared" si="27"/>
        <v>0</v>
      </c>
      <c r="L118" s="596">
        <f t="shared" si="27"/>
        <v>0</v>
      </c>
      <c r="M118" s="596">
        <f>SUM(M122:M128)</f>
        <v>0</v>
      </c>
      <c r="N118" s="596">
        <f>SUM(N122:N128)</f>
        <v>0</v>
      </c>
      <c r="O118" s="1179">
        <f>SUM(C118:N118)</f>
        <v>99973.777000000002</v>
      </c>
      <c r="P118" s="324"/>
      <c r="Q118" s="324"/>
      <c r="R118" s="324"/>
      <c r="S118" s="324"/>
      <c r="T118" s="324"/>
      <c r="U118" s="324"/>
      <c r="V118" s="324"/>
      <c r="W118" s="324"/>
    </row>
    <row r="119" spans="2:23" s="3" customFormat="1" x14ac:dyDescent="0.35">
      <c r="B119" s="591"/>
      <c r="C119" s="590"/>
      <c r="D119" s="590"/>
      <c r="E119" s="590"/>
      <c r="F119" s="590"/>
      <c r="G119" s="590"/>
      <c r="H119" s="590"/>
      <c r="I119" s="590"/>
      <c r="J119" s="590"/>
      <c r="K119" s="590"/>
      <c r="L119" s="590"/>
      <c r="M119" s="590"/>
      <c r="N119" s="590"/>
      <c r="O119" s="1180"/>
      <c r="P119" s="324"/>
      <c r="Q119" s="324"/>
      <c r="R119" s="324"/>
      <c r="S119" s="324"/>
      <c r="T119" s="324"/>
      <c r="U119" s="324"/>
      <c r="V119" s="324"/>
      <c r="W119" s="324"/>
    </row>
    <row r="120" spans="2:23" s="3" customFormat="1" x14ac:dyDescent="0.35">
      <c r="B120" s="592" t="s">
        <v>48</v>
      </c>
      <c r="C120" s="1181">
        <v>5332.0699999999988</v>
      </c>
      <c r="D120" s="1104">
        <v>5284.7709999999997</v>
      </c>
      <c r="E120" s="1104">
        <v>4253.4450000000006</v>
      </c>
      <c r="F120" s="1104">
        <v>825.96</v>
      </c>
      <c r="G120" s="1104"/>
      <c r="H120" s="1104"/>
      <c r="I120" s="1104"/>
      <c r="J120" s="1181"/>
      <c r="K120" s="1181"/>
      <c r="L120" s="1181"/>
      <c r="M120" s="1181"/>
      <c r="N120" s="1181"/>
      <c r="O120" s="1182">
        <f>SUM(C120:N120)</f>
        <v>15696.245999999999</v>
      </c>
      <c r="P120" s="324"/>
      <c r="Q120" s="324"/>
      <c r="R120" s="324"/>
      <c r="S120" s="324"/>
      <c r="T120" s="324"/>
      <c r="U120" s="324"/>
      <c r="V120" s="324"/>
      <c r="W120" s="324"/>
    </row>
    <row r="121" spans="2:23" s="3" customFormat="1" x14ac:dyDescent="0.35">
      <c r="B121" s="592"/>
      <c r="C121" s="1183"/>
      <c r="D121" s="1105"/>
      <c r="E121" s="1105"/>
      <c r="F121" s="1105"/>
      <c r="G121" s="1106"/>
      <c r="H121" s="1106"/>
      <c r="I121" s="1105"/>
      <c r="J121" s="1181"/>
      <c r="K121" s="1181"/>
      <c r="L121" s="1181"/>
      <c r="M121" s="1181"/>
      <c r="N121" s="1181"/>
      <c r="O121" s="1182"/>
      <c r="P121" s="324"/>
      <c r="Q121" s="324"/>
      <c r="R121" s="324"/>
      <c r="S121" s="324"/>
      <c r="T121" s="324"/>
      <c r="U121" s="324"/>
      <c r="V121" s="324"/>
      <c r="W121" s="324"/>
    </row>
    <row r="122" spans="2:23" s="3" customFormat="1" x14ac:dyDescent="0.35">
      <c r="B122" s="593" t="s">
        <v>49</v>
      </c>
      <c r="C122" s="1107">
        <v>6091.4069999999992</v>
      </c>
      <c r="D122" s="1106">
        <v>5773.0429999999997</v>
      </c>
      <c r="E122" s="1106">
        <v>5925.1050000000005</v>
      </c>
      <c r="F122" s="1106">
        <v>825.96</v>
      </c>
      <c r="G122" s="1106"/>
      <c r="H122" s="1106"/>
      <c r="I122" s="1105"/>
      <c r="J122" s="1105"/>
      <c r="K122" s="1105"/>
      <c r="L122" s="1105"/>
      <c r="M122" s="1105"/>
      <c r="N122" s="1105"/>
      <c r="O122" s="1184">
        <f t="shared" ref="O122:O128" si="28">SUM(C122:N122)</f>
        <v>18615.514999999999</v>
      </c>
      <c r="P122" s="324"/>
      <c r="Q122" s="324"/>
      <c r="R122" s="324"/>
      <c r="S122" s="324"/>
      <c r="T122" s="324"/>
      <c r="U122" s="324"/>
      <c r="V122" s="324"/>
      <c r="W122" s="324"/>
    </row>
    <row r="123" spans="2:23" s="3" customFormat="1" x14ac:dyDescent="0.35">
      <c r="B123" s="593" t="s">
        <v>50</v>
      </c>
      <c r="C123" s="1107">
        <v>14774.042000000003</v>
      </c>
      <c r="D123" s="1106">
        <v>16318.441000000001</v>
      </c>
      <c r="E123" s="1106">
        <v>18134.718999999997</v>
      </c>
      <c r="F123" s="1106">
        <v>7054.0509999999995</v>
      </c>
      <c r="G123" s="1106"/>
      <c r="H123" s="1106"/>
      <c r="I123" s="1105"/>
      <c r="J123" s="1105"/>
      <c r="K123" s="1105"/>
      <c r="L123" s="1105"/>
      <c r="M123" s="1105"/>
      <c r="N123" s="1105"/>
      <c r="O123" s="1184">
        <f t="shared" si="28"/>
        <v>56281.253000000004</v>
      </c>
      <c r="P123" s="324"/>
      <c r="Q123" s="324"/>
      <c r="R123" s="324"/>
      <c r="S123" s="324"/>
      <c r="T123" s="324"/>
      <c r="U123" s="324"/>
      <c r="V123" s="324"/>
      <c r="W123" s="324"/>
    </row>
    <row r="124" spans="2:23" s="3" customFormat="1" x14ac:dyDescent="0.35">
      <c r="B124" s="593" t="s">
        <v>51</v>
      </c>
      <c r="C124" s="1107">
        <v>1484.587</v>
      </c>
      <c r="D124" s="1106">
        <v>1416.71</v>
      </c>
      <c r="E124" s="1106">
        <v>2164.116</v>
      </c>
      <c r="F124" s="1106">
        <v>1397.067</v>
      </c>
      <c r="G124" s="1106"/>
      <c r="H124" s="1106"/>
      <c r="I124" s="1105"/>
      <c r="J124" s="1105"/>
      <c r="K124" s="1105"/>
      <c r="L124" s="1105"/>
      <c r="M124" s="1105"/>
      <c r="N124" s="1105"/>
      <c r="O124" s="1184">
        <f t="shared" si="28"/>
        <v>6462.4800000000005</v>
      </c>
      <c r="P124" s="324"/>
      <c r="Q124" s="324"/>
      <c r="R124" s="324"/>
      <c r="S124" s="324"/>
      <c r="T124" s="324"/>
      <c r="U124" s="324"/>
      <c r="V124" s="324"/>
      <c r="W124" s="324"/>
    </row>
    <row r="125" spans="2:23" s="3" customFormat="1" x14ac:dyDescent="0.35">
      <c r="B125" s="593" t="s">
        <v>52</v>
      </c>
      <c r="C125" s="1107">
        <v>6883.15</v>
      </c>
      <c r="D125" s="1106">
        <v>5821.3200000000006</v>
      </c>
      <c r="E125" s="1106">
        <v>5655.0399999999991</v>
      </c>
      <c r="F125" s="1106">
        <v>64.899999999999991</v>
      </c>
      <c r="G125" s="1106"/>
      <c r="H125" s="1106"/>
      <c r="I125" s="1105"/>
      <c r="J125" s="1105"/>
      <c r="K125" s="1105"/>
      <c r="L125" s="1105"/>
      <c r="M125" s="1105"/>
      <c r="N125" s="1105"/>
      <c r="O125" s="1184">
        <f t="shared" si="28"/>
        <v>18424.410000000003</v>
      </c>
      <c r="P125" s="324"/>
      <c r="Q125" s="324"/>
      <c r="R125" s="324"/>
      <c r="S125" s="324"/>
      <c r="T125" s="324"/>
      <c r="U125" s="324"/>
      <c r="V125" s="324"/>
      <c r="W125" s="324"/>
    </row>
    <row r="126" spans="2:23" s="3" customFormat="1" x14ac:dyDescent="0.35">
      <c r="B126" s="593" t="s">
        <v>53</v>
      </c>
      <c r="C126" s="1107">
        <v>40.005499999999998</v>
      </c>
      <c r="D126" s="1106">
        <v>64.0565</v>
      </c>
      <c r="E126" s="1106">
        <v>44.015000000000001</v>
      </c>
      <c r="F126" s="1106">
        <v>42.042000000000002</v>
      </c>
      <c r="G126" s="1106"/>
      <c r="H126" s="1106"/>
      <c r="I126" s="1105"/>
      <c r="J126" s="1105"/>
      <c r="K126" s="1105"/>
      <c r="L126" s="1105"/>
      <c r="M126" s="1105"/>
      <c r="N126" s="1105"/>
      <c r="O126" s="1184">
        <f t="shared" si="28"/>
        <v>190.119</v>
      </c>
      <c r="P126" s="324"/>
      <c r="Q126" s="324"/>
      <c r="R126" s="324"/>
      <c r="S126" s="324"/>
      <c r="T126" s="324"/>
      <c r="U126" s="324"/>
      <c r="V126" s="324"/>
      <c r="W126" s="324"/>
    </row>
    <row r="127" spans="2:23" s="3" customFormat="1" x14ac:dyDescent="0.35">
      <c r="B127" s="593" t="s">
        <v>54</v>
      </c>
      <c r="C127" s="1107">
        <v>0</v>
      </c>
      <c r="D127" s="1106">
        <v>0</v>
      </c>
      <c r="E127" s="1106">
        <v>0</v>
      </c>
      <c r="F127" s="1106">
        <v>0</v>
      </c>
      <c r="G127" s="1106"/>
      <c r="H127" s="1106"/>
      <c r="I127" s="1105"/>
      <c r="J127" s="1105"/>
      <c r="K127" s="1105"/>
      <c r="L127" s="1105"/>
      <c r="M127" s="1105"/>
      <c r="N127" s="1105"/>
      <c r="O127" s="1184">
        <f t="shared" si="28"/>
        <v>0</v>
      </c>
      <c r="P127" s="324"/>
      <c r="Q127" s="324"/>
      <c r="R127" s="324"/>
      <c r="S127" s="324"/>
      <c r="T127" s="324"/>
      <c r="U127" s="324"/>
      <c r="V127" s="324"/>
      <c r="W127" s="324"/>
    </row>
    <row r="128" spans="2:23" s="3" customFormat="1" x14ac:dyDescent="0.35">
      <c r="B128" s="593" t="s">
        <v>55</v>
      </c>
      <c r="C128" s="1107">
        <v>0</v>
      </c>
      <c r="D128" s="1106">
        <v>0</v>
      </c>
      <c r="E128" s="1106">
        <v>0</v>
      </c>
      <c r="F128" s="1106">
        <v>0</v>
      </c>
      <c r="G128" s="1106"/>
      <c r="H128" s="1106"/>
      <c r="I128" s="1105"/>
      <c r="J128" s="1105"/>
      <c r="K128" s="1105"/>
      <c r="L128" s="1105"/>
      <c r="M128" s="1105"/>
      <c r="N128" s="1105"/>
      <c r="O128" s="1184">
        <f t="shared" si="28"/>
        <v>0</v>
      </c>
      <c r="P128" s="324"/>
      <c r="Q128" s="324"/>
      <c r="R128" s="324"/>
      <c r="S128" s="324"/>
      <c r="T128" s="324"/>
      <c r="U128" s="324"/>
      <c r="V128" s="324"/>
      <c r="W128" s="324"/>
    </row>
    <row r="129" spans="2:23" x14ac:dyDescent="0.35">
      <c r="B129" s="593" t="s">
        <v>11</v>
      </c>
      <c r="C129" s="538"/>
      <c r="D129" s="538"/>
      <c r="E129" s="538"/>
      <c r="F129" s="538"/>
      <c r="G129" s="538"/>
      <c r="H129" s="538"/>
      <c r="I129" s="538" t="s">
        <v>11</v>
      </c>
      <c r="J129" s="538" t="s">
        <v>11</v>
      </c>
      <c r="K129" s="1185"/>
      <c r="L129" s="1185"/>
      <c r="M129" s="1185"/>
      <c r="N129" s="1185"/>
      <c r="O129" s="502"/>
    </row>
    <row r="130" spans="2:23" s="3" customFormat="1" x14ac:dyDescent="0.35">
      <c r="B130" s="589" t="s">
        <v>56</v>
      </c>
      <c r="C130" s="596">
        <f>SUM(C134:C140)</f>
        <v>4472.6850000000004</v>
      </c>
      <c r="D130" s="596">
        <f>SUM(D134:D140)</f>
        <v>4139.6259999999993</v>
      </c>
      <c r="E130" s="596">
        <f>SUM(E134:E140)</f>
        <v>0</v>
      </c>
      <c r="F130" s="596">
        <f>SUM(F134:F140)</f>
        <v>0</v>
      </c>
      <c r="G130" s="596">
        <f t="shared" ref="G130:M130" si="29">SUM(G134:G140)</f>
        <v>0</v>
      </c>
      <c r="H130" s="596">
        <f t="shared" si="29"/>
        <v>0</v>
      </c>
      <c r="I130" s="596">
        <f t="shared" si="29"/>
        <v>0</v>
      </c>
      <c r="J130" s="596">
        <f t="shared" si="29"/>
        <v>0</v>
      </c>
      <c r="K130" s="596">
        <f t="shared" si="29"/>
        <v>0</v>
      </c>
      <c r="L130" s="596">
        <f t="shared" si="29"/>
        <v>0</v>
      </c>
      <c r="M130" s="596">
        <f t="shared" si="29"/>
        <v>0</v>
      </c>
      <c r="N130" s="596">
        <f>SUM(N134:N140)</f>
        <v>0</v>
      </c>
      <c r="O130" s="1179">
        <f>SUM(C130:N130)</f>
        <v>8612.3109999999997</v>
      </c>
      <c r="P130" s="324"/>
      <c r="Q130" s="324"/>
      <c r="R130" s="324"/>
      <c r="S130" s="324"/>
      <c r="T130" s="324"/>
      <c r="U130" s="324"/>
      <c r="V130" s="324"/>
      <c r="W130" s="324"/>
    </row>
    <row r="131" spans="2:23" s="3" customFormat="1" x14ac:dyDescent="0.35">
      <c r="B131" s="591"/>
      <c r="C131" s="590"/>
      <c r="D131" s="590"/>
      <c r="E131" s="590"/>
      <c r="F131" s="590"/>
      <c r="G131" s="590"/>
      <c r="H131" s="590"/>
      <c r="I131" s="590"/>
      <c r="J131" s="590"/>
      <c r="K131" s="590"/>
      <c r="L131" s="590"/>
      <c r="M131" s="590"/>
      <c r="N131" s="590"/>
      <c r="O131" s="1180"/>
      <c r="P131" s="324"/>
      <c r="Q131" s="324"/>
      <c r="R131" s="324"/>
      <c r="S131" s="324"/>
      <c r="T131" s="324"/>
      <c r="U131" s="324"/>
      <c r="V131" s="324"/>
      <c r="W131" s="324"/>
    </row>
    <row r="132" spans="2:23" s="3" customFormat="1" x14ac:dyDescent="0.35">
      <c r="B132" s="592" t="s">
        <v>48</v>
      </c>
      <c r="C132" s="1181">
        <v>4472.6850000000004</v>
      </c>
      <c r="D132" s="1104">
        <v>4139.6259999999993</v>
      </c>
      <c r="E132" s="1104">
        <v>0</v>
      </c>
      <c r="F132" s="1104">
        <v>0</v>
      </c>
      <c r="G132" s="1104"/>
      <c r="H132" s="1104"/>
      <c r="I132" s="1104"/>
      <c r="J132" s="1181"/>
      <c r="K132" s="1181"/>
      <c r="L132" s="1181"/>
      <c r="M132" s="1181"/>
      <c r="N132" s="1181"/>
      <c r="O132" s="1182">
        <f>SUM(C132:N132)</f>
        <v>8612.3109999999997</v>
      </c>
      <c r="P132" s="324"/>
      <c r="Q132" s="324"/>
      <c r="R132" s="324"/>
      <c r="S132" s="324"/>
      <c r="T132" s="324"/>
      <c r="U132" s="324"/>
      <c r="V132" s="324"/>
      <c r="W132" s="324"/>
    </row>
    <row r="133" spans="2:23" s="3" customFormat="1" x14ac:dyDescent="0.35">
      <c r="B133" s="439"/>
      <c r="C133" s="1186"/>
      <c r="D133" s="1105"/>
      <c r="E133" s="1105"/>
      <c r="F133" s="1105"/>
      <c r="G133" s="1105"/>
      <c r="H133" s="1105"/>
      <c r="I133" s="1105"/>
      <c r="J133" s="1105"/>
      <c r="K133" s="1105"/>
      <c r="L133" s="1105"/>
      <c r="M133" s="1105"/>
      <c r="N133" s="1105"/>
      <c r="O133" s="502"/>
      <c r="P133" s="324"/>
      <c r="Q133" s="324"/>
      <c r="R133" s="324"/>
      <c r="S133" s="324"/>
      <c r="T133" s="324"/>
      <c r="U133" s="324"/>
      <c r="V133" s="324"/>
      <c r="W133" s="324"/>
    </row>
    <row r="134" spans="2:23" s="3" customFormat="1" x14ac:dyDescent="0.35">
      <c r="B134" s="593" t="s">
        <v>49</v>
      </c>
      <c r="C134" s="1107">
        <v>4472.6850000000004</v>
      </c>
      <c r="D134" s="1107">
        <v>4139.6259999999993</v>
      </c>
      <c r="E134" s="1107">
        <v>0</v>
      </c>
      <c r="F134" s="1107">
        <v>0</v>
      </c>
      <c r="G134" s="1106"/>
      <c r="H134" s="1106"/>
      <c r="I134" s="1107"/>
      <c r="J134" s="1107"/>
      <c r="K134" s="1107"/>
      <c r="L134" s="1107"/>
      <c r="M134" s="1107"/>
      <c r="N134" s="1107"/>
      <c r="O134" s="1184">
        <f t="shared" ref="O134:O140" si="30">SUM(C134:N134)</f>
        <v>8612.3109999999997</v>
      </c>
      <c r="P134" s="324"/>
      <c r="Q134" s="324"/>
      <c r="R134" s="324"/>
      <c r="S134" s="324"/>
      <c r="T134" s="324"/>
      <c r="U134" s="324"/>
      <c r="V134" s="324"/>
      <c r="W134" s="324"/>
    </row>
    <row r="135" spans="2:23" s="3" customFormat="1" x14ac:dyDescent="0.35">
      <c r="B135" s="593" t="s">
        <v>50</v>
      </c>
      <c r="C135" s="1107">
        <v>0</v>
      </c>
      <c r="D135" s="1106">
        <v>0</v>
      </c>
      <c r="E135" s="1107">
        <v>0</v>
      </c>
      <c r="F135" s="1106">
        <v>0</v>
      </c>
      <c r="G135" s="1106"/>
      <c r="H135" s="1106"/>
      <c r="I135" s="1106"/>
      <c r="J135" s="1107"/>
      <c r="K135" s="1107"/>
      <c r="L135" s="1107"/>
      <c r="M135" s="1107"/>
      <c r="N135" s="1107"/>
      <c r="O135" s="1184">
        <f t="shared" si="30"/>
        <v>0</v>
      </c>
      <c r="P135" s="324"/>
      <c r="Q135" s="324"/>
      <c r="R135" s="324"/>
      <c r="S135" s="324"/>
      <c r="T135" s="324"/>
      <c r="U135" s="324"/>
      <c r="V135" s="324"/>
      <c r="W135" s="324"/>
    </row>
    <row r="136" spans="2:23" s="3" customFormat="1" x14ac:dyDescent="0.35">
      <c r="B136" s="593" t="s">
        <v>51</v>
      </c>
      <c r="C136" s="1107">
        <v>0</v>
      </c>
      <c r="D136" s="1106">
        <v>0</v>
      </c>
      <c r="E136" s="1107">
        <v>0</v>
      </c>
      <c r="F136" s="1106">
        <v>0</v>
      </c>
      <c r="G136" s="1106"/>
      <c r="H136" s="1106"/>
      <c r="I136" s="1106"/>
      <c r="J136" s="1107"/>
      <c r="K136" s="1107"/>
      <c r="L136" s="1107"/>
      <c r="M136" s="1107"/>
      <c r="N136" s="1107"/>
      <c r="O136" s="1184">
        <f t="shared" si="30"/>
        <v>0</v>
      </c>
      <c r="P136" s="324"/>
      <c r="Q136" s="324"/>
      <c r="R136" s="324"/>
      <c r="S136" s="324"/>
      <c r="T136" s="324"/>
      <c r="U136" s="324"/>
      <c r="V136" s="324"/>
      <c r="W136" s="324"/>
    </row>
    <row r="137" spans="2:23" s="3" customFormat="1" x14ac:dyDescent="0.35">
      <c r="B137" s="593" t="s">
        <v>52</v>
      </c>
      <c r="C137" s="1107">
        <v>0</v>
      </c>
      <c r="D137" s="1106">
        <v>0</v>
      </c>
      <c r="E137" s="1107">
        <v>0</v>
      </c>
      <c r="F137" s="1106">
        <v>0</v>
      </c>
      <c r="G137" s="1106"/>
      <c r="H137" s="1106"/>
      <c r="I137" s="1106"/>
      <c r="J137" s="1107"/>
      <c r="K137" s="1107"/>
      <c r="L137" s="1107"/>
      <c r="M137" s="1107"/>
      <c r="N137" s="1107"/>
      <c r="O137" s="1184">
        <f t="shared" si="30"/>
        <v>0</v>
      </c>
      <c r="P137" s="324"/>
      <c r="Q137" s="324"/>
      <c r="R137" s="324"/>
      <c r="S137" s="324"/>
      <c r="T137" s="324"/>
      <c r="U137" s="324"/>
      <c r="V137" s="324"/>
      <c r="W137" s="324"/>
    </row>
    <row r="138" spans="2:23" s="3" customFormat="1" x14ac:dyDescent="0.35">
      <c r="B138" s="593" t="s">
        <v>53</v>
      </c>
      <c r="C138" s="1107">
        <v>0</v>
      </c>
      <c r="D138" s="1106">
        <v>0</v>
      </c>
      <c r="E138" s="1107">
        <v>0</v>
      </c>
      <c r="F138" s="1106">
        <v>0</v>
      </c>
      <c r="G138" s="1106"/>
      <c r="H138" s="1106"/>
      <c r="I138" s="1106"/>
      <c r="J138" s="1107"/>
      <c r="K138" s="1107"/>
      <c r="L138" s="1107"/>
      <c r="M138" s="1107"/>
      <c r="N138" s="1107"/>
      <c r="O138" s="1184">
        <f t="shared" si="30"/>
        <v>0</v>
      </c>
      <c r="P138" s="324"/>
      <c r="Q138" s="324"/>
      <c r="R138" s="324"/>
      <c r="S138" s="324"/>
      <c r="T138" s="324"/>
      <c r="U138" s="324"/>
      <c r="V138" s="324"/>
      <c r="W138" s="324"/>
    </row>
    <row r="139" spans="2:23" s="3" customFormat="1" x14ac:dyDescent="0.35">
      <c r="B139" s="593" t="s">
        <v>54</v>
      </c>
      <c r="C139" s="1107">
        <v>0</v>
      </c>
      <c r="D139" s="1106">
        <v>0</v>
      </c>
      <c r="E139" s="1107">
        <v>0</v>
      </c>
      <c r="F139" s="1106">
        <v>0</v>
      </c>
      <c r="G139" s="1106"/>
      <c r="H139" s="1106"/>
      <c r="I139" s="1106"/>
      <c r="J139" s="1107"/>
      <c r="K139" s="1107"/>
      <c r="L139" s="1107"/>
      <c r="M139" s="1107"/>
      <c r="N139" s="1107"/>
      <c r="O139" s="1184">
        <f t="shared" si="30"/>
        <v>0</v>
      </c>
      <c r="P139" s="324"/>
      <c r="Q139" s="324"/>
      <c r="R139" s="324"/>
      <c r="S139" s="324"/>
      <c r="T139" s="324"/>
      <c r="U139" s="324"/>
      <c r="V139" s="324"/>
      <c r="W139" s="324"/>
    </row>
    <row r="140" spans="2:23" s="3" customFormat="1" x14ac:dyDescent="0.35">
      <c r="B140" s="593" t="s">
        <v>55</v>
      </c>
      <c r="C140" s="1107">
        <v>0</v>
      </c>
      <c r="D140" s="1106">
        <v>0</v>
      </c>
      <c r="E140" s="1107">
        <v>0</v>
      </c>
      <c r="F140" s="1106">
        <v>0</v>
      </c>
      <c r="G140" s="1106"/>
      <c r="H140" s="1106"/>
      <c r="I140" s="1106"/>
      <c r="J140" s="1107"/>
      <c r="K140" s="1107"/>
      <c r="L140" s="1107"/>
      <c r="M140" s="1107"/>
      <c r="N140" s="1107"/>
      <c r="O140" s="1184">
        <f t="shared" si="30"/>
        <v>0</v>
      </c>
      <c r="P140" s="324"/>
      <c r="Q140" s="324"/>
      <c r="R140" s="324"/>
      <c r="S140" s="324"/>
      <c r="T140" s="324"/>
      <c r="U140" s="324"/>
      <c r="V140" s="324"/>
      <c r="W140" s="324"/>
    </row>
    <row r="141" spans="2:23" s="3" customFormat="1" x14ac:dyDescent="0.35">
      <c r="B141" s="593" t="s">
        <v>11</v>
      </c>
      <c r="C141" s="538" t="s">
        <v>11</v>
      </c>
      <c r="D141" s="538" t="s">
        <v>11</v>
      </c>
      <c r="E141" s="538" t="s">
        <v>11</v>
      </c>
      <c r="F141" s="538" t="s">
        <v>11</v>
      </c>
      <c r="G141" s="538" t="s">
        <v>11</v>
      </c>
      <c r="H141" s="538" t="s">
        <v>11</v>
      </c>
      <c r="I141" s="538"/>
      <c r="J141" s="538"/>
      <c r="K141" s="538"/>
      <c r="L141" s="538"/>
      <c r="M141" s="538"/>
      <c r="N141" s="538"/>
      <c r="O141" s="502"/>
      <c r="P141" s="324"/>
      <c r="Q141" s="324"/>
      <c r="R141" s="324"/>
      <c r="S141" s="324"/>
      <c r="T141" s="324"/>
      <c r="U141" s="324"/>
      <c r="V141" s="324"/>
      <c r="W141" s="324"/>
    </row>
    <row r="142" spans="2:23" s="3" customFormat="1" x14ac:dyDescent="0.35">
      <c r="B142" s="445" t="s">
        <v>36</v>
      </c>
      <c r="C142" s="1108">
        <f>+C130+C118</f>
        <v>33745.876499999998</v>
      </c>
      <c r="D142" s="1108">
        <f>+D130+D118</f>
        <v>33533.196499999998</v>
      </c>
      <c r="E142" s="1108">
        <f>+E130+E118</f>
        <v>31922.994999999995</v>
      </c>
      <c r="F142" s="1108">
        <f>+F130+F118</f>
        <v>9384.0199999999986</v>
      </c>
      <c r="G142" s="1108">
        <f t="shared" ref="G142:L142" si="31">+G130+G118</f>
        <v>0</v>
      </c>
      <c r="H142" s="1108">
        <f t="shared" si="31"/>
        <v>0</v>
      </c>
      <c r="I142" s="1108">
        <f t="shared" si="31"/>
        <v>0</v>
      </c>
      <c r="J142" s="1108">
        <f t="shared" si="31"/>
        <v>0</v>
      </c>
      <c r="K142" s="1108">
        <f t="shared" si="31"/>
        <v>0</v>
      </c>
      <c r="L142" s="1108">
        <f t="shared" si="31"/>
        <v>0</v>
      </c>
      <c r="M142" s="1108">
        <f>+M130+M118</f>
        <v>0</v>
      </c>
      <c r="N142" s="1108">
        <f>+N130+N118</f>
        <v>0</v>
      </c>
      <c r="O142" s="1187">
        <f>SUM(C142:N142)</f>
        <v>108586.088</v>
      </c>
      <c r="P142" s="324"/>
      <c r="Q142" s="324"/>
      <c r="R142" s="324"/>
      <c r="S142" s="324"/>
      <c r="T142" s="324"/>
      <c r="U142" s="324"/>
      <c r="V142" s="324"/>
      <c r="W142" s="324"/>
    </row>
    <row r="143" spans="2:23" s="3" customFormat="1" x14ac:dyDescent="0.35">
      <c r="B143" s="591"/>
      <c r="C143" s="590"/>
      <c r="D143" s="590"/>
      <c r="E143" s="590"/>
      <c r="F143" s="590"/>
      <c r="G143" s="590"/>
      <c r="H143" s="590"/>
      <c r="I143" s="590"/>
      <c r="J143" s="590"/>
      <c r="K143" s="590"/>
      <c r="L143" s="590"/>
      <c r="M143" s="590"/>
      <c r="N143" s="590"/>
      <c r="O143" s="1180"/>
      <c r="P143" s="324"/>
      <c r="Q143" s="324"/>
      <c r="R143" s="324"/>
      <c r="S143" s="324"/>
      <c r="T143" s="324"/>
      <c r="U143" s="324"/>
      <c r="V143" s="324"/>
      <c r="W143" s="324"/>
    </row>
    <row r="144" spans="2:23" s="3" customFormat="1" x14ac:dyDescent="0.35">
      <c r="B144" s="592" t="s">
        <v>48</v>
      </c>
      <c r="C144" s="595">
        <f>C120+C132</f>
        <v>9804.7549999999992</v>
      </c>
      <c r="D144" s="595">
        <f>D120+D132</f>
        <v>9424.396999999999</v>
      </c>
      <c r="E144" s="595">
        <f>E120+E132</f>
        <v>4253.4450000000006</v>
      </c>
      <c r="F144" s="595">
        <f>F120+F132</f>
        <v>825.96</v>
      </c>
      <c r="G144" s="595">
        <f t="shared" ref="G144:L144" si="32">G120+G132</f>
        <v>0</v>
      </c>
      <c r="H144" s="595">
        <f t="shared" si="32"/>
        <v>0</v>
      </c>
      <c r="I144" s="595">
        <f t="shared" si="32"/>
        <v>0</v>
      </c>
      <c r="J144" s="595">
        <f t="shared" si="32"/>
        <v>0</v>
      </c>
      <c r="K144" s="595">
        <f t="shared" si="32"/>
        <v>0</v>
      </c>
      <c r="L144" s="595">
        <f t="shared" si="32"/>
        <v>0</v>
      </c>
      <c r="M144" s="595">
        <f>M120+M132</f>
        <v>0</v>
      </c>
      <c r="N144" s="595">
        <f>N120+N132</f>
        <v>0</v>
      </c>
      <c r="O144" s="1182">
        <f>SUM(C144:N144)</f>
        <v>24308.556999999997</v>
      </c>
      <c r="P144" s="324"/>
      <c r="Q144" s="324"/>
      <c r="R144" s="324"/>
      <c r="S144" s="324"/>
      <c r="T144" s="324"/>
      <c r="U144" s="324"/>
      <c r="V144" s="324"/>
      <c r="W144" s="324"/>
    </row>
    <row r="145" spans="2:23" s="3" customFormat="1" x14ac:dyDescent="0.35">
      <c r="B145" s="592"/>
      <c r="C145" s="595"/>
      <c r="D145" s="595"/>
      <c r="E145" s="595"/>
      <c r="F145" s="595"/>
      <c r="G145" s="595"/>
      <c r="H145" s="595"/>
      <c r="I145" s="595"/>
      <c r="J145" s="595"/>
      <c r="K145" s="595"/>
      <c r="L145" s="595"/>
      <c r="M145" s="595"/>
      <c r="N145" s="595"/>
      <c r="O145" s="1182"/>
      <c r="P145" s="324"/>
      <c r="Q145" s="324"/>
      <c r="R145" s="324"/>
      <c r="S145" s="324"/>
      <c r="T145" s="324"/>
      <c r="U145" s="324"/>
      <c r="V145" s="324"/>
      <c r="W145" s="324"/>
    </row>
    <row r="146" spans="2:23" s="3" customFormat="1" x14ac:dyDescent="0.35">
      <c r="B146" s="593" t="s">
        <v>49</v>
      </c>
      <c r="C146" s="1109">
        <f t="shared" ref="C146:N152" si="33">C122+C134</f>
        <v>10564.092000000001</v>
      </c>
      <c r="D146" s="1109">
        <f t="shared" si="33"/>
        <v>9912.6689999999981</v>
      </c>
      <c r="E146" s="1109">
        <f t="shared" si="33"/>
        <v>5925.1050000000005</v>
      </c>
      <c r="F146" s="1109">
        <f t="shared" si="33"/>
        <v>825.96</v>
      </c>
      <c r="G146" s="1109">
        <f t="shared" si="33"/>
        <v>0</v>
      </c>
      <c r="H146" s="1109">
        <f t="shared" si="33"/>
        <v>0</v>
      </c>
      <c r="I146" s="1109">
        <f t="shared" si="33"/>
        <v>0</v>
      </c>
      <c r="J146" s="1109">
        <f t="shared" si="33"/>
        <v>0</v>
      </c>
      <c r="K146" s="1109">
        <f t="shared" si="33"/>
        <v>0</v>
      </c>
      <c r="L146" s="1109">
        <f t="shared" si="33"/>
        <v>0</v>
      </c>
      <c r="M146" s="1109">
        <f t="shared" si="33"/>
        <v>0</v>
      </c>
      <c r="N146" s="1109">
        <f t="shared" si="33"/>
        <v>0</v>
      </c>
      <c r="O146" s="1184">
        <f t="shared" ref="O146:O152" si="34">SUM(C146:N146)</f>
        <v>27227.825999999997</v>
      </c>
      <c r="P146" s="324"/>
      <c r="Q146" s="324"/>
      <c r="R146" s="324"/>
      <c r="S146" s="324"/>
      <c r="T146" s="324"/>
      <c r="U146" s="324"/>
      <c r="V146" s="324"/>
      <c r="W146" s="324"/>
    </row>
    <row r="147" spans="2:23" s="3" customFormat="1" x14ac:dyDescent="0.35">
      <c r="B147" s="593" t="s">
        <v>50</v>
      </c>
      <c r="C147" s="1109">
        <f t="shared" si="33"/>
        <v>14774.042000000003</v>
      </c>
      <c r="D147" s="1109">
        <f t="shared" si="33"/>
        <v>16318.441000000001</v>
      </c>
      <c r="E147" s="1109">
        <f t="shared" si="33"/>
        <v>18134.718999999997</v>
      </c>
      <c r="F147" s="1109">
        <f t="shared" si="33"/>
        <v>7054.0509999999995</v>
      </c>
      <c r="G147" s="1109">
        <f t="shared" si="33"/>
        <v>0</v>
      </c>
      <c r="H147" s="1109">
        <f t="shared" si="33"/>
        <v>0</v>
      </c>
      <c r="I147" s="1109">
        <f t="shared" si="33"/>
        <v>0</v>
      </c>
      <c r="J147" s="1109">
        <f t="shared" si="33"/>
        <v>0</v>
      </c>
      <c r="K147" s="1109">
        <f t="shared" si="33"/>
        <v>0</v>
      </c>
      <c r="L147" s="1109">
        <f t="shared" si="33"/>
        <v>0</v>
      </c>
      <c r="M147" s="1109">
        <f t="shared" si="33"/>
        <v>0</v>
      </c>
      <c r="N147" s="1109">
        <f t="shared" si="33"/>
        <v>0</v>
      </c>
      <c r="O147" s="502">
        <f t="shared" si="34"/>
        <v>56281.253000000004</v>
      </c>
      <c r="P147" s="324"/>
      <c r="Q147" s="324"/>
      <c r="R147" s="324"/>
      <c r="S147" s="324"/>
      <c r="T147" s="324"/>
      <c r="U147" s="324"/>
      <c r="V147" s="324"/>
      <c r="W147" s="324"/>
    </row>
    <row r="148" spans="2:23" s="3" customFormat="1" x14ac:dyDescent="0.35">
      <c r="B148" s="593" t="s">
        <v>51</v>
      </c>
      <c r="C148" s="1109">
        <f t="shared" si="33"/>
        <v>1484.587</v>
      </c>
      <c r="D148" s="1109">
        <f t="shared" si="33"/>
        <v>1416.71</v>
      </c>
      <c r="E148" s="1109">
        <f t="shared" si="33"/>
        <v>2164.116</v>
      </c>
      <c r="F148" s="1109">
        <f t="shared" si="33"/>
        <v>1397.067</v>
      </c>
      <c r="G148" s="1109">
        <f t="shared" si="33"/>
        <v>0</v>
      </c>
      <c r="H148" s="1109">
        <f t="shared" si="33"/>
        <v>0</v>
      </c>
      <c r="I148" s="1109">
        <f t="shared" si="33"/>
        <v>0</v>
      </c>
      <c r="J148" s="1109">
        <f t="shared" si="33"/>
        <v>0</v>
      </c>
      <c r="K148" s="1109">
        <f t="shared" si="33"/>
        <v>0</v>
      </c>
      <c r="L148" s="1109">
        <f t="shared" si="33"/>
        <v>0</v>
      </c>
      <c r="M148" s="1109">
        <f t="shared" si="33"/>
        <v>0</v>
      </c>
      <c r="N148" s="1109">
        <f t="shared" si="33"/>
        <v>0</v>
      </c>
      <c r="O148" s="502">
        <f t="shared" si="34"/>
        <v>6462.4800000000005</v>
      </c>
      <c r="P148" s="324"/>
      <c r="Q148" s="324"/>
      <c r="R148" s="324"/>
      <c r="S148" s="324"/>
      <c r="T148" s="324"/>
      <c r="U148" s="324"/>
      <c r="V148" s="324"/>
      <c r="W148" s="324"/>
    </row>
    <row r="149" spans="2:23" s="3" customFormat="1" x14ac:dyDescent="0.35">
      <c r="B149" s="593" t="s">
        <v>52</v>
      </c>
      <c r="C149" s="1109">
        <f t="shared" si="33"/>
        <v>6883.15</v>
      </c>
      <c r="D149" s="1109">
        <f t="shared" si="33"/>
        <v>5821.3200000000006</v>
      </c>
      <c r="E149" s="1109">
        <f t="shared" si="33"/>
        <v>5655.0399999999991</v>
      </c>
      <c r="F149" s="1109">
        <f t="shared" si="33"/>
        <v>64.899999999999991</v>
      </c>
      <c r="G149" s="1109">
        <f t="shared" si="33"/>
        <v>0</v>
      </c>
      <c r="H149" s="1109">
        <f t="shared" si="33"/>
        <v>0</v>
      </c>
      <c r="I149" s="1109">
        <f t="shared" si="33"/>
        <v>0</v>
      </c>
      <c r="J149" s="1109">
        <f t="shared" si="33"/>
        <v>0</v>
      </c>
      <c r="K149" s="1109">
        <f t="shared" si="33"/>
        <v>0</v>
      </c>
      <c r="L149" s="1109">
        <f t="shared" si="33"/>
        <v>0</v>
      </c>
      <c r="M149" s="1109">
        <f>M125+M137</f>
        <v>0</v>
      </c>
      <c r="N149" s="1109">
        <f t="shared" si="33"/>
        <v>0</v>
      </c>
      <c r="O149" s="502">
        <f t="shared" si="34"/>
        <v>18424.410000000003</v>
      </c>
      <c r="P149" s="324"/>
      <c r="Q149" s="324"/>
      <c r="R149" s="324"/>
      <c r="S149" s="324"/>
      <c r="T149" s="324"/>
      <c r="U149" s="324"/>
      <c r="V149" s="324"/>
      <c r="W149" s="324"/>
    </row>
    <row r="150" spans="2:23" s="3" customFormat="1" x14ac:dyDescent="0.35">
      <c r="B150" s="593" t="s">
        <v>53</v>
      </c>
      <c r="C150" s="1109">
        <f t="shared" si="33"/>
        <v>40.005499999999998</v>
      </c>
      <c r="D150" s="1109">
        <f t="shared" si="33"/>
        <v>64.0565</v>
      </c>
      <c r="E150" s="1109">
        <f t="shared" si="33"/>
        <v>44.015000000000001</v>
      </c>
      <c r="F150" s="1109">
        <f t="shared" si="33"/>
        <v>42.042000000000002</v>
      </c>
      <c r="G150" s="1109">
        <f t="shared" si="33"/>
        <v>0</v>
      </c>
      <c r="H150" s="1109">
        <f t="shared" si="33"/>
        <v>0</v>
      </c>
      <c r="I150" s="1109">
        <f t="shared" si="33"/>
        <v>0</v>
      </c>
      <c r="J150" s="1109">
        <f t="shared" si="33"/>
        <v>0</v>
      </c>
      <c r="K150" s="1109">
        <f t="shared" si="33"/>
        <v>0</v>
      </c>
      <c r="L150" s="1109">
        <f t="shared" si="33"/>
        <v>0</v>
      </c>
      <c r="M150" s="1109">
        <f t="shared" si="33"/>
        <v>0</v>
      </c>
      <c r="N150" s="1109">
        <f t="shared" si="33"/>
        <v>0</v>
      </c>
      <c r="O150" s="502">
        <f t="shared" si="34"/>
        <v>190.119</v>
      </c>
      <c r="P150" s="324"/>
      <c r="Q150" s="324"/>
      <c r="R150" s="324"/>
      <c r="S150" s="324"/>
      <c r="T150" s="324"/>
      <c r="U150" s="324"/>
      <c r="V150" s="324"/>
      <c r="W150" s="324"/>
    </row>
    <row r="151" spans="2:23" s="3" customFormat="1" x14ac:dyDescent="0.35">
      <c r="B151" s="593" t="s">
        <v>54</v>
      </c>
      <c r="C151" s="1109">
        <f t="shared" si="33"/>
        <v>0</v>
      </c>
      <c r="D151" s="1109">
        <f t="shared" si="33"/>
        <v>0</v>
      </c>
      <c r="E151" s="1109">
        <f t="shared" si="33"/>
        <v>0</v>
      </c>
      <c r="F151" s="1109">
        <f t="shared" si="33"/>
        <v>0</v>
      </c>
      <c r="G151" s="1109">
        <f t="shared" si="33"/>
        <v>0</v>
      </c>
      <c r="H151" s="1109">
        <f t="shared" si="33"/>
        <v>0</v>
      </c>
      <c r="I151" s="1109">
        <f t="shared" si="33"/>
        <v>0</v>
      </c>
      <c r="J151" s="1109">
        <f t="shared" si="33"/>
        <v>0</v>
      </c>
      <c r="K151" s="1109">
        <f t="shared" si="33"/>
        <v>0</v>
      </c>
      <c r="L151" s="1109">
        <f t="shared" si="33"/>
        <v>0</v>
      </c>
      <c r="M151" s="1109">
        <f t="shared" si="33"/>
        <v>0</v>
      </c>
      <c r="N151" s="1109">
        <f t="shared" si="33"/>
        <v>0</v>
      </c>
      <c r="O151" s="502">
        <f t="shared" si="34"/>
        <v>0</v>
      </c>
      <c r="P151" s="324"/>
      <c r="Q151" s="324"/>
      <c r="R151" s="324"/>
      <c r="S151" s="324"/>
      <c r="T151" s="324"/>
      <c r="U151" s="324"/>
      <c r="V151" s="324"/>
      <c r="W151" s="324"/>
    </row>
    <row r="152" spans="2:23" s="3" customFormat="1" x14ac:dyDescent="0.35">
      <c r="B152" s="858" t="s">
        <v>55</v>
      </c>
      <c r="C152" s="860">
        <f t="shared" si="33"/>
        <v>0</v>
      </c>
      <c r="D152" s="860">
        <f t="shared" si="33"/>
        <v>0</v>
      </c>
      <c r="E152" s="860">
        <f t="shared" si="33"/>
        <v>0</v>
      </c>
      <c r="F152" s="860">
        <f t="shared" si="33"/>
        <v>0</v>
      </c>
      <c r="G152" s="860">
        <f t="shared" si="33"/>
        <v>0</v>
      </c>
      <c r="H152" s="860">
        <f t="shared" si="33"/>
        <v>0</v>
      </c>
      <c r="I152" s="860">
        <f t="shared" si="33"/>
        <v>0</v>
      </c>
      <c r="J152" s="860">
        <f t="shared" si="33"/>
        <v>0</v>
      </c>
      <c r="K152" s="860">
        <f t="shared" si="33"/>
        <v>0</v>
      </c>
      <c r="L152" s="860">
        <f t="shared" si="33"/>
        <v>0</v>
      </c>
      <c r="M152" s="860">
        <f t="shared" si="33"/>
        <v>0</v>
      </c>
      <c r="N152" s="860">
        <f t="shared" si="33"/>
        <v>0</v>
      </c>
      <c r="O152" s="1188">
        <f t="shared" si="34"/>
        <v>0</v>
      </c>
      <c r="P152" s="324"/>
      <c r="Q152" s="324"/>
      <c r="R152" s="324"/>
      <c r="S152" s="324"/>
      <c r="T152" s="324"/>
      <c r="U152" s="324"/>
      <c r="V152" s="324"/>
      <c r="W152" s="324"/>
    </row>
    <row r="153" spans="2:23" s="3" customFormat="1" x14ac:dyDescent="0.35">
      <c r="B153" s="1189" t="s">
        <v>57</v>
      </c>
      <c r="C153" s="133"/>
      <c r="D153" s="133"/>
      <c r="E153" s="133"/>
      <c r="F153" s="133"/>
      <c r="G153" s="133"/>
      <c r="H153" s="133"/>
      <c r="I153" s="133"/>
      <c r="J153" s="133"/>
      <c r="K153" s="133"/>
      <c r="L153" s="133"/>
      <c r="M153" s="133"/>
      <c r="N153" s="133"/>
      <c r="O153" s="134"/>
      <c r="P153" s="324"/>
      <c r="Q153" s="324"/>
      <c r="R153" s="324"/>
      <c r="S153" s="324"/>
      <c r="T153" s="324"/>
      <c r="U153" s="324"/>
      <c r="V153" s="324"/>
      <c r="W153" s="324"/>
    </row>
    <row r="154" spans="2:23" s="3" customFormat="1" ht="22.5" customHeight="1" x14ac:dyDescent="0.35">
      <c r="B154" s="1069" t="s">
        <v>519</v>
      </c>
      <c r="C154" s="1069"/>
      <c r="D154" s="1069"/>
      <c r="E154" s="1069"/>
      <c r="F154" s="1069"/>
      <c r="G154" s="1069"/>
      <c r="H154" s="1069"/>
      <c r="I154" s="1069"/>
      <c r="J154" s="1069"/>
      <c r="K154" s="1069"/>
      <c r="L154" s="1069"/>
      <c r="M154" s="1069"/>
      <c r="N154" s="1069"/>
      <c r="O154" s="1069"/>
      <c r="P154" s="324"/>
      <c r="Q154" s="324"/>
      <c r="R154" s="324"/>
      <c r="S154" s="324"/>
      <c r="T154" s="324"/>
      <c r="U154" s="324"/>
      <c r="V154" s="324"/>
      <c r="W154" s="324"/>
    </row>
    <row r="155" spans="2:23" s="3" customFormat="1" x14ac:dyDescent="0.35">
      <c r="B155" s="8"/>
      <c r="C155" s="151"/>
      <c r="D155" s="151"/>
      <c r="E155" s="151"/>
      <c r="F155" s="151"/>
      <c r="G155" s="151"/>
      <c r="H155" s="151"/>
      <c r="I155" s="151"/>
      <c r="J155" s="151"/>
      <c r="K155" s="151"/>
      <c r="L155" s="151"/>
      <c r="M155" s="151"/>
      <c r="N155" s="151"/>
      <c r="O155" s="11"/>
      <c r="P155" s="324"/>
      <c r="Q155" s="324"/>
      <c r="R155" s="324"/>
      <c r="S155" s="324"/>
      <c r="T155" s="324"/>
      <c r="U155" s="324"/>
      <c r="V155" s="324"/>
      <c r="W155" s="324"/>
    </row>
    <row r="156" spans="2:23" ht="15" customHeight="1" x14ac:dyDescent="0.35">
      <c r="B156" s="1074" t="s">
        <v>13</v>
      </c>
      <c r="C156" s="1112" t="s">
        <v>0</v>
      </c>
      <c r="D156" s="1112" t="s">
        <v>1</v>
      </c>
      <c r="E156" s="1112" t="s">
        <v>2</v>
      </c>
      <c r="F156" s="1112" t="s">
        <v>3</v>
      </c>
      <c r="G156" s="1112" t="s">
        <v>4</v>
      </c>
      <c r="H156" s="1112" t="s">
        <v>5</v>
      </c>
      <c r="I156" s="1112" t="s">
        <v>6</v>
      </c>
      <c r="J156" s="1112" t="s">
        <v>7</v>
      </c>
      <c r="K156" s="1112" t="s">
        <v>8</v>
      </c>
      <c r="L156" s="1112" t="s">
        <v>9</v>
      </c>
      <c r="M156" s="1112" t="s">
        <v>10</v>
      </c>
      <c r="N156" s="1112" t="s">
        <v>14</v>
      </c>
      <c r="O156" s="1077" t="s">
        <v>15</v>
      </c>
    </row>
    <row r="157" spans="2:23" ht="28.5" customHeight="1" x14ac:dyDescent="0.35">
      <c r="B157" s="1080"/>
      <c r="C157" s="1145"/>
      <c r="D157" s="1145"/>
      <c r="E157" s="1145"/>
      <c r="F157" s="1145"/>
      <c r="G157" s="1145"/>
      <c r="H157" s="1145"/>
      <c r="I157" s="1145"/>
      <c r="J157" s="1145"/>
      <c r="K157" s="1145"/>
      <c r="L157" s="1145"/>
      <c r="M157" s="1145"/>
      <c r="N157" s="1145"/>
      <c r="O157" s="1088"/>
    </row>
    <row r="158" spans="2:23" s="3" customFormat="1" x14ac:dyDescent="0.35">
      <c r="B158" s="152"/>
      <c r="C158" s="1190"/>
      <c r="D158" s="1120"/>
      <c r="E158" s="1120"/>
      <c r="F158" s="1120"/>
      <c r="G158" s="1120"/>
      <c r="H158" s="1120"/>
      <c r="I158" s="1120"/>
      <c r="J158" s="1120"/>
      <c r="K158" s="1120"/>
      <c r="L158" s="1120"/>
      <c r="M158" s="1120"/>
      <c r="N158" s="1191"/>
      <c r="O158" s="1192"/>
      <c r="P158" s="324"/>
      <c r="Q158" s="324"/>
      <c r="R158" s="324"/>
      <c r="S158" s="324"/>
      <c r="T158" s="324"/>
      <c r="U158" s="324"/>
      <c r="V158" s="324"/>
      <c r="W158" s="324"/>
    </row>
    <row r="159" spans="2:23" s="3" customFormat="1" x14ac:dyDescent="0.35">
      <c r="B159" s="589" t="s">
        <v>47</v>
      </c>
      <c r="C159" s="596">
        <f>SUM(C161:C167)</f>
        <v>67862.8035000003</v>
      </c>
      <c r="D159" s="596">
        <f>SUM(D161:D167)</f>
        <v>67054.395000000091</v>
      </c>
      <c r="E159" s="596">
        <f>SUM(E161:E167)</f>
        <v>81130.663999999844</v>
      </c>
      <c r="F159" s="596">
        <f>SUM(F161:F167)</f>
        <v>60149.295009999994</v>
      </c>
      <c r="G159" s="596">
        <f t="shared" ref="G159:L159" si="35">SUM(G161:G167)</f>
        <v>0</v>
      </c>
      <c r="H159" s="596">
        <f t="shared" si="35"/>
        <v>0</v>
      </c>
      <c r="I159" s="596">
        <f t="shared" si="35"/>
        <v>0</v>
      </c>
      <c r="J159" s="596">
        <f t="shared" si="35"/>
        <v>0</v>
      </c>
      <c r="K159" s="596">
        <f t="shared" si="35"/>
        <v>0</v>
      </c>
      <c r="L159" s="596">
        <f t="shared" si="35"/>
        <v>0</v>
      </c>
      <c r="M159" s="596">
        <f>SUM(M161:M167)</f>
        <v>0</v>
      </c>
      <c r="N159" s="596">
        <f>SUM(N161:N167)</f>
        <v>0</v>
      </c>
      <c r="O159" s="503">
        <f>SUM(C159:N159)</f>
        <v>276197.15751000022</v>
      </c>
      <c r="P159" s="324"/>
      <c r="Q159" s="324"/>
      <c r="R159" s="324"/>
      <c r="S159" s="324"/>
      <c r="T159" s="324"/>
      <c r="U159" s="324"/>
      <c r="V159" s="324"/>
      <c r="W159" s="324"/>
    </row>
    <row r="160" spans="2:23" s="3" customFormat="1" x14ac:dyDescent="0.35">
      <c r="B160" s="591"/>
      <c r="C160" s="590"/>
      <c r="D160" s="590"/>
      <c r="E160" s="590"/>
      <c r="F160" s="590"/>
      <c r="G160" s="590"/>
      <c r="H160" s="590"/>
      <c r="I160" s="590"/>
      <c r="J160" s="590"/>
      <c r="K160" s="590"/>
      <c r="L160" s="590"/>
      <c r="M160" s="590"/>
      <c r="N160" s="590"/>
      <c r="O160" s="1180"/>
      <c r="P160" s="324"/>
      <c r="Q160" s="324"/>
      <c r="R160" s="324"/>
      <c r="S160" s="324"/>
      <c r="T160" s="324"/>
      <c r="U160" s="324"/>
      <c r="V160" s="324"/>
      <c r="W160" s="324"/>
    </row>
    <row r="161" spans="2:23" s="3" customFormat="1" x14ac:dyDescent="0.35">
      <c r="B161" s="593" t="s">
        <v>49</v>
      </c>
      <c r="C161" s="1110">
        <v>2843.9160000000006</v>
      </c>
      <c r="D161" s="1110">
        <v>4105.1569999999974</v>
      </c>
      <c r="E161" s="1110">
        <v>6908.7980000000034</v>
      </c>
      <c r="F161" s="1110">
        <v>5279.0380099999957</v>
      </c>
      <c r="G161" s="1110"/>
      <c r="H161" s="1110"/>
      <c r="I161" s="1110"/>
      <c r="J161" s="1110"/>
      <c r="K161" s="1110"/>
      <c r="L161" s="1110"/>
      <c r="M161" s="1110"/>
      <c r="N161" s="1110"/>
      <c r="O161" s="502">
        <f t="shared" ref="O161:O167" si="36">SUM(C161:N161)</f>
        <v>19136.909009999999</v>
      </c>
      <c r="P161" s="324"/>
      <c r="Q161" s="324"/>
      <c r="R161" s="324"/>
      <c r="S161" s="324"/>
      <c r="T161" s="324"/>
      <c r="U161" s="324"/>
      <c r="V161" s="324"/>
      <c r="W161" s="324"/>
    </row>
    <row r="162" spans="2:23" s="3" customFormat="1" x14ac:dyDescent="0.35">
      <c r="B162" s="593" t="s">
        <v>50</v>
      </c>
      <c r="C162" s="1110">
        <v>64943.287500000297</v>
      </c>
      <c r="D162" s="1110">
        <v>62855.938000000097</v>
      </c>
      <c r="E162" s="1110">
        <v>74172.683999999834</v>
      </c>
      <c r="F162" s="1110">
        <v>54794.135999999999</v>
      </c>
      <c r="G162" s="1110"/>
      <c r="H162" s="1110"/>
      <c r="I162" s="1110"/>
      <c r="J162" s="1110"/>
      <c r="K162" s="1110"/>
      <c r="L162" s="1110"/>
      <c r="M162" s="1110"/>
      <c r="N162" s="1110"/>
      <c r="O162" s="502">
        <f t="shared" si="36"/>
        <v>256766.04550000024</v>
      </c>
      <c r="P162" s="324"/>
      <c r="Q162" s="324"/>
      <c r="R162" s="324"/>
      <c r="S162" s="324"/>
      <c r="T162" s="324"/>
      <c r="U162" s="324"/>
      <c r="V162" s="324"/>
      <c r="W162" s="324"/>
    </row>
    <row r="163" spans="2:23" s="3" customFormat="1" x14ac:dyDescent="0.35">
      <c r="B163" s="593" t="s">
        <v>51</v>
      </c>
      <c r="C163" s="1110">
        <v>0</v>
      </c>
      <c r="D163" s="1110">
        <v>0</v>
      </c>
      <c r="E163" s="1110">
        <v>0</v>
      </c>
      <c r="F163" s="1110">
        <v>0</v>
      </c>
      <c r="G163" s="1110"/>
      <c r="H163" s="1110"/>
      <c r="I163" s="1110"/>
      <c r="J163" s="1110"/>
      <c r="K163" s="1110"/>
      <c r="L163" s="1110"/>
      <c r="M163" s="1110"/>
      <c r="N163" s="1110"/>
      <c r="O163" s="502">
        <f t="shared" si="36"/>
        <v>0</v>
      </c>
      <c r="P163" s="324"/>
      <c r="Q163" s="324"/>
      <c r="R163" s="324"/>
      <c r="S163" s="324"/>
      <c r="T163" s="324"/>
      <c r="U163" s="324"/>
      <c r="V163" s="324"/>
      <c r="W163" s="324"/>
    </row>
    <row r="164" spans="2:23" s="3" customFormat="1" x14ac:dyDescent="0.35">
      <c r="B164" s="593" t="s">
        <v>52</v>
      </c>
      <c r="C164" s="1110">
        <v>0</v>
      </c>
      <c r="D164" s="1110">
        <v>0</v>
      </c>
      <c r="E164" s="1110">
        <v>0</v>
      </c>
      <c r="F164" s="1110">
        <v>0</v>
      </c>
      <c r="G164" s="1110"/>
      <c r="H164" s="1110"/>
      <c r="I164" s="1110"/>
      <c r="J164" s="1110"/>
      <c r="K164" s="1110"/>
      <c r="L164" s="1110"/>
      <c r="M164" s="1110"/>
      <c r="N164" s="1110"/>
      <c r="O164" s="502">
        <f t="shared" si="36"/>
        <v>0</v>
      </c>
      <c r="P164" s="324"/>
      <c r="Q164" s="324"/>
      <c r="R164" s="324"/>
      <c r="S164" s="324"/>
      <c r="T164" s="324"/>
      <c r="U164" s="324"/>
      <c r="V164" s="324"/>
      <c r="W164" s="324"/>
    </row>
    <row r="165" spans="2:23" s="3" customFormat="1" x14ac:dyDescent="0.35">
      <c r="B165" s="593" t="s">
        <v>53</v>
      </c>
      <c r="C165" s="1110">
        <v>0</v>
      </c>
      <c r="D165" s="1110">
        <v>80.125</v>
      </c>
      <c r="E165" s="1110">
        <v>49.182000000000002</v>
      </c>
      <c r="F165" s="1110">
        <v>47.58</v>
      </c>
      <c r="G165" s="1110"/>
      <c r="H165" s="1110"/>
      <c r="I165" s="1110"/>
      <c r="J165" s="1110"/>
      <c r="K165" s="1110"/>
      <c r="L165" s="1110"/>
      <c r="M165" s="1110"/>
      <c r="N165" s="1110"/>
      <c r="O165" s="502">
        <f t="shared" si="36"/>
        <v>176.887</v>
      </c>
      <c r="P165" s="324"/>
      <c r="Q165" s="324"/>
      <c r="R165" s="324"/>
      <c r="S165" s="324"/>
      <c r="T165" s="324"/>
      <c r="U165" s="324"/>
      <c r="V165" s="324"/>
      <c r="W165" s="324"/>
    </row>
    <row r="166" spans="2:23" s="3" customFormat="1" x14ac:dyDescent="0.35">
      <c r="B166" s="593" t="s">
        <v>54</v>
      </c>
      <c r="C166" s="1110">
        <v>75.599999999999994</v>
      </c>
      <c r="D166" s="1110">
        <v>13.175000000000001</v>
      </c>
      <c r="E166" s="1110">
        <v>0</v>
      </c>
      <c r="F166" s="1110">
        <v>28.541</v>
      </c>
      <c r="G166" s="1110"/>
      <c r="H166" s="1110"/>
      <c r="I166" s="1110"/>
      <c r="J166" s="1110"/>
      <c r="K166" s="1110"/>
      <c r="L166" s="1110"/>
      <c r="M166" s="1110"/>
      <c r="N166" s="1110"/>
      <c r="O166" s="502">
        <f t="shared" si="36"/>
        <v>117.31599999999999</v>
      </c>
      <c r="P166" s="324"/>
      <c r="Q166" s="324"/>
      <c r="R166" s="324"/>
      <c r="S166" s="324"/>
      <c r="T166" s="324"/>
      <c r="U166" s="324"/>
      <c r="V166" s="324"/>
      <c r="W166" s="324"/>
    </row>
    <row r="167" spans="2:23" s="3" customFormat="1" x14ac:dyDescent="0.35">
      <c r="B167" s="593" t="s">
        <v>55</v>
      </c>
      <c r="C167" s="1110">
        <v>0</v>
      </c>
      <c r="D167" s="1110">
        <v>0</v>
      </c>
      <c r="E167" s="1110">
        <v>0</v>
      </c>
      <c r="F167" s="1110">
        <v>0</v>
      </c>
      <c r="G167" s="1110"/>
      <c r="H167" s="1110"/>
      <c r="I167" s="1110"/>
      <c r="J167" s="1110"/>
      <c r="K167" s="1110"/>
      <c r="L167" s="1110"/>
      <c r="M167" s="1110"/>
      <c r="N167" s="1110"/>
      <c r="O167" s="502">
        <f t="shared" si="36"/>
        <v>0</v>
      </c>
      <c r="P167" s="324"/>
      <c r="Q167" s="324"/>
      <c r="R167" s="324"/>
      <c r="S167" s="324"/>
      <c r="T167" s="324"/>
      <c r="U167" s="324"/>
      <c r="V167" s="324"/>
      <c r="W167" s="324"/>
    </row>
    <row r="168" spans="2:23" s="3" customFormat="1" x14ac:dyDescent="0.35">
      <c r="B168" s="593" t="s">
        <v>11</v>
      </c>
      <c r="C168" s="538" t="s">
        <v>11</v>
      </c>
      <c r="D168" s="1193"/>
      <c r="E168" s="1193"/>
      <c r="F168" s="1111"/>
      <c r="G168" s="1111"/>
      <c r="H168" s="1111"/>
      <c r="I168" s="1111"/>
      <c r="J168" s="1111"/>
      <c r="K168" s="1111"/>
      <c r="L168" s="1111"/>
      <c r="M168" s="1111"/>
      <c r="N168" s="1111"/>
      <c r="O168" s="502" t="s">
        <v>11</v>
      </c>
      <c r="P168" s="324"/>
      <c r="Q168" s="324"/>
      <c r="R168" s="324"/>
      <c r="S168" s="324"/>
      <c r="T168" s="324"/>
      <c r="U168" s="324"/>
      <c r="V168" s="324"/>
      <c r="W168" s="324"/>
    </row>
    <row r="169" spans="2:23" s="3" customFormat="1" x14ac:dyDescent="0.35">
      <c r="B169" s="589" t="s">
        <v>56</v>
      </c>
      <c r="C169" s="596">
        <f>SUM(C171:C177)</f>
        <v>283.416</v>
      </c>
      <c r="D169" s="596">
        <f>SUM(D171:D177)</f>
        <v>605.84</v>
      </c>
      <c r="E169" s="596">
        <f>SUM(E171:E177)</f>
        <v>2539.1630000000009</v>
      </c>
      <c r="F169" s="596">
        <f>SUM(F171:F177)</f>
        <v>1121.9759999999999</v>
      </c>
      <c r="G169" s="596">
        <f t="shared" ref="G169:L169" si="37">SUM(G171:G177)</f>
        <v>0</v>
      </c>
      <c r="H169" s="596">
        <f t="shared" si="37"/>
        <v>0</v>
      </c>
      <c r="I169" s="596">
        <f t="shared" si="37"/>
        <v>0</v>
      </c>
      <c r="J169" s="596">
        <f t="shared" si="37"/>
        <v>0</v>
      </c>
      <c r="K169" s="596">
        <f t="shared" si="37"/>
        <v>0</v>
      </c>
      <c r="L169" s="596">
        <f t="shared" si="37"/>
        <v>0</v>
      </c>
      <c r="M169" s="596">
        <f>SUM(M171:M177)</f>
        <v>0</v>
      </c>
      <c r="N169" s="596">
        <f>SUM(N171:N177)</f>
        <v>0</v>
      </c>
      <c r="O169" s="503">
        <f>SUM(C169:N169)</f>
        <v>4550.3950000000004</v>
      </c>
      <c r="P169" s="324"/>
      <c r="Q169" s="324"/>
      <c r="R169" s="324"/>
      <c r="S169" s="324"/>
      <c r="T169" s="324"/>
      <c r="U169" s="324"/>
      <c r="V169" s="324"/>
      <c r="W169" s="324"/>
    </row>
    <row r="170" spans="2:23" s="3" customFormat="1" x14ac:dyDescent="0.35">
      <c r="B170" s="591"/>
      <c r="C170" s="590"/>
      <c r="D170" s="590"/>
      <c r="E170" s="590"/>
      <c r="F170" s="590"/>
      <c r="G170" s="590"/>
      <c r="H170" s="590"/>
      <c r="I170" s="590"/>
      <c r="J170" s="590"/>
      <c r="K170" s="590"/>
      <c r="L170" s="590"/>
      <c r="M170" s="590"/>
      <c r="N170" s="590"/>
      <c r="O170" s="1180"/>
      <c r="P170" s="324"/>
      <c r="Q170" s="324"/>
      <c r="R170" s="324"/>
      <c r="S170" s="324"/>
      <c r="T170" s="324"/>
      <c r="U170" s="324"/>
      <c r="V170" s="324"/>
      <c r="W170" s="324"/>
    </row>
    <row r="171" spans="2:23" s="3" customFormat="1" x14ac:dyDescent="0.35">
      <c r="B171" s="593" t="s">
        <v>49</v>
      </c>
      <c r="C171" s="1110">
        <v>0</v>
      </c>
      <c r="D171" s="1110">
        <v>496.69000000000005</v>
      </c>
      <c r="E171" s="1110">
        <v>2407.9500000000007</v>
      </c>
      <c r="F171" s="1110">
        <v>1075.675</v>
      </c>
      <c r="G171" s="1110"/>
      <c r="H171" s="1110"/>
      <c r="I171" s="1110"/>
      <c r="J171" s="1110"/>
      <c r="K171" s="1110"/>
      <c r="L171" s="1110"/>
      <c r="M171" s="1110"/>
      <c r="N171" s="1110"/>
      <c r="O171" s="502">
        <f t="shared" ref="O171:O177" si="38">SUM(C171:N171)</f>
        <v>3980.3150000000005</v>
      </c>
      <c r="P171" s="324"/>
      <c r="Q171" s="324"/>
      <c r="R171" s="324"/>
      <c r="S171" s="324"/>
      <c r="T171" s="324"/>
      <c r="U171" s="324"/>
      <c r="V171" s="324"/>
      <c r="W171" s="324"/>
    </row>
    <row r="172" spans="2:23" s="3" customFormat="1" x14ac:dyDescent="0.35">
      <c r="B172" s="593" t="s">
        <v>50</v>
      </c>
      <c r="C172" s="1110">
        <v>161.952</v>
      </c>
      <c r="D172" s="1110">
        <v>75.192999999999998</v>
      </c>
      <c r="E172" s="1110">
        <v>27.362000000000002</v>
      </c>
      <c r="F172" s="1110">
        <v>0</v>
      </c>
      <c r="G172" s="1110"/>
      <c r="H172" s="1110"/>
      <c r="I172" s="1110"/>
      <c r="J172" s="1110"/>
      <c r="K172" s="1110"/>
      <c r="L172" s="1110"/>
      <c r="M172" s="1110"/>
      <c r="N172" s="1110"/>
      <c r="O172" s="502">
        <f t="shared" si="38"/>
        <v>264.50700000000001</v>
      </c>
      <c r="P172" s="324"/>
      <c r="Q172" s="324"/>
      <c r="R172" s="324"/>
      <c r="S172" s="324"/>
      <c r="T172" s="324"/>
      <c r="U172" s="324"/>
      <c r="V172" s="324"/>
      <c r="W172" s="324"/>
    </row>
    <row r="173" spans="2:23" s="3" customFormat="1" x14ac:dyDescent="0.35">
      <c r="B173" s="593" t="s">
        <v>51</v>
      </c>
      <c r="C173" s="1110">
        <v>0</v>
      </c>
      <c r="D173" s="1110">
        <v>0</v>
      </c>
      <c r="E173" s="1110">
        <v>0</v>
      </c>
      <c r="F173" s="1110">
        <v>0</v>
      </c>
      <c r="G173" s="1110"/>
      <c r="H173" s="1110"/>
      <c r="I173" s="1110"/>
      <c r="J173" s="1110"/>
      <c r="K173" s="1110"/>
      <c r="L173" s="1110"/>
      <c r="M173" s="1110"/>
      <c r="N173" s="1110"/>
      <c r="O173" s="502">
        <f t="shared" si="38"/>
        <v>0</v>
      </c>
      <c r="P173" s="324"/>
      <c r="Q173" s="324"/>
      <c r="R173" s="324"/>
      <c r="S173" s="324"/>
      <c r="T173" s="324"/>
      <c r="U173" s="324"/>
      <c r="V173" s="324"/>
      <c r="W173" s="324"/>
    </row>
    <row r="174" spans="2:23" s="3" customFormat="1" x14ac:dyDescent="0.35">
      <c r="B174" s="593" t="s">
        <v>52</v>
      </c>
      <c r="C174" s="1110">
        <v>0</v>
      </c>
      <c r="D174" s="1110">
        <v>0</v>
      </c>
      <c r="E174" s="1110">
        <v>0</v>
      </c>
      <c r="F174" s="1110">
        <v>0</v>
      </c>
      <c r="G174" s="1110"/>
      <c r="H174" s="1110"/>
      <c r="I174" s="1110"/>
      <c r="J174" s="1110"/>
      <c r="K174" s="1110"/>
      <c r="L174" s="1110"/>
      <c r="M174" s="1110"/>
      <c r="N174" s="1110"/>
      <c r="O174" s="502">
        <f t="shared" si="38"/>
        <v>0</v>
      </c>
      <c r="P174" s="324"/>
      <c r="Q174" s="324"/>
      <c r="R174" s="324"/>
      <c r="S174" s="324"/>
      <c r="T174" s="324"/>
      <c r="U174" s="324"/>
      <c r="V174" s="324"/>
      <c r="W174" s="324"/>
    </row>
    <row r="175" spans="2:23" s="3" customFormat="1" x14ac:dyDescent="0.35">
      <c r="B175" s="593" t="s">
        <v>53</v>
      </c>
      <c r="C175" s="1110">
        <v>0</v>
      </c>
      <c r="D175" s="1110">
        <v>0</v>
      </c>
      <c r="E175" s="1110">
        <v>0</v>
      </c>
      <c r="F175" s="1110">
        <v>0</v>
      </c>
      <c r="G175" s="1110"/>
      <c r="H175" s="1110"/>
      <c r="I175" s="1110"/>
      <c r="J175" s="1110"/>
      <c r="K175" s="1110"/>
      <c r="L175" s="1110"/>
      <c r="M175" s="1110"/>
      <c r="N175" s="1110"/>
      <c r="O175" s="502">
        <f t="shared" si="38"/>
        <v>0</v>
      </c>
      <c r="P175" s="324"/>
      <c r="Q175" s="324"/>
      <c r="R175" s="324"/>
      <c r="S175" s="324"/>
      <c r="T175" s="324"/>
      <c r="U175" s="324"/>
      <c r="V175" s="324"/>
      <c r="W175" s="324"/>
    </row>
    <row r="176" spans="2:23" s="3" customFormat="1" x14ac:dyDescent="0.35">
      <c r="B176" s="593" t="s">
        <v>54</v>
      </c>
      <c r="C176" s="1110">
        <v>121.464</v>
      </c>
      <c r="D176" s="1110">
        <v>33.957000000000001</v>
      </c>
      <c r="E176" s="1110">
        <v>103.851</v>
      </c>
      <c r="F176" s="1110">
        <v>46.301000000000002</v>
      </c>
      <c r="G176" s="1110"/>
      <c r="H176" s="1110"/>
      <c r="I176" s="1110"/>
      <c r="J176" s="1110"/>
      <c r="K176" s="1110"/>
      <c r="L176" s="1110"/>
      <c r="M176" s="1110"/>
      <c r="N176" s="1110"/>
      <c r="O176" s="502">
        <f t="shared" si="38"/>
        <v>305.57299999999998</v>
      </c>
      <c r="P176" s="324"/>
      <c r="Q176" s="324"/>
      <c r="R176" s="324"/>
      <c r="S176" s="324"/>
      <c r="T176" s="324"/>
      <c r="U176" s="324"/>
      <c r="V176" s="324"/>
      <c r="W176" s="324"/>
    </row>
    <row r="177" spans="1:23" s="3" customFormat="1" x14ac:dyDescent="0.35">
      <c r="B177" s="593" t="s">
        <v>55</v>
      </c>
      <c r="C177" s="1110">
        <v>0</v>
      </c>
      <c r="D177" s="1110">
        <v>0</v>
      </c>
      <c r="E177" s="1110">
        <v>0</v>
      </c>
      <c r="F177" s="1110">
        <v>0</v>
      </c>
      <c r="G177" s="1110"/>
      <c r="H177" s="1110"/>
      <c r="I177" s="1110"/>
      <c r="J177" s="1110"/>
      <c r="K177" s="1110"/>
      <c r="L177" s="1110"/>
      <c r="M177" s="1110"/>
      <c r="N177" s="1110"/>
      <c r="O177" s="502">
        <f t="shared" si="38"/>
        <v>0</v>
      </c>
      <c r="P177" s="324"/>
      <c r="Q177" s="324"/>
      <c r="R177" s="324"/>
      <c r="S177" s="324"/>
      <c r="T177" s="324"/>
      <c r="U177" s="324"/>
      <c r="V177" s="324"/>
      <c r="W177" s="324"/>
    </row>
    <row r="178" spans="1:23" s="3" customFormat="1" x14ac:dyDescent="0.35">
      <c r="B178" s="593" t="s">
        <v>11</v>
      </c>
      <c r="C178" s="538"/>
      <c r="D178" s="538"/>
      <c r="E178" s="538"/>
      <c r="F178" s="538"/>
      <c r="G178" s="538"/>
      <c r="H178" s="538"/>
      <c r="I178" s="538"/>
      <c r="J178" s="538"/>
      <c r="K178" s="538"/>
      <c r="L178" s="538"/>
      <c r="M178" s="538"/>
      <c r="N178" s="538"/>
      <c r="O178" s="1194"/>
      <c r="P178" s="324"/>
      <c r="Q178" s="324"/>
      <c r="R178" s="324"/>
      <c r="S178" s="324"/>
      <c r="T178" s="324"/>
      <c r="U178" s="324"/>
      <c r="V178" s="324"/>
      <c r="W178" s="324"/>
    </row>
    <row r="179" spans="1:23" s="3" customFormat="1" x14ac:dyDescent="0.35">
      <c r="A179" s="359"/>
      <c r="B179" s="445" t="s">
        <v>36</v>
      </c>
      <c r="C179" s="1108">
        <f>+C169+C159</f>
        <v>68146.219500000298</v>
      </c>
      <c r="D179" s="1108">
        <f>+D169+D159</f>
        <v>67660.235000000088</v>
      </c>
      <c r="E179" s="1108">
        <f>+E169+E159</f>
        <v>83669.826999999845</v>
      </c>
      <c r="F179" s="1108">
        <f>+F169+F159</f>
        <v>61271.271009999997</v>
      </c>
      <c r="G179" s="1108">
        <f t="shared" ref="G179:L179" si="39">+G169+G159</f>
        <v>0</v>
      </c>
      <c r="H179" s="1108">
        <f t="shared" si="39"/>
        <v>0</v>
      </c>
      <c r="I179" s="1108">
        <f t="shared" si="39"/>
        <v>0</v>
      </c>
      <c r="J179" s="1108">
        <f t="shared" si="39"/>
        <v>0</v>
      </c>
      <c r="K179" s="1108">
        <f t="shared" si="39"/>
        <v>0</v>
      </c>
      <c r="L179" s="1108">
        <f t="shared" si="39"/>
        <v>0</v>
      </c>
      <c r="M179" s="1108">
        <f>+M169+M159</f>
        <v>0</v>
      </c>
      <c r="N179" s="1108">
        <f>+N169+N159</f>
        <v>0</v>
      </c>
      <c r="O179" s="1187">
        <f>SUM(C179:N179)</f>
        <v>280747.55251000024</v>
      </c>
      <c r="P179" s="324"/>
      <c r="Q179" s="324"/>
      <c r="R179" s="324"/>
      <c r="S179" s="324"/>
      <c r="T179" s="324"/>
      <c r="U179" s="324"/>
      <c r="V179" s="324"/>
      <c r="W179" s="324"/>
    </row>
    <row r="180" spans="1:23" s="3" customFormat="1" x14ac:dyDescent="0.35">
      <c r="A180" s="359"/>
      <c r="B180" s="591"/>
      <c r="C180" s="590"/>
      <c r="D180" s="590"/>
      <c r="E180" s="590"/>
      <c r="F180" s="590"/>
      <c r="G180" s="590"/>
      <c r="H180" s="590"/>
      <c r="I180" s="590"/>
      <c r="J180" s="590"/>
      <c r="K180" s="590"/>
      <c r="L180" s="590"/>
      <c r="M180" s="590"/>
      <c r="N180" s="590"/>
      <c r="O180" s="1180"/>
      <c r="P180" s="324"/>
      <c r="Q180" s="324"/>
      <c r="R180" s="324"/>
      <c r="S180" s="324"/>
      <c r="T180" s="324"/>
      <c r="U180" s="324"/>
      <c r="V180" s="324"/>
      <c r="W180" s="324"/>
    </row>
    <row r="181" spans="1:23" s="3" customFormat="1" x14ac:dyDescent="0.35">
      <c r="B181" s="593" t="s">
        <v>49</v>
      </c>
      <c r="C181" s="538">
        <f t="shared" ref="C181:N187" si="40">C161+C171</f>
        <v>2843.9160000000006</v>
      </c>
      <c r="D181" s="538">
        <f t="shared" si="40"/>
        <v>4601.8469999999979</v>
      </c>
      <c r="E181" s="538">
        <f t="shared" si="40"/>
        <v>9316.7480000000032</v>
      </c>
      <c r="F181" s="538">
        <f t="shared" si="40"/>
        <v>6354.7130099999958</v>
      </c>
      <c r="G181" s="538">
        <f t="shared" si="40"/>
        <v>0</v>
      </c>
      <c r="H181" s="538">
        <f t="shared" si="40"/>
        <v>0</v>
      </c>
      <c r="I181" s="538">
        <f t="shared" si="40"/>
        <v>0</v>
      </c>
      <c r="J181" s="538">
        <f t="shared" si="40"/>
        <v>0</v>
      </c>
      <c r="K181" s="538">
        <f t="shared" si="40"/>
        <v>0</v>
      </c>
      <c r="L181" s="538">
        <f t="shared" si="40"/>
        <v>0</v>
      </c>
      <c r="M181" s="538">
        <f t="shared" si="40"/>
        <v>0</v>
      </c>
      <c r="N181" s="538">
        <f t="shared" si="40"/>
        <v>0</v>
      </c>
      <c r="O181" s="502">
        <f t="shared" ref="O181:O187" si="41">SUM(C181:N181)</f>
        <v>23117.224009999998</v>
      </c>
      <c r="P181" s="324"/>
      <c r="Q181" s="324"/>
      <c r="R181" s="324"/>
      <c r="S181" s="324"/>
      <c r="T181" s="324"/>
      <c r="U181" s="324"/>
      <c r="V181" s="324"/>
      <c r="W181" s="324"/>
    </row>
    <row r="182" spans="1:23" s="3" customFormat="1" x14ac:dyDescent="0.35">
      <c r="B182" s="593" t="s">
        <v>50</v>
      </c>
      <c r="C182" s="538">
        <f t="shared" si="40"/>
        <v>65105.239500000294</v>
      </c>
      <c r="D182" s="538">
        <f t="shared" si="40"/>
        <v>62931.131000000096</v>
      </c>
      <c r="E182" s="538">
        <f t="shared" si="40"/>
        <v>74200.045999999827</v>
      </c>
      <c r="F182" s="538">
        <f t="shared" si="40"/>
        <v>54794.135999999999</v>
      </c>
      <c r="G182" s="538">
        <f t="shared" si="40"/>
        <v>0</v>
      </c>
      <c r="H182" s="538">
        <f t="shared" si="40"/>
        <v>0</v>
      </c>
      <c r="I182" s="538">
        <f t="shared" si="40"/>
        <v>0</v>
      </c>
      <c r="J182" s="538">
        <f t="shared" si="40"/>
        <v>0</v>
      </c>
      <c r="K182" s="538">
        <f t="shared" si="40"/>
        <v>0</v>
      </c>
      <c r="L182" s="538">
        <f t="shared" si="40"/>
        <v>0</v>
      </c>
      <c r="M182" s="538">
        <f t="shared" si="40"/>
        <v>0</v>
      </c>
      <c r="N182" s="538">
        <f t="shared" si="40"/>
        <v>0</v>
      </c>
      <c r="O182" s="502">
        <f t="shared" si="41"/>
        <v>257030.55250000022</v>
      </c>
      <c r="P182" s="324"/>
      <c r="Q182" s="324"/>
      <c r="R182" s="324"/>
      <c r="S182" s="324"/>
      <c r="T182" s="324"/>
      <c r="U182" s="324"/>
      <c r="V182" s="324"/>
      <c r="W182" s="324"/>
    </row>
    <row r="183" spans="1:23" s="3" customFormat="1" x14ac:dyDescent="0.35">
      <c r="B183" s="593" t="s">
        <v>51</v>
      </c>
      <c r="C183" s="538">
        <f t="shared" si="40"/>
        <v>0</v>
      </c>
      <c r="D183" s="538">
        <f t="shared" si="40"/>
        <v>0</v>
      </c>
      <c r="E183" s="538">
        <f t="shared" si="40"/>
        <v>0</v>
      </c>
      <c r="F183" s="538">
        <f t="shared" si="40"/>
        <v>0</v>
      </c>
      <c r="G183" s="538">
        <f t="shared" si="40"/>
        <v>0</v>
      </c>
      <c r="H183" s="538">
        <f t="shared" si="40"/>
        <v>0</v>
      </c>
      <c r="I183" s="538">
        <f t="shared" si="40"/>
        <v>0</v>
      </c>
      <c r="J183" s="538">
        <f t="shared" si="40"/>
        <v>0</v>
      </c>
      <c r="K183" s="538">
        <f t="shared" si="40"/>
        <v>0</v>
      </c>
      <c r="L183" s="538">
        <f t="shared" si="40"/>
        <v>0</v>
      </c>
      <c r="M183" s="538">
        <f t="shared" si="40"/>
        <v>0</v>
      </c>
      <c r="N183" s="538">
        <f t="shared" si="40"/>
        <v>0</v>
      </c>
      <c r="O183" s="502">
        <f t="shared" si="41"/>
        <v>0</v>
      </c>
      <c r="P183" s="324"/>
      <c r="Q183" s="324"/>
      <c r="R183" s="324"/>
      <c r="S183" s="324"/>
      <c r="T183" s="324"/>
      <c r="U183" s="324"/>
      <c r="V183" s="324"/>
      <c r="W183" s="324"/>
    </row>
    <row r="184" spans="1:23" s="3" customFormat="1" x14ac:dyDescent="0.35">
      <c r="B184" s="593" t="s">
        <v>52</v>
      </c>
      <c r="C184" s="538">
        <f t="shared" si="40"/>
        <v>0</v>
      </c>
      <c r="D184" s="538">
        <f t="shared" si="40"/>
        <v>0</v>
      </c>
      <c r="E184" s="538">
        <f t="shared" si="40"/>
        <v>0</v>
      </c>
      <c r="F184" s="538">
        <f t="shared" si="40"/>
        <v>0</v>
      </c>
      <c r="G184" s="538">
        <f t="shared" si="40"/>
        <v>0</v>
      </c>
      <c r="H184" s="538">
        <f t="shared" si="40"/>
        <v>0</v>
      </c>
      <c r="I184" s="538">
        <f t="shared" si="40"/>
        <v>0</v>
      </c>
      <c r="J184" s="538">
        <f t="shared" si="40"/>
        <v>0</v>
      </c>
      <c r="K184" s="538">
        <f t="shared" si="40"/>
        <v>0</v>
      </c>
      <c r="L184" s="538">
        <f t="shared" si="40"/>
        <v>0</v>
      </c>
      <c r="M184" s="538">
        <f t="shared" si="40"/>
        <v>0</v>
      </c>
      <c r="N184" s="538">
        <f t="shared" si="40"/>
        <v>0</v>
      </c>
      <c r="O184" s="502">
        <f t="shared" si="41"/>
        <v>0</v>
      </c>
      <c r="P184" s="324"/>
      <c r="Q184" s="324"/>
      <c r="R184" s="324"/>
      <c r="S184" s="324"/>
      <c r="T184" s="324"/>
      <c r="U184" s="324"/>
      <c r="V184" s="324"/>
      <c r="W184" s="324"/>
    </row>
    <row r="185" spans="1:23" s="3" customFormat="1" x14ac:dyDescent="0.35">
      <c r="B185" s="593" t="s">
        <v>53</v>
      </c>
      <c r="C185" s="538">
        <f t="shared" si="40"/>
        <v>0</v>
      </c>
      <c r="D185" s="538">
        <f t="shared" si="40"/>
        <v>80.125</v>
      </c>
      <c r="E185" s="538">
        <f t="shared" si="40"/>
        <v>49.182000000000002</v>
      </c>
      <c r="F185" s="538">
        <f t="shared" si="40"/>
        <v>47.58</v>
      </c>
      <c r="G185" s="538">
        <f t="shared" si="40"/>
        <v>0</v>
      </c>
      <c r="H185" s="538">
        <f t="shared" si="40"/>
        <v>0</v>
      </c>
      <c r="I185" s="538">
        <f t="shared" si="40"/>
        <v>0</v>
      </c>
      <c r="J185" s="538">
        <f t="shared" si="40"/>
        <v>0</v>
      </c>
      <c r="K185" s="538">
        <f t="shared" si="40"/>
        <v>0</v>
      </c>
      <c r="L185" s="538">
        <f t="shared" si="40"/>
        <v>0</v>
      </c>
      <c r="M185" s="538">
        <f t="shared" si="40"/>
        <v>0</v>
      </c>
      <c r="N185" s="538">
        <f t="shared" si="40"/>
        <v>0</v>
      </c>
      <c r="O185" s="502">
        <f t="shared" si="41"/>
        <v>176.887</v>
      </c>
      <c r="P185" s="324"/>
      <c r="Q185" s="324"/>
      <c r="R185" s="324"/>
      <c r="S185" s="324"/>
      <c r="T185" s="324"/>
    </row>
    <row r="186" spans="1:23" s="3" customFormat="1" x14ac:dyDescent="0.35">
      <c r="B186" s="593" t="s">
        <v>54</v>
      </c>
      <c r="C186" s="538">
        <f t="shared" si="40"/>
        <v>197.06399999999999</v>
      </c>
      <c r="D186" s="538">
        <f t="shared" si="40"/>
        <v>47.132000000000005</v>
      </c>
      <c r="E186" s="538">
        <f t="shared" si="40"/>
        <v>103.851</v>
      </c>
      <c r="F186" s="538">
        <f t="shared" si="40"/>
        <v>74.841999999999999</v>
      </c>
      <c r="G186" s="538">
        <f t="shared" si="40"/>
        <v>0</v>
      </c>
      <c r="H186" s="538">
        <f t="shared" si="40"/>
        <v>0</v>
      </c>
      <c r="I186" s="538">
        <f t="shared" si="40"/>
        <v>0</v>
      </c>
      <c r="J186" s="538">
        <f t="shared" si="40"/>
        <v>0</v>
      </c>
      <c r="K186" s="538">
        <f t="shared" si="40"/>
        <v>0</v>
      </c>
      <c r="L186" s="538">
        <f t="shared" si="40"/>
        <v>0</v>
      </c>
      <c r="M186" s="538">
        <f t="shared" si="40"/>
        <v>0</v>
      </c>
      <c r="N186" s="538">
        <f t="shared" si="40"/>
        <v>0</v>
      </c>
      <c r="O186" s="502">
        <f t="shared" si="41"/>
        <v>422.88900000000001</v>
      </c>
    </row>
    <row r="187" spans="1:23" s="3" customFormat="1" x14ac:dyDescent="0.35">
      <c r="B187" s="858" t="s">
        <v>55</v>
      </c>
      <c r="C187" s="866">
        <f t="shared" si="40"/>
        <v>0</v>
      </c>
      <c r="D187" s="866">
        <f t="shared" si="40"/>
        <v>0</v>
      </c>
      <c r="E187" s="866">
        <f t="shared" si="40"/>
        <v>0</v>
      </c>
      <c r="F187" s="866">
        <f t="shared" si="40"/>
        <v>0</v>
      </c>
      <c r="G187" s="866">
        <f t="shared" si="40"/>
        <v>0</v>
      </c>
      <c r="H187" s="866">
        <f t="shared" si="40"/>
        <v>0</v>
      </c>
      <c r="I187" s="866">
        <f t="shared" si="40"/>
        <v>0</v>
      </c>
      <c r="J187" s="866">
        <f t="shared" si="40"/>
        <v>0</v>
      </c>
      <c r="K187" s="866">
        <f t="shared" si="40"/>
        <v>0</v>
      </c>
      <c r="L187" s="866">
        <f t="shared" si="40"/>
        <v>0</v>
      </c>
      <c r="M187" s="866">
        <f t="shared" si="40"/>
        <v>0</v>
      </c>
      <c r="N187" s="866">
        <f t="shared" si="40"/>
        <v>0</v>
      </c>
      <c r="O187" s="1188">
        <f t="shared" si="41"/>
        <v>0</v>
      </c>
    </row>
    <row r="188" spans="1:23" s="3" customFormat="1" x14ac:dyDescent="0.35">
      <c r="B188" s="132"/>
      <c r="C188" s="133"/>
      <c r="D188" s="133"/>
      <c r="E188" s="133"/>
      <c r="F188" s="133"/>
      <c r="G188" s="133"/>
      <c r="H188" s="133"/>
      <c r="I188" s="133"/>
      <c r="J188" s="133"/>
      <c r="K188" s="133"/>
      <c r="L188" s="133"/>
      <c r="M188" s="133"/>
      <c r="N188" s="133"/>
      <c r="O188" s="134"/>
    </row>
    <row r="189" spans="1:23" s="3" customFormat="1" x14ac:dyDescent="0.35">
      <c r="B189" s="1069" t="s">
        <v>520</v>
      </c>
      <c r="C189" s="1069"/>
      <c r="D189" s="1069"/>
      <c r="E189" s="1069"/>
      <c r="F189" s="1069"/>
      <c r="G189" s="1069"/>
      <c r="H189" s="1069"/>
      <c r="I189" s="1069"/>
      <c r="J189" s="1069"/>
      <c r="K189" s="1069"/>
      <c r="L189" s="1069"/>
      <c r="M189" s="1069"/>
      <c r="N189" s="1069"/>
      <c r="O189" s="1069"/>
    </row>
    <row r="190" spans="1:23" s="3" customFormat="1" x14ac:dyDescent="0.35">
      <c r="B190" s="1195"/>
      <c r="C190" s="155"/>
      <c r="D190" s="155"/>
      <c r="E190" s="155"/>
      <c r="F190" s="155"/>
      <c r="G190" s="155"/>
      <c r="H190" s="155"/>
      <c r="I190" s="155"/>
      <c r="J190" s="155"/>
      <c r="K190" s="155"/>
      <c r="L190" s="155"/>
      <c r="M190" s="155"/>
      <c r="N190" s="155"/>
      <c r="O190" s="187"/>
    </row>
    <row r="191" spans="1:23" s="3" customFormat="1" ht="15" customHeight="1" x14ac:dyDescent="0.35">
      <c r="B191" s="1074" t="s">
        <v>13</v>
      </c>
      <c r="C191" s="1112" t="s">
        <v>0</v>
      </c>
      <c r="D191" s="1112" t="s">
        <v>1</v>
      </c>
      <c r="E191" s="1112" t="s">
        <v>2</v>
      </c>
      <c r="F191" s="1112" t="s">
        <v>3</v>
      </c>
      <c r="G191" s="1112" t="s">
        <v>4</v>
      </c>
      <c r="H191" s="1112" t="s">
        <v>5</v>
      </c>
      <c r="I191" s="1112" t="s">
        <v>6</v>
      </c>
      <c r="J191" s="1112" t="s">
        <v>7</v>
      </c>
      <c r="K191" s="1112" t="s">
        <v>8</v>
      </c>
      <c r="L191" s="1112" t="s">
        <v>9</v>
      </c>
      <c r="M191" s="1112" t="s">
        <v>10</v>
      </c>
      <c r="N191" s="1112" t="s">
        <v>14</v>
      </c>
      <c r="O191" s="1077" t="s">
        <v>15</v>
      </c>
    </row>
    <row r="192" spans="1:23" s="3" customFormat="1" ht="15" customHeight="1" x14ac:dyDescent="0.35">
      <c r="B192" s="1080"/>
      <c r="C192" s="1145"/>
      <c r="D192" s="1145"/>
      <c r="E192" s="1145"/>
      <c r="F192" s="1145"/>
      <c r="G192" s="1145"/>
      <c r="H192" s="1145"/>
      <c r="I192" s="1145"/>
      <c r="J192" s="1145"/>
      <c r="K192" s="1145"/>
      <c r="L192" s="1145"/>
      <c r="M192" s="1145"/>
      <c r="N192" s="1145"/>
      <c r="O192" s="1088"/>
    </row>
    <row r="193" spans="2:20" s="3" customFormat="1" x14ac:dyDescent="0.35">
      <c r="B193" s="1196"/>
      <c r="C193" s="1197"/>
      <c r="D193" s="1197"/>
      <c r="E193" s="1197"/>
      <c r="F193" s="1121"/>
      <c r="G193" s="1121"/>
      <c r="H193" s="1121"/>
      <c r="I193" s="1121"/>
      <c r="J193" s="1121"/>
      <c r="K193" s="1121"/>
      <c r="L193" s="1121"/>
      <c r="M193" s="1121"/>
      <c r="N193" s="1121"/>
      <c r="O193" s="1198"/>
    </row>
    <row r="194" spans="2:20" s="3" customFormat="1" x14ac:dyDescent="0.35">
      <c r="B194" s="1199" t="s">
        <v>47</v>
      </c>
      <c r="C194" s="598">
        <f>C196+C206</f>
        <v>91803.925000000309</v>
      </c>
      <c r="D194" s="598">
        <f>D196+D206</f>
        <v>91163.194500000085</v>
      </c>
      <c r="E194" s="598">
        <f>E196+E206</f>
        <v>108800.21399999983</v>
      </c>
      <c r="F194" s="598">
        <f>F196+F206</f>
        <v>68707.355009999999</v>
      </c>
      <c r="G194" s="598">
        <f t="shared" ref="G194:L194" si="42">G196+G206</f>
        <v>0</v>
      </c>
      <c r="H194" s="598">
        <f t="shared" si="42"/>
        <v>0</v>
      </c>
      <c r="I194" s="598">
        <f t="shared" si="42"/>
        <v>0</v>
      </c>
      <c r="J194" s="598">
        <f t="shared" si="42"/>
        <v>0</v>
      </c>
      <c r="K194" s="598">
        <f t="shared" si="42"/>
        <v>0</v>
      </c>
      <c r="L194" s="598">
        <f t="shared" si="42"/>
        <v>0</v>
      </c>
      <c r="M194" s="598">
        <f>M196+M206</f>
        <v>0</v>
      </c>
      <c r="N194" s="598">
        <f>N196+N206</f>
        <v>0</v>
      </c>
      <c r="O194" s="1179">
        <f>SUM(C194:N194)</f>
        <v>360474.68851000018</v>
      </c>
    </row>
    <row r="195" spans="2:20" s="3" customFormat="1" ht="22.5" customHeight="1" x14ac:dyDescent="0.35">
      <c r="B195" s="1199"/>
      <c r="C195" s="598"/>
      <c r="D195" s="598"/>
      <c r="E195" s="598"/>
      <c r="F195" s="598"/>
      <c r="G195" s="598"/>
      <c r="H195" s="598"/>
      <c r="I195" s="598"/>
      <c r="J195" s="598"/>
      <c r="K195" s="598"/>
      <c r="L195" s="598"/>
      <c r="M195" s="598"/>
      <c r="N195" s="598"/>
      <c r="O195" s="1179"/>
    </row>
    <row r="196" spans="2:20" s="3" customFormat="1" x14ac:dyDescent="0.35">
      <c r="B196" s="1200" t="s">
        <v>58</v>
      </c>
      <c r="C196" s="599">
        <f>SUM(C198:C204)</f>
        <v>23941.121500000001</v>
      </c>
      <c r="D196" s="599">
        <f>SUM(D198:D204)</f>
        <v>24108.799499999997</v>
      </c>
      <c r="E196" s="599">
        <f>SUM(E198:E204)</f>
        <v>27669.549999999996</v>
      </c>
      <c r="F196" s="599">
        <f>SUM(F198:F204)</f>
        <v>8558.0599999999977</v>
      </c>
      <c r="G196" s="599">
        <f t="shared" ref="G196:L196" si="43">SUM(G198:G204)</f>
        <v>0</v>
      </c>
      <c r="H196" s="599">
        <f t="shared" si="43"/>
        <v>0</v>
      </c>
      <c r="I196" s="599">
        <f t="shared" si="43"/>
        <v>0</v>
      </c>
      <c r="J196" s="599">
        <f t="shared" si="43"/>
        <v>0</v>
      </c>
      <c r="K196" s="599">
        <f t="shared" si="43"/>
        <v>0</v>
      </c>
      <c r="L196" s="599">
        <f t="shared" si="43"/>
        <v>0</v>
      </c>
      <c r="M196" s="599">
        <f>SUM(M198:M204)</f>
        <v>0</v>
      </c>
      <c r="N196" s="599">
        <f>SUM(N198:N204)</f>
        <v>0</v>
      </c>
      <c r="O196" s="503">
        <f>SUM(C196:N196)</f>
        <v>84277.530999999988</v>
      </c>
    </row>
    <row r="197" spans="2:20" ht="15" customHeight="1" x14ac:dyDescent="0.35">
      <c r="B197" s="591"/>
      <c r="C197" s="590"/>
      <c r="D197" s="590"/>
      <c r="E197" s="590"/>
      <c r="F197" s="590"/>
      <c r="G197" s="590"/>
      <c r="H197" s="590"/>
      <c r="I197" s="590"/>
      <c r="J197" s="590"/>
      <c r="K197" s="590"/>
      <c r="L197" s="590"/>
      <c r="M197" s="590"/>
      <c r="N197" s="590"/>
      <c r="O197" s="1180"/>
      <c r="P197" s="3"/>
      <c r="Q197" s="3"/>
      <c r="R197" s="3"/>
      <c r="S197" s="3"/>
      <c r="T197" s="3"/>
    </row>
    <row r="198" spans="2:20" x14ac:dyDescent="0.35">
      <c r="B198" s="593" t="s">
        <v>49</v>
      </c>
      <c r="C198" s="1107">
        <v>759.33699999999999</v>
      </c>
      <c r="D198" s="1107">
        <v>488.27200000000005</v>
      </c>
      <c r="E198" s="1107">
        <v>1671.6599999999999</v>
      </c>
      <c r="F198" s="1107">
        <v>0</v>
      </c>
      <c r="G198" s="1107"/>
      <c r="H198" s="1107"/>
      <c r="I198" s="1107"/>
      <c r="J198" s="1107"/>
      <c r="K198" s="1107"/>
      <c r="L198" s="1107"/>
      <c r="M198" s="1107"/>
      <c r="N198" s="1107"/>
      <c r="O198" s="502">
        <f t="shared" ref="O198:O204" si="44">SUM(C198:N198)</f>
        <v>2919.2689999999998</v>
      </c>
    </row>
    <row r="199" spans="2:20" s="3" customFormat="1" x14ac:dyDescent="0.35">
      <c r="B199" s="593" t="s">
        <v>50</v>
      </c>
      <c r="C199" s="1107">
        <v>14774.042000000003</v>
      </c>
      <c r="D199" s="1107">
        <v>16318.441000000001</v>
      </c>
      <c r="E199" s="1107">
        <v>18134.718999999997</v>
      </c>
      <c r="F199" s="1107">
        <v>7054.0509999999995</v>
      </c>
      <c r="G199" s="1107"/>
      <c r="H199" s="1107"/>
      <c r="I199" s="1107"/>
      <c r="J199" s="1107"/>
      <c r="K199" s="1107"/>
      <c r="L199" s="1107"/>
      <c r="M199" s="1107"/>
      <c r="N199" s="1107"/>
      <c r="O199" s="502">
        <f t="shared" si="44"/>
        <v>56281.253000000004</v>
      </c>
      <c r="P199" s="324"/>
      <c r="Q199" s="324"/>
      <c r="R199" s="324"/>
      <c r="S199" s="324"/>
      <c r="T199" s="324"/>
    </row>
    <row r="200" spans="2:20" s="3" customFormat="1" x14ac:dyDescent="0.35">
      <c r="B200" s="593" t="s">
        <v>51</v>
      </c>
      <c r="C200" s="1107">
        <v>1484.587</v>
      </c>
      <c r="D200" s="1107">
        <v>1416.71</v>
      </c>
      <c r="E200" s="1107">
        <v>2164.116</v>
      </c>
      <c r="F200" s="1107">
        <v>1397.067</v>
      </c>
      <c r="G200" s="1107"/>
      <c r="H200" s="1107"/>
      <c r="I200" s="1107"/>
      <c r="J200" s="1107"/>
      <c r="K200" s="1107"/>
      <c r="L200" s="1107"/>
      <c r="M200" s="1107"/>
      <c r="N200" s="1107"/>
      <c r="O200" s="502">
        <f t="shared" si="44"/>
        <v>6462.4800000000005</v>
      </c>
    </row>
    <row r="201" spans="2:20" s="3" customFormat="1" x14ac:dyDescent="0.35">
      <c r="B201" s="593" t="s">
        <v>52</v>
      </c>
      <c r="C201" s="1107">
        <v>6883.15</v>
      </c>
      <c r="D201" s="1107">
        <v>5821.3200000000006</v>
      </c>
      <c r="E201" s="1107">
        <v>5655.0399999999991</v>
      </c>
      <c r="F201" s="1107">
        <v>64.899999999999991</v>
      </c>
      <c r="G201" s="1107"/>
      <c r="H201" s="1107"/>
      <c r="I201" s="1107"/>
      <c r="J201" s="1107"/>
      <c r="K201" s="1107"/>
      <c r="L201" s="1107"/>
      <c r="M201" s="1107"/>
      <c r="N201" s="1107"/>
      <c r="O201" s="502">
        <f t="shared" si="44"/>
        <v>18424.410000000003</v>
      </c>
    </row>
    <row r="202" spans="2:20" s="3" customFormat="1" x14ac:dyDescent="0.35">
      <c r="B202" s="593" t="s">
        <v>53</v>
      </c>
      <c r="C202" s="1107">
        <v>40.005499999999998</v>
      </c>
      <c r="D202" s="1107">
        <v>64.0565</v>
      </c>
      <c r="E202" s="1107">
        <v>44.015000000000001</v>
      </c>
      <c r="F202" s="1107">
        <v>42.042000000000002</v>
      </c>
      <c r="G202" s="1107"/>
      <c r="H202" s="1107"/>
      <c r="I202" s="1107"/>
      <c r="J202" s="1107"/>
      <c r="K202" s="1107"/>
      <c r="L202" s="1107"/>
      <c r="M202" s="1107"/>
      <c r="N202" s="1107"/>
      <c r="O202" s="502">
        <f t="shared" si="44"/>
        <v>190.119</v>
      </c>
    </row>
    <row r="203" spans="2:20" s="3" customFormat="1" x14ac:dyDescent="0.35">
      <c r="B203" s="593" t="s">
        <v>54</v>
      </c>
      <c r="C203" s="1107">
        <v>0</v>
      </c>
      <c r="D203" s="1107">
        <v>0</v>
      </c>
      <c r="E203" s="1107">
        <v>0</v>
      </c>
      <c r="F203" s="1107">
        <v>0</v>
      </c>
      <c r="G203" s="1107"/>
      <c r="H203" s="1107"/>
      <c r="I203" s="1107"/>
      <c r="J203" s="1107"/>
      <c r="K203" s="1107"/>
      <c r="L203" s="1107"/>
      <c r="M203" s="1107"/>
      <c r="N203" s="1107"/>
      <c r="O203" s="502">
        <f t="shared" si="44"/>
        <v>0</v>
      </c>
    </row>
    <row r="204" spans="2:20" s="3" customFormat="1" x14ac:dyDescent="0.35">
      <c r="B204" s="593" t="s">
        <v>55</v>
      </c>
      <c r="C204" s="1107">
        <v>0</v>
      </c>
      <c r="D204" s="1107">
        <v>0</v>
      </c>
      <c r="E204" s="1107">
        <v>0</v>
      </c>
      <c r="F204" s="1107">
        <v>0</v>
      </c>
      <c r="G204" s="1107"/>
      <c r="H204" s="1107"/>
      <c r="I204" s="1107"/>
      <c r="J204" s="1107"/>
      <c r="K204" s="1107"/>
      <c r="L204" s="1107"/>
      <c r="M204" s="1107"/>
      <c r="N204" s="1107"/>
      <c r="O204" s="502">
        <f t="shared" si="44"/>
        <v>0</v>
      </c>
    </row>
    <row r="205" spans="2:20" s="3" customFormat="1" x14ac:dyDescent="0.35">
      <c r="B205" s="1201"/>
      <c r="C205" s="600"/>
      <c r="D205" s="600"/>
      <c r="E205" s="600"/>
      <c r="F205" s="600"/>
      <c r="G205" s="600"/>
      <c r="H205" s="600"/>
      <c r="I205" s="600"/>
      <c r="J205" s="600"/>
      <c r="K205" s="600"/>
      <c r="L205" s="600"/>
      <c r="M205" s="600"/>
      <c r="N205" s="600"/>
      <c r="O205" s="502"/>
    </row>
    <row r="206" spans="2:20" s="3" customFormat="1" x14ac:dyDescent="0.35">
      <c r="B206" s="1200" t="s">
        <v>59</v>
      </c>
      <c r="C206" s="599">
        <f>SUM(C208:C214)</f>
        <v>67862.8035000003</v>
      </c>
      <c r="D206" s="599">
        <f>SUM(D208:D214)</f>
        <v>67054.395000000091</v>
      </c>
      <c r="E206" s="599">
        <f>SUM(E208:E214)</f>
        <v>81130.663999999844</v>
      </c>
      <c r="F206" s="599">
        <f>SUM(F208:F214)</f>
        <v>60149.295009999994</v>
      </c>
      <c r="G206" s="599">
        <f t="shared" ref="G206:L206" si="45">SUM(G208:G214)</f>
        <v>0</v>
      </c>
      <c r="H206" s="599">
        <f t="shared" si="45"/>
        <v>0</v>
      </c>
      <c r="I206" s="599">
        <f t="shared" si="45"/>
        <v>0</v>
      </c>
      <c r="J206" s="599">
        <f t="shared" si="45"/>
        <v>0</v>
      </c>
      <c r="K206" s="599">
        <f t="shared" si="45"/>
        <v>0</v>
      </c>
      <c r="L206" s="599">
        <f t="shared" si="45"/>
        <v>0</v>
      </c>
      <c r="M206" s="599">
        <f>SUM(M208:M214)</f>
        <v>0</v>
      </c>
      <c r="N206" s="599">
        <f>SUM(N208:N214)</f>
        <v>0</v>
      </c>
      <c r="O206" s="503">
        <f>SUM(C206:N206)</f>
        <v>276197.15751000022</v>
      </c>
    </row>
    <row r="207" spans="2:20" s="3" customFormat="1" x14ac:dyDescent="0.35">
      <c r="B207" s="591"/>
      <c r="C207" s="590"/>
      <c r="D207" s="590"/>
      <c r="E207" s="590"/>
      <c r="F207" s="590"/>
      <c r="G207" s="590"/>
      <c r="H207" s="590"/>
      <c r="I207" s="590"/>
      <c r="J207" s="590"/>
      <c r="K207" s="590"/>
      <c r="L207" s="590"/>
      <c r="M207" s="590"/>
      <c r="N207" s="590"/>
      <c r="O207" s="1180"/>
    </row>
    <row r="208" spans="2:20" s="3" customFormat="1" x14ac:dyDescent="0.35">
      <c r="B208" s="593" t="s">
        <v>49</v>
      </c>
      <c r="C208" s="600">
        <f t="shared" ref="C208:N214" si="46">+C161</f>
        <v>2843.9160000000006</v>
      </c>
      <c r="D208" s="538">
        <f t="shared" si="46"/>
        <v>4105.1569999999974</v>
      </c>
      <c r="E208" s="538">
        <f t="shared" si="46"/>
        <v>6908.7980000000034</v>
      </c>
      <c r="F208" s="538">
        <f t="shared" si="46"/>
        <v>5279.0380099999957</v>
      </c>
      <c r="G208" s="538">
        <f t="shared" si="46"/>
        <v>0</v>
      </c>
      <c r="H208" s="538">
        <f t="shared" si="46"/>
        <v>0</v>
      </c>
      <c r="I208" s="538">
        <f t="shared" si="46"/>
        <v>0</v>
      </c>
      <c r="J208" s="538">
        <f t="shared" si="46"/>
        <v>0</v>
      </c>
      <c r="K208" s="538">
        <f t="shared" si="46"/>
        <v>0</v>
      </c>
      <c r="L208" s="538">
        <f t="shared" si="46"/>
        <v>0</v>
      </c>
      <c r="M208" s="538">
        <f t="shared" si="46"/>
        <v>0</v>
      </c>
      <c r="N208" s="538">
        <f t="shared" si="46"/>
        <v>0</v>
      </c>
      <c r="O208" s="502">
        <f t="shared" ref="O208:O214" si="47">SUM(C208:N208)</f>
        <v>19136.909009999999</v>
      </c>
    </row>
    <row r="209" spans="2:15" s="3" customFormat="1" x14ac:dyDescent="0.35">
      <c r="B209" s="593" t="s">
        <v>50</v>
      </c>
      <c r="C209" s="600">
        <f t="shared" si="46"/>
        <v>64943.287500000297</v>
      </c>
      <c r="D209" s="538">
        <f t="shared" si="46"/>
        <v>62855.938000000097</v>
      </c>
      <c r="E209" s="538">
        <f t="shared" si="46"/>
        <v>74172.683999999834</v>
      </c>
      <c r="F209" s="538">
        <f t="shared" si="46"/>
        <v>54794.135999999999</v>
      </c>
      <c r="G209" s="538">
        <f t="shared" si="46"/>
        <v>0</v>
      </c>
      <c r="H209" s="538">
        <f t="shared" si="46"/>
        <v>0</v>
      </c>
      <c r="I209" s="538">
        <f t="shared" si="46"/>
        <v>0</v>
      </c>
      <c r="J209" s="538">
        <f t="shared" si="46"/>
        <v>0</v>
      </c>
      <c r="K209" s="538">
        <f t="shared" si="46"/>
        <v>0</v>
      </c>
      <c r="L209" s="538">
        <f t="shared" si="46"/>
        <v>0</v>
      </c>
      <c r="M209" s="538">
        <f t="shared" si="46"/>
        <v>0</v>
      </c>
      <c r="N209" s="538">
        <f t="shared" si="46"/>
        <v>0</v>
      </c>
      <c r="O209" s="502">
        <f t="shared" si="47"/>
        <v>256766.04550000024</v>
      </c>
    </row>
    <row r="210" spans="2:15" s="3" customFormat="1" x14ac:dyDescent="0.35">
      <c r="B210" s="593" t="s">
        <v>51</v>
      </c>
      <c r="C210" s="600">
        <f t="shared" si="46"/>
        <v>0</v>
      </c>
      <c r="D210" s="538">
        <f t="shared" si="46"/>
        <v>0</v>
      </c>
      <c r="E210" s="538">
        <f t="shared" si="46"/>
        <v>0</v>
      </c>
      <c r="F210" s="538">
        <f t="shared" si="46"/>
        <v>0</v>
      </c>
      <c r="G210" s="538">
        <f t="shared" si="46"/>
        <v>0</v>
      </c>
      <c r="H210" s="538">
        <f t="shared" si="46"/>
        <v>0</v>
      </c>
      <c r="I210" s="538">
        <f t="shared" si="46"/>
        <v>0</v>
      </c>
      <c r="J210" s="538">
        <f t="shared" si="46"/>
        <v>0</v>
      </c>
      <c r="K210" s="538">
        <f t="shared" si="46"/>
        <v>0</v>
      </c>
      <c r="L210" s="538">
        <f t="shared" si="46"/>
        <v>0</v>
      </c>
      <c r="M210" s="538">
        <f t="shared" si="46"/>
        <v>0</v>
      </c>
      <c r="N210" s="538">
        <f t="shared" si="46"/>
        <v>0</v>
      </c>
      <c r="O210" s="502">
        <f t="shared" si="47"/>
        <v>0</v>
      </c>
    </row>
    <row r="211" spans="2:15" s="3" customFormat="1" x14ac:dyDescent="0.35">
      <c r="B211" s="593" t="s">
        <v>52</v>
      </c>
      <c r="C211" s="600">
        <f t="shared" si="46"/>
        <v>0</v>
      </c>
      <c r="D211" s="538">
        <f t="shared" si="46"/>
        <v>0</v>
      </c>
      <c r="E211" s="538">
        <f t="shared" si="46"/>
        <v>0</v>
      </c>
      <c r="F211" s="538">
        <f t="shared" si="46"/>
        <v>0</v>
      </c>
      <c r="G211" s="538">
        <f t="shared" si="46"/>
        <v>0</v>
      </c>
      <c r="H211" s="538">
        <f t="shared" si="46"/>
        <v>0</v>
      </c>
      <c r="I211" s="538">
        <f t="shared" si="46"/>
        <v>0</v>
      </c>
      <c r="J211" s="538">
        <f t="shared" si="46"/>
        <v>0</v>
      </c>
      <c r="K211" s="538">
        <f t="shared" si="46"/>
        <v>0</v>
      </c>
      <c r="L211" s="538">
        <f t="shared" si="46"/>
        <v>0</v>
      </c>
      <c r="M211" s="538">
        <f t="shared" si="46"/>
        <v>0</v>
      </c>
      <c r="N211" s="538">
        <f t="shared" si="46"/>
        <v>0</v>
      </c>
      <c r="O211" s="502">
        <f t="shared" si="47"/>
        <v>0</v>
      </c>
    </row>
    <row r="212" spans="2:15" s="3" customFormat="1" x14ac:dyDescent="0.35">
      <c r="B212" s="593" t="s">
        <v>53</v>
      </c>
      <c r="C212" s="600">
        <f t="shared" si="46"/>
        <v>0</v>
      </c>
      <c r="D212" s="538">
        <f t="shared" si="46"/>
        <v>80.125</v>
      </c>
      <c r="E212" s="538">
        <f t="shared" si="46"/>
        <v>49.182000000000002</v>
      </c>
      <c r="F212" s="538">
        <f t="shared" si="46"/>
        <v>47.58</v>
      </c>
      <c r="G212" s="538">
        <f t="shared" si="46"/>
        <v>0</v>
      </c>
      <c r="H212" s="538">
        <f t="shared" si="46"/>
        <v>0</v>
      </c>
      <c r="I212" s="538">
        <f t="shared" si="46"/>
        <v>0</v>
      </c>
      <c r="J212" s="538">
        <f t="shared" si="46"/>
        <v>0</v>
      </c>
      <c r="K212" s="538">
        <f t="shared" si="46"/>
        <v>0</v>
      </c>
      <c r="L212" s="538">
        <f t="shared" si="46"/>
        <v>0</v>
      </c>
      <c r="M212" s="538">
        <f t="shared" si="46"/>
        <v>0</v>
      </c>
      <c r="N212" s="538">
        <f t="shared" si="46"/>
        <v>0</v>
      </c>
      <c r="O212" s="502">
        <f t="shared" si="47"/>
        <v>176.887</v>
      </c>
    </row>
    <row r="213" spans="2:15" s="3" customFormat="1" x14ac:dyDescent="0.35">
      <c r="B213" s="593" t="s">
        <v>54</v>
      </c>
      <c r="C213" s="600">
        <f t="shared" si="46"/>
        <v>75.599999999999994</v>
      </c>
      <c r="D213" s="538">
        <f t="shared" si="46"/>
        <v>13.175000000000001</v>
      </c>
      <c r="E213" s="538">
        <f t="shared" si="46"/>
        <v>0</v>
      </c>
      <c r="F213" s="538">
        <f t="shared" si="46"/>
        <v>28.541</v>
      </c>
      <c r="G213" s="538">
        <f t="shared" si="46"/>
        <v>0</v>
      </c>
      <c r="H213" s="538">
        <f t="shared" si="46"/>
        <v>0</v>
      </c>
      <c r="I213" s="538">
        <f t="shared" si="46"/>
        <v>0</v>
      </c>
      <c r="J213" s="538">
        <f t="shared" si="46"/>
        <v>0</v>
      </c>
      <c r="K213" s="538">
        <f t="shared" si="46"/>
        <v>0</v>
      </c>
      <c r="L213" s="538">
        <f t="shared" si="46"/>
        <v>0</v>
      </c>
      <c r="M213" s="538">
        <f t="shared" si="46"/>
        <v>0</v>
      </c>
      <c r="N213" s="538">
        <f t="shared" si="46"/>
        <v>0</v>
      </c>
      <c r="O213" s="502">
        <f t="shared" si="47"/>
        <v>117.31599999999999</v>
      </c>
    </row>
    <row r="214" spans="2:15" s="3" customFormat="1" x14ac:dyDescent="0.35">
      <c r="B214" s="593" t="s">
        <v>55</v>
      </c>
      <c r="C214" s="600">
        <f t="shared" si="46"/>
        <v>0</v>
      </c>
      <c r="D214" s="538">
        <f t="shared" si="46"/>
        <v>0</v>
      </c>
      <c r="E214" s="538">
        <f t="shared" si="46"/>
        <v>0</v>
      </c>
      <c r="F214" s="538">
        <f t="shared" si="46"/>
        <v>0</v>
      </c>
      <c r="G214" s="538">
        <f t="shared" si="46"/>
        <v>0</v>
      </c>
      <c r="H214" s="538">
        <f t="shared" si="46"/>
        <v>0</v>
      </c>
      <c r="I214" s="538">
        <f t="shared" si="46"/>
        <v>0</v>
      </c>
      <c r="J214" s="538">
        <f t="shared" si="46"/>
        <v>0</v>
      </c>
      <c r="K214" s="538">
        <f t="shared" si="46"/>
        <v>0</v>
      </c>
      <c r="L214" s="538">
        <f t="shared" si="46"/>
        <v>0</v>
      </c>
      <c r="M214" s="538">
        <f t="shared" si="46"/>
        <v>0</v>
      </c>
      <c r="N214" s="538">
        <f t="shared" si="46"/>
        <v>0</v>
      </c>
      <c r="O214" s="502">
        <f t="shared" si="47"/>
        <v>0</v>
      </c>
    </row>
    <row r="215" spans="2:15" s="3" customFormat="1" x14ac:dyDescent="0.35">
      <c r="B215" s="1202" t="s">
        <v>11</v>
      </c>
      <c r="C215" s="600"/>
      <c r="D215" s="600"/>
      <c r="E215" s="600"/>
      <c r="F215" s="600"/>
      <c r="G215" s="600"/>
      <c r="H215" s="600"/>
      <c r="I215" s="600"/>
      <c r="J215" s="600"/>
      <c r="K215" s="600"/>
      <c r="L215" s="600"/>
      <c r="M215" s="600"/>
      <c r="N215" s="600"/>
      <c r="O215" s="502"/>
    </row>
    <row r="216" spans="2:15" s="3" customFormat="1" x14ac:dyDescent="0.35">
      <c r="B216" s="1199" t="s">
        <v>56</v>
      </c>
      <c r="C216" s="598">
        <f>C218+C228</f>
        <v>283.416</v>
      </c>
      <c r="D216" s="598">
        <f>D218+D228</f>
        <v>605.84</v>
      </c>
      <c r="E216" s="598">
        <f>E218+E228</f>
        <v>2539.1630000000009</v>
      </c>
      <c r="F216" s="598">
        <f>F218+F228</f>
        <v>1121.9759999999999</v>
      </c>
      <c r="G216" s="598">
        <f t="shared" ref="G216:L216" si="48">G218+G228</f>
        <v>0</v>
      </c>
      <c r="H216" s="598">
        <f t="shared" si="48"/>
        <v>0</v>
      </c>
      <c r="I216" s="598">
        <f t="shared" si="48"/>
        <v>0</v>
      </c>
      <c r="J216" s="598">
        <f t="shared" si="48"/>
        <v>0</v>
      </c>
      <c r="K216" s="598">
        <f t="shared" si="48"/>
        <v>0</v>
      </c>
      <c r="L216" s="598">
        <f t="shared" si="48"/>
        <v>0</v>
      </c>
      <c r="M216" s="598">
        <f>M218+M228</f>
        <v>0</v>
      </c>
      <c r="N216" s="598">
        <f>N218+N228</f>
        <v>0</v>
      </c>
      <c r="O216" s="1179">
        <f>SUM(C216:N216)</f>
        <v>4550.3950000000004</v>
      </c>
    </row>
    <row r="217" spans="2:15" s="3" customFormat="1" x14ac:dyDescent="0.35">
      <c r="B217" s="1199"/>
      <c r="C217" s="598"/>
      <c r="D217" s="598"/>
      <c r="E217" s="598"/>
      <c r="F217" s="598"/>
      <c r="G217" s="598"/>
      <c r="H217" s="598"/>
      <c r="I217" s="598"/>
      <c r="J217" s="598"/>
      <c r="K217" s="598"/>
      <c r="L217" s="598"/>
      <c r="M217" s="598"/>
      <c r="N217" s="598"/>
      <c r="O217" s="1179"/>
    </row>
    <row r="218" spans="2:15" s="3" customFormat="1" x14ac:dyDescent="0.35">
      <c r="B218" s="1200" t="s">
        <v>58</v>
      </c>
      <c r="C218" s="599">
        <f>SUM(C220:C226)</f>
        <v>0</v>
      </c>
      <c r="D218" s="599">
        <f>SUM(D220:D226)</f>
        <v>0</v>
      </c>
      <c r="E218" s="599">
        <f>SUM(E220:E226)</f>
        <v>0</v>
      </c>
      <c r="F218" s="599">
        <f>SUM(F220:F226)</f>
        <v>0</v>
      </c>
      <c r="G218" s="599">
        <f t="shared" ref="G218:L218" si="49">SUM(G220:G226)</f>
        <v>0</v>
      </c>
      <c r="H218" s="599">
        <f t="shared" si="49"/>
        <v>0</v>
      </c>
      <c r="I218" s="599">
        <f t="shared" si="49"/>
        <v>0</v>
      </c>
      <c r="J218" s="599">
        <f t="shared" si="49"/>
        <v>0</v>
      </c>
      <c r="K218" s="599">
        <f t="shared" si="49"/>
        <v>0</v>
      </c>
      <c r="L218" s="599">
        <f t="shared" si="49"/>
        <v>0</v>
      </c>
      <c r="M218" s="599">
        <f>SUM(M220:M226)</f>
        <v>0</v>
      </c>
      <c r="N218" s="599">
        <f>SUM(N220:N226)</f>
        <v>0</v>
      </c>
      <c r="O218" s="503">
        <f>SUM(C218:N218)</f>
        <v>0</v>
      </c>
    </row>
    <row r="219" spans="2:15" s="3" customFormat="1" x14ac:dyDescent="0.35">
      <c r="B219" s="591"/>
      <c r="C219" s="590"/>
      <c r="D219" s="590"/>
      <c r="E219" s="590"/>
      <c r="F219" s="590"/>
      <c r="G219" s="590"/>
      <c r="H219" s="590"/>
      <c r="I219" s="590"/>
      <c r="J219" s="590"/>
      <c r="K219" s="590"/>
      <c r="L219" s="590"/>
      <c r="M219" s="590"/>
      <c r="N219" s="590"/>
      <c r="O219" s="1180"/>
    </row>
    <row r="220" spans="2:15" s="3" customFormat="1" x14ac:dyDescent="0.35">
      <c r="B220" s="593" t="s">
        <v>49</v>
      </c>
      <c r="C220" s="1107">
        <v>0</v>
      </c>
      <c r="D220" s="1107">
        <v>0</v>
      </c>
      <c r="E220" s="1107">
        <v>0</v>
      </c>
      <c r="F220" s="1107">
        <v>0</v>
      </c>
      <c r="G220" s="1107">
        <v>0</v>
      </c>
      <c r="H220" s="1107">
        <v>0</v>
      </c>
      <c r="I220" s="1107">
        <v>0</v>
      </c>
      <c r="J220" s="1107">
        <v>0</v>
      </c>
      <c r="K220" s="1107">
        <v>0</v>
      </c>
      <c r="L220" s="1107">
        <v>0</v>
      </c>
      <c r="M220" s="1107">
        <v>0</v>
      </c>
      <c r="N220" s="1107">
        <v>0</v>
      </c>
      <c r="O220" s="502">
        <f t="shared" ref="O220:O226" si="50">SUM(C220:N220)</f>
        <v>0</v>
      </c>
    </row>
    <row r="221" spans="2:15" s="3" customFormat="1" x14ac:dyDescent="0.35">
      <c r="B221" s="593" t="s">
        <v>50</v>
      </c>
      <c r="C221" s="1107">
        <v>0</v>
      </c>
      <c r="D221" s="1107">
        <v>0</v>
      </c>
      <c r="E221" s="1107">
        <v>0</v>
      </c>
      <c r="F221" s="1107">
        <v>0</v>
      </c>
      <c r="G221" s="1107">
        <v>0</v>
      </c>
      <c r="H221" s="1107">
        <v>0</v>
      </c>
      <c r="I221" s="1107">
        <v>0</v>
      </c>
      <c r="J221" s="1107">
        <v>0</v>
      </c>
      <c r="K221" s="1107">
        <v>0</v>
      </c>
      <c r="L221" s="1107">
        <v>0</v>
      </c>
      <c r="M221" s="1107">
        <v>0</v>
      </c>
      <c r="N221" s="1107">
        <v>0</v>
      </c>
      <c r="O221" s="502">
        <f t="shared" si="50"/>
        <v>0</v>
      </c>
    </row>
    <row r="222" spans="2:15" s="3" customFormat="1" x14ac:dyDescent="0.35">
      <c r="B222" s="593" t="s">
        <v>51</v>
      </c>
      <c r="C222" s="1107">
        <v>0</v>
      </c>
      <c r="D222" s="1107">
        <v>0</v>
      </c>
      <c r="E222" s="1107">
        <v>0</v>
      </c>
      <c r="F222" s="1107">
        <v>0</v>
      </c>
      <c r="G222" s="1107">
        <v>0</v>
      </c>
      <c r="H222" s="1107">
        <v>0</v>
      </c>
      <c r="I222" s="1107">
        <v>0</v>
      </c>
      <c r="J222" s="1107">
        <v>0</v>
      </c>
      <c r="K222" s="1107">
        <v>0</v>
      </c>
      <c r="L222" s="1107">
        <v>0</v>
      </c>
      <c r="M222" s="1107">
        <v>0</v>
      </c>
      <c r="N222" s="1107">
        <v>0</v>
      </c>
      <c r="O222" s="502">
        <f t="shared" si="50"/>
        <v>0</v>
      </c>
    </row>
    <row r="223" spans="2:15" s="3" customFormat="1" x14ac:dyDescent="0.35">
      <c r="B223" s="593" t="s">
        <v>52</v>
      </c>
      <c r="C223" s="1107">
        <v>0</v>
      </c>
      <c r="D223" s="1107">
        <v>0</v>
      </c>
      <c r="E223" s="1107">
        <v>0</v>
      </c>
      <c r="F223" s="1107">
        <v>0</v>
      </c>
      <c r="G223" s="1107">
        <v>0</v>
      </c>
      <c r="H223" s="1107">
        <v>0</v>
      </c>
      <c r="I223" s="1107">
        <v>0</v>
      </c>
      <c r="J223" s="1107">
        <v>0</v>
      </c>
      <c r="K223" s="1107">
        <v>0</v>
      </c>
      <c r="L223" s="1107">
        <v>0</v>
      </c>
      <c r="M223" s="1107">
        <v>0</v>
      </c>
      <c r="N223" s="1107">
        <v>0</v>
      </c>
      <c r="O223" s="502">
        <f t="shared" si="50"/>
        <v>0</v>
      </c>
    </row>
    <row r="224" spans="2:15" s="3" customFormat="1" x14ac:dyDescent="0.35">
      <c r="B224" s="593" t="s">
        <v>53</v>
      </c>
      <c r="C224" s="1107">
        <v>0</v>
      </c>
      <c r="D224" s="1107">
        <v>0</v>
      </c>
      <c r="E224" s="1107">
        <v>0</v>
      </c>
      <c r="F224" s="1107">
        <v>0</v>
      </c>
      <c r="G224" s="1107">
        <v>0</v>
      </c>
      <c r="H224" s="1107">
        <v>0</v>
      </c>
      <c r="I224" s="1107">
        <v>0</v>
      </c>
      <c r="J224" s="1107">
        <v>0</v>
      </c>
      <c r="K224" s="1107">
        <v>0</v>
      </c>
      <c r="L224" s="1107">
        <v>0</v>
      </c>
      <c r="M224" s="1107">
        <v>0</v>
      </c>
      <c r="N224" s="1107">
        <v>0</v>
      </c>
      <c r="O224" s="502">
        <f t="shared" si="50"/>
        <v>0</v>
      </c>
    </row>
    <row r="225" spans="2:18" s="3" customFormat="1" x14ac:dyDescent="0.35">
      <c r="B225" s="593" t="s">
        <v>54</v>
      </c>
      <c r="C225" s="1107">
        <v>0</v>
      </c>
      <c r="D225" s="1107">
        <v>0</v>
      </c>
      <c r="E225" s="1107">
        <v>0</v>
      </c>
      <c r="F225" s="1107">
        <v>0</v>
      </c>
      <c r="G225" s="1107">
        <v>0</v>
      </c>
      <c r="H225" s="1107">
        <v>0</v>
      </c>
      <c r="I225" s="1107">
        <v>0</v>
      </c>
      <c r="J225" s="1107">
        <v>0</v>
      </c>
      <c r="K225" s="1107">
        <v>0</v>
      </c>
      <c r="L225" s="1107">
        <v>0</v>
      </c>
      <c r="M225" s="1107">
        <v>0</v>
      </c>
      <c r="N225" s="1107">
        <v>0</v>
      </c>
      <c r="O225" s="502">
        <f t="shared" si="50"/>
        <v>0</v>
      </c>
    </row>
    <row r="226" spans="2:18" s="3" customFormat="1" x14ac:dyDescent="0.35">
      <c r="B226" s="593" t="s">
        <v>55</v>
      </c>
      <c r="C226" s="1107">
        <v>0</v>
      </c>
      <c r="D226" s="1107">
        <v>0</v>
      </c>
      <c r="E226" s="1107">
        <v>0</v>
      </c>
      <c r="F226" s="1107">
        <v>0</v>
      </c>
      <c r="G226" s="1107">
        <v>0</v>
      </c>
      <c r="H226" s="1107">
        <v>0</v>
      </c>
      <c r="I226" s="1107">
        <v>0</v>
      </c>
      <c r="J226" s="1107">
        <v>0</v>
      </c>
      <c r="K226" s="1107">
        <v>0</v>
      </c>
      <c r="L226" s="1107">
        <v>0</v>
      </c>
      <c r="M226" s="1107">
        <v>0</v>
      </c>
      <c r="N226" s="1107">
        <v>0</v>
      </c>
      <c r="O226" s="502">
        <f t="shared" si="50"/>
        <v>0</v>
      </c>
    </row>
    <row r="227" spans="2:18" s="3" customFormat="1" x14ac:dyDescent="0.35">
      <c r="B227" s="1202"/>
      <c r="C227" s="600"/>
      <c r="D227" s="600"/>
      <c r="E227" s="600"/>
      <c r="F227" s="600"/>
      <c r="G227" s="600"/>
      <c r="H227" s="600"/>
      <c r="I227" s="600"/>
      <c r="J227" s="600"/>
      <c r="K227" s="600"/>
      <c r="L227" s="600"/>
      <c r="M227" s="600"/>
      <c r="N227" s="600"/>
      <c r="O227" s="502"/>
    </row>
    <row r="228" spans="2:18" s="3" customFormat="1" x14ac:dyDescent="0.35">
      <c r="B228" s="1200" t="s">
        <v>59</v>
      </c>
      <c r="C228" s="599">
        <f>SUM(C230:C236)</f>
        <v>283.416</v>
      </c>
      <c r="D228" s="599">
        <f>SUM(D230:D236)</f>
        <v>605.84</v>
      </c>
      <c r="E228" s="599">
        <f>SUM(E230:E236)</f>
        <v>2539.1630000000009</v>
      </c>
      <c r="F228" s="599">
        <f>SUM(F230:F236)</f>
        <v>1121.9759999999999</v>
      </c>
      <c r="G228" s="599">
        <f t="shared" ref="G228:L228" si="51">SUM(G230:G236)</f>
        <v>0</v>
      </c>
      <c r="H228" s="599">
        <f t="shared" si="51"/>
        <v>0</v>
      </c>
      <c r="I228" s="599">
        <f t="shared" si="51"/>
        <v>0</v>
      </c>
      <c r="J228" s="599">
        <f t="shared" si="51"/>
        <v>0</v>
      </c>
      <c r="K228" s="599">
        <f t="shared" si="51"/>
        <v>0</v>
      </c>
      <c r="L228" s="599">
        <f t="shared" si="51"/>
        <v>0</v>
      </c>
      <c r="M228" s="599">
        <f>SUM(M230:M236)</f>
        <v>0</v>
      </c>
      <c r="N228" s="599">
        <f>SUM(N230:N236)</f>
        <v>0</v>
      </c>
      <c r="O228" s="503">
        <f>SUM(C228:N228)</f>
        <v>4550.3950000000004</v>
      </c>
    </row>
    <row r="229" spans="2:18" s="3" customFormat="1" x14ac:dyDescent="0.35">
      <c r="B229" s="591"/>
      <c r="C229" s="590"/>
      <c r="D229" s="590"/>
      <c r="E229" s="590"/>
      <c r="F229" s="590"/>
      <c r="G229" s="590"/>
      <c r="H229" s="590"/>
      <c r="I229" s="590"/>
      <c r="J229" s="590"/>
      <c r="K229" s="590"/>
      <c r="L229" s="590"/>
      <c r="M229" s="590"/>
      <c r="N229" s="590"/>
      <c r="O229" s="1180"/>
    </row>
    <row r="230" spans="2:18" s="3" customFormat="1" x14ac:dyDescent="0.35">
      <c r="B230" s="593" t="s">
        <v>49</v>
      </c>
      <c r="C230" s="600">
        <f t="shared" ref="C230:N236" si="52">+C171</f>
        <v>0</v>
      </c>
      <c r="D230" s="586">
        <f t="shared" si="52"/>
        <v>496.69000000000005</v>
      </c>
      <c r="E230" s="586">
        <f t="shared" si="52"/>
        <v>2407.9500000000007</v>
      </c>
      <c r="F230" s="586">
        <f t="shared" si="52"/>
        <v>1075.675</v>
      </c>
      <c r="G230" s="586">
        <f t="shared" si="52"/>
        <v>0</v>
      </c>
      <c r="H230" s="586">
        <f t="shared" si="52"/>
        <v>0</v>
      </c>
      <c r="I230" s="586">
        <f t="shared" si="52"/>
        <v>0</v>
      </c>
      <c r="J230" s="586">
        <f t="shared" si="52"/>
        <v>0</v>
      </c>
      <c r="K230" s="586">
        <f t="shared" si="52"/>
        <v>0</v>
      </c>
      <c r="L230" s="586">
        <f t="shared" si="52"/>
        <v>0</v>
      </c>
      <c r="M230" s="586">
        <f t="shared" si="52"/>
        <v>0</v>
      </c>
      <c r="N230" s="586">
        <f t="shared" si="52"/>
        <v>0</v>
      </c>
      <c r="O230" s="502">
        <f t="shared" ref="O230:O236" si="53">SUM(C230:N230)</f>
        <v>3980.3150000000005</v>
      </c>
    </row>
    <row r="231" spans="2:18" s="3" customFormat="1" x14ac:dyDescent="0.35">
      <c r="B231" s="593" t="s">
        <v>50</v>
      </c>
      <c r="C231" s="600">
        <f t="shared" si="52"/>
        <v>161.952</v>
      </c>
      <c r="D231" s="586">
        <f t="shared" si="52"/>
        <v>75.192999999999998</v>
      </c>
      <c r="E231" s="586">
        <f t="shared" si="52"/>
        <v>27.362000000000002</v>
      </c>
      <c r="F231" s="586">
        <f t="shared" si="52"/>
        <v>0</v>
      </c>
      <c r="G231" s="586">
        <f t="shared" si="52"/>
        <v>0</v>
      </c>
      <c r="H231" s="586">
        <f t="shared" si="52"/>
        <v>0</v>
      </c>
      <c r="I231" s="586">
        <f t="shared" si="52"/>
        <v>0</v>
      </c>
      <c r="J231" s="586">
        <f t="shared" si="52"/>
        <v>0</v>
      </c>
      <c r="K231" s="586">
        <f t="shared" si="52"/>
        <v>0</v>
      </c>
      <c r="L231" s="586">
        <f t="shared" si="52"/>
        <v>0</v>
      </c>
      <c r="M231" s="586">
        <f t="shared" si="52"/>
        <v>0</v>
      </c>
      <c r="N231" s="586">
        <f t="shared" si="52"/>
        <v>0</v>
      </c>
      <c r="O231" s="502">
        <f t="shared" si="53"/>
        <v>264.50700000000001</v>
      </c>
    </row>
    <row r="232" spans="2:18" s="3" customFormat="1" x14ac:dyDescent="0.35">
      <c r="B232" s="593" t="s">
        <v>51</v>
      </c>
      <c r="C232" s="600">
        <f t="shared" si="52"/>
        <v>0</v>
      </c>
      <c r="D232" s="586">
        <f t="shared" si="52"/>
        <v>0</v>
      </c>
      <c r="E232" s="586">
        <f t="shared" si="52"/>
        <v>0</v>
      </c>
      <c r="F232" s="586">
        <f t="shared" si="52"/>
        <v>0</v>
      </c>
      <c r="G232" s="586">
        <f t="shared" si="52"/>
        <v>0</v>
      </c>
      <c r="H232" s="586">
        <f t="shared" si="52"/>
        <v>0</v>
      </c>
      <c r="I232" s="586">
        <f t="shared" si="52"/>
        <v>0</v>
      </c>
      <c r="J232" s="586">
        <f t="shared" si="52"/>
        <v>0</v>
      </c>
      <c r="K232" s="586">
        <f t="shared" si="52"/>
        <v>0</v>
      </c>
      <c r="L232" s="586">
        <f t="shared" si="52"/>
        <v>0</v>
      </c>
      <c r="M232" s="586">
        <f t="shared" si="52"/>
        <v>0</v>
      </c>
      <c r="N232" s="586">
        <f t="shared" si="52"/>
        <v>0</v>
      </c>
      <c r="O232" s="502">
        <f t="shared" si="53"/>
        <v>0</v>
      </c>
    </row>
    <row r="233" spans="2:18" s="3" customFormat="1" x14ac:dyDescent="0.35">
      <c r="B233" s="593" t="s">
        <v>52</v>
      </c>
      <c r="C233" s="600">
        <f t="shared" si="52"/>
        <v>0</v>
      </c>
      <c r="D233" s="586">
        <f t="shared" si="52"/>
        <v>0</v>
      </c>
      <c r="E233" s="586">
        <f t="shared" si="52"/>
        <v>0</v>
      </c>
      <c r="F233" s="586">
        <f t="shared" si="52"/>
        <v>0</v>
      </c>
      <c r="G233" s="586">
        <f t="shared" si="52"/>
        <v>0</v>
      </c>
      <c r="H233" s="586">
        <f t="shared" si="52"/>
        <v>0</v>
      </c>
      <c r="I233" s="586">
        <f t="shared" si="52"/>
        <v>0</v>
      </c>
      <c r="J233" s="586">
        <f t="shared" si="52"/>
        <v>0</v>
      </c>
      <c r="K233" s="586">
        <f t="shared" si="52"/>
        <v>0</v>
      </c>
      <c r="L233" s="586">
        <f t="shared" si="52"/>
        <v>0</v>
      </c>
      <c r="M233" s="586">
        <f t="shared" si="52"/>
        <v>0</v>
      </c>
      <c r="N233" s="586">
        <f t="shared" si="52"/>
        <v>0</v>
      </c>
      <c r="O233" s="502">
        <f t="shared" si="53"/>
        <v>0</v>
      </c>
    </row>
    <row r="234" spans="2:18" s="3" customFormat="1" x14ac:dyDescent="0.35">
      <c r="B234" s="593" t="s">
        <v>53</v>
      </c>
      <c r="C234" s="600">
        <f t="shared" si="52"/>
        <v>0</v>
      </c>
      <c r="D234" s="586">
        <f t="shared" si="52"/>
        <v>0</v>
      </c>
      <c r="E234" s="586">
        <f t="shared" si="52"/>
        <v>0</v>
      </c>
      <c r="F234" s="586">
        <f t="shared" si="52"/>
        <v>0</v>
      </c>
      <c r="G234" s="586">
        <f t="shared" si="52"/>
        <v>0</v>
      </c>
      <c r="H234" s="586">
        <f t="shared" si="52"/>
        <v>0</v>
      </c>
      <c r="I234" s="586">
        <f t="shared" si="52"/>
        <v>0</v>
      </c>
      <c r="J234" s="586">
        <f t="shared" si="52"/>
        <v>0</v>
      </c>
      <c r="K234" s="586">
        <f t="shared" si="52"/>
        <v>0</v>
      </c>
      <c r="L234" s="586">
        <f t="shared" si="52"/>
        <v>0</v>
      </c>
      <c r="M234" s="586">
        <f t="shared" si="52"/>
        <v>0</v>
      </c>
      <c r="N234" s="586">
        <f t="shared" si="52"/>
        <v>0</v>
      </c>
      <c r="O234" s="502">
        <f t="shared" si="53"/>
        <v>0</v>
      </c>
    </row>
    <row r="235" spans="2:18" s="3" customFormat="1" x14ac:dyDescent="0.35">
      <c r="B235" s="593" t="s">
        <v>54</v>
      </c>
      <c r="C235" s="600">
        <f t="shared" si="52"/>
        <v>121.464</v>
      </c>
      <c r="D235" s="586">
        <f t="shared" si="52"/>
        <v>33.957000000000001</v>
      </c>
      <c r="E235" s="586">
        <f t="shared" si="52"/>
        <v>103.851</v>
      </c>
      <c r="F235" s="586">
        <f t="shared" si="52"/>
        <v>46.301000000000002</v>
      </c>
      <c r="G235" s="586">
        <f t="shared" si="52"/>
        <v>0</v>
      </c>
      <c r="H235" s="586">
        <f t="shared" si="52"/>
        <v>0</v>
      </c>
      <c r="I235" s="586">
        <f t="shared" si="52"/>
        <v>0</v>
      </c>
      <c r="J235" s="586">
        <f t="shared" si="52"/>
        <v>0</v>
      </c>
      <c r="K235" s="586">
        <f t="shared" si="52"/>
        <v>0</v>
      </c>
      <c r="L235" s="586">
        <f t="shared" si="52"/>
        <v>0</v>
      </c>
      <c r="M235" s="586">
        <f t="shared" si="52"/>
        <v>0</v>
      </c>
      <c r="N235" s="586">
        <f t="shared" si="52"/>
        <v>0</v>
      </c>
      <c r="O235" s="502">
        <f t="shared" si="53"/>
        <v>305.57299999999998</v>
      </c>
    </row>
    <row r="236" spans="2:18" s="3" customFormat="1" x14ac:dyDescent="0.35">
      <c r="B236" s="593" t="s">
        <v>55</v>
      </c>
      <c r="C236" s="600">
        <f t="shared" si="52"/>
        <v>0</v>
      </c>
      <c r="D236" s="586">
        <f t="shared" si="52"/>
        <v>0</v>
      </c>
      <c r="E236" s="586">
        <f t="shared" si="52"/>
        <v>0</v>
      </c>
      <c r="F236" s="586">
        <f t="shared" si="52"/>
        <v>0</v>
      </c>
      <c r="G236" s="586">
        <f t="shared" si="52"/>
        <v>0</v>
      </c>
      <c r="H236" s="586">
        <f t="shared" si="52"/>
        <v>0</v>
      </c>
      <c r="I236" s="586">
        <f t="shared" si="52"/>
        <v>0</v>
      </c>
      <c r="J236" s="586">
        <f t="shared" si="52"/>
        <v>0</v>
      </c>
      <c r="K236" s="586">
        <f t="shared" si="52"/>
        <v>0</v>
      </c>
      <c r="L236" s="586">
        <f t="shared" si="52"/>
        <v>0</v>
      </c>
      <c r="M236" s="586">
        <f t="shared" si="52"/>
        <v>0</v>
      </c>
      <c r="N236" s="586">
        <f t="shared" si="52"/>
        <v>0</v>
      </c>
      <c r="O236" s="502">
        <f t="shared" si="53"/>
        <v>0</v>
      </c>
    </row>
    <row r="237" spans="2:18" s="3" customFormat="1" x14ac:dyDescent="0.35">
      <c r="B237" s="1202" t="s">
        <v>11</v>
      </c>
      <c r="C237" s="600"/>
      <c r="D237" s="600"/>
      <c r="E237" s="600"/>
      <c r="F237" s="600"/>
      <c r="G237" s="600"/>
      <c r="H237" s="600"/>
      <c r="I237" s="600"/>
      <c r="J237" s="600"/>
      <c r="K237" s="600"/>
      <c r="L237" s="600"/>
      <c r="M237" s="600"/>
      <c r="N237" s="600"/>
      <c r="O237" s="502"/>
    </row>
    <row r="238" spans="2:18" s="3" customFormat="1" x14ac:dyDescent="0.35">
      <c r="B238" s="445" t="s">
        <v>36</v>
      </c>
      <c r="C238" s="1122">
        <f>+C194+C216</f>
        <v>92087.341000000306</v>
      </c>
      <c r="D238" s="1122">
        <f>+D194+D216</f>
        <v>91769.034500000082</v>
      </c>
      <c r="E238" s="1122">
        <f>+E194+E216</f>
        <v>111339.37699999983</v>
      </c>
      <c r="F238" s="1122">
        <f>+F194+F216</f>
        <v>69829.331009999994</v>
      </c>
      <c r="G238" s="1122">
        <f t="shared" ref="G238:L238" si="54">+G194+G216</f>
        <v>0</v>
      </c>
      <c r="H238" s="1122">
        <f t="shared" si="54"/>
        <v>0</v>
      </c>
      <c r="I238" s="1122">
        <f t="shared" si="54"/>
        <v>0</v>
      </c>
      <c r="J238" s="1122">
        <f t="shared" si="54"/>
        <v>0</v>
      </c>
      <c r="K238" s="1122">
        <f t="shared" si="54"/>
        <v>0</v>
      </c>
      <c r="L238" s="1122">
        <f t="shared" si="54"/>
        <v>0</v>
      </c>
      <c r="M238" s="1122">
        <f>+M194+M216</f>
        <v>0</v>
      </c>
      <c r="N238" s="1122">
        <f>+N194+N216</f>
        <v>0</v>
      </c>
      <c r="O238" s="1187">
        <f>SUM(C238:N238)</f>
        <v>365025.08351000014</v>
      </c>
      <c r="Q238" s="449">
        <f>O238+O144</f>
        <v>389333.64051000011</v>
      </c>
      <c r="R238" s="756">
        <f>Q238/O73</f>
        <v>2.3550780871966659E-2</v>
      </c>
    </row>
    <row r="239" spans="2:18" s="3" customFormat="1" x14ac:dyDescent="0.35">
      <c r="B239" s="1200"/>
      <c r="C239" s="599"/>
      <c r="D239" s="599"/>
      <c r="E239" s="599"/>
      <c r="F239" s="599"/>
      <c r="G239" s="599"/>
      <c r="H239" s="599"/>
      <c r="I239" s="599"/>
      <c r="J239" s="599"/>
      <c r="K239" s="599"/>
      <c r="L239" s="599"/>
      <c r="M239" s="599"/>
      <c r="N239" s="599"/>
      <c r="O239" s="503"/>
    </row>
    <row r="240" spans="2:18" s="3" customFormat="1" x14ac:dyDescent="0.35">
      <c r="B240" s="1200" t="s">
        <v>58</v>
      </c>
      <c r="C240" s="599">
        <f>+C196+C218</f>
        <v>23941.121500000001</v>
      </c>
      <c r="D240" s="599">
        <f>+D196+D218</f>
        <v>24108.799499999997</v>
      </c>
      <c r="E240" s="599">
        <f>+E196+E218</f>
        <v>27669.549999999996</v>
      </c>
      <c r="F240" s="599">
        <f>+F196+F218</f>
        <v>8558.0599999999977</v>
      </c>
      <c r="G240" s="599">
        <f t="shared" ref="G240:L240" si="55">+G196+G218</f>
        <v>0</v>
      </c>
      <c r="H240" s="599">
        <f t="shared" si="55"/>
        <v>0</v>
      </c>
      <c r="I240" s="599">
        <f t="shared" si="55"/>
        <v>0</v>
      </c>
      <c r="J240" s="599">
        <f t="shared" si="55"/>
        <v>0</v>
      </c>
      <c r="K240" s="599">
        <f t="shared" si="55"/>
        <v>0</v>
      </c>
      <c r="L240" s="599">
        <f t="shared" si="55"/>
        <v>0</v>
      </c>
      <c r="M240" s="599">
        <f>+M196+M218</f>
        <v>0</v>
      </c>
      <c r="N240" s="599">
        <f>+N196+N218</f>
        <v>0</v>
      </c>
      <c r="O240" s="503">
        <f>SUM(C240:N240)</f>
        <v>84277.530999999988</v>
      </c>
    </row>
    <row r="241" spans="2:15" s="3" customFormat="1" x14ac:dyDescent="0.35">
      <c r="B241" s="591"/>
      <c r="C241" s="590"/>
      <c r="D241" s="590"/>
      <c r="E241" s="590"/>
      <c r="F241" s="590"/>
      <c r="G241" s="590"/>
      <c r="H241" s="590"/>
      <c r="I241" s="590"/>
      <c r="J241" s="590"/>
      <c r="K241" s="590"/>
      <c r="L241" s="590"/>
      <c r="M241" s="590"/>
      <c r="N241" s="590"/>
      <c r="O241" s="1180"/>
    </row>
    <row r="242" spans="2:15" s="3" customFormat="1" x14ac:dyDescent="0.35">
      <c r="B242" s="593" t="s">
        <v>49</v>
      </c>
      <c r="C242" s="600">
        <f t="shared" ref="C242:N248" si="56">C198+C220</f>
        <v>759.33699999999999</v>
      </c>
      <c r="D242" s="600">
        <f t="shared" si="56"/>
        <v>488.27200000000005</v>
      </c>
      <c r="E242" s="600">
        <f t="shared" si="56"/>
        <v>1671.6599999999999</v>
      </c>
      <c r="F242" s="600">
        <f t="shared" si="56"/>
        <v>0</v>
      </c>
      <c r="G242" s="600">
        <f t="shared" si="56"/>
        <v>0</v>
      </c>
      <c r="H242" s="600">
        <f t="shared" si="56"/>
        <v>0</v>
      </c>
      <c r="I242" s="600">
        <f t="shared" si="56"/>
        <v>0</v>
      </c>
      <c r="J242" s="600">
        <f t="shared" si="56"/>
        <v>0</v>
      </c>
      <c r="K242" s="600">
        <f t="shared" si="56"/>
        <v>0</v>
      </c>
      <c r="L242" s="600">
        <f t="shared" si="56"/>
        <v>0</v>
      </c>
      <c r="M242" s="600">
        <f t="shared" si="56"/>
        <v>0</v>
      </c>
      <c r="N242" s="600">
        <f t="shared" si="56"/>
        <v>0</v>
      </c>
      <c r="O242" s="502">
        <f t="shared" ref="O242:O248" si="57">SUM(C242:N242)</f>
        <v>2919.2689999999998</v>
      </c>
    </row>
    <row r="243" spans="2:15" s="3" customFormat="1" x14ac:dyDescent="0.35">
      <c r="B243" s="593" t="s">
        <v>50</v>
      </c>
      <c r="C243" s="600">
        <f t="shared" si="56"/>
        <v>14774.042000000003</v>
      </c>
      <c r="D243" s="600">
        <f t="shared" si="56"/>
        <v>16318.441000000001</v>
      </c>
      <c r="E243" s="600">
        <f t="shared" si="56"/>
        <v>18134.718999999997</v>
      </c>
      <c r="F243" s="600">
        <f t="shared" si="56"/>
        <v>7054.0509999999995</v>
      </c>
      <c r="G243" s="600">
        <f t="shared" si="56"/>
        <v>0</v>
      </c>
      <c r="H243" s="600">
        <f t="shared" si="56"/>
        <v>0</v>
      </c>
      <c r="I243" s="600">
        <f t="shared" si="56"/>
        <v>0</v>
      </c>
      <c r="J243" s="600">
        <f t="shared" si="56"/>
        <v>0</v>
      </c>
      <c r="K243" s="600">
        <f t="shared" si="56"/>
        <v>0</v>
      </c>
      <c r="L243" s="600">
        <f t="shared" si="56"/>
        <v>0</v>
      </c>
      <c r="M243" s="600">
        <f t="shared" si="56"/>
        <v>0</v>
      </c>
      <c r="N243" s="600">
        <f t="shared" si="56"/>
        <v>0</v>
      </c>
      <c r="O243" s="502">
        <f t="shared" si="57"/>
        <v>56281.253000000004</v>
      </c>
    </row>
    <row r="244" spans="2:15" s="3" customFormat="1" x14ac:dyDescent="0.35">
      <c r="B244" s="593" t="s">
        <v>51</v>
      </c>
      <c r="C244" s="600">
        <f t="shared" si="56"/>
        <v>1484.587</v>
      </c>
      <c r="D244" s="600">
        <f t="shared" si="56"/>
        <v>1416.71</v>
      </c>
      <c r="E244" s="600">
        <f t="shared" si="56"/>
        <v>2164.116</v>
      </c>
      <c r="F244" s="600">
        <f t="shared" si="56"/>
        <v>1397.067</v>
      </c>
      <c r="G244" s="600">
        <f t="shared" si="56"/>
        <v>0</v>
      </c>
      <c r="H244" s="600">
        <f t="shared" si="56"/>
        <v>0</v>
      </c>
      <c r="I244" s="600">
        <f t="shared" si="56"/>
        <v>0</v>
      </c>
      <c r="J244" s="600">
        <f t="shared" si="56"/>
        <v>0</v>
      </c>
      <c r="K244" s="600">
        <f t="shared" si="56"/>
        <v>0</v>
      </c>
      <c r="L244" s="600">
        <f t="shared" si="56"/>
        <v>0</v>
      </c>
      <c r="M244" s="600">
        <f t="shared" si="56"/>
        <v>0</v>
      </c>
      <c r="N244" s="600">
        <f t="shared" si="56"/>
        <v>0</v>
      </c>
      <c r="O244" s="502">
        <f t="shared" si="57"/>
        <v>6462.4800000000005</v>
      </c>
    </row>
    <row r="245" spans="2:15" s="3" customFormat="1" x14ac:dyDescent="0.35">
      <c r="B245" s="593" t="s">
        <v>52</v>
      </c>
      <c r="C245" s="600">
        <f t="shared" si="56"/>
        <v>6883.15</v>
      </c>
      <c r="D245" s="600">
        <f t="shared" si="56"/>
        <v>5821.3200000000006</v>
      </c>
      <c r="E245" s="600">
        <f t="shared" si="56"/>
        <v>5655.0399999999991</v>
      </c>
      <c r="F245" s="600">
        <f t="shared" si="56"/>
        <v>64.899999999999991</v>
      </c>
      <c r="G245" s="600">
        <f t="shared" si="56"/>
        <v>0</v>
      </c>
      <c r="H245" s="600">
        <f t="shared" si="56"/>
        <v>0</v>
      </c>
      <c r="I245" s="600">
        <f t="shared" si="56"/>
        <v>0</v>
      </c>
      <c r="J245" s="600">
        <f t="shared" si="56"/>
        <v>0</v>
      </c>
      <c r="K245" s="600">
        <f t="shared" si="56"/>
        <v>0</v>
      </c>
      <c r="L245" s="600">
        <f t="shared" si="56"/>
        <v>0</v>
      </c>
      <c r="M245" s="600">
        <f t="shared" si="56"/>
        <v>0</v>
      </c>
      <c r="N245" s="600">
        <f t="shared" si="56"/>
        <v>0</v>
      </c>
      <c r="O245" s="502">
        <f t="shared" si="57"/>
        <v>18424.410000000003</v>
      </c>
    </row>
    <row r="246" spans="2:15" s="3" customFormat="1" x14ac:dyDescent="0.35">
      <c r="B246" s="593" t="s">
        <v>53</v>
      </c>
      <c r="C246" s="600">
        <f t="shared" si="56"/>
        <v>40.005499999999998</v>
      </c>
      <c r="D246" s="600">
        <f t="shared" si="56"/>
        <v>64.0565</v>
      </c>
      <c r="E246" s="600">
        <f t="shared" si="56"/>
        <v>44.015000000000001</v>
      </c>
      <c r="F246" s="600">
        <f t="shared" si="56"/>
        <v>42.042000000000002</v>
      </c>
      <c r="G246" s="600">
        <f t="shared" si="56"/>
        <v>0</v>
      </c>
      <c r="H246" s="600">
        <f t="shared" si="56"/>
        <v>0</v>
      </c>
      <c r="I246" s="600">
        <f t="shared" si="56"/>
        <v>0</v>
      </c>
      <c r="J246" s="600">
        <f t="shared" si="56"/>
        <v>0</v>
      </c>
      <c r="K246" s="600">
        <f t="shared" si="56"/>
        <v>0</v>
      </c>
      <c r="L246" s="600">
        <f t="shared" si="56"/>
        <v>0</v>
      </c>
      <c r="M246" s="600">
        <f t="shared" si="56"/>
        <v>0</v>
      </c>
      <c r="N246" s="600">
        <f t="shared" si="56"/>
        <v>0</v>
      </c>
      <c r="O246" s="502">
        <f t="shared" si="57"/>
        <v>190.119</v>
      </c>
    </row>
    <row r="247" spans="2:15" s="3" customFormat="1" x14ac:dyDescent="0.35">
      <c r="B247" s="593" t="s">
        <v>54</v>
      </c>
      <c r="C247" s="600">
        <f t="shared" si="56"/>
        <v>0</v>
      </c>
      <c r="D247" s="600">
        <f t="shared" si="56"/>
        <v>0</v>
      </c>
      <c r="E247" s="600">
        <f t="shared" si="56"/>
        <v>0</v>
      </c>
      <c r="F247" s="600">
        <f t="shared" si="56"/>
        <v>0</v>
      </c>
      <c r="G247" s="600">
        <f t="shared" si="56"/>
        <v>0</v>
      </c>
      <c r="H247" s="600">
        <f t="shared" si="56"/>
        <v>0</v>
      </c>
      <c r="I247" s="600">
        <f t="shared" si="56"/>
        <v>0</v>
      </c>
      <c r="J247" s="600">
        <f t="shared" si="56"/>
        <v>0</v>
      </c>
      <c r="K247" s="600">
        <f t="shared" si="56"/>
        <v>0</v>
      </c>
      <c r="L247" s="600">
        <f t="shared" si="56"/>
        <v>0</v>
      </c>
      <c r="M247" s="600">
        <f t="shared" si="56"/>
        <v>0</v>
      </c>
      <c r="N247" s="600">
        <f t="shared" si="56"/>
        <v>0</v>
      </c>
      <c r="O247" s="502">
        <f t="shared" si="57"/>
        <v>0</v>
      </c>
    </row>
    <row r="248" spans="2:15" s="3" customFormat="1" x14ac:dyDescent="0.35">
      <c r="B248" s="593" t="s">
        <v>55</v>
      </c>
      <c r="C248" s="600">
        <f t="shared" si="56"/>
        <v>0</v>
      </c>
      <c r="D248" s="600">
        <f t="shared" si="56"/>
        <v>0</v>
      </c>
      <c r="E248" s="600">
        <f t="shared" si="56"/>
        <v>0</v>
      </c>
      <c r="F248" s="600">
        <f t="shared" si="56"/>
        <v>0</v>
      </c>
      <c r="G248" s="600">
        <f t="shared" si="56"/>
        <v>0</v>
      </c>
      <c r="H248" s="600">
        <f t="shared" si="56"/>
        <v>0</v>
      </c>
      <c r="I248" s="600">
        <f t="shared" si="56"/>
        <v>0</v>
      </c>
      <c r="J248" s="600">
        <f t="shared" si="56"/>
        <v>0</v>
      </c>
      <c r="K248" s="600">
        <f t="shared" si="56"/>
        <v>0</v>
      </c>
      <c r="L248" s="600">
        <f t="shared" si="56"/>
        <v>0</v>
      </c>
      <c r="M248" s="600">
        <f t="shared" si="56"/>
        <v>0</v>
      </c>
      <c r="N248" s="600">
        <f t="shared" si="56"/>
        <v>0</v>
      </c>
      <c r="O248" s="502">
        <f t="shared" si="57"/>
        <v>0</v>
      </c>
    </row>
    <row r="249" spans="2:15" s="3" customFormat="1" x14ac:dyDescent="0.35">
      <c r="B249" s="1202"/>
      <c r="C249" s="600"/>
      <c r="D249" s="600"/>
      <c r="E249" s="600"/>
      <c r="F249" s="600"/>
      <c r="G249" s="600"/>
      <c r="H249" s="600"/>
      <c r="I249" s="600"/>
      <c r="J249" s="600"/>
      <c r="K249" s="600"/>
      <c r="L249" s="600"/>
      <c r="M249" s="600"/>
      <c r="N249" s="600"/>
      <c r="O249" s="502"/>
    </row>
    <row r="250" spans="2:15" s="3" customFormat="1" x14ac:dyDescent="0.35">
      <c r="B250" s="1200" t="s">
        <v>59</v>
      </c>
      <c r="C250" s="599">
        <f>+C206+C228</f>
        <v>68146.219500000298</v>
      </c>
      <c r="D250" s="599">
        <f>+D206+D228</f>
        <v>67660.235000000088</v>
      </c>
      <c r="E250" s="599">
        <f>+E206+E228</f>
        <v>83669.826999999845</v>
      </c>
      <c r="F250" s="599">
        <f>+F206+F228</f>
        <v>61271.271009999997</v>
      </c>
      <c r="G250" s="599">
        <f t="shared" ref="G250:L250" si="58">+G206+G228</f>
        <v>0</v>
      </c>
      <c r="H250" s="599">
        <f t="shared" si="58"/>
        <v>0</v>
      </c>
      <c r="I250" s="599">
        <f t="shared" si="58"/>
        <v>0</v>
      </c>
      <c r="J250" s="599">
        <f t="shared" si="58"/>
        <v>0</v>
      </c>
      <c r="K250" s="599">
        <f t="shared" si="58"/>
        <v>0</v>
      </c>
      <c r="L250" s="599">
        <f t="shared" si="58"/>
        <v>0</v>
      </c>
      <c r="M250" s="599">
        <f>+M206+M228</f>
        <v>0</v>
      </c>
      <c r="N250" s="599">
        <f>+N206+N228</f>
        <v>0</v>
      </c>
      <c r="O250" s="503">
        <f>SUM(C250:N250)</f>
        <v>280747.55251000024</v>
      </c>
    </row>
    <row r="251" spans="2:15" s="3" customFormat="1" x14ac:dyDescent="0.35">
      <c r="B251" s="591"/>
      <c r="C251" s="590"/>
      <c r="D251" s="590"/>
      <c r="E251" s="590"/>
      <c r="F251" s="590"/>
      <c r="G251" s="590"/>
      <c r="H251" s="590"/>
      <c r="I251" s="590"/>
      <c r="J251" s="590"/>
      <c r="K251" s="590"/>
      <c r="L251" s="590"/>
      <c r="M251" s="590"/>
      <c r="N251" s="590"/>
      <c r="O251" s="1180"/>
    </row>
    <row r="252" spans="2:15" s="3" customFormat="1" x14ac:dyDescent="0.35">
      <c r="B252" s="593" t="s">
        <v>49</v>
      </c>
      <c r="C252" s="600">
        <f t="shared" ref="C252:N258" si="59">C208+C230</f>
        <v>2843.9160000000006</v>
      </c>
      <c r="D252" s="600">
        <f t="shared" si="59"/>
        <v>4601.8469999999979</v>
      </c>
      <c r="E252" s="600">
        <f t="shared" si="59"/>
        <v>9316.7480000000032</v>
      </c>
      <c r="F252" s="600">
        <f t="shared" si="59"/>
        <v>6354.7130099999958</v>
      </c>
      <c r="G252" s="600">
        <f t="shared" si="59"/>
        <v>0</v>
      </c>
      <c r="H252" s="600">
        <f t="shared" si="59"/>
        <v>0</v>
      </c>
      <c r="I252" s="600">
        <f t="shared" si="59"/>
        <v>0</v>
      </c>
      <c r="J252" s="600">
        <f t="shared" si="59"/>
        <v>0</v>
      </c>
      <c r="K252" s="600">
        <f t="shared" si="59"/>
        <v>0</v>
      </c>
      <c r="L252" s="600">
        <f t="shared" si="59"/>
        <v>0</v>
      </c>
      <c r="M252" s="600">
        <f t="shared" si="59"/>
        <v>0</v>
      </c>
      <c r="N252" s="600">
        <f t="shared" si="59"/>
        <v>0</v>
      </c>
      <c r="O252" s="502">
        <f t="shared" ref="O252:O258" si="60">SUM(C252:N252)</f>
        <v>23117.224009999998</v>
      </c>
    </row>
    <row r="253" spans="2:15" s="3" customFormat="1" x14ac:dyDescent="0.35">
      <c r="B253" s="593" t="s">
        <v>50</v>
      </c>
      <c r="C253" s="600">
        <f t="shared" si="59"/>
        <v>65105.239500000294</v>
      </c>
      <c r="D253" s="600">
        <f t="shared" si="59"/>
        <v>62931.131000000096</v>
      </c>
      <c r="E253" s="600">
        <f t="shared" si="59"/>
        <v>74200.045999999827</v>
      </c>
      <c r="F253" s="600">
        <f t="shared" si="59"/>
        <v>54794.135999999999</v>
      </c>
      <c r="G253" s="600">
        <f t="shared" si="59"/>
        <v>0</v>
      </c>
      <c r="H253" s="600">
        <f t="shared" si="59"/>
        <v>0</v>
      </c>
      <c r="I253" s="600">
        <f t="shared" si="59"/>
        <v>0</v>
      </c>
      <c r="J253" s="600">
        <f t="shared" si="59"/>
        <v>0</v>
      </c>
      <c r="K253" s="600">
        <f t="shared" si="59"/>
        <v>0</v>
      </c>
      <c r="L253" s="600">
        <f t="shared" si="59"/>
        <v>0</v>
      </c>
      <c r="M253" s="600">
        <f t="shared" si="59"/>
        <v>0</v>
      </c>
      <c r="N253" s="600">
        <f t="shared" si="59"/>
        <v>0</v>
      </c>
      <c r="O253" s="502">
        <f t="shared" si="60"/>
        <v>257030.55250000022</v>
      </c>
    </row>
    <row r="254" spans="2:15" s="3" customFormat="1" x14ac:dyDescent="0.35">
      <c r="B254" s="593" t="s">
        <v>51</v>
      </c>
      <c r="C254" s="600">
        <f t="shared" si="59"/>
        <v>0</v>
      </c>
      <c r="D254" s="600">
        <f t="shared" si="59"/>
        <v>0</v>
      </c>
      <c r="E254" s="600">
        <f t="shared" si="59"/>
        <v>0</v>
      </c>
      <c r="F254" s="600">
        <f t="shared" si="59"/>
        <v>0</v>
      </c>
      <c r="G254" s="600">
        <f t="shared" si="59"/>
        <v>0</v>
      </c>
      <c r="H254" s="600">
        <f t="shared" si="59"/>
        <v>0</v>
      </c>
      <c r="I254" s="600">
        <f t="shared" si="59"/>
        <v>0</v>
      </c>
      <c r="J254" s="600">
        <f>J210+J232</f>
        <v>0</v>
      </c>
      <c r="K254" s="600">
        <f t="shared" si="59"/>
        <v>0</v>
      </c>
      <c r="L254" s="600">
        <f t="shared" si="59"/>
        <v>0</v>
      </c>
      <c r="M254" s="600">
        <f t="shared" si="59"/>
        <v>0</v>
      </c>
      <c r="N254" s="600">
        <f t="shared" si="59"/>
        <v>0</v>
      </c>
      <c r="O254" s="502">
        <f t="shared" si="60"/>
        <v>0</v>
      </c>
    </row>
    <row r="255" spans="2:15" s="3" customFormat="1" x14ac:dyDescent="0.35">
      <c r="B255" s="593" t="s">
        <v>52</v>
      </c>
      <c r="C255" s="600">
        <f t="shared" si="59"/>
        <v>0</v>
      </c>
      <c r="D255" s="600">
        <f t="shared" si="59"/>
        <v>0</v>
      </c>
      <c r="E255" s="600">
        <f t="shared" si="59"/>
        <v>0</v>
      </c>
      <c r="F255" s="600">
        <f t="shared" si="59"/>
        <v>0</v>
      </c>
      <c r="G255" s="600">
        <f t="shared" si="59"/>
        <v>0</v>
      </c>
      <c r="H255" s="600">
        <f t="shared" si="59"/>
        <v>0</v>
      </c>
      <c r="I255" s="600">
        <f t="shared" si="59"/>
        <v>0</v>
      </c>
      <c r="J255" s="600">
        <f t="shared" si="59"/>
        <v>0</v>
      </c>
      <c r="K255" s="600">
        <f t="shared" si="59"/>
        <v>0</v>
      </c>
      <c r="L255" s="600">
        <f t="shared" si="59"/>
        <v>0</v>
      </c>
      <c r="M255" s="600">
        <f t="shared" si="59"/>
        <v>0</v>
      </c>
      <c r="N255" s="600">
        <f t="shared" si="59"/>
        <v>0</v>
      </c>
      <c r="O255" s="502">
        <f t="shared" si="60"/>
        <v>0</v>
      </c>
    </row>
    <row r="256" spans="2:15" s="3" customFormat="1" x14ac:dyDescent="0.35">
      <c r="B256" s="593" t="s">
        <v>53</v>
      </c>
      <c r="C256" s="600">
        <f t="shared" si="59"/>
        <v>0</v>
      </c>
      <c r="D256" s="600">
        <f t="shared" si="59"/>
        <v>80.125</v>
      </c>
      <c r="E256" s="600">
        <f t="shared" si="59"/>
        <v>49.182000000000002</v>
      </c>
      <c r="F256" s="600">
        <f t="shared" si="59"/>
        <v>47.58</v>
      </c>
      <c r="G256" s="600">
        <f t="shared" si="59"/>
        <v>0</v>
      </c>
      <c r="H256" s="600">
        <f t="shared" si="59"/>
        <v>0</v>
      </c>
      <c r="I256" s="600">
        <f t="shared" si="59"/>
        <v>0</v>
      </c>
      <c r="J256" s="600">
        <f t="shared" si="59"/>
        <v>0</v>
      </c>
      <c r="K256" s="600">
        <f t="shared" si="59"/>
        <v>0</v>
      </c>
      <c r="L256" s="600">
        <f t="shared" si="59"/>
        <v>0</v>
      </c>
      <c r="M256" s="600">
        <f t="shared" si="59"/>
        <v>0</v>
      </c>
      <c r="N256" s="600">
        <f t="shared" si="59"/>
        <v>0</v>
      </c>
      <c r="O256" s="502">
        <f t="shared" si="60"/>
        <v>176.887</v>
      </c>
    </row>
    <row r="257" spans="2:15" s="3" customFormat="1" x14ac:dyDescent="0.35">
      <c r="B257" s="593" t="s">
        <v>54</v>
      </c>
      <c r="C257" s="600">
        <f t="shared" si="59"/>
        <v>197.06399999999999</v>
      </c>
      <c r="D257" s="600">
        <f t="shared" si="59"/>
        <v>47.132000000000005</v>
      </c>
      <c r="E257" s="600">
        <f t="shared" si="59"/>
        <v>103.851</v>
      </c>
      <c r="F257" s="600">
        <f t="shared" si="59"/>
        <v>74.841999999999999</v>
      </c>
      <c r="G257" s="600">
        <f t="shared" si="59"/>
        <v>0</v>
      </c>
      <c r="H257" s="600">
        <f t="shared" si="59"/>
        <v>0</v>
      </c>
      <c r="I257" s="600">
        <f t="shared" si="59"/>
        <v>0</v>
      </c>
      <c r="J257" s="600">
        <f t="shared" si="59"/>
        <v>0</v>
      </c>
      <c r="K257" s="600">
        <f t="shared" si="59"/>
        <v>0</v>
      </c>
      <c r="L257" s="600">
        <f t="shared" si="59"/>
        <v>0</v>
      </c>
      <c r="M257" s="600">
        <f t="shared" si="59"/>
        <v>0</v>
      </c>
      <c r="N257" s="600">
        <f t="shared" si="59"/>
        <v>0</v>
      </c>
      <c r="O257" s="502">
        <f t="shared" si="60"/>
        <v>422.88900000000001</v>
      </c>
    </row>
    <row r="258" spans="2:15" s="3" customFormat="1" x14ac:dyDescent="0.35">
      <c r="B258" s="858" t="s">
        <v>55</v>
      </c>
      <c r="C258" s="879">
        <f t="shared" si="59"/>
        <v>0</v>
      </c>
      <c r="D258" s="879">
        <f t="shared" si="59"/>
        <v>0</v>
      </c>
      <c r="E258" s="879">
        <f t="shared" si="59"/>
        <v>0</v>
      </c>
      <c r="F258" s="879">
        <f t="shared" si="59"/>
        <v>0</v>
      </c>
      <c r="G258" s="879">
        <f t="shared" si="59"/>
        <v>0</v>
      </c>
      <c r="H258" s="879">
        <f t="shared" si="59"/>
        <v>0</v>
      </c>
      <c r="I258" s="879">
        <f t="shared" si="59"/>
        <v>0</v>
      </c>
      <c r="J258" s="879">
        <f t="shared" si="59"/>
        <v>0</v>
      </c>
      <c r="K258" s="879">
        <f t="shared" si="59"/>
        <v>0</v>
      </c>
      <c r="L258" s="879">
        <f t="shared" si="59"/>
        <v>0</v>
      </c>
      <c r="M258" s="879">
        <f t="shared" si="59"/>
        <v>0</v>
      </c>
      <c r="N258" s="879">
        <f t="shared" si="59"/>
        <v>0</v>
      </c>
      <c r="O258" s="1188">
        <f t="shared" si="60"/>
        <v>0</v>
      </c>
    </row>
    <row r="259" spans="2:15" s="3" customFormat="1" x14ac:dyDescent="0.35">
      <c r="B259" s="1203"/>
      <c r="C259" s="133"/>
      <c r="D259" s="133"/>
      <c r="E259" s="133"/>
      <c r="F259" s="133"/>
      <c r="G259" s="133"/>
      <c r="H259" s="133"/>
      <c r="I259" s="133"/>
      <c r="J259" s="133"/>
      <c r="K259" s="133"/>
      <c r="L259" s="133"/>
      <c r="M259" s="133"/>
      <c r="N259" s="133"/>
      <c r="O259" s="134"/>
    </row>
    <row r="260" spans="2:15" s="3" customFormat="1" x14ac:dyDescent="0.35">
      <c r="B260" s="1069" t="s">
        <v>521</v>
      </c>
      <c r="C260" s="1069"/>
      <c r="D260" s="1069"/>
      <c r="E260" s="1069"/>
      <c r="F260" s="1069"/>
      <c r="G260" s="1069"/>
      <c r="H260" s="1069"/>
      <c r="I260" s="1069"/>
      <c r="J260" s="1069"/>
      <c r="K260" s="1069"/>
      <c r="L260" s="1069"/>
      <c r="M260" s="1069"/>
      <c r="N260" s="1069"/>
      <c r="O260" s="1069"/>
    </row>
    <row r="261" spans="2:15" s="3" customFormat="1" x14ac:dyDescent="0.35">
      <c r="B261" s="8"/>
      <c r="C261" s="106"/>
      <c r="D261" s="106"/>
      <c r="E261" s="106"/>
      <c r="F261" s="106"/>
      <c r="G261" s="106"/>
      <c r="H261" s="106"/>
      <c r="I261" s="106"/>
      <c r="J261" s="106"/>
      <c r="K261" s="106"/>
      <c r="L261" s="106"/>
      <c r="M261" s="106"/>
      <c r="N261" s="106"/>
      <c r="O261" s="11"/>
    </row>
    <row r="262" spans="2:15" s="3" customFormat="1" ht="15" customHeight="1" x14ac:dyDescent="0.35">
      <c r="B262" s="1074" t="s">
        <v>13</v>
      </c>
      <c r="C262" s="1112" t="s">
        <v>0</v>
      </c>
      <c r="D262" s="1112" t="s">
        <v>1</v>
      </c>
      <c r="E262" s="1112" t="s">
        <v>2</v>
      </c>
      <c r="F262" s="1112" t="s">
        <v>3</v>
      </c>
      <c r="G262" s="1112" t="s">
        <v>4</v>
      </c>
      <c r="H262" s="1112" t="s">
        <v>5</v>
      </c>
      <c r="I262" s="1112" t="s">
        <v>6</v>
      </c>
      <c r="J262" s="1112" t="s">
        <v>7</v>
      </c>
      <c r="K262" s="1112" t="s">
        <v>8</v>
      </c>
      <c r="L262" s="1112" t="s">
        <v>9</v>
      </c>
      <c r="M262" s="1112" t="s">
        <v>10</v>
      </c>
      <c r="N262" s="1112" t="s">
        <v>14</v>
      </c>
      <c r="O262" s="1077" t="s">
        <v>15</v>
      </c>
    </row>
    <row r="263" spans="2:15" s="3" customFormat="1" ht="15" customHeight="1" x14ac:dyDescent="0.35">
      <c r="B263" s="1080"/>
      <c r="C263" s="1145"/>
      <c r="D263" s="1145"/>
      <c r="E263" s="1145"/>
      <c r="F263" s="1145"/>
      <c r="G263" s="1145"/>
      <c r="H263" s="1145"/>
      <c r="I263" s="1145"/>
      <c r="J263" s="1145"/>
      <c r="K263" s="1145"/>
      <c r="L263" s="1145"/>
      <c r="M263" s="1145"/>
      <c r="N263" s="1145"/>
      <c r="O263" s="1088"/>
    </row>
    <row r="264" spans="2:15" s="3" customFormat="1" x14ac:dyDescent="0.35">
      <c r="B264" s="1018"/>
      <c r="C264" s="1119"/>
      <c r="D264" s="1119"/>
      <c r="E264" s="1119"/>
      <c r="F264" s="1119"/>
      <c r="G264" s="1119"/>
      <c r="H264" s="1119"/>
      <c r="I264" s="1119"/>
      <c r="J264" s="1119"/>
      <c r="K264" s="1119"/>
      <c r="L264" s="1119"/>
      <c r="M264" s="1119"/>
      <c r="N264" s="1119"/>
      <c r="O264" s="1178"/>
    </row>
    <row r="265" spans="2:15" s="3" customFormat="1" x14ac:dyDescent="0.35">
      <c r="B265" s="589" t="s">
        <v>47</v>
      </c>
      <c r="C265" s="596">
        <f>SUM(C267:C273)</f>
        <v>91803.925000000294</v>
      </c>
      <c r="D265" s="596">
        <f>SUM(D267:D273)</f>
        <v>91163.194500000129</v>
      </c>
      <c r="E265" s="596">
        <f>SUM(E267:E273)</f>
        <v>108800.21399999982</v>
      </c>
      <c r="F265" s="596">
        <f>SUM(F267:F273)</f>
        <v>68707.355009999985</v>
      </c>
      <c r="G265" s="596">
        <f t="shared" ref="G265:L265" si="61">SUM(G267:G273)</f>
        <v>0</v>
      </c>
      <c r="H265" s="596">
        <f t="shared" si="61"/>
        <v>0</v>
      </c>
      <c r="I265" s="596">
        <f t="shared" si="61"/>
        <v>0</v>
      </c>
      <c r="J265" s="596">
        <f t="shared" si="61"/>
        <v>0</v>
      </c>
      <c r="K265" s="596">
        <f t="shared" si="61"/>
        <v>0</v>
      </c>
      <c r="L265" s="596">
        <f t="shared" si="61"/>
        <v>0</v>
      </c>
      <c r="M265" s="596">
        <f>SUM(M267:M273)</f>
        <v>0</v>
      </c>
      <c r="N265" s="596">
        <f>SUM(N267:N273)</f>
        <v>0</v>
      </c>
      <c r="O265" s="1179">
        <f>SUM(C265:N265)</f>
        <v>360474.68851000024</v>
      </c>
    </row>
    <row r="266" spans="2:15" s="3" customFormat="1" x14ac:dyDescent="0.35">
      <c r="B266" s="591"/>
      <c r="C266" s="590"/>
      <c r="D266" s="590"/>
      <c r="E266" s="590"/>
      <c r="F266" s="590"/>
      <c r="G266" s="590"/>
      <c r="H266" s="590"/>
      <c r="I266" s="590"/>
      <c r="J266" s="590"/>
      <c r="K266" s="590"/>
      <c r="L266" s="590"/>
      <c r="M266" s="590"/>
      <c r="N266" s="590"/>
      <c r="O266" s="1180"/>
    </row>
    <row r="267" spans="2:15" s="3" customFormat="1" x14ac:dyDescent="0.35">
      <c r="B267" s="593" t="s">
        <v>49</v>
      </c>
      <c r="C267" s="538">
        <f t="shared" ref="C267:N273" si="62">+C198+C208</f>
        <v>3603.2530000000006</v>
      </c>
      <c r="D267" s="538">
        <f t="shared" si="62"/>
        <v>4593.4289999999974</v>
      </c>
      <c r="E267" s="538">
        <f t="shared" si="62"/>
        <v>8580.4580000000024</v>
      </c>
      <c r="F267" s="538">
        <f t="shared" si="62"/>
        <v>5279.0380099999957</v>
      </c>
      <c r="G267" s="538">
        <f t="shared" si="62"/>
        <v>0</v>
      </c>
      <c r="H267" s="538">
        <f t="shared" si="62"/>
        <v>0</v>
      </c>
      <c r="I267" s="538">
        <f t="shared" si="62"/>
        <v>0</v>
      </c>
      <c r="J267" s="538">
        <f t="shared" si="62"/>
        <v>0</v>
      </c>
      <c r="K267" s="538">
        <f t="shared" si="62"/>
        <v>0</v>
      </c>
      <c r="L267" s="538">
        <f t="shared" si="62"/>
        <v>0</v>
      </c>
      <c r="M267" s="538">
        <f t="shared" si="62"/>
        <v>0</v>
      </c>
      <c r="N267" s="538">
        <f t="shared" si="62"/>
        <v>0</v>
      </c>
      <c r="O267" s="502">
        <f t="shared" ref="O267:O273" si="63">SUM(C267:N267)</f>
        <v>22056.178009999996</v>
      </c>
    </row>
    <row r="268" spans="2:15" s="3" customFormat="1" x14ac:dyDescent="0.35">
      <c r="B268" s="593" t="s">
        <v>50</v>
      </c>
      <c r="C268" s="538">
        <f t="shared" si="62"/>
        <v>79717.329500000298</v>
      </c>
      <c r="D268" s="538">
        <f t="shared" si="62"/>
        <v>79174.379000000103</v>
      </c>
      <c r="E268" s="538">
        <f t="shared" si="62"/>
        <v>92307.402999999831</v>
      </c>
      <c r="F268" s="538">
        <f t="shared" si="62"/>
        <v>61848.186999999998</v>
      </c>
      <c r="G268" s="538">
        <f t="shared" si="62"/>
        <v>0</v>
      </c>
      <c r="H268" s="538">
        <f t="shared" si="62"/>
        <v>0</v>
      </c>
      <c r="I268" s="538">
        <f t="shared" si="62"/>
        <v>0</v>
      </c>
      <c r="J268" s="538">
        <f t="shared" si="62"/>
        <v>0</v>
      </c>
      <c r="K268" s="538">
        <f t="shared" si="62"/>
        <v>0</v>
      </c>
      <c r="L268" s="538">
        <f t="shared" si="62"/>
        <v>0</v>
      </c>
      <c r="M268" s="538">
        <f t="shared" si="62"/>
        <v>0</v>
      </c>
      <c r="N268" s="538">
        <f t="shared" si="62"/>
        <v>0</v>
      </c>
      <c r="O268" s="502">
        <f t="shared" si="63"/>
        <v>313047.29850000021</v>
      </c>
    </row>
    <row r="269" spans="2:15" s="3" customFormat="1" x14ac:dyDescent="0.35">
      <c r="B269" s="593" t="s">
        <v>51</v>
      </c>
      <c r="C269" s="538">
        <f t="shared" si="62"/>
        <v>1484.587</v>
      </c>
      <c r="D269" s="538">
        <f t="shared" si="62"/>
        <v>1416.71</v>
      </c>
      <c r="E269" s="538">
        <f t="shared" si="62"/>
        <v>2164.116</v>
      </c>
      <c r="F269" s="538">
        <f t="shared" si="62"/>
        <v>1397.067</v>
      </c>
      <c r="G269" s="538">
        <f t="shared" si="62"/>
        <v>0</v>
      </c>
      <c r="H269" s="538">
        <f t="shared" si="62"/>
        <v>0</v>
      </c>
      <c r="I269" s="538">
        <f t="shared" si="62"/>
        <v>0</v>
      </c>
      <c r="J269" s="538">
        <f t="shared" si="62"/>
        <v>0</v>
      </c>
      <c r="K269" s="538">
        <f t="shared" si="62"/>
        <v>0</v>
      </c>
      <c r="L269" s="538">
        <f t="shared" si="62"/>
        <v>0</v>
      </c>
      <c r="M269" s="538">
        <f t="shared" si="62"/>
        <v>0</v>
      </c>
      <c r="N269" s="538">
        <f t="shared" si="62"/>
        <v>0</v>
      </c>
      <c r="O269" s="502">
        <f t="shared" si="63"/>
        <v>6462.4800000000005</v>
      </c>
    </row>
    <row r="270" spans="2:15" s="3" customFormat="1" x14ac:dyDescent="0.35">
      <c r="B270" s="593" t="s">
        <v>52</v>
      </c>
      <c r="C270" s="538">
        <f t="shared" si="62"/>
        <v>6883.15</v>
      </c>
      <c r="D270" s="538">
        <f t="shared" si="62"/>
        <v>5821.3200000000006</v>
      </c>
      <c r="E270" s="538">
        <f t="shared" si="62"/>
        <v>5655.0399999999991</v>
      </c>
      <c r="F270" s="538">
        <f t="shared" si="62"/>
        <v>64.899999999999991</v>
      </c>
      <c r="G270" s="538">
        <f t="shared" si="62"/>
        <v>0</v>
      </c>
      <c r="H270" s="538">
        <f t="shared" si="62"/>
        <v>0</v>
      </c>
      <c r="I270" s="538">
        <f t="shared" si="62"/>
        <v>0</v>
      </c>
      <c r="J270" s="538">
        <f t="shared" si="62"/>
        <v>0</v>
      </c>
      <c r="K270" s="538">
        <f t="shared" si="62"/>
        <v>0</v>
      </c>
      <c r="L270" s="538">
        <f t="shared" si="62"/>
        <v>0</v>
      </c>
      <c r="M270" s="538">
        <f t="shared" si="62"/>
        <v>0</v>
      </c>
      <c r="N270" s="538">
        <f t="shared" si="62"/>
        <v>0</v>
      </c>
      <c r="O270" s="502">
        <f t="shared" si="63"/>
        <v>18424.410000000003</v>
      </c>
    </row>
    <row r="271" spans="2:15" s="3" customFormat="1" x14ac:dyDescent="0.35">
      <c r="B271" s="593" t="s">
        <v>53</v>
      </c>
      <c r="C271" s="538">
        <f t="shared" si="62"/>
        <v>40.005499999999998</v>
      </c>
      <c r="D271" s="538">
        <f t="shared" si="62"/>
        <v>144.1815</v>
      </c>
      <c r="E271" s="538">
        <f t="shared" si="62"/>
        <v>93.197000000000003</v>
      </c>
      <c r="F271" s="538">
        <f t="shared" si="62"/>
        <v>89.622</v>
      </c>
      <c r="G271" s="538">
        <f t="shared" si="62"/>
        <v>0</v>
      </c>
      <c r="H271" s="538">
        <f t="shared" si="62"/>
        <v>0</v>
      </c>
      <c r="I271" s="538">
        <f t="shared" si="62"/>
        <v>0</v>
      </c>
      <c r="J271" s="538">
        <f t="shared" si="62"/>
        <v>0</v>
      </c>
      <c r="K271" s="538">
        <f t="shared" si="62"/>
        <v>0</v>
      </c>
      <c r="L271" s="538">
        <f t="shared" si="62"/>
        <v>0</v>
      </c>
      <c r="M271" s="538">
        <f t="shared" si="62"/>
        <v>0</v>
      </c>
      <c r="N271" s="538">
        <f t="shared" si="62"/>
        <v>0</v>
      </c>
      <c r="O271" s="502">
        <f t="shared" si="63"/>
        <v>367.00600000000003</v>
      </c>
    </row>
    <row r="272" spans="2:15" s="3" customFormat="1" x14ac:dyDescent="0.35">
      <c r="B272" s="593" t="s">
        <v>54</v>
      </c>
      <c r="C272" s="538">
        <f t="shared" si="62"/>
        <v>75.599999999999994</v>
      </c>
      <c r="D272" s="538">
        <f t="shared" si="62"/>
        <v>13.175000000000001</v>
      </c>
      <c r="E272" s="538">
        <f t="shared" si="62"/>
        <v>0</v>
      </c>
      <c r="F272" s="538">
        <f t="shared" si="62"/>
        <v>28.541</v>
      </c>
      <c r="G272" s="538">
        <f t="shared" si="62"/>
        <v>0</v>
      </c>
      <c r="H272" s="538">
        <f t="shared" si="62"/>
        <v>0</v>
      </c>
      <c r="I272" s="538">
        <f t="shared" si="62"/>
        <v>0</v>
      </c>
      <c r="J272" s="538">
        <f t="shared" si="62"/>
        <v>0</v>
      </c>
      <c r="K272" s="538">
        <f t="shared" si="62"/>
        <v>0</v>
      </c>
      <c r="L272" s="538">
        <f t="shared" si="62"/>
        <v>0</v>
      </c>
      <c r="M272" s="538">
        <f t="shared" si="62"/>
        <v>0</v>
      </c>
      <c r="N272" s="538">
        <f t="shared" si="62"/>
        <v>0</v>
      </c>
      <c r="O272" s="502">
        <f t="shared" si="63"/>
        <v>117.31599999999999</v>
      </c>
    </row>
    <row r="273" spans="2:20" s="3" customFormat="1" x14ac:dyDescent="0.35">
      <c r="B273" s="593" t="s">
        <v>55</v>
      </c>
      <c r="C273" s="538">
        <f t="shared" si="62"/>
        <v>0</v>
      </c>
      <c r="D273" s="538">
        <f t="shared" si="62"/>
        <v>0</v>
      </c>
      <c r="E273" s="538">
        <f t="shared" si="62"/>
        <v>0</v>
      </c>
      <c r="F273" s="538">
        <f t="shared" si="62"/>
        <v>0</v>
      </c>
      <c r="G273" s="538">
        <f t="shared" si="62"/>
        <v>0</v>
      </c>
      <c r="H273" s="538">
        <f t="shared" si="62"/>
        <v>0</v>
      </c>
      <c r="I273" s="538">
        <f t="shared" si="62"/>
        <v>0</v>
      </c>
      <c r="J273" s="538">
        <f t="shared" si="62"/>
        <v>0</v>
      </c>
      <c r="K273" s="538">
        <f t="shared" si="62"/>
        <v>0</v>
      </c>
      <c r="L273" s="538">
        <f t="shared" si="62"/>
        <v>0</v>
      </c>
      <c r="M273" s="538">
        <f t="shared" si="62"/>
        <v>0</v>
      </c>
      <c r="N273" s="538">
        <f t="shared" si="62"/>
        <v>0</v>
      </c>
      <c r="O273" s="502">
        <f t="shared" si="63"/>
        <v>0</v>
      </c>
    </row>
    <row r="274" spans="2:20" s="3" customFormat="1" x14ac:dyDescent="0.35">
      <c r="B274" s="593" t="s">
        <v>11</v>
      </c>
      <c r="C274" s="538"/>
      <c r="D274" s="538"/>
      <c r="E274" s="538"/>
      <c r="F274" s="538"/>
      <c r="G274" s="538"/>
      <c r="H274" s="538"/>
      <c r="I274" s="538"/>
      <c r="J274" s="538"/>
      <c r="K274" s="538"/>
      <c r="L274" s="538"/>
      <c r="M274" s="538"/>
      <c r="N274" s="538"/>
      <c r="O274" s="502"/>
    </row>
    <row r="275" spans="2:20" s="3" customFormat="1" x14ac:dyDescent="0.35">
      <c r="B275" s="589" t="s">
        <v>56</v>
      </c>
      <c r="C275" s="596">
        <f>SUM(C277:C283)</f>
        <v>283.416</v>
      </c>
      <c r="D275" s="596">
        <f>SUM(D277:D283)</f>
        <v>605.84</v>
      </c>
      <c r="E275" s="596">
        <f>SUM(E277:E283)</f>
        <v>2539.1630000000009</v>
      </c>
      <c r="F275" s="596">
        <f>SUM(F277:F283)</f>
        <v>1121.9759999999999</v>
      </c>
      <c r="G275" s="596">
        <f t="shared" ref="G275:L275" si="64">SUM(G277:G283)</f>
        <v>0</v>
      </c>
      <c r="H275" s="596">
        <f t="shared" si="64"/>
        <v>0</v>
      </c>
      <c r="I275" s="596">
        <f t="shared" si="64"/>
        <v>0</v>
      </c>
      <c r="J275" s="596">
        <f t="shared" si="64"/>
        <v>0</v>
      </c>
      <c r="K275" s="596">
        <f t="shared" si="64"/>
        <v>0</v>
      </c>
      <c r="L275" s="596">
        <f t="shared" si="64"/>
        <v>0</v>
      </c>
      <c r="M275" s="596">
        <f>SUM(M277:M283)</f>
        <v>0</v>
      </c>
      <c r="N275" s="596">
        <f>SUM(N277:N283)</f>
        <v>0</v>
      </c>
      <c r="O275" s="1179">
        <f>SUM(C275:N275)</f>
        <v>4550.3950000000004</v>
      </c>
    </row>
    <row r="276" spans="2:20" s="3" customFormat="1" x14ac:dyDescent="0.35">
      <c r="B276" s="591"/>
      <c r="C276" s="590"/>
      <c r="D276" s="590"/>
      <c r="E276" s="590"/>
      <c r="F276" s="590"/>
      <c r="G276" s="590"/>
      <c r="H276" s="590"/>
      <c r="I276" s="590"/>
      <c r="J276" s="590"/>
      <c r="K276" s="590"/>
      <c r="L276" s="590"/>
      <c r="M276" s="590"/>
      <c r="N276" s="590"/>
      <c r="O276" s="1180"/>
    </row>
    <row r="277" spans="2:20" s="3" customFormat="1" x14ac:dyDescent="0.35">
      <c r="B277" s="593" t="s">
        <v>49</v>
      </c>
      <c r="C277" s="538">
        <f t="shared" ref="C277:N283" si="65">+C220+C230</f>
        <v>0</v>
      </c>
      <c r="D277" s="538">
        <f t="shared" si="65"/>
        <v>496.69000000000005</v>
      </c>
      <c r="E277" s="538">
        <f t="shared" si="65"/>
        <v>2407.9500000000007</v>
      </c>
      <c r="F277" s="538">
        <f t="shared" si="65"/>
        <v>1075.675</v>
      </c>
      <c r="G277" s="538">
        <f t="shared" si="65"/>
        <v>0</v>
      </c>
      <c r="H277" s="538">
        <f t="shared" si="65"/>
        <v>0</v>
      </c>
      <c r="I277" s="538">
        <f t="shared" si="65"/>
        <v>0</v>
      </c>
      <c r="J277" s="538">
        <f t="shared" si="65"/>
        <v>0</v>
      </c>
      <c r="K277" s="538">
        <f t="shared" si="65"/>
        <v>0</v>
      </c>
      <c r="L277" s="538">
        <f t="shared" si="65"/>
        <v>0</v>
      </c>
      <c r="M277" s="538">
        <f t="shared" si="65"/>
        <v>0</v>
      </c>
      <c r="N277" s="538">
        <f t="shared" si="65"/>
        <v>0</v>
      </c>
      <c r="O277" s="502">
        <f t="shared" ref="O277:O283" si="66">SUM(C277:N277)</f>
        <v>3980.3150000000005</v>
      </c>
    </row>
    <row r="278" spans="2:20" s="3" customFormat="1" ht="22.5" customHeight="1" x14ac:dyDescent="0.35">
      <c r="B278" s="593" t="s">
        <v>50</v>
      </c>
      <c r="C278" s="538">
        <f t="shared" si="65"/>
        <v>161.952</v>
      </c>
      <c r="D278" s="538">
        <f t="shared" si="65"/>
        <v>75.192999999999998</v>
      </c>
      <c r="E278" s="538">
        <f t="shared" si="65"/>
        <v>27.362000000000002</v>
      </c>
      <c r="F278" s="538">
        <f t="shared" si="65"/>
        <v>0</v>
      </c>
      <c r="G278" s="538">
        <f t="shared" si="65"/>
        <v>0</v>
      </c>
      <c r="H278" s="538">
        <f t="shared" si="65"/>
        <v>0</v>
      </c>
      <c r="I278" s="538">
        <f t="shared" si="65"/>
        <v>0</v>
      </c>
      <c r="J278" s="538">
        <f t="shared" si="65"/>
        <v>0</v>
      </c>
      <c r="K278" s="538">
        <f t="shared" si="65"/>
        <v>0</v>
      </c>
      <c r="L278" s="538">
        <f t="shared" si="65"/>
        <v>0</v>
      </c>
      <c r="M278" s="538">
        <f t="shared" si="65"/>
        <v>0</v>
      </c>
      <c r="N278" s="538">
        <f t="shared" si="65"/>
        <v>0</v>
      </c>
      <c r="O278" s="502">
        <f t="shared" si="66"/>
        <v>264.50700000000001</v>
      </c>
    </row>
    <row r="279" spans="2:20" s="3" customFormat="1" x14ac:dyDescent="0.35">
      <c r="B279" s="593" t="s">
        <v>51</v>
      </c>
      <c r="C279" s="538">
        <f t="shared" si="65"/>
        <v>0</v>
      </c>
      <c r="D279" s="538">
        <f t="shared" si="65"/>
        <v>0</v>
      </c>
      <c r="E279" s="538">
        <f t="shared" si="65"/>
        <v>0</v>
      </c>
      <c r="F279" s="538">
        <f t="shared" si="65"/>
        <v>0</v>
      </c>
      <c r="G279" s="538">
        <f t="shared" si="65"/>
        <v>0</v>
      </c>
      <c r="H279" s="538">
        <f t="shared" si="65"/>
        <v>0</v>
      </c>
      <c r="I279" s="538">
        <f t="shared" si="65"/>
        <v>0</v>
      </c>
      <c r="J279" s="538">
        <f t="shared" si="65"/>
        <v>0</v>
      </c>
      <c r="K279" s="538">
        <f t="shared" si="65"/>
        <v>0</v>
      </c>
      <c r="L279" s="538">
        <f t="shared" si="65"/>
        <v>0</v>
      </c>
      <c r="M279" s="538">
        <f t="shared" si="65"/>
        <v>0</v>
      </c>
      <c r="N279" s="538">
        <f t="shared" si="65"/>
        <v>0</v>
      </c>
      <c r="O279" s="502">
        <f t="shared" si="66"/>
        <v>0</v>
      </c>
    </row>
    <row r="280" spans="2:20" ht="15" customHeight="1" x14ac:dyDescent="0.35">
      <c r="B280" s="593" t="s">
        <v>52</v>
      </c>
      <c r="C280" s="538">
        <f t="shared" si="65"/>
        <v>0</v>
      </c>
      <c r="D280" s="538">
        <f t="shared" si="65"/>
        <v>0</v>
      </c>
      <c r="E280" s="538">
        <f t="shared" si="65"/>
        <v>0</v>
      </c>
      <c r="F280" s="538">
        <f t="shared" si="65"/>
        <v>0</v>
      </c>
      <c r="G280" s="538">
        <f t="shared" si="65"/>
        <v>0</v>
      </c>
      <c r="H280" s="538">
        <f t="shared" si="65"/>
        <v>0</v>
      </c>
      <c r="I280" s="538">
        <f t="shared" si="65"/>
        <v>0</v>
      </c>
      <c r="J280" s="538">
        <f t="shared" si="65"/>
        <v>0</v>
      </c>
      <c r="K280" s="538">
        <f t="shared" si="65"/>
        <v>0</v>
      </c>
      <c r="L280" s="538">
        <f t="shared" si="65"/>
        <v>0</v>
      </c>
      <c r="M280" s="538">
        <f t="shared" si="65"/>
        <v>0</v>
      </c>
      <c r="N280" s="538">
        <f t="shared" si="65"/>
        <v>0</v>
      </c>
      <c r="O280" s="502">
        <f t="shared" si="66"/>
        <v>0</v>
      </c>
      <c r="P280" s="3"/>
      <c r="Q280" s="3"/>
      <c r="R280" s="3"/>
      <c r="S280" s="3"/>
      <c r="T280" s="3"/>
    </row>
    <row r="281" spans="2:20" x14ac:dyDescent="0.35">
      <c r="B281" s="593" t="s">
        <v>53</v>
      </c>
      <c r="C281" s="538">
        <f t="shared" si="65"/>
        <v>0</v>
      </c>
      <c r="D281" s="538">
        <f t="shared" si="65"/>
        <v>0</v>
      </c>
      <c r="E281" s="538">
        <f t="shared" si="65"/>
        <v>0</v>
      </c>
      <c r="F281" s="538">
        <f t="shared" si="65"/>
        <v>0</v>
      </c>
      <c r="G281" s="538">
        <f t="shared" si="65"/>
        <v>0</v>
      </c>
      <c r="H281" s="538">
        <f t="shared" si="65"/>
        <v>0</v>
      </c>
      <c r="I281" s="538">
        <f t="shared" si="65"/>
        <v>0</v>
      </c>
      <c r="J281" s="538">
        <f t="shared" si="65"/>
        <v>0</v>
      </c>
      <c r="K281" s="538">
        <f t="shared" si="65"/>
        <v>0</v>
      </c>
      <c r="L281" s="538">
        <f t="shared" si="65"/>
        <v>0</v>
      </c>
      <c r="M281" s="538">
        <f t="shared" si="65"/>
        <v>0</v>
      </c>
      <c r="N281" s="538">
        <f t="shared" si="65"/>
        <v>0</v>
      </c>
      <c r="O281" s="502">
        <f t="shared" si="66"/>
        <v>0</v>
      </c>
    </row>
    <row r="282" spans="2:20" s="3" customFormat="1" x14ac:dyDescent="0.35">
      <c r="B282" s="593" t="s">
        <v>54</v>
      </c>
      <c r="C282" s="538">
        <f t="shared" si="65"/>
        <v>121.464</v>
      </c>
      <c r="D282" s="538">
        <f t="shared" si="65"/>
        <v>33.957000000000001</v>
      </c>
      <c r="E282" s="538">
        <f t="shared" si="65"/>
        <v>103.851</v>
      </c>
      <c r="F282" s="538">
        <f t="shared" si="65"/>
        <v>46.301000000000002</v>
      </c>
      <c r="G282" s="538">
        <f t="shared" si="65"/>
        <v>0</v>
      </c>
      <c r="H282" s="538">
        <f t="shared" si="65"/>
        <v>0</v>
      </c>
      <c r="I282" s="538">
        <f t="shared" si="65"/>
        <v>0</v>
      </c>
      <c r="J282" s="538">
        <f t="shared" si="65"/>
        <v>0</v>
      </c>
      <c r="K282" s="538">
        <f t="shared" si="65"/>
        <v>0</v>
      </c>
      <c r="L282" s="538">
        <f t="shared" si="65"/>
        <v>0</v>
      </c>
      <c r="M282" s="538">
        <f t="shared" si="65"/>
        <v>0</v>
      </c>
      <c r="N282" s="538">
        <f t="shared" si="65"/>
        <v>0</v>
      </c>
      <c r="O282" s="502">
        <f t="shared" si="66"/>
        <v>305.57299999999998</v>
      </c>
      <c r="P282" s="324"/>
      <c r="Q282" s="324"/>
      <c r="R282" s="324"/>
      <c r="S282" s="324"/>
      <c r="T282" s="324"/>
    </row>
    <row r="283" spans="2:20" s="3" customFormat="1" x14ac:dyDescent="0.35">
      <c r="B283" s="593" t="s">
        <v>55</v>
      </c>
      <c r="C283" s="538">
        <f t="shared" si="65"/>
        <v>0</v>
      </c>
      <c r="D283" s="538">
        <f t="shared" si="65"/>
        <v>0</v>
      </c>
      <c r="E283" s="538">
        <f t="shared" si="65"/>
        <v>0</v>
      </c>
      <c r="F283" s="538">
        <f t="shared" si="65"/>
        <v>0</v>
      </c>
      <c r="G283" s="538">
        <f t="shared" si="65"/>
        <v>0</v>
      </c>
      <c r="H283" s="538">
        <f t="shared" si="65"/>
        <v>0</v>
      </c>
      <c r="I283" s="538">
        <f t="shared" si="65"/>
        <v>0</v>
      </c>
      <c r="J283" s="538">
        <f t="shared" si="65"/>
        <v>0</v>
      </c>
      <c r="K283" s="538">
        <f t="shared" si="65"/>
        <v>0</v>
      </c>
      <c r="L283" s="538">
        <f t="shared" si="65"/>
        <v>0</v>
      </c>
      <c r="M283" s="538">
        <f t="shared" si="65"/>
        <v>0</v>
      </c>
      <c r="N283" s="538">
        <f t="shared" si="65"/>
        <v>0</v>
      </c>
      <c r="O283" s="502">
        <f t="shared" si="66"/>
        <v>0</v>
      </c>
    </row>
    <row r="284" spans="2:20" s="3" customFormat="1" x14ac:dyDescent="0.35">
      <c r="B284" s="593"/>
      <c r="C284" s="538"/>
      <c r="D284" s="538"/>
      <c r="E284" s="538"/>
      <c r="F284" s="538"/>
      <c r="G284" s="538"/>
      <c r="H284" s="538"/>
      <c r="I284" s="538"/>
      <c r="J284" s="538"/>
      <c r="K284" s="538"/>
      <c r="L284" s="538"/>
      <c r="M284" s="538"/>
      <c r="N284" s="538"/>
      <c r="O284" s="502"/>
    </row>
    <row r="285" spans="2:20" s="3" customFormat="1" x14ac:dyDescent="0.35">
      <c r="B285" s="445" t="s">
        <v>36</v>
      </c>
      <c r="C285" s="1108">
        <f>C265+C275</f>
        <v>92087.341000000291</v>
      </c>
      <c r="D285" s="1108">
        <f>D265+D275</f>
        <v>91769.034500000125</v>
      </c>
      <c r="E285" s="1108">
        <f>E265+E275</f>
        <v>111339.37699999982</v>
      </c>
      <c r="F285" s="1108">
        <f>F265+F275</f>
        <v>69829.33100999998</v>
      </c>
      <c r="G285" s="1108">
        <f t="shared" ref="G285:L285" si="67">G265+G275</f>
        <v>0</v>
      </c>
      <c r="H285" s="1108">
        <f t="shared" si="67"/>
        <v>0</v>
      </c>
      <c r="I285" s="1108">
        <f t="shared" si="67"/>
        <v>0</v>
      </c>
      <c r="J285" s="1108">
        <f t="shared" si="67"/>
        <v>0</v>
      </c>
      <c r="K285" s="1108">
        <f t="shared" si="67"/>
        <v>0</v>
      </c>
      <c r="L285" s="1108">
        <f t="shared" si="67"/>
        <v>0</v>
      </c>
      <c r="M285" s="1108">
        <f>M265+M275</f>
        <v>0</v>
      </c>
      <c r="N285" s="1108">
        <f>N265+N275</f>
        <v>0</v>
      </c>
      <c r="O285" s="1187">
        <f>SUM(C285:N285)</f>
        <v>365025.0835100002</v>
      </c>
      <c r="P285" s="328">
        <f>C285+C144</f>
        <v>101892.0960000003</v>
      </c>
      <c r="Q285" s="328">
        <f>D285+D144</f>
        <v>101193.43150000012</v>
      </c>
      <c r="R285" s="328">
        <f>E285+E144</f>
        <v>115592.82199999983</v>
      </c>
      <c r="S285" s="328">
        <f>F285+F144</f>
        <v>70655.291009999986</v>
      </c>
      <c r="T285" s="328">
        <f>G285+G144</f>
        <v>0</v>
      </c>
    </row>
    <row r="286" spans="2:20" s="3" customFormat="1" x14ac:dyDescent="0.35">
      <c r="B286" s="591"/>
      <c r="C286" s="590"/>
      <c r="D286" s="590"/>
      <c r="E286" s="590"/>
      <c r="F286" s="590"/>
      <c r="G286" s="590"/>
      <c r="H286" s="590"/>
      <c r="I286" s="590"/>
      <c r="J286" s="590"/>
      <c r="K286" s="590"/>
      <c r="L286" s="590"/>
      <c r="M286" s="590"/>
      <c r="N286" s="590"/>
      <c r="O286" s="1180"/>
    </row>
    <row r="287" spans="2:20" s="3" customFormat="1" x14ac:dyDescent="0.35">
      <c r="B287" s="593" t="s">
        <v>49</v>
      </c>
      <c r="C287" s="538">
        <f t="shared" ref="C287:N293" si="68">C267+C277</f>
        <v>3603.2530000000006</v>
      </c>
      <c r="D287" s="538">
        <f t="shared" si="68"/>
        <v>5090.118999999997</v>
      </c>
      <c r="E287" s="538">
        <f t="shared" si="68"/>
        <v>10988.408000000003</v>
      </c>
      <c r="F287" s="538">
        <f t="shared" si="68"/>
        <v>6354.7130099999958</v>
      </c>
      <c r="G287" s="538">
        <f t="shared" si="68"/>
        <v>0</v>
      </c>
      <c r="H287" s="538">
        <f t="shared" si="68"/>
        <v>0</v>
      </c>
      <c r="I287" s="538">
        <f t="shared" si="68"/>
        <v>0</v>
      </c>
      <c r="J287" s="538">
        <f t="shared" si="68"/>
        <v>0</v>
      </c>
      <c r="K287" s="538">
        <f t="shared" si="68"/>
        <v>0</v>
      </c>
      <c r="L287" s="538">
        <f t="shared" si="68"/>
        <v>0</v>
      </c>
      <c r="M287" s="538">
        <f t="shared" si="68"/>
        <v>0</v>
      </c>
      <c r="N287" s="538">
        <f t="shared" si="68"/>
        <v>0</v>
      </c>
      <c r="O287" s="502">
        <f t="shared" ref="O287:O293" si="69">SUM(C287:N287)</f>
        <v>26036.493009999995</v>
      </c>
    </row>
    <row r="288" spans="2:20" s="3" customFormat="1" x14ac:dyDescent="0.35">
      <c r="B288" s="593" t="s">
        <v>50</v>
      </c>
      <c r="C288" s="538">
        <f t="shared" si="68"/>
        <v>79879.281500000303</v>
      </c>
      <c r="D288" s="538">
        <f t="shared" si="68"/>
        <v>79249.572000000102</v>
      </c>
      <c r="E288" s="538">
        <f t="shared" si="68"/>
        <v>92334.764999999825</v>
      </c>
      <c r="F288" s="538">
        <f t="shared" si="68"/>
        <v>61848.186999999998</v>
      </c>
      <c r="G288" s="538">
        <f t="shared" si="68"/>
        <v>0</v>
      </c>
      <c r="H288" s="538">
        <f t="shared" si="68"/>
        <v>0</v>
      </c>
      <c r="I288" s="538">
        <f t="shared" si="68"/>
        <v>0</v>
      </c>
      <c r="J288" s="538">
        <f t="shared" si="68"/>
        <v>0</v>
      </c>
      <c r="K288" s="538">
        <f t="shared" si="68"/>
        <v>0</v>
      </c>
      <c r="L288" s="538">
        <f t="shared" si="68"/>
        <v>0</v>
      </c>
      <c r="M288" s="538">
        <f t="shared" si="68"/>
        <v>0</v>
      </c>
      <c r="N288" s="538">
        <f t="shared" si="68"/>
        <v>0</v>
      </c>
      <c r="O288" s="502">
        <f t="shared" si="69"/>
        <v>313311.80550000019</v>
      </c>
    </row>
    <row r="289" spans="2:15" s="3" customFormat="1" x14ac:dyDescent="0.35">
      <c r="B289" s="593" t="s">
        <v>51</v>
      </c>
      <c r="C289" s="538">
        <f t="shared" si="68"/>
        <v>1484.587</v>
      </c>
      <c r="D289" s="538">
        <f t="shared" si="68"/>
        <v>1416.71</v>
      </c>
      <c r="E289" s="538">
        <f t="shared" si="68"/>
        <v>2164.116</v>
      </c>
      <c r="F289" s="538">
        <f t="shared" si="68"/>
        <v>1397.067</v>
      </c>
      <c r="G289" s="538">
        <f t="shared" si="68"/>
        <v>0</v>
      </c>
      <c r="H289" s="538">
        <f t="shared" si="68"/>
        <v>0</v>
      </c>
      <c r="I289" s="538">
        <f t="shared" si="68"/>
        <v>0</v>
      </c>
      <c r="J289" s="538">
        <f t="shared" si="68"/>
        <v>0</v>
      </c>
      <c r="K289" s="538">
        <f t="shared" si="68"/>
        <v>0</v>
      </c>
      <c r="L289" s="538">
        <f t="shared" si="68"/>
        <v>0</v>
      </c>
      <c r="M289" s="538">
        <f t="shared" si="68"/>
        <v>0</v>
      </c>
      <c r="N289" s="538">
        <f t="shared" si="68"/>
        <v>0</v>
      </c>
      <c r="O289" s="502">
        <f t="shared" si="69"/>
        <v>6462.4800000000005</v>
      </c>
    </row>
    <row r="290" spans="2:15" s="3" customFormat="1" x14ac:dyDescent="0.35">
      <c r="B290" s="593" t="s">
        <v>52</v>
      </c>
      <c r="C290" s="538">
        <f t="shared" si="68"/>
        <v>6883.15</v>
      </c>
      <c r="D290" s="538">
        <f t="shared" si="68"/>
        <v>5821.3200000000006</v>
      </c>
      <c r="E290" s="538">
        <f t="shared" si="68"/>
        <v>5655.0399999999991</v>
      </c>
      <c r="F290" s="538">
        <f t="shared" si="68"/>
        <v>64.899999999999991</v>
      </c>
      <c r="G290" s="538">
        <f t="shared" si="68"/>
        <v>0</v>
      </c>
      <c r="H290" s="538">
        <f t="shared" si="68"/>
        <v>0</v>
      </c>
      <c r="I290" s="538">
        <f t="shared" si="68"/>
        <v>0</v>
      </c>
      <c r="J290" s="538">
        <f t="shared" si="68"/>
        <v>0</v>
      </c>
      <c r="K290" s="538">
        <f t="shared" si="68"/>
        <v>0</v>
      </c>
      <c r="L290" s="538">
        <f t="shared" si="68"/>
        <v>0</v>
      </c>
      <c r="M290" s="538">
        <f t="shared" si="68"/>
        <v>0</v>
      </c>
      <c r="N290" s="538">
        <f t="shared" si="68"/>
        <v>0</v>
      </c>
      <c r="O290" s="502">
        <f t="shared" si="69"/>
        <v>18424.410000000003</v>
      </c>
    </row>
    <row r="291" spans="2:15" s="3" customFormat="1" x14ac:dyDescent="0.35">
      <c r="B291" s="593" t="s">
        <v>53</v>
      </c>
      <c r="C291" s="538">
        <f t="shared" si="68"/>
        <v>40.005499999999998</v>
      </c>
      <c r="D291" s="538">
        <f t="shared" si="68"/>
        <v>144.1815</v>
      </c>
      <c r="E291" s="538">
        <f t="shared" si="68"/>
        <v>93.197000000000003</v>
      </c>
      <c r="F291" s="538">
        <f t="shared" si="68"/>
        <v>89.622</v>
      </c>
      <c r="G291" s="538">
        <f t="shared" si="68"/>
        <v>0</v>
      </c>
      <c r="H291" s="538">
        <f t="shared" si="68"/>
        <v>0</v>
      </c>
      <c r="I291" s="538">
        <f t="shared" si="68"/>
        <v>0</v>
      </c>
      <c r="J291" s="538">
        <f t="shared" si="68"/>
        <v>0</v>
      </c>
      <c r="K291" s="538">
        <f t="shared" si="68"/>
        <v>0</v>
      </c>
      <c r="L291" s="538">
        <f t="shared" si="68"/>
        <v>0</v>
      </c>
      <c r="M291" s="538">
        <f t="shared" si="68"/>
        <v>0</v>
      </c>
      <c r="N291" s="538">
        <f t="shared" si="68"/>
        <v>0</v>
      </c>
      <c r="O291" s="502">
        <f t="shared" si="69"/>
        <v>367.00600000000003</v>
      </c>
    </row>
    <row r="292" spans="2:15" s="3" customFormat="1" x14ac:dyDescent="0.35">
      <c r="B292" s="593" t="s">
        <v>54</v>
      </c>
      <c r="C292" s="538">
        <f t="shared" si="68"/>
        <v>197.06399999999999</v>
      </c>
      <c r="D292" s="538">
        <f t="shared" si="68"/>
        <v>47.132000000000005</v>
      </c>
      <c r="E292" s="538">
        <f t="shared" si="68"/>
        <v>103.851</v>
      </c>
      <c r="F292" s="538">
        <f t="shared" si="68"/>
        <v>74.841999999999999</v>
      </c>
      <c r="G292" s="538">
        <f t="shared" si="68"/>
        <v>0</v>
      </c>
      <c r="H292" s="538">
        <f t="shared" si="68"/>
        <v>0</v>
      </c>
      <c r="I292" s="538">
        <f t="shared" si="68"/>
        <v>0</v>
      </c>
      <c r="J292" s="538">
        <f t="shared" si="68"/>
        <v>0</v>
      </c>
      <c r="K292" s="538">
        <f t="shared" si="68"/>
        <v>0</v>
      </c>
      <c r="L292" s="538">
        <f t="shared" si="68"/>
        <v>0</v>
      </c>
      <c r="M292" s="538">
        <f t="shared" si="68"/>
        <v>0</v>
      </c>
      <c r="N292" s="538">
        <f t="shared" si="68"/>
        <v>0</v>
      </c>
      <c r="O292" s="502">
        <f t="shared" si="69"/>
        <v>422.88900000000001</v>
      </c>
    </row>
    <row r="293" spans="2:15" s="3" customFormat="1" x14ac:dyDescent="0.35">
      <c r="B293" s="858" t="s">
        <v>55</v>
      </c>
      <c r="C293" s="866">
        <f t="shared" si="68"/>
        <v>0</v>
      </c>
      <c r="D293" s="866">
        <f t="shared" si="68"/>
        <v>0</v>
      </c>
      <c r="E293" s="866">
        <f t="shared" si="68"/>
        <v>0</v>
      </c>
      <c r="F293" s="866">
        <f t="shared" si="68"/>
        <v>0</v>
      </c>
      <c r="G293" s="866">
        <f t="shared" si="68"/>
        <v>0</v>
      </c>
      <c r="H293" s="866">
        <f t="shared" si="68"/>
        <v>0</v>
      </c>
      <c r="I293" s="866">
        <f t="shared" si="68"/>
        <v>0</v>
      </c>
      <c r="J293" s="866">
        <f t="shared" si="68"/>
        <v>0</v>
      </c>
      <c r="K293" s="866">
        <f t="shared" si="68"/>
        <v>0</v>
      </c>
      <c r="L293" s="866">
        <f t="shared" si="68"/>
        <v>0</v>
      </c>
      <c r="M293" s="866">
        <f t="shared" si="68"/>
        <v>0</v>
      </c>
      <c r="N293" s="866">
        <f t="shared" si="68"/>
        <v>0</v>
      </c>
      <c r="O293" s="1188">
        <f t="shared" si="69"/>
        <v>0</v>
      </c>
    </row>
    <row r="294" spans="2:15" s="3" customFormat="1" x14ac:dyDescent="0.35">
      <c r="B294" s="132"/>
      <c r="C294" s="133"/>
      <c r="D294" s="133"/>
      <c r="E294" s="133"/>
      <c r="F294" s="133"/>
      <c r="G294" s="133"/>
      <c r="H294" s="133"/>
      <c r="I294" s="133"/>
      <c r="J294" s="133"/>
      <c r="K294" s="133"/>
      <c r="L294" s="133"/>
      <c r="M294" s="133"/>
      <c r="N294" s="133"/>
      <c r="O294" s="134"/>
    </row>
    <row r="295" spans="2:15" s="3" customFormat="1" x14ac:dyDescent="0.35">
      <c r="B295" s="1069" t="s">
        <v>522</v>
      </c>
      <c r="C295" s="1069"/>
      <c r="D295" s="1069"/>
      <c r="E295" s="1069"/>
      <c r="F295" s="1069"/>
      <c r="G295" s="1069"/>
      <c r="H295" s="1069"/>
      <c r="I295" s="1069"/>
      <c r="J295" s="1069"/>
      <c r="K295" s="1069"/>
      <c r="L295" s="1069"/>
      <c r="M295" s="1069"/>
      <c r="N295" s="1069"/>
      <c r="O295" s="1069"/>
    </row>
    <row r="296" spans="2:15" s="3" customFormat="1" x14ac:dyDescent="0.35">
      <c r="B296" s="158"/>
      <c r="C296" s="159"/>
      <c r="D296" s="159"/>
      <c r="E296" s="159"/>
      <c r="F296" s="159"/>
      <c r="G296" s="159"/>
      <c r="H296" s="159"/>
      <c r="I296" s="159"/>
      <c r="J296" s="159"/>
      <c r="K296" s="159"/>
      <c r="L296" s="159"/>
      <c r="M296" s="159"/>
      <c r="N296" s="159"/>
      <c r="O296" s="160"/>
    </row>
    <row r="297" spans="2:15" s="3" customFormat="1" ht="15" customHeight="1" x14ac:dyDescent="0.35">
      <c r="B297" s="1074" t="s">
        <v>13</v>
      </c>
      <c r="C297" s="1204" t="s">
        <v>0</v>
      </c>
      <c r="D297" s="1077" t="s">
        <v>1</v>
      </c>
      <c r="E297" s="1077" t="s">
        <v>2</v>
      </c>
      <c r="F297" s="1077" t="s">
        <v>3</v>
      </c>
      <c r="G297" s="1077" t="s">
        <v>4</v>
      </c>
      <c r="H297" s="1077" t="s">
        <v>5</v>
      </c>
      <c r="I297" s="1077" t="s">
        <v>6</v>
      </c>
      <c r="J297" s="1077" t="s">
        <v>7</v>
      </c>
      <c r="K297" s="1077" t="s">
        <v>8</v>
      </c>
      <c r="L297" s="1077" t="s">
        <v>9</v>
      </c>
      <c r="M297" s="1077" t="s">
        <v>10</v>
      </c>
      <c r="N297" s="1077" t="s">
        <v>14</v>
      </c>
      <c r="O297" s="1077" t="s">
        <v>15</v>
      </c>
    </row>
    <row r="298" spans="2:15" s="3" customFormat="1" ht="15" customHeight="1" x14ac:dyDescent="0.35">
      <c r="B298" s="1080"/>
      <c r="C298" s="1205"/>
      <c r="D298" s="1088"/>
      <c r="E298" s="1088"/>
      <c r="F298" s="1088"/>
      <c r="G298" s="1088"/>
      <c r="H298" s="1088"/>
      <c r="I298" s="1088"/>
      <c r="J298" s="1088"/>
      <c r="K298" s="1088"/>
      <c r="L298" s="1088"/>
      <c r="M298" s="1088"/>
      <c r="N298" s="1088"/>
      <c r="O298" s="1088"/>
    </row>
    <row r="299" spans="2:15" s="3" customFormat="1" x14ac:dyDescent="0.35">
      <c r="B299" s="161"/>
      <c r="C299" s="1123"/>
      <c r="D299" s="1123"/>
      <c r="E299" s="1123"/>
      <c r="F299" s="1123"/>
      <c r="G299" s="1123"/>
      <c r="H299" s="1123"/>
      <c r="I299" s="1206"/>
      <c r="J299" s="1206"/>
      <c r="K299" s="1206"/>
      <c r="L299" s="1206"/>
      <c r="M299" s="1206"/>
      <c r="N299" s="1206"/>
      <c r="O299" s="1207"/>
    </row>
    <row r="300" spans="2:15" s="3" customFormat="1" x14ac:dyDescent="0.35">
      <c r="B300" s="1208" t="s">
        <v>47</v>
      </c>
      <c r="C300" s="601">
        <f>+C302+C305</f>
        <v>91803.925000000017</v>
      </c>
      <c r="D300" s="601">
        <f>+D302+D305</f>
        <v>91163.194500000012</v>
      </c>
      <c r="E300" s="601">
        <f>+E302+E305</f>
        <v>108800.21400000002</v>
      </c>
      <c r="F300" s="601">
        <f>+F302+F305</f>
        <v>68707.355010000014</v>
      </c>
      <c r="G300" s="601">
        <f t="shared" ref="G300:L300" si="70">+G302+G305</f>
        <v>0</v>
      </c>
      <c r="H300" s="601">
        <f t="shared" si="70"/>
        <v>0</v>
      </c>
      <c r="I300" s="601">
        <f t="shared" si="70"/>
        <v>0</v>
      </c>
      <c r="J300" s="601">
        <f t="shared" si="70"/>
        <v>0</v>
      </c>
      <c r="K300" s="601">
        <f t="shared" si="70"/>
        <v>0</v>
      </c>
      <c r="L300" s="601">
        <f t="shared" si="70"/>
        <v>0</v>
      </c>
      <c r="M300" s="601">
        <f>+M302+M305</f>
        <v>0</v>
      </c>
      <c r="N300" s="601">
        <f>+N302+N305</f>
        <v>0</v>
      </c>
      <c r="O300" s="602">
        <f>SUM(C300:N300)</f>
        <v>360474.68851000007</v>
      </c>
    </row>
    <row r="301" spans="2:15" s="3" customFormat="1" x14ac:dyDescent="0.35">
      <c r="B301" s="1209"/>
      <c r="C301" s="603"/>
      <c r="D301" s="603"/>
      <c r="E301" s="603"/>
      <c r="F301" s="603"/>
      <c r="G301" s="603"/>
      <c r="H301" s="603"/>
      <c r="I301" s="604"/>
      <c r="J301" s="604"/>
      <c r="K301" s="604"/>
      <c r="L301" s="604"/>
      <c r="M301" s="604"/>
      <c r="N301" s="604"/>
      <c r="O301" s="605"/>
    </row>
    <row r="302" spans="2:15" s="3" customFormat="1" x14ac:dyDescent="0.35">
      <c r="B302" s="1210" t="s">
        <v>60</v>
      </c>
      <c r="C302" s="586">
        <f>SUM(C303:C304)</f>
        <v>87533.993000000017</v>
      </c>
      <c r="D302" s="586">
        <f>SUM(D303:D304)</f>
        <v>87857.977500000008</v>
      </c>
      <c r="E302" s="586">
        <f>SUM(E303:E304)</f>
        <v>104791.20700000002</v>
      </c>
      <c r="F302" s="586">
        <f>SUM(F303:F304)</f>
        <v>65606.737010000012</v>
      </c>
      <c r="G302" s="586">
        <f t="shared" ref="G302:L302" si="71">SUM(G303:G304)</f>
        <v>0</v>
      </c>
      <c r="H302" s="586">
        <f t="shared" si="71"/>
        <v>0</v>
      </c>
      <c r="I302" s="586">
        <f t="shared" si="71"/>
        <v>0</v>
      </c>
      <c r="J302" s="586">
        <f t="shared" si="71"/>
        <v>0</v>
      </c>
      <c r="K302" s="586">
        <f t="shared" si="71"/>
        <v>0</v>
      </c>
      <c r="L302" s="586">
        <f t="shared" si="71"/>
        <v>0</v>
      </c>
      <c r="M302" s="586">
        <f>SUM(M303:M304)</f>
        <v>0</v>
      </c>
      <c r="N302" s="586">
        <f>SUM(N303:N304)</f>
        <v>0</v>
      </c>
      <c r="O302" s="605">
        <f t="shared" ref="O302:O307" si="72">SUM(C302:N302)</f>
        <v>345789.91451000003</v>
      </c>
    </row>
    <row r="303" spans="2:15" s="3" customFormat="1" x14ac:dyDescent="0.35">
      <c r="B303" s="1211" t="s">
        <v>218</v>
      </c>
      <c r="C303" s="1124">
        <v>63592.871500000008</v>
      </c>
      <c r="D303" s="1124">
        <v>63749.178000000014</v>
      </c>
      <c r="E303" s="1124">
        <v>77121.657000000021</v>
      </c>
      <c r="F303" s="1124">
        <v>57048.677010000014</v>
      </c>
      <c r="G303" s="1124"/>
      <c r="H303" s="1124"/>
      <c r="I303" s="1124"/>
      <c r="J303" s="1124"/>
      <c r="K303" s="1124"/>
      <c r="L303" s="1124"/>
      <c r="M303" s="1124"/>
      <c r="N303" s="1124"/>
      <c r="O303" s="606">
        <f t="shared" si="72"/>
        <v>261512.38351000004</v>
      </c>
    </row>
    <row r="304" spans="2:15" s="3" customFormat="1" x14ac:dyDescent="0.35">
      <c r="B304" s="1211" t="s">
        <v>219</v>
      </c>
      <c r="C304" s="607">
        <f>C118-C120</f>
        <v>23941.121500000001</v>
      </c>
      <c r="D304" s="607">
        <f>D118-D120</f>
        <v>24108.799499999997</v>
      </c>
      <c r="E304" s="607">
        <f>E118-E120</f>
        <v>27669.549999999996</v>
      </c>
      <c r="F304" s="607">
        <f>F118-F120</f>
        <v>8558.0599999999977</v>
      </c>
      <c r="G304" s="607">
        <f t="shared" ref="G304:L304" si="73">G118-G120</f>
        <v>0</v>
      </c>
      <c r="H304" s="607">
        <f t="shared" si="73"/>
        <v>0</v>
      </c>
      <c r="I304" s="607">
        <f t="shared" si="73"/>
        <v>0</v>
      </c>
      <c r="J304" s="607">
        <f t="shared" si="73"/>
        <v>0</v>
      </c>
      <c r="K304" s="607">
        <f t="shared" si="73"/>
        <v>0</v>
      </c>
      <c r="L304" s="607">
        <f t="shared" si="73"/>
        <v>0</v>
      </c>
      <c r="M304" s="607">
        <f>M118-M120</f>
        <v>0</v>
      </c>
      <c r="N304" s="607">
        <f>N118-N120</f>
        <v>0</v>
      </c>
      <c r="O304" s="606">
        <f t="shared" si="72"/>
        <v>84277.530999999988</v>
      </c>
    </row>
    <row r="305" spans="2:15" s="3" customFormat="1" x14ac:dyDescent="0.35">
      <c r="B305" s="1210" t="s">
        <v>61</v>
      </c>
      <c r="C305" s="586">
        <f>SUM(C306:C307)</f>
        <v>4269.9319999999998</v>
      </c>
      <c r="D305" s="586">
        <f>SUM(D306:D307)</f>
        <v>3305.2169999999992</v>
      </c>
      <c r="E305" s="586">
        <f>SUM(E306:E307)</f>
        <v>4009.0069999999996</v>
      </c>
      <c r="F305" s="586">
        <f>SUM(F306:F307)</f>
        <v>3100.6179999999995</v>
      </c>
      <c r="G305" s="586">
        <f t="shared" ref="G305:L305" si="74">SUM(G306:G307)</f>
        <v>0</v>
      </c>
      <c r="H305" s="586">
        <f t="shared" si="74"/>
        <v>0</v>
      </c>
      <c r="I305" s="586">
        <f t="shared" si="74"/>
        <v>0</v>
      </c>
      <c r="J305" s="586">
        <f t="shared" si="74"/>
        <v>0</v>
      </c>
      <c r="K305" s="586">
        <f t="shared" si="74"/>
        <v>0</v>
      </c>
      <c r="L305" s="586">
        <f t="shared" si="74"/>
        <v>0</v>
      </c>
      <c r="M305" s="586">
        <f>SUM(M306:M307)</f>
        <v>0</v>
      </c>
      <c r="N305" s="586">
        <f>SUM(N306:N307)</f>
        <v>0</v>
      </c>
      <c r="O305" s="605">
        <f t="shared" si="72"/>
        <v>14684.773999999998</v>
      </c>
    </row>
    <row r="306" spans="2:15" s="3" customFormat="1" x14ac:dyDescent="0.35">
      <c r="B306" s="1211" t="s">
        <v>218</v>
      </c>
      <c r="C306" s="1124">
        <v>4269.9319999999998</v>
      </c>
      <c r="D306" s="1124">
        <v>3305.2169999999992</v>
      </c>
      <c r="E306" s="1124">
        <v>4009.0069999999996</v>
      </c>
      <c r="F306" s="1124">
        <v>3100.6179999999995</v>
      </c>
      <c r="G306" s="1124"/>
      <c r="H306" s="1124"/>
      <c r="I306" s="1124"/>
      <c r="J306" s="1124"/>
      <c r="K306" s="1124"/>
      <c r="L306" s="1124"/>
      <c r="M306" s="1124"/>
      <c r="N306" s="1124"/>
      <c r="O306" s="606">
        <f t="shared" si="72"/>
        <v>14684.773999999998</v>
      </c>
    </row>
    <row r="307" spans="2:15" s="3" customFormat="1" x14ac:dyDescent="0.35">
      <c r="B307" s="1211" t="s">
        <v>219</v>
      </c>
      <c r="C307" s="607">
        <v>0</v>
      </c>
      <c r="D307" s="607">
        <v>0</v>
      </c>
      <c r="E307" s="607">
        <v>0</v>
      </c>
      <c r="F307" s="607">
        <v>0</v>
      </c>
      <c r="G307" s="607">
        <v>0</v>
      </c>
      <c r="H307" s="607">
        <v>0</v>
      </c>
      <c r="I307" s="607">
        <v>0</v>
      </c>
      <c r="J307" s="607">
        <v>0</v>
      </c>
      <c r="K307" s="607">
        <v>0</v>
      </c>
      <c r="L307" s="607">
        <v>0</v>
      </c>
      <c r="M307" s="1124"/>
      <c r="N307" s="1124"/>
      <c r="O307" s="606">
        <f t="shared" si="72"/>
        <v>0</v>
      </c>
    </row>
    <row r="308" spans="2:15" s="3" customFormat="1" x14ac:dyDescent="0.35">
      <c r="B308" s="1211"/>
      <c r="C308" s="1125"/>
      <c r="D308" s="1125"/>
      <c r="E308" s="1125"/>
      <c r="F308" s="1125"/>
      <c r="G308" s="1125"/>
      <c r="H308" s="1125"/>
      <c r="I308" s="1125"/>
      <c r="J308" s="1125"/>
      <c r="K308" s="1125"/>
      <c r="L308" s="1125"/>
      <c r="M308" s="1125"/>
      <c r="N308" s="1125"/>
      <c r="O308" s="608"/>
    </row>
    <row r="309" spans="2:15" s="3" customFormat="1" x14ac:dyDescent="0.35">
      <c r="B309" s="1208" t="s">
        <v>56</v>
      </c>
      <c r="C309" s="601">
        <f>+C311+C314</f>
        <v>283.416</v>
      </c>
      <c r="D309" s="601">
        <f>+D311+D314</f>
        <v>605.84</v>
      </c>
      <c r="E309" s="601">
        <f>+E311+E314</f>
        <v>2539.1630000000009</v>
      </c>
      <c r="F309" s="601">
        <f>+F311+F314</f>
        <v>1121.9759999999999</v>
      </c>
      <c r="G309" s="601">
        <f t="shared" ref="G309:L309" si="75">+G311+G314</f>
        <v>0</v>
      </c>
      <c r="H309" s="601">
        <f t="shared" si="75"/>
        <v>0</v>
      </c>
      <c r="I309" s="601">
        <f t="shared" si="75"/>
        <v>0</v>
      </c>
      <c r="J309" s="601">
        <f t="shared" si="75"/>
        <v>0</v>
      </c>
      <c r="K309" s="601">
        <f t="shared" si="75"/>
        <v>0</v>
      </c>
      <c r="L309" s="601">
        <f t="shared" si="75"/>
        <v>0</v>
      </c>
      <c r="M309" s="601">
        <f>+M311+M314</f>
        <v>0</v>
      </c>
      <c r="N309" s="601">
        <f>+N311+N314</f>
        <v>0</v>
      </c>
      <c r="O309" s="602">
        <f>SUM(C309:N309)</f>
        <v>4550.3950000000004</v>
      </c>
    </row>
    <row r="310" spans="2:15" s="3" customFormat="1" x14ac:dyDescent="0.35">
      <c r="B310" s="1209"/>
      <c r="C310" s="603"/>
      <c r="D310" s="603"/>
      <c r="E310" s="603"/>
      <c r="F310" s="603"/>
      <c r="G310" s="603"/>
      <c r="H310" s="603"/>
      <c r="I310" s="604"/>
      <c r="J310" s="604"/>
      <c r="K310" s="604"/>
      <c r="L310" s="604"/>
      <c r="M310" s="604"/>
      <c r="N310" s="604"/>
      <c r="O310" s="605"/>
    </row>
    <row r="311" spans="2:15" s="3" customFormat="1" x14ac:dyDescent="0.35">
      <c r="B311" s="1210" t="s">
        <v>60</v>
      </c>
      <c r="C311" s="586">
        <f>SUM(C312:C313)</f>
        <v>283.416</v>
      </c>
      <c r="D311" s="586">
        <f>SUM(D312:D313)</f>
        <v>605.84</v>
      </c>
      <c r="E311" s="586">
        <f>SUM(E312:E313)</f>
        <v>2539.1630000000009</v>
      </c>
      <c r="F311" s="586">
        <f>SUM(F312:F313)</f>
        <v>1121.9759999999999</v>
      </c>
      <c r="G311" s="586">
        <f t="shared" ref="G311:L311" si="76">SUM(G312:G313)</f>
        <v>0</v>
      </c>
      <c r="H311" s="586">
        <f t="shared" si="76"/>
        <v>0</v>
      </c>
      <c r="I311" s="586">
        <f t="shared" si="76"/>
        <v>0</v>
      </c>
      <c r="J311" s="586">
        <f t="shared" si="76"/>
        <v>0</v>
      </c>
      <c r="K311" s="586">
        <f t="shared" si="76"/>
        <v>0</v>
      </c>
      <c r="L311" s="586">
        <f t="shared" si="76"/>
        <v>0</v>
      </c>
      <c r="M311" s="586">
        <f>SUM(M312:M313)</f>
        <v>0</v>
      </c>
      <c r="N311" s="586">
        <f>SUM(N312:N313)</f>
        <v>0</v>
      </c>
      <c r="O311" s="605">
        <f t="shared" ref="O311:O316" si="77">SUM(C311:N311)</f>
        <v>4550.3950000000004</v>
      </c>
    </row>
    <row r="312" spans="2:15" s="3" customFormat="1" x14ac:dyDescent="0.35">
      <c r="B312" s="1211" t="s">
        <v>218</v>
      </c>
      <c r="C312" s="1124">
        <v>283.416</v>
      </c>
      <c r="D312" s="1124">
        <v>605.84</v>
      </c>
      <c r="E312" s="1124">
        <v>2539.1630000000009</v>
      </c>
      <c r="F312" s="1124">
        <v>1121.9759999999999</v>
      </c>
      <c r="G312" s="1124"/>
      <c r="H312" s="1124"/>
      <c r="I312" s="1124"/>
      <c r="J312" s="1124"/>
      <c r="K312" s="1124"/>
      <c r="L312" s="1124"/>
      <c r="M312" s="1124"/>
      <c r="N312" s="1124"/>
      <c r="O312" s="606">
        <f t="shared" si="77"/>
        <v>4550.3950000000004</v>
      </c>
    </row>
    <row r="313" spans="2:15" s="3" customFormat="1" x14ac:dyDescent="0.35">
      <c r="B313" s="1211" t="s">
        <v>219</v>
      </c>
      <c r="C313" s="607">
        <f>C130-C132</f>
        <v>0</v>
      </c>
      <c r="D313" s="607">
        <f>D130-D132</f>
        <v>0</v>
      </c>
      <c r="E313" s="607">
        <f>E130-E132</f>
        <v>0</v>
      </c>
      <c r="F313" s="607">
        <f>F130-F132</f>
        <v>0</v>
      </c>
      <c r="G313" s="607">
        <f t="shared" ref="G313:L313" si="78">G130-G132</f>
        <v>0</v>
      </c>
      <c r="H313" s="607">
        <f t="shared" si="78"/>
        <v>0</v>
      </c>
      <c r="I313" s="607">
        <f t="shared" si="78"/>
        <v>0</v>
      </c>
      <c r="J313" s="607">
        <f t="shared" si="78"/>
        <v>0</v>
      </c>
      <c r="K313" s="607">
        <f t="shared" si="78"/>
        <v>0</v>
      </c>
      <c r="L313" s="607">
        <f t="shared" si="78"/>
        <v>0</v>
      </c>
      <c r="M313" s="607">
        <f>M130-M132</f>
        <v>0</v>
      </c>
      <c r="N313" s="607">
        <f>N130-N132</f>
        <v>0</v>
      </c>
      <c r="O313" s="606">
        <f t="shared" si="77"/>
        <v>0</v>
      </c>
    </row>
    <row r="314" spans="2:15" s="3" customFormat="1" x14ac:dyDescent="0.35">
      <c r="B314" s="1210" t="s">
        <v>61</v>
      </c>
      <c r="C314" s="586">
        <f>SUM(C315:C316)</f>
        <v>0</v>
      </c>
      <c r="D314" s="586">
        <f>SUM(D315:D316)</f>
        <v>0</v>
      </c>
      <c r="E314" s="586">
        <f>SUM(E315:E316)</f>
        <v>0</v>
      </c>
      <c r="F314" s="586">
        <f>SUM(F315:F316)</f>
        <v>0</v>
      </c>
      <c r="G314" s="586">
        <f t="shared" ref="G314:L314" si="79">SUM(G315:G316)</f>
        <v>0</v>
      </c>
      <c r="H314" s="586">
        <f t="shared" si="79"/>
        <v>0</v>
      </c>
      <c r="I314" s="586">
        <f t="shared" si="79"/>
        <v>0</v>
      </c>
      <c r="J314" s="586">
        <f t="shared" si="79"/>
        <v>0</v>
      </c>
      <c r="K314" s="586">
        <f t="shared" si="79"/>
        <v>0</v>
      </c>
      <c r="L314" s="586">
        <f t="shared" si="79"/>
        <v>0</v>
      </c>
      <c r="M314" s="586">
        <f>SUM(M315:M316)</f>
        <v>0</v>
      </c>
      <c r="N314" s="586">
        <f>SUM(N315:N316)</f>
        <v>0</v>
      </c>
      <c r="O314" s="605">
        <f t="shared" si="77"/>
        <v>0</v>
      </c>
    </row>
    <row r="315" spans="2:15" s="3" customFormat="1" x14ac:dyDescent="0.35">
      <c r="B315" s="1211" t="s">
        <v>218</v>
      </c>
      <c r="C315" s="1124">
        <v>0</v>
      </c>
      <c r="D315" s="1124">
        <v>0</v>
      </c>
      <c r="E315" s="1124">
        <v>0</v>
      </c>
      <c r="F315" s="1124">
        <v>0</v>
      </c>
      <c r="G315" s="1124">
        <v>0</v>
      </c>
      <c r="H315" s="1124">
        <v>0</v>
      </c>
      <c r="I315" s="1124">
        <v>0</v>
      </c>
      <c r="J315" s="1124">
        <v>0</v>
      </c>
      <c r="K315" s="1124">
        <v>0</v>
      </c>
      <c r="L315" s="1124">
        <v>0</v>
      </c>
      <c r="M315" s="1124">
        <v>0</v>
      </c>
      <c r="N315" s="1124">
        <v>0</v>
      </c>
      <c r="O315" s="606">
        <f t="shared" si="77"/>
        <v>0</v>
      </c>
    </row>
    <row r="316" spans="2:15" s="3" customFormat="1" x14ac:dyDescent="0.35">
      <c r="B316" s="1211" t="s">
        <v>219</v>
      </c>
      <c r="C316" s="1124">
        <v>0</v>
      </c>
      <c r="D316" s="1124">
        <v>0</v>
      </c>
      <c r="E316" s="1124">
        <v>0</v>
      </c>
      <c r="F316" s="1124">
        <v>0</v>
      </c>
      <c r="G316" s="1124">
        <v>0</v>
      </c>
      <c r="H316" s="1124">
        <v>0</v>
      </c>
      <c r="I316" s="1124">
        <v>0</v>
      </c>
      <c r="J316" s="1124">
        <v>0</v>
      </c>
      <c r="K316" s="1124">
        <v>0</v>
      </c>
      <c r="L316" s="1124">
        <v>0</v>
      </c>
      <c r="M316" s="1124">
        <v>0</v>
      </c>
      <c r="N316" s="1124">
        <v>0</v>
      </c>
      <c r="O316" s="606">
        <f t="shared" si="77"/>
        <v>0</v>
      </c>
    </row>
    <row r="317" spans="2:15" s="3" customFormat="1" x14ac:dyDescent="0.35">
      <c r="B317" s="1211"/>
      <c r="C317" s="609"/>
      <c r="D317" s="609"/>
      <c r="E317" s="609"/>
      <c r="F317" s="609"/>
      <c r="G317" s="609"/>
      <c r="H317" s="609"/>
      <c r="I317" s="609"/>
      <c r="J317" s="609"/>
      <c r="K317" s="609"/>
      <c r="L317" s="609"/>
      <c r="M317" s="609"/>
      <c r="N317" s="609"/>
      <c r="O317" s="606"/>
    </row>
    <row r="318" spans="2:15" s="3" customFormat="1" x14ac:dyDescent="0.35">
      <c r="B318" s="445" t="s">
        <v>36</v>
      </c>
      <c r="C318" s="1126">
        <f>+C309+C300</f>
        <v>92087.341000000015</v>
      </c>
      <c r="D318" s="1126">
        <f>+D309+D300</f>
        <v>91769.034500000009</v>
      </c>
      <c r="E318" s="1126">
        <f>+E309+E300</f>
        <v>111339.37700000002</v>
      </c>
      <c r="F318" s="1126">
        <f>+F309+F300</f>
        <v>69829.331010000009</v>
      </c>
      <c r="G318" s="1126">
        <f t="shared" ref="G318:L318" si="80">+G309+G300</f>
        <v>0</v>
      </c>
      <c r="H318" s="1126">
        <f t="shared" si="80"/>
        <v>0</v>
      </c>
      <c r="I318" s="1126">
        <f t="shared" si="80"/>
        <v>0</v>
      </c>
      <c r="J318" s="1126">
        <f t="shared" si="80"/>
        <v>0</v>
      </c>
      <c r="K318" s="1126">
        <f t="shared" si="80"/>
        <v>0</v>
      </c>
      <c r="L318" s="1126">
        <f t="shared" si="80"/>
        <v>0</v>
      </c>
      <c r="M318" s="1126">
        <f>+M309+M300</f>
        <v>0</v>
      </c>
      <c r="N318" s="1126">
        <f>+N309+N300</f>
        <v>0</v>
      </c>
      <c r="O318" s="1212">
        <f>SUM(C318:N318)</f>
        <v>365025.08351000008</v>
      </c>
    </row>
    <row r="319" spans="2:15" s="3" customFormat="1" x14ac:dyDescent="0.35">
      <c r="B319" s="1213"/>
      <c r="C319" s="610"/>
      <c r="D319" s="610"/>
      <c r="E319" s="610"/>
      <c r="F319" s="610"/>
      <c r="G319" s="610"/>
      <c r="H319" s="610"/>
      <c r="I319" s="610"/>
      <c r="J319" s="610"/>
      <c r="K319" s="610"/>
      <c r="L319" s="610"/>
      <c r="M319" s="610"/>
      <c r="N319" s="610"/>
      <c r="O319" s="578"/>
    </row>
    <row r="320" spans="2:15" s="3" customFormat="1" x14ac:dyDescent="0.35">
      <c r="B320" s="1210" t="s">
        <v>60</v>
      </c>
      <c r="C320" s="586">
        <f t="shared" ref="C320:N325" si="81">+C302+C311</f>
        <v>87817.409000000014</v>
      </c>
      <c r="D320" s="586">
        <f t="shared" si="81"/>
        <v>88463.817500000005</v>
      </c>
      <c r="E320" s="586">
        <f t="shared" si="81"/>
        <v>107330.37000000002</v>
      </c>
      <c r="F320" s="586">
        <f t="shared" si="81"/>
        <v>66728.713010000007</v>
      </c>
      <c r="G320" s="586">
        <f t="shared" si="81"/>
        <v>0</v>
      </c>
      <c r="H320" s="586">
        <f t="shared" si="81"/>
        <v>0</v>
      </c>
      <c r="I320" s="586">
        <f t="shared" si="81"/>
        <v>0</v>
      </c>
      <c r="J320" s="586">
        <f t="shared" si="81"/>
        <v>0</v>
      </c>
      <c r="K320" s="586">
        <f t="shared" si="81"/>
        <v>0</v>
      </c>
      <c r="L320" s="586">
        <f t="shared" si="81"/>
        <v>0</v>
      </c>
      <c r="M320" s="586">
        <f t="shared" si="81"/>
        <v>0</v>
      </c>
      <c r="N320" s="586">
        <f t="shared" si="81"/>
        <v>0</v>
      </c>
      <c r="O320" s="605">
        <f t="shared" ref="O320:O325" si="82">SUM(C320:N320)</f>
        <v>350340.30951000005</v>
      </c>
    </row>
    <row r="321" spans="2:20" ht="15" customHeight="1" x14ac:dyDescent="0.35">
      <c r="B321" s="1211" t="s">
        <v>218</v>
      </c>
      <c r="C321" s="607">
        <f t="shared" si="81"/>
        <v>63876.287500000006</v>
      </c>
      <c r="D321" s="607">
        <f t="shared" si="81"/>
        <v>64355.018000000011</v>
      </c>
      <c r="E321" s="607">
        <f t="shared" si="81"/>
        <v>79660.820000000022</v>
      </c>
      <c r="F321" s="607">
        <f t="shared" si="81"/>
        <v>58170.653010000016</v>
      </c>
      <c r="G321" s="607">
        <f t="shared" si="81"/>
        <v>0</v>
      </c>
      <c r="H321" s="607">
        <f t="shared" si="81"/>
        <v>0</v>
      </c>
      <c r="I321" s="607">
        <f t="shared" si="81"/>
        <v>0</v>
      </c>
      <c r="J321" s="607">
        <f t="shared" si="81"/>
        <v>0</v>
      </c>
      <c r="K321" s="607">
        <f t="shared" si="81"/>
        <v>0</v>
      </c>
      <c r="L321" s="607">
        <f t="shared" si="81"/>
        <v>0</v>
      </c>
      <c r="M321" s="607">
        <f t="shared" si="81"/>
        <v>0</v>
      </c>
      <c r="N321" s="607">
        <f t="shared" si="81"/>
        <v>0</v>
      </c>
      <c r="O321" s="606">
        <f t="shared" si="82"/>
        <v>266062.77851000003</v>
      </c>
      <c r="P321" s="3"/>
      <c r="Q321" s="3"/>
      <c r="R321" s="3"/>
      <c r="S321" s="3"/>
      <c r="T321" s="3"/>
    </row>
    <row r="322" spans="2:20" ht="28.5" customHeight="1" x14ac:dyDescent="0.35">
      <c r="B322" s="1211" t="s">
        <v>219</v>
      </c>
      <c r="C322" s="607">
        <f t="shared" si="81"/>
        <v>23941.121500000001</v>
      </c>
      <c r="D322" s="607">
        <f t="shared" si="81"/>
        <v>24108.799499999997</v>
      </c>
      <c r="E322" s="607">
        <f t="shared" si="81"/>
        <v>27669.549999999996</v>
      </c>
      <c r="F322" s="607">
        <f t="shared" si="81"/>
        <v>8558.0599999999977</v>
      </c>
      <c r="G322" s="607">
        <f t="shared" si="81"/>
        <v>0</v>
      </c>
      <c r="H322" s="607">
        <f t="shared" si="81"/>
        <v>0</v>
      </c>
      <c r="I322" s="607">
        <f t="shared" si="81"/>
        <v>0</v>
      </c>
      <c r="J322" s="607">
        <f t="shared" si="81"/>
        <v>0</v>
      </c>
      <c r="K322" s="607">
        <f t="shared" si="81"/>
        <v>0</v>
      </c>
      <c r="L322" s="607">
        <f t="shared" si="81"/>
        <v>0</v>
      </c>
      <c r="M322" s="607">
        <f t="shared" si="81"/>
        <v>0</v>
      </c>
      <c r="N322" s="607">
        <f t="shared" si="81"/>
        <v>0</v>
      </c>
      <c r="O322" s="606">
        <f t="shared" si="82"/>
        <v>84277.530999999988</v>
      </c>
    </row>
    <row r="323" spans="2:20" s="3" customFormat="1" x14ac:dyDescent="0.35">
      <c r="B323" s="1210" t="s">
        <v>61</v>
      </c>
      <c r="C323" s="586">
        <f t="shared" si="81"/>
        <v>4269.9319999999998</v>
      </c>
      <c r="D323" s="586">
        <f t="shared" si="81"/>
        <v>3305.2169999999992</v>
      </c>
      <c r="E323" s="586">
        <f t="shared" si="81"/>
        <v>4009.0069999999996</v>
      </c>
      <c r="F323" s="586">
        <f t="shared" si="81"/>
        <v>3100.6179999999995</v>
      </c>
      <c r="G323" s="586">
        <f t="shared" si="81"/>
        <v>0</v>
      </c>
      <c r="H323" s="586">
        <f t="shared" si="81"/>
        <v>0</v>
      </c>
      <c r="I323" s="586">
        <f t="shared" si="81"/>
        <v>0</v>
      </c>
      <c r="J323" s="586">
        <f t="shared" si="81"/>
        <v>0</v>
      </c>
      <c r="K323" s="586">
        <f t="shared" si="81"/>
        <v>0</v>
      </c>
      <c r="L323" s="586">
        <f t="shared" si="81"/>
        <v>0</v>
      </c>
      <c r="M323" s="586">
        <f t="shared" si="81"/>
        <v>0</v>
      </c>
      <c r="N323" s="586">
        <f t="shared" si="81"/>
        <v>0</v>
      </c>
      <c r="O323" s="605">
        <f t="shared" si="82"/>
        <v>14684.773999999998</v>
      </c>
      <c r="P323" s="324"/>
      <c r="Q323" s="324"/>
      <c r="R323" s="324"/>
      <c r="S323" s="324"/>
      <c r="T323" s="324"/>
    </row>
    <row r="324" spans="2:20" s="3" customFormat="1" x14ac:dyDescent="0.35">
      <c r="B324" s="1211" t="s">
        <v>218</v>
      </c>
      <c r="C324" s="607">
        <f t="shared" si="81"/>
        <v>4269.9319999999998</v>
      </c>
      <c r="D324" s="607">
        <f t="shared" si="81"/>
        <v>3305.2169999999992</v>
      </c>
      <c r="E324" s="607">
        <f t="shared" si="81"/>
        <v>4009.0069999999996</v>
      </c>
      <c r="F324" s="607">
        <f t="shared" si="81"/>
        <v>3100.6179999999995</v>
      </c>
      <c r="G324" s="607">
        <f t="shared" si="81"/>
        <v>0</v>
      </c>
      <c r="H324" s="607">
        <f t="shared" si="81"/>
        <v>0</v>
      </c>
      <c r="I324" s="607">
        <f t="shared" si="81"/>
        <v>0</v>
      </c>
      <c r="J324" s="607">
        <f t="shared" si="81"/>
        <v>0</v>
      </c>
      <c r="K324" s="607">
        <f t="shared" si="81"/>
        <v>0</v>
      </c>
      <c r="L324" s="607">
        <f t="shared" si="81"/>
        <v>0</v>
      </c>
      <c r="M324" s="607">
        <f t="shared" si="81"/>
        <v>0</v>
      </c>
      <c r="N324" s="607">
        <f t="shared" si="81"/>
        <v>0</v>
      </c>
      <c r="O324" s="606">
        <f t="shared" si="82"/>
        <v>14684.773999999998</v>
      </c>
    </row>
    <row r="325" spans="2:20" s="3" customFormat="1" x14ac:dyDescent="0.35">
      <c r="B325" s="1211" t="s">
        <v>219</v>
      </c>
      <c r="C325" s="607">
        <f t="shared" si="81"/>
        <v>0</v>
      </c>
      <c r="D325" s="607">
        <f t="shared" si="81"/>
        <v>0</v>
      </c>
      <c r="E325" s="607">
        <f t="shared" si="81"/>
        <v>0</v>
      </c>
      <c r="F325" s="607">
        <f t="shared" si="81"/>
        <v>0</v>
      </c>
      <c r="G325" s="607">
        <f t="shared" si="81"/>
        <v>0</v>
      </c>
      <c r="H325" s="607">
        <f t="shared" si="81"/>
        <v>0</v>
      </c>
      <c r="I325" s="607">
        <f t="shared" si="81"/>
        <v>0</v>
      </c>
      <c r="J325" s="607">
        <f t="shared" si="81"/>
        <v>0</v>
      </c>
      <c r="K325" s="607">
        <f t="shared" si="81"/>
        <v>0</v>
      </c>
      <c r="L325" s="607">
        <f t="shared" si="81"/>
        <v>0</v>
      </c>
      <c r="M325" s="607">
        <f t="shared" si="81"/>
        <v>0</v>
      </c>
      <c r="N325" s="607">
        <f t="shared" si="81"/>
        <v>0</v>
      </c>
      <c r="O325" s="606">
        <f t="shared" si="82"/>
        <v>0</v>
      </c>
    </row>
    <row r="326" spans="2:20" s="3" customFormat="1" x14ac:dyDescent="0.35">
      <c r="B326" s="1214"/>
      <c r="C326" s="885"/>
      <c r="D326" s="885"/>
      <c r="E326" s="885"/>
      <c r="F326" s="885"/>
      <c r="G326" s="885"/>
      <c r="H326" s="885"/>
      <c r="I326" s="885"/>
      <c r="J326" s="885"/>
      <c r="K326" s="885"/>
      <c r="L326" s="885"/>
      <c r="M326" s="885"/>
      <c r="N326" s="885"/>
      <c r="O326" s="240"/>
    </row>
    <row r="327" spans="2:20" s="3" customFormat="1" x14ac:dyDescent="0.35">
      <c r="B327" s="132"/>
      <c r="C327" s="171"/>
      <c r="D327" s="171"/>
      <c r="E327" s="171"/>
      <c r="F327" s="171"/>
      <c r="G327" s="171"/>
      <c r="H327" s="171"/>
      <c r="I327" s="171"/>
      <c r="J327" s="171"/>
      <c r="K327" s="171"/>
      <c r="L327" s="171"/>
      <c r="M327" s="171"/>
      <c r="N327" s="171"/>
      <c r="O327" s="1215"/>
    </row>
    <row r="328" spans="2:20" s="3" customFormat="1" x14ac:dyDescent="0.35">
      <c r="B328" s="1069" t="s">
        <v>220</v>
      </c>
      <c r="C328" s="1069"/>
      <c r="D328" s="1069"/>
      <c r="E328" s="1069"/>
      <c r="F328" s="1069"/>
      <c r="G328" s="1069"/>
      <c r="H328" s="1069"/>
      <c r="I328" s="1069"/>
      <c r="J328" s="1069"/>
      <c r="K328" s="1069"/>
      <c r="L328" s="1069"/>
      <c r="M328" s="1069"/>
      <c r="N328" s="1069"/>
      <c r="O328" s="1069"/>
    </row>
    <row r="329" spans="2:20" s="3" customFormat="1" x14ac:dyDescent="0.35">
      <c r="B329" s="105"/>
      <c r="C329" s="106"/>
      <c r="D329" s="106"/>
      <c r="E329" s="106"/>
      <c r="F329" s="106"/>
      <c r="G329" s="106"/>
      <c r="H329" s="106"/>
      <c r="I329" s="106"/>
      <c r="J329" s="106"/>
      <c r="K329" s="106"/>
      <c r="L329" s="106"/>
      <c r="M329" s="106"/>
      <c r="N329" s="106"/>
      <c r="O329" s="11"/>
    </row>
    <row r="330" spans="2:20" s="3" customFormat="1" x14ac:dyDescent="0.35">
      <c r="B330" s="1069" t="s">
        <v>523</v>
      </c>
      <c r="C330" s="1069"/>
      <c r="D330" s="1069"/>
      <c r="E330" s="1069"/>
      <c r="F330" s="1069"/>
      <c r="G330" s="1069"/>
      <c r="H330" s="1069"/>
      <c r="I330" s="1069"/>
      <c r="J330" s="1069"/>
      <c r="K330" s="1069"/>
      <c r="L330" s="1069"/>
      <c r="M330" s="1069"/>
      <c r="N330" s="1069"/>
      <c r="O330" s="1069"/>
    </row>
    <row r="331" spans="2:20" s="3" customFormat="1" x14ac:dyDescent="0.35">
      <c r="B331" s="173"/>
      <c r="C331" s="174"/>
      <c r="D331" s="174"/>
      <c r="E331" s="174"/>
      <c r="F331" s="174"/>
      <c r="G331" s="174"/>
      <c r="H331" s="174"/>
      <c r="I331" s="174"/>
      <c r="J331" s="180"/>
      <c r="K331" s="180"/>
      <c r="L331" s="180"/>
      <c r="M331" s="180"/>
      <c r="N331" s="180"/>
      <c r="O331" s="11"/>
    </row>
    <row r="332" spans="2:20" s="3" customFormat="1" ht="15" customHeight="1" x14ac:dyDescent="0.35">
      <c r="B332" s="1074" t="s">
        <v>13</v>
      </c>
      <c r="C332" s="1112" t="s">
        <v>0</v>
      </c>
      <c r="D332" s="1112" t="s">
        <v>1</v>
      </c>
      <c r="E332" s="1112" t="s">
        <v>2</v>
      </c>
      <c r="F332" s="1112" t="s">
        <v>3</v>
      </c>
      <c r="G332" s="1112" t="s">
        <v>4</v>
      </c>
      <c r="H332" s="1112" t="s">
        <v>5</v>
      </c>
      <c r="I332" s="1112" t="s">
        <v>6</v>
      </c>
      <c r="J332" s="1112" t="s">
        <v>7</v>
      </c>
      <c r="K332" s="1112" t="s">
        <v>8</v>
      </c>
      <c r="L332" s="1112" t="s">
        <v>9</v>
      </c>
      <c r="M332" s="1112" t="s">
        <v>10</v>
      </c>
      <c r="N332" s="1112" t="s">
        <v>14</v>
      </c>
      <c r="O332" s="1077" t="s">
        <v>15</v>
      </c>
    </row>
    <row r="333" spans="2:20" s="3" customFormat="1" ht="15" customHeight="1" x14ac:dyDescent="0.35">
      <c r="B333" s="1080"/>
      <c r="C333" s="1145"/>
      <c r="D333" s="1145"/>
      <c r="E333" s="1145"/>
      <c r="F333" s="1145"/>
      <c r="G333" s="1145"/>
      <c r="H333" s="1145"/>
      <c r="I333" s="1145"/>
      <c r="J333" s="1145"/>
      <c r="K333" s="1145"/>
      <c r="L333" s="1145"/>
      <c r="M333" s="1145"/>
      <c r="N333" s="1145"/>
      <c r="O333" s="1088"/>
    </row>
    <row r="334" spans="2:20" s="3" customFormat="1" x14ac:dyDescent="0.35">
      <c r="B334" s="161"/>
      <c r="C334" s="1123"/>
      <c r="D334" s="1127"/>
      <c r="E334" s="1127"/>
      <c r="F334" s="1127"/>
      <c r="G334" s="1127"/>
      <c r="H334" s="1127"/>
      <c r="I334" s="1216"/>
      <c r="J334" s="1216"/>
      <c r="K334" s="1216"/>
      <c r="L334" s="1216"/>
      <c r="M334" s="1216"/>
      <c r="N334" s="1216"/>
      <c r="O334" s="1207"/>
    </row>
    <row r="335" spans="2:20" s="3" customFormat="1" x14ac:dyDescent="0.35">
      <c r="B335" s="1208" t="s">
        <v>47</v>
      </c>
      <c r="C335" s="613">
        <f>SUM(C337:C338)</f>
        <v>1669490.0753990049</v>
      </c>
      <c r="D335" s="613">
        <f>SUM(D337:D338)</f>
        <v>1655437.4123989991</v>
      </c>
      <c r="E335" s="613">
        <f>SUM(E337:E338)</f>
        <v>2010238.8186400016</v>
      </c>
      <c r="F335" s="613">
        <f>SUM(F337:F338)</f>
        <v>1794693.6119899973</v>
      </c>
      <c r="G335" s="613">
        <f t="shared" ref="G335:L335" si="83">SUM(G337:G338)</f>
        <v>0</v>
      </c>
      <c r="H335" s="613">
        <f t="shared" si="83"/>
        <v>0</v>
      </c>
      <c r="I335" s="613">
        <f t="shared" si="83"/>
        <v>0</v>
      </c>
      <c r="J335" s="613">
        <f t="shared" si="83"/>
        <v>0</v>
      </c>
      <c r="K335" s="613">
        <f t="shared" si="83"/>
        <v>0</v>
      </c>
      <c r="L335" s="613">
        <f t="shared" si="83"/>
        <v>0</v>
      </c>
      <c r="M335" s="613">
        <f>SUM(M337:M338)</f>
        <v>0</v>
      </c>
      <c r="N335" s="613">
        <f>SUM(N337:N338)</f>
        <v>0</v>
      </c>
      <c r="O335" s="602">
        <f>SUM(C335:N335)</f>
        <v>7129859.9184280029</v>
      </c>
    </row>
    <row r="336" spans="2:20" s="3" customFormat="1" x14ac:dyDescent="0.35">
      <c r="B336" s="1209"/>
      <c r="C336" s="614"/>
      <c r="D336" s="614"/>
      <c r="E336" s="614"/>
      <c r="F336" s="614"/>
      <c r="G336" s="614"/>
      <c r="H336" s="614"/>
      <c r="I336" s="1217"/>
      <c r="J336" s="1217"/>
      <c r="K336" s="1217"/>
      <c r="L336" s="1217"/>
      <c r="M336" s="1217"/>
      <c r="N336" s="1217"/>
      <c r="O336" s="605"/>
    </row>
    <row r="337" spans="2:15" s="3" customFormat="1" x14ac:dyDescent="0.35">
      <c r="B337" s="1210" t="s">
        <v>60</v>
      </c>
      <c r="C337" s="1128">
        <v>1398594.9867350047</v>
      </c>
      <c r="D337" s="1128">
        <v>1313432.5063989998</v>
      </c>
      <c r="E337" s="1128">
        <v>1672035.0976400012</v>
      </c>
      <c r="F337" s="1128">
        <v>1460682.7279899972</v>
      </c>
      <c r="G337" s="1128"/>
      <c r="H337" s="1128"/>
      <c r="I337" s="1128"/>
      <c r="J337" s="1128"/>
      <c r="K337" s="1128"/>
      <c r="L337" s="1128"/>
      <c r="M337" s="1128"/>
      <c r="N337" s="1128"/>
      <c r="O337" s="605">
        <f t="shared" ref="O337:O342" si="84">SUM(C337:N337)</f>
        <v>5844745.318764003</v>
      </c>
    </row>
    <row r="338" spans="2:15" s="3" customFormat="1" x14ac:dyDescent="0.35">
      <c r="B338" s="1210" t="s">
        <v>61</v>
      </c>
      <c r="C338" s="1129">
        <f>SUM(C339:C342)</f>
        <v>270895.08866400004</v>
      </c>
      <c r="D338" s="1129">
        <f>SUM(D339:D342)</f>
        <v>342004.90599999938</v>
      </c>
      <c r="E338" s="1129">
        <f>SUM(E339:E342)</f>
        <v>338203.72100000037</v>
      </c>
      <c r="F338" s="1129">
        <f>SUM(F339:F342)</f>
        <v>334010.88400000002</v>
      </c>
      <c r="G338" s="1129">
        <f t="shared" ref="G338:L338" si="85">SUM(G339:G342)</f>
        <v>0</v>
      </c>
      <c r="H338" s="1129">
        <f t="shared" si="85"/>
        <v>0</v>
      </c>
      <c r="I338" s="1129">
        <f t="shared" si="85"/>
        <v>0</v>
      </c>
      <c r="J338" s="1129">
        <f t="shared" si="85"/>
        <v>0</v>
      </c>
      <c r="K338" s="1129">
        <f t="shared" si="85"/>
        <v>0</v>
      </c>
      <c r="L338" s="1129">
        <f t="shared" si="85"/>
        <v>0</v>
      </c>
      <c r="M338" s="1129">
        <f>SUM(M339:M342)</f>
        <v>0</v>
      </c>
      <c r="N338" s="1129">
        <f>SUM(N339:N342)</f>
        <v>0</v>
      </c>
      <c r="O338" s="605">
        <f t="shared" si="84"/>
        <v>1285114.5996639999</v>
      </c>
    </row>
    <row r="339" spans="2:15" s="3" customFormat="1" x14ac:dyDescent="0.35">
      <c r="B339" s="1211" t="s">
        <v>62</v>
      </c>
      <c r="C339" s="1130">
        <v>112227.30158400003</v>
      </c>
      <c r="D339" s="1130">
        <v>192310.83699999953</v>
      </c>
      <c r="E339" s="1130">
        <v>212900.17100000044</v>
      </c>
      <c r="F339" s="1130">
        <v>201407.14999999997</v>
      </c>
      <c r="G339" s="1130"/>
      <c r="H339" s="1130"/>
      <c r="I339" s="1130"/>
      <c r="J339" s="1132"/>
      <c r="K339" s="1132"/>
      <c r="L339" s="1132"/>
      <c r="M339" s="1132"/>
      <c r="N339" s="1132"/>
      <c r="O339" s="605">
        <f t="shared" si="84"/>
        <v>718845.45958400005</v>
      </c>
    </row>
    <row r="340" spans="2:15" s="3" customFormat="1" x14ac:dyDescent="0.35">
      <c r="B340" s="1211" t="s">
        <v>63</v>
      </c>
      <c r="C340" s="1130">
        <v>154556.91508000006</v>
      </c>
      <c r="D340" s="1124">
        <v>138350.52199999982</v>
      </c>
      <c r="E340" s="1124">
        <v>122456.58399999994</v>
      </c>
      <c r="F340" s="1124">
        <v>127507.03100000003</v>
      </c>
      <c r="G340" s="1124"/>
      <c r="H340" s="1124"/>
      <c r="I340" s="1124"/>
      <c r="J340" s="1131"/>
      <c r="K340" s="1131"/>
      <c r="L340" s="1131"/>
      <c r="M340" s="1131"/>
      <c r="N340" s="1131"/>
      <c r="O340" s="605">
        <f t="shared" si="84"/>
        <v>542871.05207999994</v>
      </c>
    </row>
    <row r="341" spans="2:15" s="3" customFormat="1" x14ac:dyDescent="0.35">
      <c r="B341" s="1211" t="s">
        <v>64</v>
      </c>
      <c r="C341" s="1130">
        <v>0</v>
      </c>
      <c r="D341" s="1124">
        <v>27.7</v>
      </c>
      <c r="E341" s="1124">
        <v>0</v>
      </c>
      <c r="F341" s="1124">
        <v>10.999000000000001</v>
      </c>
      <c r="G341" s="1124"/>
      <c r="H341" s="1124"/>
      <c r="I341" s="1124"/>
      <c r="J341" s="1131"/>
      <c r="K341" s="1131"/>
      <c r="L341" s="1131"/>
      <c r="M341" s="1131"/>
      <c r="N341" s="1131"/>
      <c r="O341" s="605">
        <f t="shared" si="84"/>
        <v>38.698999999999998</v>
      </c>
    </row>
    <row r="342" spans="2:15" s="3" customFormat="1" x14ac:dyDescent="0.35">
      <c r="B342" s="1211" t="s">
        <v>65</v>
      </c>
      <c r="C342" s="1132">
        <v>4110.8719999999994</v>
      </c>
      <c r="D342" s="1131">
        <v>11315.846999999998</v>
      </c>
      <c r="E342" s="1131">
        <v>2846.9660000000017</v>
      </c>
      <c r="F342" s="1131">
        <v>5085.7040000000006</v>
      </c>
      <c r="G342" s="1131"/>
      <c r="H342" s="1131"/>
      <c r="I342" s="1124"/>
      <c r="J342" s="1131"/>
      <c r="K342" s="1131"/>
      <c r="L342" s="1131"/>
      <c r="M342" s="1131"/>
      <c r="N342" s="1131"/>
      <c r="O342" s="605">
        <f t="shared" si="84"/>
        <v>23359.388999999999</v>
      </c>
    </row>
    <row r="343" spans="2:15" s="3" customFormat="1" x14ac:dyDescent="0.35">
      <c r="B343" s="1211"/>
      <c r="C343" s="1125"/>
      <c r="D343" s="615"/>
      <c r="E343" s="615"/>
      <c r="F343" s="615"/>
      <c r="G343" s="615"/>
      <c r="H343" s="615"/>
      <c r="I343" s="615"/>
      <c r="J343" s="615"/>
      <c r="K343" s="615"/>
      <c r="L343" s="615"/>
      <c r="M343" s="615"/>
      <c r="N343" s="615"/>
      <c r="O343" s="608"/>
    </row>
    <row r="344" spans="2:15" s="3" customFormat="1" x14ac:dyDescent="0.35">
      <c r="B344" s="1208" t="s">
        <v>56</v>
      </c>
      <c r="C344" s="613">
        <f>SUM(C346:C347)</f>
        <v>508649.7833999967</v>
      </c>
      <c r="D344" s="613">
        <f>SUM(D346:D347)</f>
        <v>512747.41104999935</v>
      </c>
      <c r="E344" s="613">
        <f>SUM(E346:E347)</f>
        <v>463939.11599999986</v>
      </c>
      <c r="F344" s="613">
        <f>SUM(F346:F347)</f>
        <v>502392.01299999992</v>
      </c>
      <c r="G344" s="613">
        <f t="shared" ref="G344:L344" si="86">SUM(G346:G347)</f>
        <v>0</v>
      </c>
      <c r="H344" s="613">
        <f t="shared" si="86"/>
        <v>0</v>
      </c>
      <c r="I344" s="613">
        <f t="shared" si="86"/>
        <v>0</v>
      </c>
      <c r="J344" s="613">
        <f t="shared" si="86"/>
        <v>0</v>
      </c>
      <c r="K344" s="613">
        <f t="shared" si="86"/>
        <v>0</v>
      </c>
      <c r="L344" s="613">
        <f t="shared" si="86"/>
        <v>0</v>
      </c>
      <c r="M344" s="613">
        <f>SUM(M346:M347)</f>
        <v>0</v>
      </c>
      <c r="N344" s="613">
        <f>SUM(N346:N347)</f>
        <v>0</v>
      </c>
      <c r="O344" s="602">
        <f>SUM(C344:N344)</f>
        <v>1987728.3234499958</v>
      </c>
    </row>
    <row r="345" spans="2:15" s="3" customFormat="1" x14ac:dyDescent="0.35">
      <c r="B345" s="1210"/>
      <c r="C345" s="614"/>
      <c r="D345" s="577"/>
      <c r="E345" s="577"/>
      <c r="F345" s="577"/>
      <c r="G345" s="577"/>
      <c r="H345" s="577"/>
      <c r="I345" s="577"/>
      <c r="J345" s="577"/>
      <c r="K345" s="577"/>
      <c r="L345" s="577"/>
      <c r="M345" s="577"/>
      <c r="N345" s="577"/>
      <c r="O345" s="605"/>
    </row>
    <row r="346" spans="2:15" s="3" customFormat="1" x14ac:dyDescent="0.35">
      <c r="B346" s="1210" t="s">
        <v>60</v>
      </c>
      <c r="C346" s="1128">
        <v>456783.18499999668</v>
      </c>
      <c r="D346" s="1128">
        <v>457866.33048999938</v>
      </c>
      <c r="E346" s="1128">
        <v>408471.12899999984</v>
      </c>
      <c r="F346" s="1128">
        <v>486945.78199999989</v>
      </c>
      <c r="G346" s="1128"/>
      <c r="H346" s="1128"/>
      <c r="I346" s="1128"/>
      <c r="J346" s="1128"/>
      <c r="K346" s="1128"/>
      <c r="L346" s="1128"/>
      <c r="M346" s="1128"/>
      <c r="N346" s="1128"/>
      <c r="O346" s="605">
        <f t="shared" ref="O346:O351" si="87">SUM(C346:N346)</f>
        <v>1810066.4264899958</v>
      </c>
    </row>
    <row r="347" spans="2:15" s="3" customFormat="1" x14ac:dyDescent="0.35">
      <c r="B347" s="1210" t="s">
        <v>61</v>
      </c>
      <c r="C347" s="1129">
        <f>SUM(C348:C351)</f>
        <v>51866.59840000001</v>
      </c>
      <c r="D347" s="1129">
        <f>SUM(D348:D351)</f>
        <v>54881.080559999995</v>
      </c>
      <c r="E347" s="1129">
        <f>SUM(E348:E351)</f>
        <v>55467.98700000003</v>
      </c>
      <c r="F347" s="1129">
        <f>SUM(F348:F351)</f>
        <v>15446.231000000007</v>
      </c>
      <c r="G347" s="1129">
        <f t="shared" ref="G347:L347" si="88">SUM(G348:G351)</f>
        <v>0</v>
      </c>
      <c r="H347" s="1129">
        <f t="shared" si="88"/>
        <v>0</v>
      </c>
      <c r="I347" s="1129">
        <f t="shared" si="88"/>
        <v>0</v>
      </c>
      <c r="J347" s="1129">
        <f t="shared" si="88"/>
        <v>0</v>
      </c>
      <c r="K347" s="1129">
        <f t="shared" si="88"/>
        <v>0</v>
      </c>
      <c r="L347" s="1129">
        <f t="shared" si="88"/>
        <v>0</v>
      </c>
      <c r="M347" s="1129">
        <f>SUM(M348:M351)</f>
        <v>0</v>
      </c>
      <c r="N347" s="1129">
        <f>SUM(N348:N351)</f>
        <v>0</v>
      </c>
      <c r="O347" s="605">
        <f t="shared" si="87"/>
        <v>177661.89696000004</v>
      </c>
    </row>
    <row r="348" spans="2:15" s="3" customFormat="1" x14ac:dyDescent="0.35">
      <c r="B348" s="1211" t="s">
        <v>62</v>
      </c>
      <c r="C348" s="1130">
        <v>3503.0304000000006</v>
      </c>
      <c r="D348" s="1130">
        <v>5884.6815599999991</v>
      </c>
      <c r="E348" s="1130">
        <v>9531.8559999999998</v>
      </c>
      <c r="F348" s="1130">
        <v>13050.387000000006</v>
      </c>
      <c r="G348" s="1130"/>
      <c r="H348" s="1130"/>
      <c r="I348" s="1130"/>
      <c r="J348" s="1132"/>
      <c r="K348" s="1132"/>
      <c r="L348" s="1132"/>
      <c r="M348" s="1132"/>
      <c r="N348" s="1132"/>
      <c r="O348" s="606">
        <f t="shared" si="87"/>
        <v>31969.954960000006</v>
      </c>
    </row>
    <row r="349" spans="2:15" s="3" customFormat="1" x14ac:dyDescent="0.35">
      <c r="B349" s="1211" t="s">
        <v>63</v>
      </c>
      <c r="C349" s="1130">
        <v>48363.568000000007</v>
      </c>
      <c r="D349" s="1130">
        <v>48996.398999999998</v>
      </c>
      <c r="E349" s="1130">
        <v>45936.13100000003</v>
      </c>
      <c r="F349" s="1130">
        <v>2395.8440000000001</v>
      </c>
      <c r="G349" s="1130"/>
      <c r="H349" s="1130"/>
      <c r="I349" s="1130"/>
      <c r="J349" s="1132"/>
      <c r="K349" s="1132"/>
      <c r="L349" s="1132"/>
      <c r="M349" s="1132"/>
      <c r="N349" s="1132"/>
      <c r="O349" s="606">
        <f t="shared" si="87"/>
        <v>145691.94200000004</v>
      </c>
    </row>
    <row r="350" spans="2:15" s="3" customFormat="1" x14ac:dyDescent="0.35">
      <c r="B350" s="1211" t="s">
        <v>64</v>
      </c>
      <c r="C350" s="1130">
        <v>0</v>
      </c>
      <c r="D350" s="1130">
        <v>0</v>
      </c>
      <c r="E350" s="1130">
        <v>0</v>
      </c>
      <c r="F350" s="1130">
        <v>0</v>
      </c>
      <c r="G350" s="1130"/>
      <c r="H350" s="1130"/>
      <c r="I350" s="1130"/>
      <c r="J350" s="1130"/>
      <c r="K350" s="1130"/>
      <c r="L350" s="1132"/>
      <c r="M350" s="1132"/>
      <c r="N350" s="1132"/>
      <c r="O350" s="606">
        <f t="shared" si="87"/>
        <v>0</v>
      </c>
    </row>
    <row r="351" spans="2:15" s="3" customFormat="1" x14ac:dyDescent="0.35">
      <c r="B351" s="1211" t="s">
        <v>65</v>
      </c>
      <c r="C351" s="1132">
        <v>0</v>
      </c>
      <c r="D351" s="1132">
        <v>0</v>
      </c>
      <c r="E351" s="1132">
        <v>0</v>
      </c>
      <c r="F351" s="1132">
        <v>0</v>
      </c>
      <c r="G351" s="1132"/>
      <c r="H351" s="1132"/>
      <c r="I351" s="1132"/>
      <c r="J351" s="1132"/>
      <c r="K351" s="1132"/>
      <c r="L351" s="1132"/>
      <c r="M351" s="1132"/>
      <c r="N351" s="1132"/>
      <c r="O351" s="606">
        <f t="shared" si="87"/>
        <v>0</v>
      </c>
    </row>
    <row r="352" spans="2:15" s="3" customFormat="1" x14ac:dyDescent="0.35">
      <c r="B352" s="1211"/>
      <c r="C352" s="615"/>
      <c r="D352" s="615"/>
      <c r="E352" s="615"/>
      <c r="F352" s="615"/>
      <c r="G352" s="615"/>
      <c r="H352" s="615"/>
      <c r="I352" s="615"/>
      <c r="J352" s="615"/>
      <c r="K352" s="615"/>
      <c r="L352" s="615"/>
      <c r="M352" s="615"/>
      <c r="N352" s="615"/>
      <c r="O352" s="606"/>
    </row>
    <row r="353" spans="2:15" s="3" customFormat="1" x14ac:dyDescent="0.35">
      <c r="B353" s="445" t="s">
        <v>36</v>
      </c>
      <c r="C353" s="1126">
        <f>+C344+C335</f>
        <v>2178139.8587990017</v>
      </c>
      <c r="D353" s="1126">
        <f>+D344+D335</f>
        <v>2168184.8234489984</v>
      </c>
      <c r="E353" s="1126">
        <f>+E344+E335</f>
        <v>2474177.9346400015</v>
      </c>
      <c r="F353" s="1126">
        <f>+F344+F335</f>
        <v>2297085.6249899971</v>
      </c>
      <c r="G353" s="1126">
        <f t="shared" ref="G353:L353" si="89">+G344+G335</f>
        <v>0</v>
      </c>
      <c r="H353" s="1126">
        <f t="shared" si="89"/>
        <v>0</v>
      </c>
      <c r="I353" s="1126">
        <f t="shared" si="89"/>
        <v>0</v>
      </c>
      <c r="J353" s="1126">
        <f t="shared" si="89"/>
        <v>0</v>
      </c>
      <c r="K353" s="1126">
        <f t="shared" si="89"/>
        <v>0</v>
      </c>
      <c r="L353" s="1126">
        <f t="shared" si="89"/>
        <v>0</v>
      </c>
      <c r="M353" s="1126">
        <f>+M344+M335</f>
        <v>0</v>
      </c>
      <c r="N353" s="1126">
        <f>+N344+N335</f>
        <v>0</v>
      </c>
      <c r="O353" s="1212">
        <f>SUM(C353:N353)</f>
        <v>9117588.2418779992</v>
      </c>
    </row>
    <row r="354" spans="2:15" s="3" customFormat="1" x14ac:dyDescent="0.35">
      <c r="B354" s="1213"/>
      <c r="C354" s="616"/>
      <c r="D354" s="616"/>
      <c r="E354" s="616"/>
      <c r="F354" s="616"/>
      <c r="G354" s="616"/>
      <c r="H354" s="616"/>
      <c r="I354" s="616"/>
      <c r="J354" s="616"/>
      <c r="K354" s="616"/>
      <c r="L354" s="616"/>
      <c r="M354" s="616"/>
      <c r="N354" s="616"/>
      <c r="O354" s="578"/>
    </row>
    <row r="355" spans="2:15" s="3" customFormat="1" x14ac:dyDescent="0.35">
      <c r="B355" s="1210" t="s">
        <v>60</v>
      </c>
      <c r="C355" s="615">
        <f>C337+C346</f>
        <v>1855378.1717350013</v>
      </c>
      <c r="D355" s="615">
        <f>D337+D346</f>
        <v>1771298.8368889992</v>
      </c>
      <c r="E355" s="615">
        <f>E337+E346</f>
        <v>2080506.2266400009</v>
      </c>
      <c r="F355" s="615">
        <f>F337+F346</f>
        <v>1947628.5099899971</v>
      </c>
      <c r="G355" s="615">
        <f t="shared" ref="G355:L355" si="90">G337+G346</f>
        <v>0</v>
      </c>
      <c r="H355" s="615">
        <f t="shared" si="90"/>
        <v>0</v>
      </c>
      <c r="I355" s="615">
        <f t="shared" si="90"/>
        <v>0</v>
      </c>
      <c r="J355" s="615">
        <f t="shared" si="90"/>
        <v>0</v>
      </c>
      <c r="K355" s="615">
        <f t="shared" si="90"/>
        <v>0</v>
      </c>
      <c r="L355" s="615">
        <f t="shared" si="90"/>
        <v>0</v>
      </c>
      <c r="M355" s="615">
        <f>M337+M346</f>
        <v>0</v>
      </c>
      <c r="N355" s="615">
        <f>N337+N346</f>
        <v>0</v>
      </c>
      <c r="O355" s="605">
        <f t="shared" ref="O355:O360" si="91">SUM(C355:N355)</f>
        <v>7654811.7452539988</v>
      </c>
    </row>
    <row r="356" spans="2:15" s="3" customFormat="1" x14ac:dyDescent="0.35">
      <c r="B356" s="1210" t="s">
        <v>61</v>
      </c>
      <c r="C356" s="609">
        <f>+C347+C338</f>
        <v>322761.68706400006</v>
      </c>
      <c r="D356" s="609">
        <f>+D347+D338</f>
        <v>396885.98655999935</v>
      </c>
      <c r="E356" s="609">
        <f>+E347+E338</f>
        <v>393671.70800000039</v>
      </c>
      <c r="F356" s="609">
        <f>+F347+F338</f>
        <v>349457.11500000005</v>
      </c>
      <c r="G356" s="609">
        <f t="shared" ref="G356:L356" si="92">+G347+G338</f>
        <v>0</v>
      </c>
      <c r="H356" s="609">
        <f t="shared" si="92"/>
        <v>0</v>
      </c>
      <c r="I356" s="609">
        <f t="shared" si="92"/>
        <v>0</v>
      </c>
      <c r="J356" s="609">
        <f t="shared" si="92"/>
        <v>0</v>
      </c>
      <c r="K356" s="609">
        <f t="shared" si="92"/>
        <v>0</v>
      </c>
      <c r="L356" s="609">
        <f t="shared" si="92"/>
        <v>0</v>
      </c>
      <c r="M356" s="609">
        <f>+M347+M338</f>
        <v>0</v>
      </c>
      <c r="N356" s="609">
        <f>+N347+N338</f>
        <v>0</v>
      </c>
      <c r="O356" s="605">
        <f t="shared" si="91"/>
        <v>1462776.4966239997</v>
      </c>
    </row>
    <row r="357" spans="2:15" s="3" customFormat="1" x14ac:dyDescent="0.35">
      <c r="B357" s="1211" t="s">
        <v>62</v>
      </c>
      <c r="C357" s="615">
        <f t="shared" ref="C357:M360" si="93">+C339+C348</f>
        <v>115730.33198400003</v>
      </c>
      <c r="D357" s="615">
        <f t="shared" si="93"/>
        <v>198195.51855999953</v>
      </c>
      <c r="E357" s="615">
        <f t="shared" si="93"/>
        <v>222432.02700000044</v>
      </c>
      <c r="F357" s="615">
        <f t="shared" si="93"/>
        <v>214457.53699999998</v>
      </c>
      <c r="G357" s="615">
        <f t="shared" si="93"/>
        <v>0</v>
      </c>
      <c r="H357" s="615">
        <f t="shared" si="93"/>
        <v>0</v>
      </c>
      <c r="I357" s="615">
        <f t="shared" si="93"/>
        <v>0</v>
      </c>
      <c r="J357" s="615">
        <f t="shared" si="93"/>
        <v>0</v>
      </c>
      <c r="K357" s="615">
        <f t="shared" si="93"/>
        <v>0</v>
      </c>
      <c r="L357" s="615">
        <f t="shared" si="93"/>
        <v>0</v>
      </c>
      <c r="M357" s="615">
        <f t="shared" si="93"/>
        <v>0</v>
      </c>
      <c r="N357" s="615">
        <f>+N339+N348</f>
        <v>0</v>
      </c>
      <c r="O357" s="605">
        <f t="shared" si="91"/>
        <v>750815.41454400006</v>
      </c>
    </row>
    <row r="358" spans="2:15" s="3" customFormat="1" x14ac:dyDescent="0.35">
      <c r="B358" s="1211" t="s">
        <v>63</v>
      </c>
      <c r="C358" s="615">
        <f t="shared" si="93"/>
        <v>202920.48308000006</v>
      </c>
      <c r="D358" s="615">
        <f t="shared" si="93"/>
        <v>187346.92099999983</v>
      </c>
      <c r="E358" s="615">
        <f t="shared" si="93"/>
        <v>168392.71499999997</v>
      </c>
      <c r="F358" s="615">
        <f t="shared" si="93"/>
        <v>129902.87500000003</v>
      </c>
      <c r="G358" s="615">
        <f t="shared" si="93"/>
        <v>0</v>
      </c>
      <c r="H358" s="615">
        <f t="shared" si="93"/>
        <v>0</v>
      </c>
      <c r="I358" s="615">
        <f t="shared" si="93"/>
        <v>0</v>
      </c>
      <c r="J358" s="615">
        <f t="shared" si="93"/>
        <v>0</v>
      </c>
      <c r="K358" s="615">
        <f t="shared" si="93"/>
        <v>0</v>
      </c>
      <c r="L358" s="615">
        <f t="shared" si="93"/>
        <v>0</v>
      </c>
      <c r="M358" s="615">
        <f t="shared" si="93"/>
        <v>0</v>
      </c>
      <c r="N358" s="615">
        <f>+N340+N349</f>
        <v>0</v>
      </c>
      <c r="O358" s="605">
        <f t="shared" si="91"/>
        <v>688562.99407999986</v>
      </c>
    </row>
    <row r="359" spans="2:15" s="3" customFormat="1" x14ac:dyDescent="0.35">
      <c r="B359" s="1211" t="s">
        <v>64</v>
      </c>
      <c r="C359" s="615">
        <f t="shared" si="93"/>
        <v>0</v>
      </c>
      <c r="D359" s="615">
        <f t="shared" si="93"/>
        <v>27.7</v>
      </c>
      <c r="E359" s="615">
        <f t="shared" si="93"/>
        <v>0</v>
      </c>
      <c r="F359" s="615">
        <f t="shared" si="93"/>
        <v>10.999000000000001</v>
      </c>
      <c r="G359" s="615">
        <f t="shared" si="93"/>
        <v>0</v>
      </c>
      <c r="H359" s="615">
        <f t="shared" si="93"/>
        <v>0</v>
      </c>
      <c r="I359" s="615">
        <f t="shared" si="93"/>
        <v>0</v>
      </c>
      <c r="J359" s="615">
        <f t="shared" si="93"/>
        <v>0</v>
      </c>
      <c r="K359" s="615">
        <f t="shared" si="93"/>
        <v>0</v>
      </c>
      <c r="L359" s="615">
        <f t="shared" si="93"/>
        <v>0</v>
      </c>
      <c r="M359" s="615">
        <f t="shared" si="93"/>
        <v>0</v>
      </c>
      <c r="N359" s="615">
        <f>+N341+N350</f>
        <v>0</v>
      </c>
      <c r="O359" s="605">
        <f t="shared" si="91"/>
        <v>38.698999999999998</v>
      </c>
    </row>
    <row r="360" spans="2:15" s="3" customFormat="1" x14ac:dyDescent="0.35">
      <c r="B360" s="1211" t="s">
        <v>65</v>
      </c>
      <c r="C360" s="615">
        <f t="shared" si="93"/>
        <v>4110.8719999999994</v>
      </c>
      <c r="D360" s="615">
        <f t="shared" si="93"/>
        <v>11315.846999999998</v>
      </c>
      <c r="E360" s="615">
        <f t="shared" si="93"/>
        <v>2846.9660000000017</v>
      </c>
      <c r="F360" s="615">
        <f t="shared" si="93"/>
        <v>5085.7040000000006</v>
      </c>
      <c r="G360" s="615">
        <f t="shared" si="93"/>
        <v>0</v>
      </c>
      <c r="H360" s="615">
        <f t="shared" si="93"/>
        <v>0</v>
      </c>
      <c r="I360" s="615">
        <f t="shared" si="93"/>
        <v>0</v>
      </c>
      <c r="J360" s="615">
        <f t="shared" si="93"/>
        <v>0</v>
      </c>
      <c r="K360" s="615">
        <f t="shared" si="93"/>
        <v>0</v>
      </c>
      <c r="L360" s="615">
        <f t="shared" si="93"/>
        <v>0</v>
      </c>
      <c r="M360" s="615">
        <f t="shared" si="93"/>
        <v>0</v>
      </c>
      <c r="N360" s="615">
        <f>+N342+N351</f>
        <v>0</v>
      </c>
      <c r="O360" s="605">
        <f t="shared" si="91"/>
        <v>23359.388999999999</v>
      </c>
    </row>
    <row r="361" spans="2:15" s="3" customFormat="1" x14ac:dyDescent="0.35">
      <c r="B361" s="1214"/>
      <c r="C361" s="891"/>
      <c r="D361" s="891"/>
      <c r="E361" s="891"/>
      <c r="F361" s="891"/>
      <c r="G361" s="891"/>
      <c r="H361" s="891"/>
      <c r="I361" s="891"/>
      <c r="J361" s="891"/>
      <c r="K361" s="891"/>
      <c r="L361" s="891"/>
      <c r="M361" s="891"/>
      <c r="N361" s="891"/>
      <c r="O361" s="240"/>
    </row>
    <row r="362" spans="2:15" s="3" customFormat="1" x14ac:dyDescent="0.35">
      <c r="B362" s="12"/>
      <c r="C362" s="180"/>
      <c r="D362" s="180"/>
      <c r="E362" s="180"/>
      <c r="F362" s="180"/>
      <c r="G362" s="180"/>
      <c r="H362" s="180"/>
      <c r="I362" s="180"/>
      <c r="J362" s="180"/>
      <c r="K362" s="180"/>
      <c r="L362" s="180" t="s">
        <v>11</v>
      </c>
      <c r="M362" s="180"/>
      <c r="N362" s="180"/>
      <c r="O362" s="11"/>
    </row>
    <row r="363" spans="2:15" s="3" customFormat="1" x14ac:dyDescent="0.35">
      <c r="B363" s="1068" t="s">
        <v>524</v>
      </c>
      <c r="C363" s="1068"/>
      <c r="D363" s="1068"/>
      <c r="E363" s="1068"/>
      <c r="F363" s="1068"/>
      <c r="G363" s="1068"/>
      <c r="H363" s="1068"/>
      <c r="I363" s="1068"/>
      <c r="J363" s="1068"/>
      <c r="K363" s="1068"/>
      <c r="L363" s="1068"/>
      <c r="M363" s="1068"/>
      <c r="N363" s="1068"/>
      <c r="O363" s="1068"/>
    </row>
    <row r="364" spans="2:15" s="3" customFormat="1" x14ac:dyDescent="0.35">
      <c r="B364" s="617"/>
      <c r="C364" s="182"/>
      <c r="D364" s="1133"/>
      <c r="E364" s="1133"/>
      <c r="F364" s="1133"/>
      <c r="G364" s="1133"/>
      <c r="H364" s="1133"/>
      <c r="I364" s="1133"/>
      <c r="J364" s="1133"/>
      <c r="K364" s="1133"/>
      <c r="L364" s="1133"/>
      <c r="M364" s="1133"/>
      <c r="N364" s="1133"/>
      <c r="O364" s="1133"/>
    </row>
    <row r="365" spans="2:15" s="3" customFormat="1" ht="15" customHeight="1" x14ac:dyDescent="0.35">
      <c r="B365" s="1077" t="s">
        <v>13</v>
      </c>
      <c r="C365" s="1112" t="s">
        <v>0</v>
      </c>
      <c r="D365" s="1112" t="s">
        <v>1</v>
      </c>
      <c r="E365" s="1112" t="s">
        <v>2</v>
      </c>
      <c r="F365" s="1112" t="s">
        <v>3</v>
      </c>
      <c r="G365" s="1112" t="s">
        <v>4</v>
      </c>
      <c r="H365" s="1112" t="s">
        <v>5</v>
      </c>
      <c r="I365" s="1112" t="s">
        <v>6</v>
      </c>
      <c r="J365" s="1112" t="s">
        <v>7</v>
      </c>
      <c r="K365" s="1112" t="s">
        <v>8</v>
      </c>
      <c r="L365" s="1112" t="s">
        <v>9</v>
      </c>
      <c r="M365" s="1112" t="s">
        <v>10</v>
      </c>
      <c r="N365" s="1112" t="s">
        <v>14</v>
      </c>
      <c r="O365" s="1077" t="s">
        <v>15</v>
      </c>
    </row>
    <row r="366" spans="2:15" s="3" customFormat="1" ht="15" customHeight="1" x14ac:dyDescent="0.35">
      <c r="B366" s="1088"/>
      <c r="C366" s="1145"/>
      <c r="D366" s="1145"/>
      <c r="E366" s="1145"/>
      <c r="F366" s="1145"/>
      <c r="G366" s="1145"/>
      <c r="H366" s="1145"/>
      <c r="I366" s="1145"/>
      <c r="J366" s="1145"/>
      <c r="K366" s="1145"/>
      <c r="L366" s="1145"/>
      <c r="M366" s="1145"/>
      <c r="N366" s="1145"/>
      <c r="O366" s="1088"/>
    </row>
    <row r="367" spans="2:15" s="3" customFormat="1" x14ac:dyDescent="0.35">
      <c r="B367" s="619"/>
      <c r="C367" s="621"/>
      <c r="D367" s="621"/>
      <c r="E367" s="621"/>
      <c r="F367" s="621"/>
      <c r="G367" s="621"/>
      <c r="H367" s="621"/>
      <c r="I367" s="621"/>
      <c r="J367" s="621"/>
      <c r="K367" s="621"/>
      <c r="L367" s="621"/>
      <c r="M367" s="621"/>
      <c r="N367" s="621"/>
      <c r="O367" s="619"/>
    </row>
    <row r="368" spans="2:15" s="3" customFormat="1" x14ac:dyDescent="0.35">
      <c r="B368" s="1218" t="s">
        <v>47</v>
      </c>
      <c r="C368" s="594">
        <f>SUM(C370:C400)</f>
        <v>1398594.9867350047</v>
      </c>
      <c r="D368" s="594">
        <f>SUM(D370:D400)</f>
        <v>1313432.5063989998</v>
      </c>
      <c r="E368" s="594">
        <f>SUM(E370:E400)</f>
        <v>1672035.0976400003</v>
      </c>
      <c r="F368" s="594">
        <f>SUM(F370:F400)</f>
        <v>1460682.7279899991</v>
      </c>
      <c r="G368" s="594">
        <f t="shared" ref="G368:L368" si="94">SUM(G370:G400)</f>
        <v>0</v>
      </c>
      <c r="H368" s="594">
        <f t="shared" si="94"/>
        <v>0</v>
      </c>
      <c r="I368" s="594">
        <f t="shared" si="94"/>
        <v>0</v>
      </c>
      <c r="J368" s="594">
        <f t="shared" si="94"/>
        <v>0</v>
      </c>
      <c r="K368" s="594">
        <f t="shared" si="94"/>
        <v>0</v>
      </c>
      <c r="L368" s="594">
        <f t="shared" si="94"/>
        <v>0</v>
      </c>
      <c r="M368" s="594">
        <f>SUM(M370:M400)</f>
        <v>0</v>
      </c>
      <c r="N368" s="503">
        <f>SUM(N370:N400)</f>
        <v>0</v>
      </c>
      <c r="O368" s="620">
        <f>SUM(C368:N368)</f>
        <v>5844745.3187640049</v>
      </c>
    </row>
    <row r="369" spans="2:20" s="3" customFormat="1" x14ac:dyDescent="0.35">
      <c r="B369" s="619"/>
      <c r="C369" s="621"/>
      <c r="D369" s="594"/>
      <c r="E369" s="594"/>
      <c r="F369" s="594"/>
      <c r="G369" s="594"/>
      <c r="H369" s="594"/>
      <c r="I369" s="594"/>
      <c r="J369" s="594"/>
      <c r="K369" s="594"/>
      <c r="L369" s="594"/>
      <c r="M369" s="594"/>
      <c r="N369" s="503"/>
      <c r="O369" s="622"/>
    </row>
    <row r="370" spans="2:20" ht="15" customHeight="1" x14ac:dyDescent="0.35">
      <c r="B370" s="502" t="s">
        <v>66</v>
      </c>
      <c r="C370" s="579">
        <v>460761.08499999996</v>
      </c>
      <c r="D370" s="1134">
        <v>478197.24300000002</v>
      </c>
      <c r="E370" s="1134">
        <v>739025.08499999996</v>
      </c>
      <c r="F370" s="1134">
        <v>647657.38</v>
      </c>
      <c r="G370" s="1134"/>
      <c r="H370" s="1134"/>
      <c r="I370" s="1134"/>
      <c r="J370" s="1134"/>
      <c r="K370" s="1134"/>
      <c r="L370" s="1134"/>
      <c r="M370" s="1134"/>
      <c r="N370" s="1219"/>
      <c r="O370" s="622">
        <f t="shared" ref="O370:O400" si="95">SUM(C370:N370)</f>
        <v>2325640.7930000001</v>
      </c>
      <c r="P370" s="3"/>
      <c r="Q370" s="3"/>
      <c r="R370" s="3"/>
      <c r="S370" s="3"/>
      <c r="T370" s="3"/>
    </row>
    <row r="371" spans="2:20" x14ac:dyDescent="0.35">
      <c r="B371" s="502" t="s">
        <v>67</v>
      </c>
      <c r="C371" s="579">
        <v>182777.68299999976</v>
      </c>
      <c r="D371" s="1134">
        <v>149107.21699999971</v>
      </c>
      <c r="E371" s="1134">
        <v>132906.69100000002</v>
      </c>
      <c r="F371" s="1134">
        <v>110895.43100000006</v>
      </c>
      <c r="G371" s="1134"/>
      <c r="H371" s="1134"/>
      <c r="I371" s="1134"/>
      <c r="J371" s="1134"/>
      <c r="K371" s="1134"/>
      <c r="L371" s="1134"/>
      <c r="M371" s="1134"/>
      <c r="N371" s="1219"/>
      <c r="O371" s="622">
        <f t="shared" si="95"/>
        <v>575687.02199999953</v>
      </c>
    </row>
    <row r="372" spans="2:20" s="3" customFormat="1" x14ac:dyDescent="0.35">
      <c r="B372" s="502" t="s">
        <v>68</v>
      </c>
      <c r="C372" s="579">
        <v>67122.826000000001</v>
      </c>
      <c r="D372" s="1134">
        <v>43014.161</v>
      </c>
      <c r="E372" s="1134">
        <v>81615.044999999998</v>
      </c>
      <c r="F372" s="1134">
        <v>51999.021999999997</v>
      </c>
      <c r="G372" s="1134"/>
      <c r="H372" s="1134"/>
      <c r="I372" s="1134"/>
      <c r="J372" s="1134"/>
      <c r="K372" s="1134"/>
      <c r="L372" s="1134"/>
      <c r="M372" s="1134"/>
      <c r="N372" s="1219"/>
      <c r="O372" s="622">
        <f t="shared" si="95"/>
        <v>243751.054</v>
      </c>
      <c r="P372" s="324"/>
      <c r="Q372" s="324"/>
      <c r="R372" s="324"/>
      <c r="S372" s="324"/>
      <c r="T372" s="324"/>
    </row>
    <row r="373" spans="2:20" s="3" customFormat="1" x14ac:dyDescent="0.35">
      <c r="B373" s="502" t="s">
        <v>70</v>
      </c>
      <c r="C373" s="579">
        <v>84082.439000000144</v>
      </c>
      <c r="D373" s="1134">
        <v>77221.807000000015</v>
      </c>
      <c r="E373" s="1134">
        <v>83105.515999999931</v>
      </c>
      <c r="F373" s="1134">
        <v>63697.7769999999</v>
      </c>
      <c r="G373" s="1134"/>
      <c r="H373" s="1134"/>
      <c r="I373" s="1134"/>
      <c r="J373" s="1134"/>
      <c r="K373" s="1134"/>
      <c r="L373" s="1134"/>
      <c r="M373" s="1134"/>
      <c r="N373" s="1219"/>
      <c r="O373" s="622">
        <f t="shared" si="95"/>
        <v>308107.53899999999</v>
      </c>
    </row>
    <row r="374" spans="2:20" s="3" customFormat="1" x14ac:dyDescent="0.35">
      <c r="B374" s="623" t="s">
        <v>69</v>
      </c>
      <c r="C374" s="579">
        <v>50511.475829999938</v>
      </c>
      <c r="D374" s="1134">
        <v>41098.964100000019</v>
      </c>
      <c r="E374" s="1134">
        <v>48068.579999999885</v>
      </c>
      <c r="F374" s="1134">
        <v>51094.900999999816</v>
      </c>
      <c r="G374" s="1134"/>
      <c r="H374" s="1134"/>
      <c r="I374" s="1134"/>
      <c r="J374" s="1134"/>
      <c r="K374" s="1134"/>
      <c r="L374" s="1134"/>
      <c r="M374" s="1134"/>
      <c r="N374" s="1219"/>
      <c r="O374" s="622">
        <f t="shared" si="95"/>
        <v>190773.92092999964</v>
      </c>
    </row>
    <row r="375" spans="2:20" s="3" customFormat="1" x14ac:dyDescent="0.35">
      <c r="B375" s="623" t="s">
        <v>75</v>
      </c>
      <c r="C375" s="579">
        <v>38308.897999999972</v>
      </c>
      <c r="D375" s="1134">
        <v>23799.406999999919</v>
      </c>
      <c r="E375" s="1134">
        <v>28994.030000000061</v>
      </c>
      <c r="F375" s="1134">
        <v>29178.104000000018</v>
      </c>
      <c r="G375" s="1134"/>
      <c r="H375" s="1134"/>
      <c r="I375" s="1134"/>
      <c r="J375" s="1134"/>
      <c r="K375" s="1134"/>
      <c r="L375" s="1134"/>
      <c r="M375" s="1134"/>
      <c r="N375" s="1219"/>
      <c r="O375" s="622">
        <f t="shared" si="95"/>
        <v>120280.43899999997</v>
      </c>
    </row>
    <row r="376" spans="2:20" s="3" customFormat="1" x14ac:dyDescent="0.35">
      <c r="B376" s="623" t="s">
        <v>77</v>
      </c>
      <c r="C376" s="579">
        <v>23802.991999999991</v>
      </c>
      <c r="D376" s="1134">
        <v>39216.876000000055</v>
      </c>
      <c r="E376" s="1134">
        <v>30852.761999999955</v>
      </c>
      <c r="F376" s="1134">
        <v>18968.684999999969</v>
      </c>
      <c r="G376" s="1134"/>
      <c r="H376" s="1134"/>
      <c r="I376" s="1134"/>
      <c r="J376" s="1134"/>
      <c r="K376" s="1134"/>
      <c r="L376" s="1134"/>
      <c r="M376" s="1134"/>
      <c r="N376" s="1219"/>
      <c r="O376" s="622">
        <f t="shared" si="95"/>
        <v>112841.31499999997</v>
      </c>
    </row>
    <row r="377" spans="2:20" s="3" customFormat="1" x14ac:dyDescent="0.35">
      <c r="B377" s="623" t="s">
        <v>73</v>
      </c>
      <c r="C377" s="579">
        <v>27806.567739999995</v>
      </c>
      <c r="D377" s="1134">
        <v>24451.878000000022</v>
      </c>
      <c r="E377" s="1134">
        <v>24833.491000000024</v>
      </c>
      <c r="F377" s="1134">
        <v>32733.907000000017</v>
      </c>
      <c r="G377" s="1134"/>
      <c r="H377" s="1134"/>
      <c r="I377" s="1134"/>
      <c r="J377" s="1134"/>
      <c r="K377" s="1134"/>
      <c r="L377" s="1134"/>
      <c r="M377" s="1134"/>
      <c r="N377" s="1219"/>
      <c r="O377" s="622">
        <f t="shared" si="95"/>
        <v>109825.84374000005</v>
      </c>
    </row>
    <row r="378" spans="2:20" s="3" customFormat="1" x14ac:dyDescent="0.35">
      <c r="B378" s="623" t="s">
        <v>71</v>
      </c>
      <c r="C378" s="579">
        <v>11471.294000000007</v>
      </c>
      <c r="D378" s="1134">
        <v>18101.101000000035</v>
      </c>
      <c r="E378" s="1134">
        <v>37359.632999999936</v>
      </c>
      <c r="F378" s="1134">
        <v>50453.005000000056</v>
      </c>
      <c r="G378" s="1134"/>
      <c r="H378" s="1134"/>
      <c r="I378" s="1134"/>
      <c r="J378" s="1134"/>
      <c r="K378" s="1134"/>
      <c r="L378" s="1134"/>
      <c r="M378" s="1134"/>
      <c r="N378" s="1219"/>
      <c r="O378" s="622">
        <f t="shared" si="95"/>
        <v>117385.03300000002</v>
      </c>
    </row>
    <row r="379" spans="2:20" s="3" customFormat="1" x14ac:dyDescent="0.35">
      <c r="B379" s="623" t="s">
        <v>78</v>
      </c>
      <c r="C379" s="579">
        <v>22669.694816999992</v>
      </c>
      <c r="D379" s="1134">
        <v>27331.532729999995</v>
      </c>
      <c r="E379" s="1134">
        <v>27231.551000000029</v>
      </c>
      <c r="F379" s="1134">
        <v>28055.243999999981</v>
      </c>
      <c r="G379" s="1134"/>
      <c r="H379" s="1134"/>
      <c r="I379" s="1134"/>
      <c r="J379" s="1134"/>
      <c r="K379" s="1134"/>
      <c r="L379" s="1134"/>
      <c r="M379" s="1134"/>
      <c r="N379" s="1219"/>
      <c r="O379" s="622">
        <f t="shared" si="95"/>
        <v>105288.022547</v>
      </c>
    </row>
    <row r="380" spans="2:20" s="3" customFormat="1" x14ac:dyDescent="0.35">
      <c r="B380" s="623" t="s">
        <v>74</v>
      </c>
      <c r="C380" s="579">
        <v>34245.548000000017</v>
      </c>
      <c r="D380" s="1134">
        <v>45150.538999999968</v>
      </c>
      <c r="E380" s="1134">
        <v>21686.129999999997</v>
      </c>
      <c r="F380" s="1134">
        <v>30778.728999999999</v>
      </c>
      <c r="G380" s="1134"/>
      <c r="H380" s="1134"/>
      <c r="I380" s="1134"/>
      <c r="J380" s="1134"/>
      <c r="K380" s="1134"/>
      <c r="L380" s="1134"/>
      <c r="M380" s="1134"/>
      <c r="N380" s="1219"/>
      <c r="O380" s="622">
        <f t="shared" si="95"/>
        <v>131860.94599999997</v>
      </c>
    </row>
    <row r="381" spans="2:20" s="3" customFormat="1" x14ac:dyDescent="0.35">
      <c r="B381" s="623" t="s">
        <v>470</v>
      </c>
      <c r="C381" s="579">
        <v>13792.876999999999</v>
      </c>
      <c r="D381" s="1134">
        <v>5324.5079999999998</v>
      </c>
      <c r="E381" s="1134">
        <v>15810.287</v>
      </c>
      <c r="F381" s="1134">
        <v>24830.219999999998</v>
      </c>
      <c r="G381" s="1134"/>
      <c r="H381" s="1134"/>
      <c r="I381" s="1134"/>
      <c r="J381" s="1134"/>
      <c r="K381" s="1134"/>
      <c r="L381" s="1134"/>
      <c r="M381" s="1134"/>
      <c r="N381" s="1219"/>
      <c r="O381" s="622">
        <f t="shared" si="95"/>
        <v>59757.891999999993</v>
      </c>
    </row>
    <row r="382" spans="2:20" s="3" customFormat="1" x14ac:dyDescent="0.35">
      <c r="B382" s="623" t="s">
        <v>72</v>
      </c>
      <c r="C382" s="579">
        <v>15842.553379999998</v>
      </c>
      <c r="D382" s="1134">
        <v>17926.768000000018</v>
      </c>
      <c r="E382" s="1134">
        <v>18145.869000000017</v>
      </c>
      <c r="F382" s="1134">
        <v>15065.143</v>
      </c>
      <c r="G382" s="1134"/>
      <c r="H382" s="1134"/>
      <c r="I382" s="1134"/>
      <c r="J382" s="1134"/>
      <c r="K382" s="1134"/>
      <c r="L382" s="1134"/>
      <c r="M382" s="1134"/>
      <c r="N382" s="1219"/>
      <c r="O382" s="622">
        <f t="shared" si="95"/>
        <v>66980.333380000025</v>
      </c>
    </row>
    <row r="383" spans="2:20" s="3" customFormat="1" x14ac:dyDescent="0.35">
      <c r="B383" s="623" t="s">
        <v>471</v>
      </c>
      <c r="C383" s="579">
        <v>3527.3859999999995</v>
      </c>
      <c r="D383" s="1134">
        <v>2934.6569999999988</v>
      </c>
      <c r="E383" s="1134">
        <v>2215.8640000000005</v>
      </c>
      <c r="F383" s="1134">
        <v>3303.6150000000007</v>
      </c>
      <c r="G383" s="1134"/>
      <c r="H383" s="1134"/>
      <c r="I383" s="1134"/>
      <c r="J383" s="1134"/>
      <c r="K383" s="1134"/>
      <c r="L383" s="1134"/>
      <c r="M383" s="1134"/>
      <c r="N383" s="1219"/>
      <c r="O383" s="622">
        <f t="shared" si="95"/>
        <v>11981.522000000001</v>
      </c>
    </row>
    <row r="384" spans="2:20" x14ac:dyDescent="0.35">
      <c r="B384" s="623" t="s">
        <v>79</v>
      </c>
      <c r="C384" s="579">
        <v>14104.001000000009</v>
      </c>
      <c r="D384" s="1134">
        <v>17350.995000000021</v>
      </c>
      <c r="E384" s="1134">
        <v>9093.2569999999851</v>
      </c>
      <c r="F384" s="1134">
        <v>10126.848000000005</v>
      </c>
      <c r="G384" s="1134"/>
      <c r="H384" s="1134"/>
      <c r="I384" s="1134"/>
      <c r="J384" s="1134"/>
      <c r="K384" s="1134"/>
      <c r="L384" s="1134"/>
      <c r="M384" s="1134"/>
      <c r="N384" s="1219"/>
      <c r="O384" s="622">
        <f t="shared" si="95"/>
        <v>50675.101000000017</v>
      </c>
      <c r="P384" s="3"/>
      <c r="Q384" s="3"/>
      <c r="R384" s="3"/>
      <c r="S384" s="3"/>
      <c r="T384" s="3"/>
    </row>
    <row r="385" spans="2:20" s="3" customFormat="1" x14ac:dyDescent="0.35">
      <c r="B385" s="623" t="s">
        <v>80</v>
      </c>
      <c r="C385" s="579">
        <v>16322.333999999995</v>
      </c>
      <c r="D385" s="1134">
        <v>12063.024000000005</v>
      </c>
      <c r="E385" s="1134">
        <v>18567.918000000027</v>
      </c>
      <c r="F385" s="1134">
        <v>15263.009999999984</v>
      </c>
      <c r="G385" s="1134"/>
      <c r="H385" s="1134"/>
      <c r="I385" s="1134"/>
      <c r="J385" s="1134"/>
      <c r="K385" s="1134"/>
      <c r="L385" s="1134"/>
      <c r="M385" s="1134"/>
      <c r="N385" s="1219"/>
      <c r="O385" s="622">
        <f t="shared" si="95"/>
        <v>62216.286000000007</v>
      </c>
      <c r="P385" s="324"/>
      <c r="Q385" s="324"/>
      <c r="R385" s="324"/>
      <c r="S385" s="324"/>
      <c r="T385" s="324"/>
    </row>
    <row r="386" spans="2:20" s="3" customFormat="1" x14ac:dyDescent="0.35">
      <c r="B386" s="623" t="s">
        <v>85</v>
      </c>
      <c r="C386" s="579">
        <v>9307.9839999999986</v>
      </c>
      <c r="D386" s="1134">
        <v>9556.23</v>
      </c>
      <c r="E386" s="1134">
        <v>17101.152999999998</v>
      </c>
      <c r="F386" s="1134">
        <v>7124.6069999999991</v>
      </c>
      <c r="G386" s="1134"/>
      <c r="H386" s="1134"/>
      <c r="I386" s="1134"/>
      <c r="J386" s="1134"/>
      <c r="K386" s="1134"/>
      <c r="L386" s="1134"/>
      <c r="M386" s="1134"/>
      <c r="N386" s="1219"/>
      <c r="O386" s="622">
        <f t="shared" si="95"/>
        <v>43089.973999999995</v>
      </c>
    </row>
    <row r="387" spans="2:20" s="3" customFormat="1" x14ac:dyDescent="0.35">
      <c r="B387" s="623" t="s">
        <v>83</v>
      </c>
      <c r="C387" s="579">
        <v>11885.898999999998</v>
      </c>
      <c r="D387" s="1134">
        <v>8425.3359999999993</v>
      </c>
      <c r="E387" s="1134">
        <v>7899.5860000000021</v>
      </c>
      <c r="F387" s="1134">
        <v>14516.912999999995</v>
      </c>
      <c r="G387" s="1134"/>
      <c r="H387" s="1134"/>
      <c r="I387" s="1134"/>
      <c r="J387" s="1134"/>
      <c r="K387" s="1134"/>
      <c r="L387" s="1134"/>
      <c r="M387" s="1134"/>
      <c r="N387" s="1219"/>
      <c r="O387" s="622">
        <f t="shared" si="95"/>
        <v>42727.733999999997</v>
      </c>
    </row>
    <row r="388" spans="2:20" s="3" customFormat="1" x14ac:dyDescent="0.35">
      <c r="B388" s="502" t="s">
        <v>87</v>
      </c>
      <c r="C388" s="579">
        <v>6896.1307499999994</v>
      </c>
      <c r="D388" s="1134">
        <v>5050.3329999999996</v>
      </c>
      <c r="E388" s="1134">
        <v>4247.3050000000003</v>
      </c>
      <c r="F388" s="1134">
        <v>6446.2539999999999</v>
      </c>
      <c r="G388" s="1134"/>
      <c r="H388" s="1134"/>
      <c r="I388" s="1134"/>
      <c r="J388" s="1134"/>
      <c r="K388" s="1134"/>
      <c r="L388" s="1134"/>
      <c r="M388" s="1134"/>
      <c r="N388" s="1219"/>
      <c r="O388" s="622">
        <f t="shared" si="95"/>
        <v>22640.02275</v>
      </c>
    </row>
    <row r="389" spans="2:20" s="3" customFormat="1" x14ac:dyDescent="0.35">
      <c r="B389" s="623" t="s">
        <v>81</v>
      </c>
      <c r="C389" s="579">
        <v>6846.4883339999997</v>
      </c>
      <c r="D389" s="1134">
        <v>3936.7494649999976</v>
      </c>
      <c r="E389" s="1134">
        <v>7029.0740000000096</v>
      </c>
      <c r="F389" s="1134">
        <v>3606.2089999999998</v>
      </c>
      <c r="G389" s="1134"/>
      <c r="H389" s="1134"/>
      <c r="I389" s="1134"/>
      <c r="J389" s="1134"/>
      <c r="K389" s="1134"/>
      <c r="L389" s="1134"/>
      <c r="M389" s="1134"/>
      <c r="N389" s="1219"/>
      <c r="O389" s="622">
        <f t="shared" si="95"/>
        <v>21418.520799000005</v>
      </c>
    </row>
    <row r="390" spans="2:20" s="3" customFormat="1" x14ac:dyDescent="0.35">
      <c r="B390" s="1220" t="s">
        <v>89</v>
      </c>
      <c r="C390" s="579">
        <v>6688.7669999999689</v>
      </c>
      <c r="D390" s="1134">
        <v>7275.7930000000015</v>
      </c>
      <c r="E390" s="1134">
        <v>4228.4330000000018</v>
      </c>
      <c r="F390" s="1134">
        <v>7133.8340000000062</v>
      </c>
      <c r="G390" s="1134"/>
      <c r="H390" s="1134"/>
      <c r="I390" s="1134"/>
      <c r="J390" s="1134"/>
      <c r="K390" s="1134"/>
      <c r="L390" s="1134"/>
      <c r="M390" s="1134"/>
      <c r="N390" s="1219"/>
      <c r="O390" s="622">
        <f t="shared" si="95"/>
        <v>25326.826999999979</v>
      </c>
    </row>
    <row r="391" spans="2:20" s="3" customFormat="1" x14ac:dyDescent="0.35">
      <c r="B391" s="502" t="s">
        <v>76</v>
      </c>
      <c r="C391" s="579">
        <v>0</v>
      </c>
      <c r="D391" s="1134">
        <v>152</v>
      </c>
      <c r="E391" s="1134">
        <v>0</v>
      </c>
      <c r="F391" s="1134">
        <v>0</v>
      </c>
      <c r="G391" s="1134"/>
      <c r="H391" s="1134"/>
      <c r="I391" s="1134"/>
      <c r="J391" s="1134"/>
      <c r="K391" s="1134"/>
      <c r="L391" s="1134"/>
      <c r="M391" s="1134"/>
      <c r="N391" s="1219"/>
      <c r="O391" s="622">
        <f t="shared" si="95"/>
        <v>152</v>
      </c>
    </row>
    <row r="392" spans="2:20" s="3" customFormat="1" x14ac:dyDescent="0.35">
      <c r="B392" s="502" t="s">
        <v>115</v>
      </c>
      <c r="C392" s="579">
        <v>6598.3744120000019</v>
      </c>
      <c r="D392" s="1134">
        <v>5363.2830999999978</v>
      </c>
      <c r="E392" s="1134">
        <v>6150.8106399999988</v>
      </c>
      <c r="F392" s="1134">
        <v>4188.7520000000004</v>
      </c>
      <c r="G392" s="1134"/>
      <c r="H392" s="1134"/>
      <c r="I392" s="1134"/>
      <c r="J392" s="1134"/>
      <c r="K392" s="1134"/>
      <c r="L392" s="1134"/>
      <c r="M392" s="1134"/>
      <c r="N392" s="1219"/>
      <c r="O392" s="622">
        <f t="shared" si="95"/>
        <v>22301.220151999998</v>
      </c>
    </row>
    <row r="393" spans="2:20" s="3" customFormat="1" x14ac:dyDescent="0.35">
      <c r="B393" s="502" t="s">
        <v>394</v>
      </c>
      <c r="C393" s="579">
        <v>3981.4740000000015</v>
      </c>
      <c r="D393" s="1134">
        <v>5084.6019999999962</v>
      </c>
      <c r="E393" s="1134">
        <v>3827.2770000000014</v>
      </c>
      <c r="F393" s="1134">
        <v>682.1869999999999</v>
      </c>
      <c r="G393" s="1134"/>
      <c r="H393" s="1134"/>
      <c r="I393" s="1134"/>
      <c r="J393" s="1134"/>
      <c r="K393" s="1134"/>
      <c r="L393" s="1134"/>
      <c r="M393" s="1134"/>
      <c r="N393" s="1219"/>
      <c r="O393" s="622">
        <f t="shared" si="95"/>
        <v>13575.539999999999</v>
      </c>
    </row>
    <row r="394" spans="2:20" s="3" customFormat="1" x14ac:dyDescent="0.35">
      <c r="B394" s="502" t="s">
        <v>88</v>
      </c>
      <c r="C394" s="579">
        <v>6482.3150000000051</v>
      </c>
      <c r="D394" s="1134">
        <v>7020.4059999999945</v>
      </c>
      <c r="E394" s="1134">
        <v>6195.1670000000013</v>
      </c>
      <c r="F394" s="1134">
        <v>9059.3050000000039</v>
      </c>
      <c r="G394" s="1134"/>
      <c r="H394" s="1134"/>
      <c r="I394" s="1134"/>
      <c r="J394" s="1134"/>
      <c r="K394" s="1134"/>
      <c r="L394" s="1134"/>
      <c r="M394" s="1134"/>
      <c r="N394" s="1219"/>
      <c r="O394" s="622">
        <f t="shared" si="95"/>
        <v>28757.193000000003</v>
      </c>
    </row>
    <row r="395" spans="2:20" s="3" customFormat="1" x14ac:dyDescent="0.35">
      <c r="B395" s="502" t="s">
        <v>221</v>
      </c>
      <c r="C395" s="579">
        <v>5064.7069999999949</v>
      </c>
      <c r="D395" s="1134">
        <v>3787.4430000000048</v>
      </c>
      <c r="E395" s="1134">
        <v>4245.1379999999963</v>
      </c>
      <c r="F395" s="1134">
        <v>4757.541999999994</v>
      </c>
      <c r="G395" s="1134"/>
      <c r="H395" s="1134"/>
      <c r="I395" s="1134"/>
      <c r="J395" s="1134"/>
      <c r="K395" s="1134"/>
      <c r="L395" s="1134"/>
      <c r="M395" s="1134"/>
      <c r="N395" s="1219"/>
      <c r="O395" s="622">
        <f t="shared" si="95"/>
        <v>17854.829999999991</v>
      </c>
    </row>
    <row r="396" spans="2:20" s="3" customFormat="1" x14ac:dyDescent="0.35">
      <c r="B396" s="502" t="s">
        <v>84</v>
      </c>
      <c r="C396" s="579">
        <v>2942.0620000000008</v>
      </c>
      <c r="D396" s="1134">
        <v>4426.2920000000031</v>
      </c>
      <c r="E396" s="1134">
        <v>3272.0879999999997</v>
      </c>
      <c r="F396" s="1134">
        <v>3855.4469999999997</v>
      </c>
      <c r="G396" s="1134"/>
      <c r="H396" s="1134"/>
      <c r="I396" s="1134"/>
      <c r="J396" s="1134"/>
      <c r="K396" s="1134"/>
      <c r="L396" s="1134"/>
      <c r="M396" s="1134"/>
      <c r="N396" s="1219"/>
      <c r="O396" s="622">
        <f t="shared" si="95"/>
        <v>14495.889000000003</v>
      </c>
    </row>
    <row r="397" spans="2:20" s="3" customFormat="1" x14ac:dyDescent="0.35">
      <c r="B397" s="502" t="s">
        <v>90</v>
      </c>
      <c r="C397" s="579">
        <v>4638.3970000000018</v>
      </c>
      <c r="D397" s="1134">
        <v>3266.5540000000015</v>
      </c>
      <c r="E397" s="1134">
        <v>4707.7550000000028</v>
      </c>
      <c r="F397" s="1134">
        <v>6546.4453199999998</v>
      </c>
      <c r="G397" s="1134"/>
      <c r="H397" s="1134"/>
      <c r="I397" s="1134"/>
      <c r="J397" s="1134"/>
      <c r="K397" s="1134"/>
      <c r="L397" s="1134"/>
      <c r="M397" s="1134"/>
      <c r="N397" s="1219"/>
      <c r="O397" s="622">
        <f t="shared" si="95"/>
        <v>19159.151320000004</v>
      </c>
    </row>
    <row r="398" spans="2:20" s="3" customFormat="1" x14ac:dyDescent="0.35">
      <c r="B398" s="502" t="s">
        <v>82</v>
      </c>
      <c r="C398" s="579">
        <v>1303.71</v>
      </c>
      <c r="D398" s="1134">
        <v>18178.222999999991</v>
      </c>
      <c r="E398" s="1134">
        <v>1001.7110000000002</v>
      </c>
      <c r="F398" s="1134">
        <v>334.28</v>
      </c>
      <c r="G398" s="1134"/>
      <c r="H398" s="1134"/>
      <c r="I398" s="1134"/>
      <c r="J398" s="1134"/>
      <c r="K398" s="1134"/>
      <c r="L398" s="1134"/>
      <c r="M398" s="1134"/>
      <c r="N398" s="1219"/>
      <c r="O398" s="622">
        <f t="shared" si="95"/>
        <v>20817.923999999988</v>
      </c>
    </row>
    <row r="399" spans="2:20" s="3" customFormat="1" x14ac:dyDescent="0.35">
      <c r="B399" s="502" t="s">
        <v>86</v>
      </c>
      <c r="C399" s="579">
        <v>6202.5240000000031</v>
      </c>
      <c r="D399" s="1134">
        <v>3173.746999999998</v>
      </c>
      <c r="E399" s="1134">
        <v>5348.8960000000088</v>
      </c>
      <c r="F399" s="1134">
        <v>5459.6239999999998</v>
      </c>
      <c r="G399" s="1134"/>
      <c r="H399" s="1134"/>
      <c r="I399" s="1134"/>
      <c r="J399" s="1134"/>
      <c r="K399" s="1134"/>
      <c r="L399" s="1134"/>
      <c r="M399" s="1134"/>
      <c r="N399" s="1219"/>
      <c r="O399" s="622">
        <f t="shared" si="95"/>
        <v>20184.791000000008</v>
      </c>
    </row>
    <row r="400" spans="2:20" s="3" customFormat="1" x14ac:dyDescent="0.35">
      <c r="B400" s="502" t="s">
        <v>91</v>
      </c>
      <c r="C400" s="579">
        <v>252606.49947200529</v>
      </c>
      <c r="D400" s="1134">
        <v>206444.83700400055</v>
      </c>
      <c r="E400" s="1135">
        <v>277268.99500000128</v>
      </c>
      <c r="F400" s="1135">
        <v>202870.30766999954</v>
      </c>
      <c r="G400" s="1135"/>
      <c r="H400" s="1135"/>
      <c r="I400" s="1135"/>
      <c r="J400" s="1135"/>
      <c r="K400" s="1135"/>
      <c r="L400" s="1135"/>
      <c r="M400" s="1135"/>
      <c r="N400" s="1221"/>
      <c r="O400" s="502">
        <f t="shared" si="95"/>
        <v>939190.63914600667</v>
      </c>
    </row>
    <row r="401" spans="2:15" s="3" customFormat="1" x14ac:dyDescent="0.35">
      <c r="B401" s="503"/>
      <c r="C401" s="594"/>
      <c r="D401" s="1129"/>
      <c r="E401" s="1129"/>
      <c r="F401" s="1129"/>
      <c r="G401" s="1129"/>
      <c r="H401" s="1129"/>
      <c r="I401" s="1129"/>
      <c r="J401" s="1129"/>
      <c r="K401" s="1129"/>
      <c r="L401" s="1129"/>
      <c r="M401" s="1129"/>
      <c r="N401" s="1129"/>
      <c r="O401" s="624"/>
    </row>
    <row r="402" spans="2:15" s="3" customFormat="1" x14ac:dyDescent="0.35">
      <c r="B402" s="1218" t="s">
        <v>56</v>
      </c>
      <c r="C402" s="594">
        <f>SUM(C404:C434)</f>
        <v>456783.18499999668</v>
      </c>
      <c r="D402" s="594">
        <f>SUM(D404:D434)</f>
        <v>457866.33048999956</v>
      </c>
      <c r="E402" s="594">
        <f>SUM(E404:E434)</f>
        <v>408471.12899999984</v>
      </c>
      <c r="F402" s="594">
        <f>SUM(F404:F434)</f>
        <v>486945.78199999972</v>
      </c>
      <c r="G402" s="594">
        <f t="shared" ref="G402:L402" si="96">SUM(G404:G434)</f>
        <v>0</v>
      </c>
      <c r="H402" s="594">
        <f t="shared" si="96"/>
        <v>0</v>
      </c>
      <c r="I402" s="594">
        <f t="shared" si="96"/>
        <v>0</v>
      </c>
      <c r="J402" s="594">
        <f t="shared" si="96"/>
        <v>0</v>
      </c>
      <c r="K402" s="594">
        <f t="shared" si="96"/>
        <v>0</v>
      </c>
      <c r="L402" s="594">
        <f t="shared" si="96"/>
        <v>0</v>
      </c>
      <c r="M402" s="594">
        <f>SUM(M404:M434)</f>
        <v>0</v>
      </c>
      <c r="N402" s="503">
        <f>SUM(N404:N434)</f>
        <v>0</v>
      </c>
      <c r="O402" s="620">
        <f>SUM(C402:N402)</f>
        <v>1810066.4264899958</v>
      </c>
    </row>
    <row r="403" spans="2:15" s="3" customFormat="1" x14ac:dyDescent="0.35">
      <c r="B403" s="503"/>
      <c r="C403" s="625"/>
      <c r="D403" s="621"/>
      <c r="E403" s="621"/>
      <c r="F403" s="621"/>
      <c r="G403" s="621"/>
      <c r="H403" s="621"/>
      <c r="I403" s="621"/>
      <c r="J403" s="621"/>
      <c r="K403" s="621"/>
      <c r="L403" s="621"/>
      <c r="M403" s="621"/>
      <c r="N403" s="621"/>
      <c r="O403" s="503"/>
    </row>
    <row r="404" spans="2:15" s="3" customFormat="1" x14ac:dyDescent="0.35">
      <c r="B404" s="502" t="s">
        <v>94</v>
      </c>
      <c r="C404" s="1134">
        <v>103893.10599999977</v>
      </c>
      <c r="D404" s="1134">
        <v>88988.934999999823</v>
      </c>
      <c r="E404" s="1134">
        <v>107070.19099999963</v>
      </c>
      <c r="F404" s="1134">
        <v>94497.774999999863</v>
      </c>
      <c r="G404" s="1134"/>
      <c r="H404" s="1134"/>
      <c r="I404" s="1134"/>
      <c r="J404" s="1134"/>
      <c r="K404" s="1134"/>
      <c r="L404" s="1134"/>
      <c r="M404" s="1134"/>
      <c r="N404" s="1219"/>
      <c r="O404" s="622">
        <f t="shared" ref="O404:O434" si="97">SUM(C404:N404)</f>
        <v>394450.00699999905</v>
      </c>
    </row>
    <row r="405" spans="2:15" s="3" customFormat="1" x14ac:dyDescent="0.35">
      <c r="B405" s="502" t="s">
        <v>472</v>
      </c>
      <c r="C405" s="1134">
        <v>109543.35</v>
      </c>
      <c r="D405" s="1134">
        <v>96607.959999999992</v>
      </c>
      <c r="E405" s="1134">
        <v>55000.92</v>
      </c>
      <c r="F405" s="1134">
        <v>51136.027000000002</v>
      </c>
      <c r="G405" s="1134"/>
      <c r="H405" s="1134"/>
      <c r="I405" s="1134"/>
      <c r="J405" s="1134"/>
      <c r="K405" s="1134"/>
      <c r="L405" s="1134"/>
      <c r="M405" s="1134"/>
      <c r="N405" s="1219"/>
      <c r="O405" s="622">
        <f t="shared" si="97"/>
        <v>312288.25699999998</v>
      </c>
    </row>
    <row r="406" spans="2:15" s="3" customFormat="1" ht="15.75" customHeight="1" x14ac:dyDescent="0.35">
      <c r="B406" s="628" t="s">
        <v>95</v>
      </c>
      <c r="C406" s="1134">
        <v>19468.429</v>
      </c>
      <c r="D406" s="1134">
        <v>12437.205999999998</v>
      </c>
      <c r="E406" s="1134">
        <v>10182.839000000002</v>
      </c>
      <c r="F406" s="1134">
        <v>57438.664000000026</v>
      </c>
      <c r="G406" s="1134"/>
      <c r="H406" s="1134"/>
      <c r="I406" s="1134"/>
      <c r="J406" s="1134"/>
      <c r="K406" s="1134"/>
      <c r="L406" s="1134"/>
      <c r="M406" s="1134"/>
      <c r="N406" s="1219"/>
      <c r="O406" s="622">
        <f t="shared" si="97"/>
        <v>99527.138000000035</v>
      </c>
    </row>
    <row r="407" spans="2:15" s="3" customFormat="1" ht="15" customHeight="1" x14ac:dyDescent="0.35">
      <c r="B407" s="502" t="s">
        <v>92</v>
      </c>
      <c r="C407" s="1134">
        <v>3</v>
      </c>
      <c r="D407" s="1134">
        <v>76430.152999999991</v>
      </c>
      <c r="E407" s="1134">
        <v>3173.5450000000001</v>
      </c>
      <c r="F407" s="1134">
        <v>58315.061000000009</v>
      </c>
      <c r="G407" s="1134"/>
      <c r="H407" s="1134"/>
      <c r="I407" s="1134"/>
      <c r="J407" s="1134"/>
      <c r="K407" s="1134"/>
      <c r="L407" s="1134"/>
      <c r="M407" s="1134"/>
      <c r="N407" s="1219"/>
      <c r="O407" s="622">
        <f t="shared" si="97"/>
        <v>137921.75899999999</v>
      </c>
    </row>
    <row r="408" spans="2:15" s="3" customFormat="1" x14ac:dyDescent="0.35">
      <c r="B408" s="502" t="s">
        <v>93</v>
      </c>
      <c r="C408" s="1134">
        <v>114700.73700000069</v>
      </c>
      <c r="D408" s="1134">
        <v>79787.988000000187</v>
      </c>
      <c r="E408" s="1134">
        <v>86494.602000000319</v>
      </c>
      <c r="F408" s="1134">
        <v>59064.361999999979</v>
      </c>
      <c r="G408" s="1134"/>
      <c r="H408" s="1134"/>
      <c r="I408" s="1134"/>
      <c r="J408" s="1134"/>
      <c r="K408" s="1134"/>
      <c r="L408" s="1134"/>
      <c r="M408" s="1134"/>
      <c r="N408" s="1219"/>
      <c r="O408" s="622">
        <f t="shared" si="97"/>
        <v>340047.68900000118</v>
      </c>
    </row>
    <row r="409" spans="2:15" s="3" customFormat="1" x14ac:dyDescent="0.35">
      <c r="B409" s="502" t="s">
        <v>96</v>
      </c>
      <c r="C409" s="1134">
        <v>29625.56100000014</v>
      </c>
      <c r="D409" s="1134">
        <v>28884.710000000156</v>
      </c>
      <c r="E409" s="1134">
        <v>35037.537000000208</v>
      </c>
      <c r="F409" s="1134">
        <v>35994.129000000008</v>
      </c>
      <c r="G409" s="1134"/>
      <c r="H409" s="1134"/>
      <c r="I409" s="1134"/>
      <c r="J409" s="1134"/>
      <c r="K409" s="1134"/>
      <c r="L409" s="1134"/>
      <c r="M409" s="1134"/>
      <c r="N409" s="1219"/>
      <c r="O409" s="622">
        <f t="shared" si="97"/>
        <v>129541.93700000053</v>
      </c>
    </row>
    <row r="410" spans="2:15" s="3" customFormat="1" x14ac:dyDescent="0.35">
      <c r="B410" s="628" t="s">
        <v>97</v>
      </c>
      <c r="C410" s="1134">
        <v>25793.336999999941</v>
      </c>
      <c r="D410" s="1134">
        <v>23201.361999999928</v>
      </c>
      <c r="E410" s="1134">
        <v>31705.73499999987</v>
      </c>
      <c r="F410" s="1134">
        <v>24001.21399999992</v>
      </c>
      <c r="G410" s="1134"/>
      <c r="H410" s="1134"/>
      <c r="I410" s="1134"/>
      <c r="J410" s="1134"/>
      <c r="K410" s="1134"/>
      <c r="L410" s="1134"/>
      <c r="M410" s="1134"/>
      <c r="N410" s="1219"/>
      <c r="O410" s="622">
        <f t="shared" si="97"/>
        <v>104701.64799999967</v>
      </c>
    </row>
    <row r="411" spans="2:15" s="3" customFormat="1" x14ac:dyDescent="0.35">
      <c r="B411" s="502" t="s">
        <v>100</v>
      </c>
      <c r="C411" s="1134">
        <v>6277.0239999999967</v>
      </c>
      <c r="D411" s="1134">
        <v>8554.1579999999958</v>
      </c>
      <c r="E411" s="1134">
        <v>7795.2419999999956</v>
      </c>
      <c r="F411" s="1134">
        <v>7958.9059999999981</v>
      </c>
      <c r="G411" s="1134"/>
      <c r="H411" s="1134"/>
      <c r="I411" s="1134"/>
      <c r="J411" s="1134"/>
      <c r="K411" s="1134"/>
      <c r="L411" s="1134"/>
      <c r="M411" s="1134"/>
      <c r="N411" s="1219"/>
      <c r="O411" s="622">
        <f t="shared" si="97"/>
        <v>30585.329999999987</v>
      </c>
    </row>
    <row r="412" spans="2:15" s="3" customFormat="1" x14ac:dyDescent="0.35">
      <c r="B412" s="502" t="s">
        <v>101</v>
      </c>
      <c r="C412" s="1134">
        <v>2450.1089999999999</v>
      </c>
      <c r="D412" s="1134">
        <v>5049.0239999999994</v>
      </c>
      <c r="E412" s="1134">
        <v>4825.6959999999999</v>
      </c>
      <c r="F412" s="1134">
        <v>4050.4470000000001</v>
      </c>
      <c r="G412" s="1134"/>
      <c r="H412" s="1134"/>
      <c r="I412" s="1134"/>
      <c r="J412" s="1134"/>
      <c r="K412" s="1134"/>
      <c r="L412" s="1134"/>
      <c r="M412" s="1134"/>
      <c r="N412" s="1219"/>
      <c r="O412" s="622">
        <f t="shared" si="97"/>
        <v>16375.276</v>
      </c>
    </row>
    <row r="413" spans="2:15" s="3" customFormat="1" x14ac:dyDescent="0.35">
      <c r="B413" s="502" t="s">
        <v>98</v>
      </c>
      <c r="C413" s="1134">
        <v>627.69000000000005</v>
      </c>
      <c r="D413" s="1134">
        <v>6017.5999999999985</v>
      </c>
      <c r="E413" s="1134">
        <v>9322.9780000000028</v>
      </c>
      <c r="F413" s="1134">
        <v>9718.7899999999954</v>
      </c>
      <c r="G413" s="1134"/>
      <c r="H413" s="1134"/>
      <c r="I413" s="1134"/>
      <c r="J413" s="1134"/>
      <c r="K413" s="1134"/>
      <c r="L413" s="1134"/>
      <c r="M413" s="1134"/>
      <c r="N413" s="1219"/>
      <c r="O413" s="622">
        <f t="shared" si="97"/>
        <v>25687.057999999997</v>
      </c>
    </row>
    <row r="414" spans="2:15" s="3" customFormat="1" x14ac:dyDescent="0.35">
      <c r="B414" s="502" t="s">
        <v>104</v>
      </c>
      <c r="C414" s="1134">
        <v>8996.26</v>
      </c>
      <c r="D414" s="1134">
        <v>565.6</v>
      </c>
      <c r="E414" s="1134">
        <v>9458.76</v>
      </c>
      <c r="F414" s="1134">
        <v>1882.64</v>
      </c>
      <c r="G414" s="1134"/>
      <c r="H414" s="1134"/>
      <c r="I414" s="1134"/>
      <c r="J414" s="1134"/>
      <c r="K414" s="1134"/>
      <c r="L414" s="1134"/>
      <c r="M414" s="1134"/>
      <c r="N414" s="1219"/>
      <c r="O414" s="622">
        <f t="shared" si="97"/>
        <v>20903.260000000002</v>
      </c>
    </row>
    <row r="415" spans="2:15" s="3" customFormat="1" x14ac:dyDescent="0.35">
      <c r="B415" s="502" t="s">
        <v>77</v>
      </c>
      <c r="C415" s="1134">
        <v>3.1209999999999996</v>
      </c>
      <c r="D415" s="1134">
        <v>40.733000000000004</v>
      </c>
      <c r="E415" s="1134">
        <v>108.29800000000002</v>
      </c>
      <c r="F415" s="1134">
        <v>24926.389999999679</v>
      </c>
      <c r="G415" s="1134"/>
      <c r="H415" s="1134"/>
      <c r="I415" s="1134"/>
      <c r="J415" s="1134"/>
      <c r="K415" s="1134"/>
      <c r="L415" s="1134"/>
      <c r="M415" s="1134"/>
      <c r="N415" s="1219"/>
      <c r="O415" s="622">
        <f t="shared" si="97"/>
        <v>25078.541999999678</v>
      </c>
    </row>
    <row r="416" spans="2:15" s="3" customFormat="1" x14ac:dyDescent="0.35">
      <c r="B416" s="502" t="s">
        <v>108</v>
      </c>
      <c r="C416" s="1134">
        <v>2936.2830000000004</v>
      </c>
      <c r="D416" s="1134">
        <v>3670.7319999999972</v>
      </c>
      <c r="E416" s="1134">
        <v>2973.7270000000008</v>
      </c>
      <c r="F416" s="1134">
        <v>3984.6600000000003</v>
      </c>
      <c r="G416" s="1134"/>
      <c r="H416" s="1134"/>
      <c r="I416" s="1134"/>
      <c r="J416" s="1134"/>
      <c r="K416" s="1134"/>
      <c r="L416" s="1134"/>
      <c r="M416" s="1134"/>
      <c r="N416" s="1219"/>
      <c r="O416" s="622">
        <f t="shared" si="97"/>
        <v>13565.401999999998</v>
      </c>
    </row>
    <row r="417" spans="2:15" s="3" customFormat="1" x14ac:dyDescent="0.35">
      <c r="B417" s="502" t="s">
        <v>76</v>
      </c>
      <c r="C417" s="1134">
        <v>0</v>
      </c>
      <c r="D417" s="1134">
        <v>214.69999999999996</v>
      </c>
      <c r="E417" s="1134">
        <v>347.54000000000008</v>
      </c>
      <c r="F417" s="1134">
        <v>85.32</v>
      </c>
      <c r="G417" s="1134"/>
      <c r="H417" s="1134"/>
      <c r="I417" s="1134"/>
      <c r="J417" s="1134"/>
      <c r="K417" s="1134"/>
      <c r="L417" s="1134"/>
      <c r="M417" s="1134"/>
      <c r="N417" s="1219"/>
      <c r="O417" s="622">
        <f t="shared" si="97"/>
        <v>647.55999999999995</v>
      </c>
    </row>
    <row r="418" spans="2:15" s="3" customFormat="1" x14ac:dyDescent="0.35">
      <c r="B418" s="502" t="s">
        <v>103</v>
      </c>
      <c r="C418" s="1134">
        <v>1002.747</v>
      </c>
      <c r="D418" s="1134">
        <v>1252.78</v>
      </c>
      <c r="E418" s="1134">
        <v>2412.0399999999995</v>
      </c>
      <c r="F418" s="1134">
        <v>2221.5000000000005</v>
      </c>
      <c r="G418" s="1134"/>
      <c r="H418" s="1134"/>
      <c r="I418" s="1134"/>
      <c r="J418" s="1134"/>
      <c r="K418" s="1134"/>
      <c r="L418" s="1134"/>
      <c r="M418" s="1134"/>
      <c r="N418" s="1219"/>
      <c r="O418" s="622">
        <f t="shared" si="97"/>
        <v>6889.0669999999991</v>
      </c>
    </row>
    <row r="419" spans="2:15" s="3" customFormat="1" x14ac:dyDescent="0.35">
      <c r="B419" s="502" t="s">
        <v>106</v>
      </c>
      <c r="C419" s="1134">
        <v>987.11900000000003</v>
      </c>
      <c r="D419" s="1134">
        <v>1402.6080000000002</v>
      </c>
      <c r="E419" s="1134">
        <v>2151.0659999999998</v>
      </c>
      <c r="F419" s="1134">
        <v>1727.0549999999998</v>
      </c>
      <c r="G419" s="1134"/>
      <c r="H419" s="1134"/>
      <c r="I419" s="1134"/>
      <c r="J419" s="1134"/>
      <c r="K419" s="1134"/>
      <c r="L419" s="1134"/>
      <c r="M419" s="1134"/>
      <c r="N419" s="1219"/>
      <c r="O419" s="622">
        <f t="shared" si="97"/>
        <v>6267.848</v>
      </c>
    </row>
    <row r="420" spans="2:15" s="3" customFormat="1" x14ac:dyDescent="0.35">
      <c r="B420" s="502" t="s">
        <v>473</v>
      </c>
      <c r="C420" s="1134">
        <v>23.19</v>
      </c>
      <c r="D420" s="1134">
        <v>260.13</v>
      </c>
      <c r="E420" s="1134">
        <v>429.13</v>
      </c>
      <c r="F420" s="1134">
        <v>1135.1249999999998</v>
      </c>
      <c r="G420" s="1134"/>
      <c r="H420" s="1134"/>
      <c r="I420" s="1134"/>
      <c r="J420" s="1134"/>
      <c r="K420" s="1134"/>
      <c r="L420" s="1134"/>
      <c r="M420" s="1134"/>
      <c r="N420" s="1219"/>
      <c r="O420" s="622">
        <f t="shared" si="97"/>
        <v>1847.5749999999998</v>
      </c>
    </row>
    <row r="421" spans="2:15" s="3" customFormat="1" x14ac:dyDescent="0.35">
      <c r="B421" s="502" t="s">
        <v>107</v>
      </c>
      <c r="C421" s="1134">
        <v>808.5809999999999</v>
      </c>
      <c r="D421" s="1134">
        <v>763.37599999999986</v>
      </c>
      <c r="E421" s="1134">
        <v>974.59200000000033</v>
      </c>
      <c r="F421" s="1134">
        <v>1018.474</v>
      </c>
      <c r="G421" s="1134"/>
      <c r="H421" s="1134"/>
      <c r="I421" s="1134"/>
      <c r="J421" s="1134"/>
      <c r="K421" s="1134"/>
      <c r="L421" s="1134"/>
      <c r="M421" s="1134"/>
      <c r="N421" s="1219"/>
      <c r="O421" s="622">
        <f t="shared" si="97"/>
        <v>3565.0230000000001</v>
      </c>
    </row>
    <row r="422" spans="2:15" s="3" customFormat="1" x14ac:dyDescent="0.35">
      <c r="B422" s="502" t="s">
        <v>109</v>
      </c>
      <c r="C422" s="1134">
        <v>718.71800000000007</v>
      </c>
      <c r="D422" s="1134">
        <v>875.69799999999987</v>
      </c>
      <c r="E422" s="1134">
        <v>1482.8879999999997</v>
      </c>
      <c r="F422" s="1134">
        <v>746.16499999999996</v>
      </c>
      <c r="G422" s="1134"/>
      <c r="H422" s="1134"/>
      <c r="I422" s="1134"/>
      <c r="J422" s="1134"/>
      <c r="K422" s="1134"/>
      <c r="L422" s="1134"/>
      <c r="M422" s="1134"/>
      <c r="N422" s="1219"/>
      <c r="O422" s="622">
        <f t="shared" si="97"/>
        <v>3823.4689999999996</v>
      </c>
    </row>
    <row r="423" spans="2:15" s="3" customFormat="1" x14ac:dyDescent="0.35">
      <c r="B423" s="1220" t="s">
        <v>99</v>
      </c>
      <c r="C423" s="1134">
        <v>232.58600000000001</v>
      </c>
      <c r="D423" s="1134">
        <v>126</v>
      </c>
      <c r="E423" s="1134">
        <v>1146.2269999999999</v>
      </c>
      <c r="F423" s="1134">
        <v>807.36099999999999</v>
      </c>
      <c r="G423" s="1134"/>
      <c r="H423" s="1134"/>
      <c r="I423" s="1134"/>
      <c r="J423" s="1134"/>
      <c r="K423" s="1134"/>
      <c r="L423" s="1134"/>
      <c r="M423" s="1134"/>
      <c r="N423" s="1219"/>
      <c r="O423" s="622">
        <f t="shared" si="97"/>
        <v>2312.174</v>
      </c>
    </row>
    <row r="424" spans="2:15" s="3" customFormat="1" x14ac:dyDescent="0.35">
      <c r="B424" s="502" t="s">
        <v>112</v>
      </c>
      <c r="C424" s="1134">
        <v>518.04899999999986</v>
      </c>
      <c r="D424" s="1134">
        <v>361.7399999999999</v>
      </c>
      <c r="E424" s="1134">
        <v>1458.9519999999995</v>
      </c>
      <c r="F424" s="1134">
        <v>771.71199999999965</v>
      </c>
      <c r="G424" s="1134"/>
      <c r="H424" s="1134"/>
      <c r="I424" s="1134"/>
      <c r="J424" s="1134"/>
      <c r="K424" s="1134"/>
      <c r="L424" s="1134"/>
      <c r="M424" s="1134"/>
      <c r="N424" s="1219"/>
      <c r="O424" s="622">
        <f t="shared" si="97"/>
        <v>3110.4529999999986</v>
      </c>
    </row>
    <row r="425" spans="2:15" s="3" customFormat="1" x14ac:dyDescent="0.35">
      <c r="B425" s="502" t="s">
        <v>73</v>
      </c>
      <c r="C425" s="1134">
        <v>235.61300000000003</v>
      </c>
      <c r="D425" s="1134">
        <v>416.98700000000002</v>
      </c>
      <c r="E425" s="1134">
        <v>360.49399999999997</v>
      </c>
      <c r="F425" s="1134">
        <v>631.95100000000025</v>
      </c>
      <c r="G425" s="1134"/>
      <c r="H425" s="1134"/>
      <c r="I425" s="1134"/>
      <c r="J425" s="1134"/>
      <c r="K425" s="1134"/>
      <c r="L425" s="1134"/>
      <c r="M425" s="1134"/>
      <c r="N425" s="1219"/>
      <c r="O425" s="622">
        <f t="shared" si="97"/>
        <v>1645.0450000000003</v>
      </c>
    </row>
    <row r="426" spans="2:15" s="3" customFormat="1" x14ac:dyDescent="0.35">
      <c r="B426" s="502" t="s">
        <v>105</v>
      </c>
      <c r="C426" s="1134">
        <v>1536.3230000000001</v>
      </c>
      <c r="D426" s="1134">
        <v>1171.3570000000002</v>
      </c>
      <c r="E426" s="1134">
        <v>2185.1320000000005</v>
      </c>
      <c r="F426" s="1134">
        <v>2107.0500000000006</v>
      </c>
      <c r="G426" s="1134"/>
      <c r="H426" s="1134"/>
      <c r="I426" s="1134"/>
      <c r="J426" s="1134"/>
      <c r="K426" s="1134"/>
      <c r="L426" s="1134"/>
      <c r="M426" s="1134"/>
      <c r="N426" s="1219"/>
      <c r="O426" s="622">
        <f t="shared" si="97"/>
        <v>6999.862000000001</v>
      </c>
    </row>
    <row r="427" spans="2:15" s="3" customFormat="1" x14ac:dyDescent="0.35">
      <c r="B427" s="502" t="s">
        <v>114</v>
      </c>
      <c r="C427" s="1134">
        <v>725.30799999999999</v>
      </c>
      <c r="D427" s="1134">
        <v>328.6</v>
      </c>
      <c r="E427" s="1134">
        <v>538.202</v>
      </c>
      <c r="F427" s="1134">
        <v>676.58399999999983</v>
      </c>
      <c r="G427" s="1134"/>
      <c r="H427" s="1134"/>
      <c r="I427" s="1134"/>
      <c r="J427" s="1134"/>
      <c r="K427" s="1134"/>
      <c r="L427" s="1134"/>
      <c r="M427" s="1134"/>
      <c r="N427" s="1219"/>
      <c r="O427" s="622">
        <f t="shared" si="97"/>
        <v>2268.6939999999995</v>
      </c>
    </row>
    <row r="428" spans="2:15" s="3" customFormat="1" x14ac:dyDescent="0.35">
      <c r="B428" s="502" t="s">
        <v>110</v>
      </c>
      <c r="C428" s="1134">
        <v>426.84999999999997</v>
      </c>
      <c r="D428" s="1134">
        <v>784.25099999999975</v>
      </c>
      <c r="E428" s="1134">
        <v>802.94499999999994</v>
      </c>
      <c r="F428" s="1134">
        <v>451.63000000000005</v>
      </c>
      <c r="G428" s="1134"/>
      <c r="H428" s="1134"/>
      <c r="I428" s="1134"/>
      <c r="J428" s="1134"/>
      <c r="K428" s="1134"/>
      <c r="L428" s="1134"/>
      <c r="M428" s="1134"/>
      <c r="N428" s="1219"/>
      <c r="O428" s="622">
        <f t="shared" si="97"/>
        <v>2465.6759999999995</v>
      </c>
    </row>
    <row r="429" spans="2:15" s="3" customFormat="1" x14ac:dyDescent="0.35">
      <c r="B429" s="502" t="s">
        <v>111</v>
      </c>
      <c r="C429" s="1134">
        <v>633.97700000000009</v>
      </c>
      <c r="D429" s="1134">
        <v>232.28</v>
      </c>
      <c r="E429" s="1134">
        <v>600.34299999999996</v>
      </c>
      <c r="F429" s="1134">
        <v>698.90499999999997</v>
      </c>
      <c r="G429" s="1134"/>
      <c r="H429" s="1134"/>
      <c r="I429" s="1134"/>
      <c r="J429" s="1134"/>
      <c r="K429" s="1134"/>
      <c r="L429" s="1134"/>
      <c r="M429" s="1134"/>
      <c r="N429" s="1219"/>
      <c r="O429" s="622">
        <f t="shared" si="97"/>
        <v>2165.5050000000001</v>
      </c>
    </row>
    <row r="430" spans="2:15" s="3" customFormat="1" x14ac:dyDescent="0.35">
      <c r="B430" s="502" t="s">
        <v>262</v>
      </c>
      <c r="C430" s="1134">
        <v>1260.07</v>
      </c>
      <c r="D430" s="1134">
        <v>105.9</v>
      </c>
      <c r="E430" s="1134">
        <v>642.75</v>
      </c>
      <c r="F430" s="1134">
        <v>611.20999999999992</v>
      </c>
      <c r="G430" s="1134"/>
      <c r="H430" s="1134"/>
      <c r="I430" s="1134"/>
      <c r="J430" s="1134"/>
      <c r="K430" s="1134"/>
      <c r="L430" s="1134"/>
      <c r="M430" s="1134"/>
      <c r="N430" s="1219"/>
      <c r="O430" s="622">
        <f t="shared" si="97"/>
        <v>2619.9299999999998</v>
      </c>
    </row>
    <row r="431" spans="2:15" s="3" customFormat="1" x14ac:dyDescent="0.35">
      <c r="B431" s="502" t="s">
        <v>395</v>
      </c>
      <c r="C431" s="1134">
        <v>629.69999999999993</v>
      </c>
      <c r="D431" s="1134">
        <v>435.57000000000005</v>
      </c>
      <c r="E431" s="1134">
        <v>837.87800000000004</v>
      </c>
      <c r="F431" s="1134">
        <v>449.63999999999987</v>
      </c>
      <c r="G431" s="1134"/>
      <c r="H431" s="1134"/>
      <c r="I431" s="1134"/>
      <c r="J431" s="1134"/>
      <c r="K431" s="1134"/>
      <c r="L431" s="1134"/>
      <c r="M431" s="1134"/>
      <c r="N431" s="1219"/>
      <c r="O431" s="622">
        <f t="shared" si="97"/>
        <v>2352.788</v>
      </c>
    </row>
    <row r="432" spans="2:15" s="3" customFormat="1" x14ac:dyDescent="0.35">
      <c r="B432" s="502" t="s">
        <v>485</v>
      </c>
      <c r="C432" s="1134">
        <v>8143.4289999999974</v>
      </c>
      <c r="D432" s="1134">
        <v>7761.6609800000087</v>
      </c>
      <c r="E432" s="1134">
        <v>8200.8560000000034</v>
      </c>
      <c r="F432" s="1134">
        <v>8638.2909999999993</v>
      </c>
      <c r="G432" s="1134"/>
      <c r="H432" s="1134"/>
      <c r="I432" s="1134"/>
      <c r="J432" s="1134"/>
      <c r="K432" s="1134"/>
      <c r="L432" s="1134"/>
      <c r="M432" s="1134"/>
      <c r="N432" s="1219"/>
      <c r="O432" s="622">
        <f t="shared" si="97"/>
        <v>32744.236980000009</v>
      </c>
    </row>
    <row r="433" spans="2:15" s="3" customFormat="1" x14ac:dyDescent="0.35">
      <c r="B433" s="502" t="s">
        <v>102</v>
      </c>
      <c r="C433" s="1134">
        <v>3754.9850000000001</v>
      </c>
      <c r="D433" s="1134">
        <v>0</v>
      </c>
      <c r="E433" s="1134">
        <v>6420.2659999999996</v>
      </c>
      <c r="F433" s="1134">
        <v>2248.6179999999999</v>
      </c>
      <c r="G433" s="1134"/>
      <c r="H433" s="1134"/>
      <c r="I433" s="1134"/>
      <c r="J433" s="1134"/>
      <c r="K433" s="1134"/>
      <c r="L433" s="1134"/>
      <c r="M433" s="1134"/>
      <c r="N433" s="1219"/>
      <c r="O433" s="622">
        <f t="shared" si="97"/>
        <v>12423.869000000001</v>
      </c>
    </row>
    <row r="434" spans="2:15" s="3" customFormat="1" x14ac:dyDescent="0.35">
      <c r="B434" s="502" t="s">
        <v>91</v>
      </c>
      <c r="C434" s="1134">
        <v>10827.932999996177</v>
      </c>
      <c r="D434" s="1134">
        <v>11136.531509999477</v>
      </c>
      <c r="E434" s="1135">
        <v>14329.757999999856</v>
      </c>
      <c r="F434" s="1135">
        <v>28950.12600000028</v>
      </c>
      <c r="G434" s="1135"/>
      <c r="H434" s="1135"/>
      <c r="I434" s="1135"/>
      <c r="J434" s="1135"/>
      <c r="K434" s="1135"/>
      <c r="L434" s="1135"/>
      <c r="M434" s="1135"/>
      <c r="N434" s="1221"/>
      <c r="O434" s="502">
        <f t="shared" si="97"/>
        <v>65244.348509995791</v>
      </c>
    </row>
    <row r="435" spans="2:15" s="3" customFormat="1" x14ac:dyDescent="0.35">
      <c r="B435" s="502"/>
      <c r="C435" s="625"/>
      <c r="D435" s="625"/>
      <c r="E435" s="625"/>
      <c r="F435" s="625"/>
      <c r="G435" s="625"/>
      <c r="H435" s="625"/>
      <c r="I435" s="625"/>
      <c r="J435" s="626"/>
      <c r="K435" s="626"/>
      <c r="L435" s="626"/>
      <c r="M435" s="626"/>
      <c r="N435" s="627"/>
      <c r="O435" s="503"/>
    </row>
    <row r="436" spans="2:15" s="3" customFormat="1" x14ac:dyDescent="0.35">
      <c r="B436" s="432" t="s">
        <v>36</v>
      </c>
      <c r="C436" s="1222">
        <f>+C402+C368</f>
        <v>1855378.1717350013</v>
      </c>
      <c r="D436" s="1222">
        <f>+D402+D368</f>
        <v>1771298.8368889994</v>
      </c>
      <c r="E436" s="1222">
        <f>+E402+E368</f>
        <v>2080506.22664</v>
      </c>
      <c r="F436" s="1222">
        <f>+F402+F368</f>
        <v>1947628.5099899988</v>
      </c>
      <c r="G436" s="1222">
        <f t="shared" ref="G436:L436" si="98">+G402+G368</f>
        <v>0</v>
      </c>
      <c r="H436" s="1222">
        <f t="shared" si="98"/>
        <v>0</v>
      </c>
      <c r="I436" s="1222">
        <f t="shared" si="98"/>
        <v>0</v>
      </c>
      <c r="J436" s="1222">
        <f t="shared" si="98"/>
        <v>0</v>
      </c>
      <c r="K436" s="1222">
        <f t="shared" si="98"/>
        <v>0</v>
      </c>
      <c r="L436" s="1222">
        <f t="shared" si="98"/>
        <v>0</v>
      </c>
      <c r="M436" s="1222">
        <f>+M402+M368</f>
        <v>0</v>
      </c>
      <c r="N436" s="1223">
        <f>+N402+N368</f>
        <v>0</v>
      </c>
      <c r="O436" s="1224">
        <f>SUM(C436:N436)</f>
        <v>7654811.7452539988</v>
      </c>
    </row>
    <row r="437" spans="2:15" s="3" customFormat="1" x14ac:dyDescent="0.35">
      <c r="B437" s="186"/>
      <c r="C437" s="183"/>
      <c r="D437" s="183"/>
      <c r="E437" s="183"/>
      <c r="F437" s="183"/>
      <c r="G437" s="183"/>
      <c r="H437" s="183"/>
      <c r="I437" s="183"/>
      <c r="J437" s="183"/>
      <c r="K437" s="183"/>
      <c r="L437" s="183"/>
      <c r="M437" s="183"/>
      <c r="N437" s="183"/>
      <c r="O437" s="187"/>
    </row>
    <row r="438" spans="2:15" s="3" customFormat="1" x14ac:dyDescent="0.35">
      <c r="B438" s="1068" t="s">
        <v>525</v>
      </c>
      <c r="C438" s="1068"/>
      <c r="D438" s="1068"/>
      <c r="E438" s="1068"/>
      <c r="F438" s="1068"/>
      <c r="G438" s="1068"/>
      <c r="H438" s="1068"/>
      <c r="I438" s="1068"/>
      <c r="J438" s="1068"/>
      <c r="K438" s="1068"/>
      <c r="L438" s="1068"/>
      <c r="M438" s="1068"/>
      <c r="N438" s="1068"/>
      <c r="O438" s="1068"/>
    </row>
    <row r="439" spans="2:15" s="3" customFormat="1" x14ac:dyDescent="0.35">
      <c r="B439" s="181"/>
      <c r="C439" s="182"/>
      <c r="D439" s="182"/>
      <c r="E439" s="182"/>
      <c r="F439" s="182"/>
      <c r="G439" s="183"/>
      <c r="H439" s="183"/>
      <c r="I439" s="183"/>
      <c r="J439" s="183"/>
      <c r="K439" s="183"/>
      <c r="L439" s="183"/>
      <c r="M439" s="183"/>
      <c r="N439" s="183"/>
      <c r="O439" s="1225"/>
    </row>
    <row r="440" spans="2:15" s="3" customFormat="1" ht="15" customHeight="1" x14ac:dyDescent="0.35">
      <c r="B440" s="1077" t="s">
        <v>13</v>
      </c>
      <c r="C440" s="1112" t="s">
        <v>0</v>
      </c>
      <c r="D440" s="1112" t="s">
        <v>1</v>
      </c>
      <c r="E440" s="1112" t="s">
        <v>2</v>
      </c>
      <c r="F440" s="1112" t="s">
        <v>3</v>
      </c>
      <c r="G440" s="1112" t="s">
        <v>4</v>
      </c>
      <c r="H440" s="1112" t="s">
        <v>5</v>
      </c>
      <c r="I440" s="1112" t="s">
        <v>6</v>
      </c>
      <c r="J440" s="1112" t="s">
        <v>7</v>
      </c>
      <c r="K440" s="1112" t="s">
        <v>8</v>
      </c>
      <c r="L440" s="1112" t="s">
        <v>9</v>
      </c>
      <c r="M440" s="1112" t="s">
        <v>10</v>
      </c>
      <c r="N440" s="1112" t="s">
        <v>14</v>
      </c>
      <c r="O440" s="1077" t="s">
        <v>15</v>
      </c>
    </row>
    <row r="441" spans="2:15" s="3" customFormat="1" ht="15" customHeight="1" x14ac:dyDescent="0.35">
      <c r="B441" s="1088"/>
      <c r="C441" s="1145"/>
      <c r="D441" s="1145"/>
      <c r="E441" s="1145"/>
      <c r="F441" s="1145"/>
      <c r="G441" s="1145"/>
      <c r="H441" s="1145"/>
      <c r="I441" s="1145"/>
      <c r="J441" s="1145"/>
      <c r="K441" s="1145"/>
      <c r="L441" s="1145"/>
      <c r="M441" s="1145"/>
      <c r="N441" s="1145"/>
      <c r="O441" s="1088"/>
    </row>
    <row r="442" spans="2:15" s="3" customFormat="1" x14ac:dyDescent="0.35">
      <c r="B442" s="619"/>
      <c r="C442" s="1226"/>
      <c r="D442" s="621"/>
      <c r="E442" s="621"/>
      <c r="F442" s="621"/>
      <c r="G442" s="621"/>
      <c r="H442" s="621"/>
      <c r="I442" s="621"/>
      <c r="J442" s="621"/>
      <c r="K442" s="621"/>
      <c r="L442" s="621"/>
      <c r="M442" s="621"/>
      <c r="N442" s="621"/>
      <c r="O442" s="619"/>
    </row>
    <row r="443" spans="2:15" s="3" customFormat="1" x14ac:dyDescent="0.35">
      <c r="B443" s="1218" t="s">
        <v>47</v>
      </c>
      <c r="C443" s="594">
        <f>SUM(C445:C475)</f>
        <v>270895.08866400016</v>
      </c>
      <c r="D443" s="594">
        <f>SUM(D445:D475)</f>
        <v>342004.90600000002</v>
      </c>
      <c r="E443" s="594">
        <f>SUM(E445:E475)</f>
        <v>338203.72100000019</v>
      </c>
      <c r="F443" s="594">
        <f>SUM(F445:F475)</f>
        <v>334010.88399999985</v>
      </c>
      <c r="G443" s="594">
        <f t="shared" ref="G443:L443" si="99">SUM(G445:G475)</f>
        <v>0</v>
      </c>
      <c r="H443" s="594">
        <f t="shared" si="99"/>
        <v>0</v>
      </c>
      <c r="I443" s="594">
        <f t="shared" si="99"/>
        <v>0</v>
      </c>
      <c r="J443" s="594">
        <f t="shared" si="99"/>
        <v>0</v>
      </c>
      <c r="K443" s="594">
        <f t="shared" si="99"/>
        <v>0</v>
      </c>
      <c r="L443" s="594">
        <f t="shared" si="99"/>
        <v>0</v>
      </c>
      <c r="M443" s="594">
        <f>SUM(M445:M475)</f>
        <v>0</v>
      </c>
      <c r="N443" s="503">
        <f>SUM(N445:N475)</f>
        <v>0</v>
      </c>
      <c r="O443" s="620">
        <f>SUM(C443:N443)</f>
        <v>1285114.5996640001</v>
      </c>
    </row>
    <row r="444" spans="2:15" s="3" customFormat="1" x14ac:dyDescent="0.35">
      <c r="B444" s="503"/>
      <c r="C444" s="621"/>
      <c r="D444" s="594"/>
      <c r="E444" s="594"/>
      <c r="F444" s="594"/>
      <c r="G444" s="594"/>
      <c r="H444" s="594"/>
      <c r="I444" s="594"/>
      <c r="J444" s="594"/>
      <c r="K444" s="594"/>
      <c r="L444" s="594"/>
      <c r="M444" s="594"/>
      <c r="N444" s="503"/>
      <c r="O444" s="622"/>
    </row>
    <row r="445" spans="2:15" s="3" customFormat="1" x14ac:dyDescent="0.35">
      <c r="B445" s="619" t="s">
        <v>66</v>
      </c>
      <c r="C445" s="1134">
        <v>35003.112000000001</v>
      </c>
      <c r="D445" s="1134">
        <v>112533.622</v>
      </c>
      <c r="E445" s="1134">
        <v>112054.22200000001</v>
      </c>
      <c r="F445" s="1134">
        <v>90476.570999999996</v>
      </c>
      <c r="G445" s="1134"/>
      <c r="H445" s="1134"/>
      <c r="I445" s="1134"/>
      <c r="J445" s="1134"/>
      <c r="K445" s="1134"/>
      <c r="L445" s="1134"/>
      <c r="M445" s="1134"/>
      <c r="N445" s="1134"/>
      <c r="O445" s="622">
        <f t="shared" ref="O445:O475" si="100">SUM(C445:N445)</f>
        <v>350067.527</v>
      </c>
    </row>
    <row r="446" spans="2:15" s="3" customFormat="1" x14ac:dyDescent="0.35">
      <c r="B446" s="619" t="s">
        <v>68</v>
      </c>
      <c r="C446" s="1134">
        <v>56799.67</v>
      </c>
      <c r="D446" s="1134">
        <v>53668.271999999997</v>
      </c>
      <c r="E446" s="1134">
        <v>72070.42</v>
      </c>
      <c r="F446" s="1134">
        <v>32750</v>
      </c>
      <c r="G446" s="1134"/>
      <c r="H446" s="1134"/>
      <c r="I446" s="1134"/>
      <c r="J446" s="1134"/>
      <c r="K446" s="1134"/>
      <c r="L446" s="1134"/>
      <c r="M446" s="1134"/>
      <c r="N446" s="1134"/>
      <c r="O446" s="622">
        <f t="shared" si="100"/>
        <v>215288.36199999999</v>
      </c>
    </row>
    <row r="447" spans="2:15" s="3" customFormat="1" x14ac:dyDescent="0.35">
      <c r="B447" s="619" t="s">
        <v>67</v>
      </c>
      <c r="C447" s="1134">
        <v>55497.944000000003</v>
      </c>
      <c r="D447" s="1134">
        <v>17442.080000000002</v>
      </c>
      <c r="E447" s="1134">
        <v>4323.0589999999984</v>
      </c>
      <c r="F447" s="1134">
        <v>31262.882000000085</v>
      </c>
      <c r="G447" s="1134"/>
      <c r="H447" s="1134"/>
      <c r="I447" s="1134"/>
      <c r="J447" s="1134"/>
      <c r="K447" s="1134"/>
      <c r="L447" s="1134"/>
      <c r="M447" s="1134"/>
      <c r="N447" s="1134"/>
      <c r="O447" s="622">
        <f t="shared" si="100"/>
        <v>108525.96500000008</v>
      </c>
    </row>
    <row r="448" spans="2:15" s="3" customFormat="1" x14ac:dyDescent="0.35">
      <c r="B448" s="619" t="s">
        <v>71</v>
      </c>
      <c r="C448" s="1134">
        <v>14461.318600000026</v>
      </c>
      <c r="D448" s="1134">
        <v>51799.826999999932</v>
      </c>
      <c r="E448" s="1134">
        <v>39512.733000000051</v>
      </c>
      <c r="F448" s="1134">
        <v>26921.964000000004</v>
      </c>
      <c r="G448" s="1134"/>
      <c r="H448" s="1134"/>
      <c r="I448" s="1134"/>
      <c r="J448" s="1134"/>
      <c r="K448" s="1134"/>
      <c r="L448" s="1134"/>
      <c r="M448" s="1134"/>
      <c r="N448" s="1134"/>
      <c r="O448" s="622">
        <f t="shared" si="100"/>
        <v>132695.8426</v>
      </c>
    </row>
    <row r="449" spans="2:15" s="3" customFormat="1" x14ac:dyDescent="0.35">
      <c r="B449" s="619" t="s">
        <v>113</v>
      </c>
      <c r="C449" s="1134">
        <v>21055.594999999998</v>
      </c>
      <c r="D449" s="1134">
        <v>10953.994999999992</v>
      </c>
      <c r="E449" s="1134">
        <v>13997.044999999993</v>
      </c>
      <c r="F449" s="1134">
        <v>13030.492000000015</v>
      </c>
      <c r="G449" s="1134"/>
      <c r="H449" s="1134"/>
      <c r="I449" s="1134"/>
      <c r="J449" s="1134"/>
      <c r="K449" s="1134"/>
      <c r="L449" s="1134"/>
      <c r="M449" s="1134"/>
      <c r="N449" s="1134"/>
      <c r="O449" s="622">
        <f t="shared" si="100"/>
        <v>59037.126999999993</v>
      </c>
    </row>
    <row r="450" spans="2:15" s="3" customFormat="1" x14ac:dyDescent="0.35">
      <c r="B450" s="619" t="s">
        <v>74</v>
      </c>
      <c r="C450" s="1134">
        <v>8455.6010000000006</v>
      </c>
      <c r="D450" s="1134">
        <v>23858.385000000002</v>
      </c>
      <c r="E450" s="1134">
        <v>10068.332999999999</v>
      </c>
      <c r="F450" s="1134">
        <v>8373.1440000000002</v>
      </c>
      <c r="G450" s="1134"/>
      <c r="H450" s="1134"/>
      <c r="I450" s="1134"/>
      <c r="J450" s="1134"/>
      <c r="K450" s="1134"/>
      <c r="L450" s="1134"/>
      <c r="M450" s="1134"/>
      <c r="N450" s="1134"/>
      <c r="O450" s="622">
        <f t="shared" si="100"/>
        <v>50755.463000000003</v>
      </c>
    </row>
    <row r="451" spans="2:15" s="3" customFormat="1" x14ac:dyDescent="0.35">
      <c r="B451" s="619" t="s">
        <v>88</v>
      </c>
      <c r="C451" s="1134">
        <v>2340.0160000000001</v>
      </c>
      <c r="D451" s="1134">
        <v>974.15200000000004</v>
      </c>
      <c r="E451" s="1134">
        <v>835.61699999999996</v>
      </c>
      <c r="F451" s="1134">
        <v>2581.9329999999995</v>
      </c>
      <c r="G451" s="1134"/>
      <c r="H451" s="1134"/>
      <c r="I451" s="1134"/>
      <c r="J451" s="1134"/>
      <c r="K451" s="1134"/>
      <c r="L451" s="1134"/>
      <c r="M451" s="1134"/>
      <c r="N451" s="1134"/>
      <c r="O451" s="622">
        <f t="shared" si="100"/>
        <v>6731.7179999999989</v>
      </c>
    </row>
    <row r="452" spans="2:15" s="3" customFormat="1" x14ac:dyDescent="0.35">
      <c r="B452" s="619" t="s">
        <v>470</v>
      </c>
      <c r="C452" s="1134">
        <v>1640.51</v>
      </c>
      <c r="D452" s="1134">
        <v>0</v>
      </c>
      <c r="E452" s="1134">
        <v>4485.6220000000003</v>
      </c>
      <c r="F452" s="1134">
        <v>2651.76</v>
      </c>
      <c r="G452" s="1134"/>
      <c r="H452" s="1134"/>
      <c r="I452" s="1134"/>
      <c r="J452" s="1134"/>
      <c r="K452" s="1134"/>
      <c r="L452" s="1134"/>
      <c r="M452" s="1134"/>
      <c r="N452" s="1134"/>
      <c r="O452" s="622">
        <f t="shared" si="100"/>
        <v>8777.8919999999998</v>
      </c>
    </row>
    <row r="453" spans="2:15" s="3" customFormat="1" x14ac:dyDescent="0.35">
      <c r="B453" s="619" t="s">
        <v>116</v>
      </c>
      <c r="C453" s="1134">
        <v>3119.771999999999</v>
      </c>
      <c r="D453" s="1134">
        <v>4569.3549999999968</v>
      </c>
      <c r="E453" s="1134">
        <v>2961.7220000000029</v>
      </c>
      <c r="F453" s="1134">
        <v>6134.9459999999917</v>
      </c>
      <c r="G453" s="1134"/>
      <c r="H453" s="1134"/>
      <c r="I453" s="1134"/>
      <c r="J453" s="1134"/>
      <c r="K453" s="1134"/>
      <c r="L453" s="1134"/>
      <c r="M453" s="1134"/>
      <c r="N453" s="1134"/>
      <c r="O453" s="622">
        <f t="shared" si="100"/>
        <v>16785.794999999991</v>
      </c>
    </row>
    <row r="454" spans="2:15" s="3" customFormat="1" x14ac:dyDescent="0.35">
      <c r="B454" s="619" t="s">
        <v>147</v>
      </c>
      <c r="C454" s="1134">
        <v>2341.1420000000007</v>
      </c>
      <c r="D454" s="1134">
        <v>3502.8460000000023</v>
      </c>
      <c r="E454" s="1134">
        <v>1905.558</v>
      </c>
      <c r="F454" s="1134">
        <v>4408.6679999999942</v>
      </c>
      <c r="G454" s="1134"/>
      <c r="H454" s="1134"/>
      <c r="I454" s="1134"/>
      <c r="J454" s="1134"/>
      <c r="K454" s="1134"/>
      <c r="L454" s="1134"/>
      <c r="M454" s="1134"/>
      <c r="N454" s="1134"/>
      <c r="O454" s="622">
        <f t="shared" si="100"/>
        <v>12158.213999999996</v>
      </c>
    </row>
    <row r="455" spans="2:15" s="3" customFormat="1" x14ac:dyDescent="0.35">
      <c r="B455" s="619" t="s">
        <v>70</v>
      </c>
      <c r="C455" s="1134">
        <v>6</v>
      </c>
      <c r="D455" s="1134">
        <v>59.445</v>
      </c>
      <c r="E455" s="1134">
        <v>5000</v>
      </c>
      <c r="F455" s="1134">
        <v>43545.516000000011</v>
      </c>
      <c r="G455" s="1134"/>
      <c r="H455" s="1134"/>
      <c r="I455" s="1134"/>
      <c r="J455" s="1134"/>
      <c r="K455" s="1134"/>
      <c r="L455" s="1134"/>
      <c r="M455" s="1134"/>
      <c r="N455" s="1134"/>
      <c r="O455" s="622">
        <f t="shared" si="100"/>
        <v>48610.96100000001</v>
      </c>
    </row>
    <row r="456" spans="2:15" s="3" customFormat="1" x14ac:dyDescent="0.35">
      <c r="B456" s="619" t="s">
        <v>85</v>
      </c>
      <c r="C456" s="1134">
        <v>0</v>
      </c>
      <c r="D456" s="1134">
        <v>27.86</v>
      </c>
      <c r="E456" s="1134">
        <v>4630.2470000000003</v>
      </c>
      <c r="F456" s="1134">
        <v>587</v>
      </c>
      <c r="G456" s="1134"/>
      <c r="H456" s="1134"/>
      <c r="I456" s="1134"/>
      <c r="J456" s="1134"/>
      <c r="K456" s="1134"/>
      <c r="L456" s="1134"/>
      <c r="M456" s="1134"/>
      <c r="N456" s="1134"/>
      <c r="O456" s="622">
        <f t="shared" si="100"/>
        <v>5245.107</v>
      </c>
    </row>
    <row r="457" spans="2:15" s="3" customFormat="1" x14ac:dyDescent="0.35">
      <c r="B457" s="619" t="s">
        <v>86</v>
      </c>
      <c r="C457" s="1134">
        <v>717.04099999999994</v>
      </c>
      <c r="D457" s="1134">
        <v>2485.8619999999987</v>
      </c>
      <c r="E457" s="1134">
        <v>1180.3529999999996</v>
      </c>
      <c r="F457" s="1134">
        <v>1819.2699999999995</v>
      </c>
      <c r="G457" s="1134"/>
      <c r="H457" s="1134"/>
      <c r="I457" s="1134"/>
      <c r="J457" s="1134"/>
      <c r="K457" s="1134"/>
      <c r="L457" s="1134"/>
      <c r="M457" s="1134"/>
      <c r="N457" s="1134"/>
      <c r="O457" s="622">
        <f t="shared" si="100"/>
        <v>6202.5259999999971</v>
      </c>
    </row>
    <row r="458" spans="2:15" s="3" customFormat="1" x14ac:dyDescent="0.35">
      <c r="B458" s="619" t="s">
        <v>81</v>
      </c>
      <c r="C458" s="1134">
        <v>1274.1204640000001</v>
      </c>
      <c r="D458" s="1134">
        <v>1116.838</v>
      </c>
      <c r="E458" s="1134">
        <v>1263.7270000000001</v>
      </c>
      <c r="F458" s="1134">
        <v>1823.5989999999981</v>
      </c>
      <c r="G458" s="1134"/>
      <c r="H458" s="1134"/>
      <c r="I458" s="1134"/>
      <c r="J458" s="1134"/>
      <c r="K458" s="1134"/>
      <c r="L458" s="1134"/>
      <c r="M458" s="1134"/>
      <c r="N458" s="1134"/>
      <c r="O458" s="622">
        <f t="shared" si="100"/>
        <v>5478.2844639999985</v>
      </c>
    </row>
    <row r="459" spans="2:15" s="3" customFormat="1" x14ac:dyDescent="0.35">
      <c r="B459" s="619" t="s">
        <v>119</v>
      </c>
      <c r="C459" s="1134">
        <v>1407.0470000000005</v>
      </c>
      <c r="D459" s="1134">
        <v>2024.1939999999997</v>
      </c>
      <c r="E459" s="1134">
        <v>2805.4279999999999</v>
      </c>
      <c r="F459" s="1134">
        <v>1780.1149999999986</v>
      </c>
      <c r="G459" s="1134"/>
      <c r="H459" s="1134"/>
      <c r="I459" s="1134"/>
      <c r="J459" s="1134"/>
      <c r="K459" s="1134"/>
      <c r="L459" s="1134"/>
      <c r="M459" s="1134"/>
      <c r="N459" s="1134"/>
      <c r="O459" s="622">
        <f t="shared" si="100"/>
        <v>8016.7839999999987</v>
      </c>
    </row>
    <row r="460" spans="2:15" s="3" customFormat="1" x14ac:dyDescent="0.35">
      <c r="B460" s="619" t="s">
        <v>73</v>
      </c>
      <c r="C460" s="1134">
        <v>2807.3589999999986</v>
      </c>
      <c r="D460" s="1134">
        <v>2011.1309999999999</v>
      </c>
      <c r="E460" s="1134">
        <v>3096.6359999999981</v>
      </c>
      <c r="F460" s="1134">
        <v>2533.3369999999986</v>
      </c>
      <c r="G460" s="1134"/>
      <c r="H460" s="1134"/>
      <c r="I460" s="1134"/>
      <c r="J460" s="1134"/>
      <c r="K460" s="1134"/>
      <c r="L460" s="1134"/>
      <c r="M460" s="1134"/>
      <c r="N460" s="1134"/>
      <c r="O460" s="622">
        <f t="shared" si="100"/>
        <v>10448.462999999996</v>
      </c>
    </row>
    <row r="461" spans="2:15" s="3" customFormat="1" x14ac:dyDescent="0.35">
      <c r="B461" s="619" t="s">
        <v>77</v>
      </c>
      <c r="C461" s="1134">
        <v>411.3</v>
      </c>
      <c r="D461" s="1134">
        <v>528.36</v>
      </c>
      <c r="E461" s="1134">
        <v>1328.7239999999999</v>
      </c>
      <c r="F461" s="1134">
        <v>1590.5200000000007</v>
      </c>
      <c r="G461" s="1134"/>
      <c r="H461" s="1134"/>
      <c r="I461" s="1134"/>
      <c r="J461" s="1134"/>
      <c r="K461" s="1134"/>
      <c r="L461" s="1134"/>
      <c r="M461" s="1134"/>
      <c r="N461" s="1134"/>
      <c r="O461" s="622">
        <f t="shared" si="100"/>
        <v>3858.9040000000005</v>
      </c>
    </row>
    <row r="462" spans="2:15" s="3" customFormat="1" x14ac:dyDescent="0.35">
      <c r="B462" s="619" t="s">
        <v>486</v>
      </c>
      <c r="C462" s="1134">
        <v>3358.2070000000003</v>
      </c>
      <c r="D462" s="1134">
        <v>2617.2849999999994</v>
      </c>
      <c r="E462" s="1134">
        <v>2370.4189999999994</v>
      </c>
      <c r="F462" s="1134">
        <v>2816.5549999999985</v>
      </c>
      <c r="G462" s="1134"/>
      <c r="H462" s="1134"/>
      <c r="I462" s="1134"/>
      <c r="J462" s="1134"/>
      <c r="K462" s="1134"/>
      <c r="L462" s="1134"/>
      <c r="M462" s="1134"/>
      <c r="N462" s="1134"/>
      <c r="O462" s="622">
        <f t="shared" si="100"/>
        <v>11162.465999999999</v>
      </c>
    </row>
    <row r="463" spans="2:15" s="3" customFormat="1" x14ac:dyDescent="0.35">
      <c r="B463" s="502" t="s">
        <v>69</v>
      </c>
      <c r="C463" s="1134">
        <v>2139.8440000000001</v>
      </c>
      <c r="D463" s="1134">
        <v>1070.617</v>
      </c>
      <c r="E463" s="1134">
        <v>988.94500000000005</v>
      </c>
      <c r="F463" s="1134">
        <v>3159.6330000000012</v>
      </c>
      <c r="G463" s="1134"/>
      <c r="H463" s="1134"/>
      <c r="I463" s="1134"/>
      <c r="J463" s="1134"/>
      <c r="K463" s="1134"/>
      <c r="L463" s="1134"/>
      <c r="M463" s="1134"/>
      <c r="N463" s="1134"/>
      <c r="O463" s="622">
        <f t="shared" si="100"/>
        <v>7359.0390000000007</v>
      </c>
    </row>
    <row r="464" spans="2:15" s="3" customFormat="1" x14ac:dyDescent="0.35">
      <c r="B464" s="502" t="s">
        <v>83</v>
      </c>
      <c r="C464" s="1134">
        <v>4580.0070000000005</v>
      </c>
      <c r="D464" s="1134">
        <v>2496.1719999999996</v>
      </c>
      <c r="E464" s="1134">
        <v>2249.15</v>
      </c>
      <c r="F464" s="1134">
        <v>3809.2</v>
      </c>
      <c r="G464" s="1134"/>
      <c r="H464" s="1134"/>
      <c r="I464" s="1134"/>
      <c r="J464" s="1134"/>
      <c r="K464" s="1134"/>
      <c r="L464" s="1134"/>
      <c r="M464" s="1134"/>
      <c r="N464" s="1134"/>
      <c r="O464" s="622">
        <f t="shared" si="100"/>
        <v>13134.528999999999</v>
      </c>
    </row>
    <row r="465" spans="2:15" s="3" customFormat="1" x14ac:dyDescent="0.35">
      <c r="B465" s="502" t="s">
        <v>267</v>
      </c>
      <c r="C465" s="1134">
        <v>1631.9640000000002</v>
      </c>
      <c r="D465" s="1134">
        <v>1575.731</v>
      </c>
      <c r="E465" s="1134">
        <v>1322.6169999999997</v>
      </c>
      <c r="F465" s="1134">
        <v>2209.3929999999996</v>
      </c>
      <c r="G465" s="1134"/>
      <c r="H465" s="1134"/>
      <c r="I465" s="1134"/>
      <c r="J465" s="1134"/>
      <c r="K465" s="1134"/>
      <c r="L465" s="1134"/>
      <c r="M465" s="1134"/>
      <c r="N465" s="1134"/>
      <c r="O465" s="622">
        <f t="shared" si="100"/>
        <v>6739.7049999999999</v>
      </c>
    </row>
    <row r="466" spans="2:15" s="3" customFormat="1" x14ac:dyDescent="0.35">
      <c r="B466" s="502" t="s">
        <v>162</v>
      </c>
      <c r="C466" s="1134">
        <v>1897.953</v>
      </c>
      <c r="D466" s="1134">
        <v>1933.7180000000001</v>
      </c>
      <c r="E466" s="1134">
        <v>1777.5960000000005</v>
      </c>
      <c r="F466" s="1134">
        <v>1628.2759999999998</v>
      </c>
      <c r="G466" s="1134"/>
      <c r="H466" s="1134"/>
      <c r="I466" s="1134"/>
      <c r="J466" s="1134"/>
      <c r="K466" s="1134"/>
      <c r="L466" s="1134"/>
      <c r="M466" s="1134"/>
      <c r="N466" s="1134"/>
      <c r="O466" s="622">
        <f t="shared" si="100"/>
        <v>7237.5430000000006</v>
      </c>
    </row>
    <row r="467" spans="2:15" s="3" customFormat="1" x14ac:dyDescent="0.35">
      <c r="B467" s="623" t="s">
        <v>148</v>
      </c>
      <c r="C467" s="1134">
        <v>901.9</v>
      </c>
      <c r="D467" s="1134">
        <v>992.41499999999996</v>
      </c>
      <c r="E467" s="1134">
        <v>1040.8499999999999</v>
      </c>
      <c r="F467" s="1134">
        <v>1108.549</v>
      </c>
      <c r="G467" s="1134"/>
      <c r="H467" s="1134"/>
      <c r="I467" s="1134"/>
      <c r="J467" s="1134"/>
      <c r="K467" s="1134"/>
      <c r="L467" s="1134"/>
      <c r="M467" s="1134"/>
      <c r="N467" s="1134"/>
      <c r="O467" s="622">
        <f t="shared" si="100"/>
        <v>4043.7139999999999</v>
      </c>
    </row>
    <row r="468" spans="2:15" s="3" customFormat="1" x14ac:dyDescent="0.35">
      <c r="B468" s="623" t="s">
        <v>155</v>
      </c>
      <c r="C468" s="1134">
        <v>1884.0170000000005</v>
      </c>
      <c r="D468" s="1134">
        <v>1050.0740000000001</v>
      </c>
      <c r="E468" s="1134">
        <v>1583.2770000000003</v>
      </c>
      <c r="F468" s="1134">
        <v>1199.8609999999999</v>
      </c>
      <c r="G468" s="1134"/>
      <c r="H468" s="1134"/>
      <c r="I468" s="1134"/>
      <c r="J468" s="1134"/>
      <c r="K468" s="1134"/>
      <c r="L468" s="1134"/>
      <c r="M468" s="1134"/>
      <c r="N468" s="1134"/>
      <c r="O468" s="622">
        <f t="shared" si="100"/>
        <v>5717.2290000000003</v>
      </c>
    </row>
    <row r="469" spans="2:15" s="3" customFormat="1" x14ac:dyDescent="0.35">
      <c r="B469" s="623" t="s">
        <v>487</v>
      </c>
      <c r="C469" s="1134">
        <v>25.361999999999998</v>
      </c>
      <c r="D469" s="1134">
        <v>20</v>
      </c>
      <c r="E469" s="1134">
        <v>0</v>
      </c>
      <c r="F469" s="1134">
        <v>0</v>
      </c>
      <c r="G469" s="1134"/>
      <c r="H469" s="1134"/>
      <c r="I469" s="1134"/>
      <c r="J469" s="1134"/>
      <c r="K469" s="1134"/>
      <c r="L469" s="1134"/>
      <c r="M469" s="1134"/>
      <c r="N469" s="1134"/>
      <c r="O469" s="622">
        <f t="shared" si="100"/>
        <v>45.361999999999995</v>
      </c>
    </row>
    <row r="470" spans="2:15" s="3" customFormat="1" x14ac:dyDescent="0.35">
      <c r="B470" s="623" t="s">
        <v>111</v>
      </c>
      <c r="C470" s="1134">
        <v>2015.3480000000004</v>
      </c>
      <c r="D470" s="1134">
        <v>544.71999999999991</v>
      </c>
      <c r="E470" s="1134">
        <v>123.80000000000001</v>
      </c>
      <c r="F470" s="1134">
        <v>996.02999999999929</v>
      </c>
      <c r="G470" s="1134"/>
      <c r="H470" s="1134"/>
      <c r="I470" s="1134"/>
      <c r="J470" s="1134"/>
      <c r="K470" s="1134"/>
      <c r="L470" s="1134"/>
      <c r="M470" s="1134"/>
      <c r="N470" s="1134"/>
      <c r="O470" s="622">
        <f t="shared" si="100"/>
        <v>3679.8979999999997</v>
      </c>
    </row>
    <row r="471" spans="2:15" s="3" customFormat="1" x14ac:dyDescent="0.35">
      <c r="B471" s="623" t="s">
        <v>144</v>
      </c>
      <c r="C471" s="1134">
        <v>970.21100000000092</v>
      </c>
      <c r="D471" s="1134">
        <v>699.63100000000009</v>
      </c>
      <c r="E471" s="1134">
        <v>423.3130000000001</v>
      </c>
      <c r="F471" s="1134">
        <v>819.24599999999998</v>
      </c>
      <c r="G471" s="1134"/>
      <c r="H471" s="1134"/>
      <c r="I471" s="1134"/>
      <c r="J471" s="1134"/>
      <c r="K471" s="1134"/>
      <c r="L471" s="1134"/>
      <c r="M471" s="1134"/>
      <c r="N471" s="1134"/>
      <c r="O471" s="622">
        <f t="shared" si="100"/>
        <v>2912.4010000000012</v>
      </c>
    </row>
    <row r="472" spans="2:15" s="3" customFormat="1" x14ac:dyDescent="0.35">
      <c r="B472" s="623" t="s">
        <v>158</v>
      </c>
      <c r="C472" s="1134">
        <v>711.28399999999999</v>
      </c>
      <c r="D472" s="1134">
        <v>28.459</v>
      </c>
      <c r="E472" s="1134">
        <v>166.928</v>
      </c>
      <c r="F472" s="1134">
        <v>130.65</v>
      </c>
      <c r="G472" s="1134"/>
      <c r="H472" s="1134"/>
      <c r="I472" s="1134"/>
      <c r="J472" s="1134"/>
      <c r="K472" s="1134"/>
      <c r="L472" s="1134"/>
      <c r="M472" s="1134"/>
      <c r="N472" s="1134"/>
      <c r="O472" s="622">
        <f t="shared" si="100"/>
        <v>1037.3209999999999</v>
      </c>
    </row>
    <row r="473" spans="2:15" s="3" customFormat="1" x14ac:dyDescent="0.35">
      <c r="B473" s="623" t="s">
        <v>165</v>
      </c>
      <c r="C473" s="1134">
        <v>363.18099999999998</v>
      </c>
      <c r="D473" s="1134">
        <v>375.32600000000002</v>
      </c>
      <c r="E473" s="1134">
        <v>618.01499999999999</v>
      </c>
      <c r="F473" s="1134">
        <v>241.77700000000004</v>
      </c>
      <c r="G473" s="1134"/>
      <c r="H473" s="1134"/>
      <c r="I473" s="1134"/>
      <c r="J473" s="1134"/>
      <c r="K473" s="1134"/>
      <c r="L473" s="1134"/>
      <c r="M473" s="1134"/>
      <c r="N473" s="1134"/>
      <c r="O473" s="622">
        <f t="shared" si="100"/>
        <v>1598.299</v>
      </c>
    </row>
    <row r="474" spans="2:15" s="3" customFormat="1" x14ac:dyDescent="0.35">
      <c r="B474" s="623" t="s">
        <v>87</v>
      </c>
      <c r="C474" s="1134">
        <v>1139.3099999999997</v>
      </c>
      <c r="D474" s="1134">
        <v>873.49500000000012</v>
      </c>
      <c r="E474" s="1134">
        <v>818.22500000000014</v>
      </c>
      <c r="F474" s="1134">
        <v>1253.5980000000002</v>
      </c>
      <c r="G474" s="1134"/>
      <c r="H474" s="1134"/>
      <c r="I474" s="1134"/>
      <c r="J474" s="1134"/>
      <c r="K474" s="1134"/>
      <c r="L474" s="1134"/>
      <c r="M474" s="1134"/>
      <c r="N474" s="1134"/>
      <c r="O474" s="622">
        <f t="shared" si="100"/>
        <v>4084.6279999999997</v>
      </c>
    </row>
    <row r="475" spans="2:15" s="3" customFormat="1" x14ac:dyDescent="0.35">
      <c r="B475" s="502" t="s">
        <v>91</v>
      </c>
      <c r="C475" s="1135">
        <v>41938.952600000077</v>
      </c>
      <c r="D475" s="1135">
        <v>40171.039000000106</v>
      </c>
      <c r="E475" s="1135">
        <v>43201.140000000072</v>
      </c>
      <c r="F475" s="1135">
        <v>42366.398999999685</v>
      </c>
      <c r="G475" s="1135"/>
      <c r="H475" s="1135"/>
      <c r="I475" s="1135"/>
      <c r="J475" s="1135"/>
      <c r="K475" s="1135"/>
      <c r="L475" s="1135"/>
      <c r="M475" s="1135"/>
      <c r="N475" s="1135"/>
      <c r="O475" s="502">
        <f t="shared" si="100"/>
        <v>167677.53059999994</v>
      </c>
    </row>
    <row r="476" spans="2:15" s="3" customFormat="1" x14ac:dyDescent="0.35">
      <c r="B476" s="503"/>
      <c r="C476" s="574"/>
      <c r="D476" s="574"/>
      <c r="E476" s="574"/>
      <c r="F476" s="574"/>
      <c r="G476" s="574"/>
      <c r="H476" s="574"/>
      <c r="I476" s="574"/>
      <c r="J476" s="574"/>
      <c r="K476" s="574"/>
      <c r="L476" s="574"/>
      <c r="M476" s="574"/>
      <c r="N476" s="574"/>
      <c r="O476" s="503"/>
    </row>
    <row r="477" spans="2:15" s="3" customFormat="1" x14ac:dyDescent="0.35">
      <c r="B477" s="1218" t="s">
        <v>56</v>
      </c>
      <c r="C477" s="594">
        <f>SUM(C479:C509)</f>
        <v>51866.598400000003</v>
      </c>
      <c r="D477" s="594">
        <f>SUM(D479:D509)</f>
        <v>54881.080560000024</v>
      </c>
      <c r="E477" s="594">
        <f>SUM(E479:E509)</f>
        <v>55467.987000000008</v>
      </c>
      <c r="F477" s="594">
        <f>SUM(F479:F509)</f>
        <v>15446.231000000003</v>
      </c>
      <c r="G477" s="594">
        <f t="shared" ref="G477:L477" si="101">SUM(G479:G509)</f>
        <v>0</v>
      </c>
      <c r="H477" s="594">
        <f t="shared" si="101"/>
        <v>0</v>
      </c>
      <c r="I477" s="594">
        <f t="shared" si="101"/>
        <v>0</v>
      </c>
      <c r="J477" s="594">
        <f t="shared" si="101"/>
        <v>0</v>
      </c>
      <c r="K477" s="594">
        <f t="shared" si="101"/>
        <v>0</v>
      </c>
      <c r="L477" s="594">
        <f t="shared" si="101"/>
        <v>0</v>
      </c>
      <c r="M477" s="594">
        <f>SUM(M479:M509)</f>
        <v>0</v>
      </c>
      <c r="N477" s="503">
        <f>SUM(N479:N509)</f>
        <v>0</v>
      </c>
      <c r="O477" s="620">
        <f>SUM(C477:N477)</f>
        <v>177661.89696000001</v>
      </c>
    </row>
    <row r="478" spans="2:15" s="3" customFormat="1" x14ac:dyDescent="0.35">
      <c r="B478" s="503"/>
      <c r="C478" s="625"/>
      <c r="D478" s="621"/>
      <c r="E478" s="621"/>
      <c r="F478" s="621"/>
      <c r="G478" s="621"/>
      <c r="H478" s="621"/>
      <c r="I478" s="621"/>
      <c r="J478" s="621"/>
      <c r="K478" s="621"/>
      <c r="L478" s="621"/>
      <c r="M478" s="621"/>
      <c r="N478" s="621"/>
      <c r="O478" s="503"/>
    </row>
    <row r="479" spans="2:15" s="3" customFormat="1" x14ac:dyDescent="0.35">
      <c r="B479" s="502" t="s">
        <v>488</v>
      </c>
      <c r="C479" s="1135">
        <v>45403.847999999998</v>
      </c>
      <c r="D479" s="1135">
        <v>45082.559000000001</v>
      </c>
      <c r="E479" s="1135">
        <v>43281.330999999998</v>
      </c>
      <c r="F479" s="1135">
        <v>0</v>
      </c>
      <c r="G479" s="1135"/>
      <c r="H479" s="1135"/>
      <c r="I479" s="1135"/>
      <c r="J479" s="1135"/>
      <c r="K479" s="1135"/>
      <c r="L479" s="1135"/>
      <c r="M479" s="1135"/>
      <c r="N479" s="1135"/>
      <c r="O479" s="622">
        <f t="shared" ref="O479:O509" si="102">SUM(C479:N479)</f>
        <v>133767.73800000001</v>
      </c>
    </row>
    <row r="480" spans="2:15" s="3" customFormat="1" x14ac:dyDescent="0.35">
      <c r="B480" s="502" t="s">
        <v>98</v>
      </c>
      <c r="C480" s="1135">
        <v>3775.7200000000003</v>
      </c>
      <c r="D480" s="1135">
        <v>7211.3589999999986</v>
      </c>
      <c r="E480" s="1135">
        <v>6897.0059999999994</v>
      </c>
      <c r="F480" s="1135">
        <v>10130.772000000001</v>
      </c>
      <c r="G480" s="1135"/>
      <c r="H480" s="1135"/>
      <c r="I480" s="1135"/>
      <c r="J480" s="1135"/>
      <c r="K480" s="1135"/>
      <c r="L480" s="1135"/>
      <c r="M480" s="1135"/>
      <c r="N480" s="1135"/>
      <c r="O480" s="622">
        <f t="shared" si="102"/>
        <v>28014.857</v>
      </c>
    </row>
    <row r="481" spans="2:15" s="3" customFormat="1" ht="15.75" customHeight="1" x14ac:dyDescent="0.35">
      <c r="B481" s="628" t="s">
        <v>105</v>
      </c>
      <c r="C481" s="1135">
        <v>1720.3489999999997</v>
      </c>
      <c r="D481" s="1135">
        <v>1110.3630000000001</v>
      </c>
      <c r="E481" s="1135">
        <v>2293.5720000000001</v>
      </c>
      <c r="F481" s="1135">
        <v>2872.2350000000019</v>
      </c>
      <c r="G481" s="1135"/>
      <c r="H481" s="1135"/>
      <c r="I481" s="1135"/>
      <c r="J481" s="1135"/>
      <c r="K481" s="1135"/>
      <c r="L481" s="1135"/>
      <c r="M481" s="1135"/>
      <c r="N481" s="1135"/>
      <c r="O481" s="622">
        <f t="shared" si="102"/>
        <v>7996.5190000000021</v>
      </c>
    </row>
    <row r="482" spans="2:15" s="3" customFormat="1" ht="15" customHeight="1" x14ac:dyDescent="0.35">
      <c r="B482" s="502" t="s">
        <v>77</v>
      </c>
      <c r="C482" s="1135">
        <v>10.507</v>
      </c>
      <c r="D482" s="1135">
        <v>80</v>
      </c>
      <c r="E482" s="1135">
        <v>246.87200000000001</v>
      </c>
      <c r="F482" s="1135">
        <v>717.39600000000007</v>
      </c>
      <c r="G482" s="1135"/>
      <c r="H482" s="1135"/>
      <c r="I482" s="1135"/>
      <c r="J482" s="1135"/>
      <c r="K482" s="1135"/>
      <c r="L482" s="1135"/>
      <c r="M482" s="1135"/>
      <c r="N482" s="1135"/>
      <c r="O482" s="622">
        <f t="shared" si="102"/>
        <v>1054.7750000000001</v>
      </c>
    </row>
    <row r="483" spans="2:15" s="3" customFormat="1" x14ac:dyDescent="0.35">
      <c r="B483" s="502" t="s">
        <v>152</v>
      </c>
      <c r="C483" s="1135">
        <v>0</v>
      </c>
      <c r="D483" s="1135">
        <v>0</v>
      </c>
      <c r="E483" s="1135">
        <v>1558.326</v>
      </c>
      <c r="F483" s="1135">
        <v>1289.1199999999999</v>
      </c>
      <c r="G483" s="1135"/>
      <c r="H483" s="1135"/>
      <c r="I483" s="1135"/>
      <c r="J483" s="1135"/>
      <c r="K483" s="1135"/>
      <c r="L483" s="1135"/>
      <c r="M483" s="1135"/>
      <c r="N483" s="1135"/>
      <c r="O483" s="622">
        <f t="shared" si="102"/>
        <v>2847.4459999999999</v>
      </c>
    </row>
    <row r="484" spans="2:15" s="3" customFormat="1" x14ac:dyDescent="0.35">
      <c r="B484" s="502" t="s">
        <v>95</v>
      </c>
      <c r="C484" s="1135">
        <v>0</v>
      </c>
      <c r="D484" s="1135">
        <v>1204</v>
      </c>
      <c r="E484" s="1135">
        <v>17.059999999999999</v>
      </c>
      <c r="F484" s="1135">
        <v>16.86</v>
      </c>
      <c r="G484" s="1135"/>
      <c r="H484" s="1135"/>
      <c r="I484" s="1135"/>
      <c r="J484" s="1135"/>
      <c r="K484" s="1135"/>
      <c r="L484" s="1135"/>
      <c r="M484" s="1135"/>
      <c r="N484" s="1135"/>
      <c r="O484" s="622">
        <f t="shared" si="102"/>
        <v>1237.9199999999998</v>
      </c>
    </row>
    <row r="485" spans="2:15" s="3" customFormat="1" x14ac:dyDescent="0.35">
      <c r="B485" s="628" t="s">
        <v>262</v>
      </c>
      <c r="C485" s="1135">
        <v>795.7600000000001</v>
      </c>
      <c r="D485" s="1135">
        <v>0</v>
      </c>
      <c r="E485" s="1135">
        <v>545.74000000000012</v>
      </c>
      <c r="F485" s="1135">
        <v>0</v>
      </c>
      <c r="G485" s="1135"/>
      <c r="H485" s="1135"/>
      <c r="I485" s="1135"/>
      <c r="J485" s="1135"/>
      <c r="K485" s="1135"/>
      <c r="L485" s="1135"/>
      <c r="M485" s="1135"/>
      <c r="N485" s="1135"/>
      <c r="O485" s="622">
        <f t="shared" si="102"/>
        <v>1341.5000000000002</v>
      </c>
    </row>
    <row r="486" spans="2:15" s="3" customFormat="1" x14ac:dyDescent="0.35">
      <c r="B486" s="502" t="s">
        <v>102</v>
      </c>
      <c r="C486" s="1135">
        <v>0</v>
      </c>
      <c r="D486" s="1135">
        <v>0</v>
      </c>
      <c r="E486" s="1135">
        <v>0</v>
      </c>
      <c r="F486" s="1135">
        <v>0</v>
      </c>
      <c r="G486" s="1135"/>
      <c r="H486" s="1135"/>
      <c r="I486" s="1135"/>
      <c r="J486" s="1135"/>
      <c r="K486" s="1135"/>
      <c r="L486" s="1135"/>
      <c r="M486" s="1135"/>
      <c r="N486" s="1135"/>
      <c r="O486" s="622">
        <f t="shared" si="102"/>
        <v>0</v>
      </c>
    </row>
    <row r="487" spans="2:15" s="3" customFormat="1" x14ac:dyDescent="0.35">
      <c r="B487" s="502" t="s">
        <v>94</v>
      </c>
      <c r="C487" s="1135">
        <v>0</v>
      </c>
      <c r="D487" s="1135">
        <v>0</v>
      </c>
      <c r="E487" s="1135">
        <v>0</v>
      </c>
      <c r="F487" s="1135">
        <v>0</v>
      </c>
      <c r="G487" s="1135"/>
      <c r="H487" s="1135"/>
      <c r="I487" s="1135"/>
      <c r="J487" s="1135"/>
      <c r="K487" s="1135"/>
      <c r="L487" s="1135"/>
      <c r="M487" s="1135"/>
      <c r="N487" s="1135"/>
      <c r="O487" s="622">
        <f t="shared" si="102"/>
        <v>0</v>
      </c>
    </row>
    <row r="488" spans="2:15" s="3" customFormat="1" x14ac:dyDescent="0.35">
      <c r="B488" s="502" t="s">
        <v>153</v>
      </c>
      <c r="C488" s="1135">
        <v>0</v>
      </c>
      <c r="D488" s="1135">
        <v>0</v>
      </c>
      <c r="E488" s="1135">
        <v>20.509</v>
      </c>
      <c r="F488" s="1135">
        <v>17.119</v>
      </c>
      <c r="G488" s="1135"/>
      <c r="H488" s="1135"/>
      <c r="I488" s="1135"/>
      <c r="J488" s="1135"/>
      <c r="K488" s="1135"/>
      <c r="L488" s="1135"/>
      <c r="M488" s="1135"/>
      <c r="N488" s="1135"/>
      <c r="O488" s="622">
        <f t="shared" si="102"/>
        <v>37.628</v>
      </c>
    </row>
    <row r="489" spans="2:15" s="3" customFormat="1" x14ac:dyDescent="0.35">
      <c r="B489" s="502" t="s">
        <v>485</v>
      </c>
      <c r="C489" s="1135">
        <v>71.430400000000006</v>
      </c>
      <c r="D489" s="1135">
        <v>119.35256000000001</v>
      </c>
      <c r="E489" s="1135">
        <v>367.80800000000005</v>
      </c>
      <c r="F489" s="1135">
        <v>321.44899999999996</v>
      </c>
      <c r="G489" s="1135"/>
      <c r="H489" s="1135"/>
      <c r="I489" s="1135"/>
      <c r="J489" s="1135"/>
      <c r="K489" s="1135"/>
      <c r="L489" s="1135"/>
      <c r="M489" s="1135"/>
      <c r="N489" s="1135"/>
      <c r="O489" s="622">
        <f t="shared" si="102"/>
        <v>880.03995999999995</v>
      </c>
    </row>
    <row r="490" spans="2:15" s="3" customFormat="1" ht="13" customHeight="1" x14ac:dyDescent="0.35">
      <c r="B490" s="502" t="s">
        <v>155</v>
      </c>
      <c r="C490" s="1135">
        <v>0</v>
      </c>
      <c r="D490" s="1135">
        <v>0</v>
      </c>
      <c r="E490" s="1135">
        <v>0</v>
      </c>
      <c r="F490" s="1135">
        <v>0</v>
      </c>
      <c r="G490" s="1135"/>
      <c r="H490" s="1135"/>
      <c r="I490" s="1135"/>
      <c r="J490" s="1135"/>
      <c r="K490" s="1135"/>
      <c r="L490" s="1135"/>
      <c r="M490" s="1135"/>
      <c r="N490" s="1135"/>
      <c r="O490" s="622">
        <f t="shared" si="102"/>
        <v>0</v>
      </c>
    </row>
    <row r="491" spans="2:15" s="3" customFormat="1" x14ac:dyDescent="0.35">
      <c r="B491" s="502" t="s">
        <v>103</v>
      </c>
      <c r="C491" s="1135">
        <v>0</v>
      </c>
      <c r="D491" s="1135">
        <v>0</v>
      </c>
      <c r="E491" s="1135">
        <v>31.68</v>
      </c>
      <c r="F491" s="1135">
        <v>0</v>
      </c>
      <c r="G491" s="1135"/>
      <c r="H491" s="1135"/>
      <c r="I491" s="1135"/>
      <c r="J491" s="1135"/>
      <c r="K491" s="1135"/>
      <c r="L491" s="1135"/>
      <c r="M491" s="1135"/>
      <c r="N491" s="1135"/>
      <c r="O491" s="622">
        <f t="shared" si="102"/>
        <v>31.68</v>
      </c>
    </row>
    <row r="492" spans="2:15" s="3" customFormat="1" x14ac:dyDescent="0.35">
      <c r="B492" s="502" t="s">
        <v>118</v>
      </c>
      <c r="C492" s="1135">
        <v>4.4240000000000004</v>
      </c>
      <c r="D492" s="1135">
        <v>10.9</v>
      </c>
      <c r="E492" s="1135">
        <v>7.26</v>
      </c>
      <c r="F492" s="1135">
        <v>5.4</v>
      </c>
      <c r="G492" s="1135"/>
      <c r="H492" s="1135"/>
      <c r="I492" s="1135"/>
      <c r="J492" s="1135"/>
      <c r="K492" s="1135"/>
      <c r="L492" s="1135"/>
      <c r="M492" s="1135"/>
      <c r="N492" s="1135"/>
      <c r="O492" s="622">
        <f t="shared" si="102"/>
        <v>27.984000000000002</v>
      </c>
    </row>
    <row r="493" spans="2:15" s="3" customFormat="1" x14ac:dyDescent="0.35">
      <c r="B493" s="502" t="s">
        <v>489</v>
      </c>
      <c r="C493" s="1135">
        <v>0</v>
      </c>
      <c r="D493" s="1135">
        <v>0</v>
      </c>
      <c r="E493" s="1135">
        <v>0</v>
      </c>
      <c r="F493" s="1135">
        <v>0</v>
      </c>
      <c r="G493" s="1135"/>
      <c r="H493" s="1135"/>
      <c r="I493" s="1135"/>
      <c r="J493" s="1135"/>
      <c r="K493" s="1135"/>
      <c r="L493" s="1135"/>
      <c r="M493" s="1135"/>
      <c r="N493" s="1135"/>
      <c r="O493" s="622">
        <f t="shared" si="102"/>
        <v>0</v>
      </c>
    </row>
    <row r="494" spans="2:15" s="3" customFormat="1" x14ac:dyDescent="0.35">
      <c r="B494" s="502" t="s">
        <v>69</v>
      </c>
      <c r="C494" s="1135">
        <v>0</v>
      </c>
      <c r="D494" s="1135">
        <v>0</v>
      </c>
      <c r="E494" s="1135">
        <v>0</v>
      </c>
      <c r="F494" s="1135">
        <v>0</v>
      </c>
      <c r="G494" s="1135"/>
      <c r="H494" s="1135"/>
      <c r="I494" s="1135"/>
      <c r="J494" s="1135"/>
      <c r="K494" s="1135"/>
      <c r="L494" s="1135"/>
      <c r="M494" s="1135"/>
      <c r="N494" s="1135"/>
      <c r="O494" s="622">
        <f t="shared" si="102"/>
        <v>0</v>
      </c>
    </row>
    <row r="495" spans="2:15" s="3" customFormat="1" x14ac:dyDescent="0.35">
      <c r="B495" s="502" t="s">
        <v>89</v>
      </c>
      <c r="C495" s="1135">
        <v>0</v>
      </c>
      <c r="D495" s="1135">
        <v>0</v>
      </c>
      <c r="E495" s="1135">
        <v>4.9000000000000004</v>
      </c>
      <c r="F495" s="1135">
        <v>0.93500000000000005</v>
      </c>
      <c r="G495" s="1135"/>
      <c r="H495" s="1135"/>
      <c r="I495" s="1135"/>
      <c r="J495" s="1135"/>
      <c r="K495" s="1135"/>
      <c r="L495" s="1135"/>
      <c r="M495" s="1135"/>
      <c r="N495" s="1135"/>
      <c r="O495" s="622">
        <f t="shared" si="102"/>
        <v>5.8350000000000009</v>
      </c>
    </row>
    <row r="496" spans="2:15" s="3" customFormat="1" x14ac:dyDescent="0.35">
      <c r="B496" s="502" t="s">
        <v>88</v>
      </c>
      <c r="C496" s="1135">
        <v>0</v>
      </c>
      <c r="D496" s="1135">
        <v>0</v>
      </c>
      <c r="E496" s="1135">
        <v>0</v>
      </c>
      <c r="F496" s="1135">
        <v>0</v>
      </c>
      <c r="G496" s="1135"/>
      <c r="H496" s="1135"/>
      <c r="I496" s="1135"/>
      <c r="J496" s="1135"/>
      <c r="K496" s="1135"/>
      <c r="L496" s="1135"/>
      <c r="M496" s="1135"/>
      <c r="N496" s="1135"/>
      <c r="O496" s="622">
        <f t="shared" si="102"/>
        <v>0</v>
      </c>
    </row>
    <row r="497" spans="2:15" s="3" customFormat="1" x14ac:dyDescent="0.35">
      <c r="B497" s="502" t="s">
        <v>474</v>
      </c>
      <c r="C497" s="1135">
        <v>0</v>
      </c>
      <c r="D497" s="1135">
        <v>0</v>
      </c>
      <c r="E497" s="1135">
        <v>0</v>
      </c>
      <c r="F497" s="1135">
        <v>0</v>
      </c>
      <c r="G497" s="1135"/>
      <c r="H497" s="1135"/>
      <c r="I497" s="1135"/>
      <c r="J497" s="1135"/>
      <c r="K497" s="1135"/>
      <c r="L497" s="1135"/>
      <c r="M497" s="1135"/>
      <c r="N497" s="1135"/>
      <c r="O497" s="622">
        <f t="shared" si="102"/>
        <v>0</v>
      </c>
    </row>
    <row r="498" spans="2:15" s="3" customFormat="1" x14ac:dyDescent="0.35">
      <c r="B498" s="1220" t="s">
        <v>97</v>
      </c>
      <c r="C498" s="1135">
        <v>0</v>
      </c>
      <c r="D498" s="1135">
        <v>0</v>
      </c>
      <c r="E498" s="1135">
        <v>0</v>
      </c>
      <c r="F498" s="1135">
        <v>0</v>
      </c>
      <c r="G498" s="1135"/>
      <c r="H498" s="1135"/>
      <c r="I498" s="1135"/>
      <c r="J498" s="1135"/>
      <c r="K498" s="1135"/>
      <c r="L498" s="1135"/>
      <c r="M498" s="1135"/>
      <c r="N498" s="1135"/>
      <c r="O498" s="622">
        <f t="shared" si="102"/>
        <v>0</v>
      </c>
    </row>
    <row r="499" spans="2:15" s="3" customFormat="1" x14ac:dyDescent="0.35">
      <c r="B499" s="502" t="s">
        <v>490</v>
      </c>
      <c r="C499" s="1135">
        <v>0</v>
      </c>
      <c r="D499" s="1135">
        <v>0</v>
      </c>
      <c r="E499" s="1135">
        <v>0</v>
      </c>
      <c r="F499" s="1135">
        <v>0</v>
      </c>
      <c r="G499" s="1135"/>
      <c r="H499" s="1135"/>
      <c r="I499" s="1135"/>
      <c r="J499" s="1135"/>
      <c r="K499" s="1135"/>
      <c r="L499" s="1135"/>
      <c r="M499" s="1135"/>
      <c r="N499" s="1135"/>
      <c r="O499" s="622">
        <f t="shared" si="102"/>
        <v>0</v>
      </c>
    </row>
    <row r="500" spans="2:15" s="3" customFormat="1" x14ac:dyDescent="0.35">
      <c r="B500" s="502" t="s">
        <v>475</v>
      </c>
      <c r="C500" s="1135">
        <v>0</v>
      </c>
      <c r="D500" s="1135">
        <v>0</v>
      </c>
      <c r="E500" s="1135">
        <v>0</v>
      </c>
      <c r="F500" s="1135">
        <v>0</v>
      </c>
      <c r="G500" s="1135"/>
      <c r="H500" s="1135"/>
      <c r="I500" s="1135"/>
      <c r="J500" s="1135"/>
      <c r="K500" s="1135"/>
      <c r="L500" s="1135"/>
      <c r="M500" s="1135"/>
      <c r="N500" s="1135"/>
      <c r="O500" s="622">
        <f t="shared" si="102"/>
        <v>0</v>
      </c>
    </row>
    <row r="501" spans="2:15" s="3" customFormat="1" x14ac:dyDescent="0.35">
      <c r="B501" s="502" t="s">
        <v>73</v>
      </c>
      <c r="C501" s="1135">
        <v>0</v>
      </c>
      <c r="D501" s="1135">
        <v>0</v>
      </c>
      <c r="E501" s="1135">
        <v>14.297000000000001</v>
      </c>
      <c r="F501" s="1135">
        <v>0</v>
      </c>
      <c r="G501" s="1135"/>
      <c r="H501" s="1135"/>
      <c r="I501" s="1135"/>
      <c r="J501" s="1135"/>
      <c r="K501" s="1135"/>
      <c r="L501" s="1135"/>
      <c r="M501" s="1135"/>
      <c r="N501" s="1135"/>
      <c r="O501" s="622">
        <f t="shared" si="102"/>
        <v>14.297000000000001</v>
      </c>
    </row>
    <row r="502" spans="2:15" s="3" customFormat="1" x14ac:dyDescent="0.35">
      <c r="B502" s="502" t="s">
        <v>96</v>
      </c>
      <c r="C502" s="1135">
        <v>0</v>
      </c>
      <c r="D502" s="1135">
        <v>0</v>
      </c>
      <c r="E502" s="1135">
        <v>0</v>
      </c>
      <c r="F502" s="1135">
        <v>0</v>
      </c>
      <c r="G502" s="1135"/>
      <c r="H502" s="1135"/>
      <c r="I502" s="1135"/>
      <c r="J502" s="1135"/>
      <c r="K502" s="1135"/>
      <c r="L502" s="1135"/>
      <c r="M502" s="1135"/>
      <c r="N502" s="1135"/>
      <c r="O502" s="622">
        <f t="shared" si="102"/>
        <v>0</v>
      </c>
    </row>
    <row r="503" spans="2:15" s="3" customFormat="1" x14ac:dyDescent="0.35">
      <c r="B503" s="502" t="s">
        <v>87</v>
      </c>
      <c r="C503" s="1135">
        <v>0</v>
      </c>
      <c r="D503" s="1135">
        <v>0</v>
      </c>
      <c r="E503" s="1135">
        <v>0</v>
      </c>
      <c r="F503" s="1135">
        <v>0</v>
      </c>
      <c r="G503" s="1135"/>
      <c r="H503" s="1135"/>
      <c r="I503" s="1135"/>
      <c r="J503" s="1135"/>
      <c r="K503" s="1135"/>
      <c r="L503" s="1135"/>
      <c r="M503" s="1135"/>
      <c r="N503" s="1135"/>
      <c r="O503" s="622">
        <f t="shared" si="102"/>
        <v>0</v>
      </c>
    </row>
    <row r="504" spans="2:15" s="3" customFormat="1" x14ac:dyDescent="0.35">
      <c r="B504" s="502" t="s">
        <v>113</v>
      </c>
      <c r="C504" s="1135">
        <v>0</v>
      </c>
      <c r="D504" s="1135">
        <v>0</v>
      </c>
      <c r="E504" s="1135">
        <v>0</v>
      </c>
      <c r="F504" s="1135">
        <v>0</v>
      </c>
      <c r="G504" s="1135"/>
      <c r="H504" s="1135"/>
      <c r="I504" s="1135"/>
      <c r="J504" s="1135"/>
      <c r="K504" s="1135"/>
      <c r="L504" s="1135"/>
      <c r="M504" s="1135"/>
      <c r="N504" s="1135"/>
      <c r="O504" s="622">
        <f t="shared" si="102"/>
        <v>0</v>
      </c>
    </row>
    <row r="505" spans="2:15" s="3" customFormat="1" x14ac:dyDescent="0.35">
      <c r="B505" s="502" t="s">
        <v>114</v>
      </c>
      <c r="C505" s="1135">
        <v>0</v>
      </c>
      <c r="D505" s="1135">
        <v>0</v>
      </c>
      <c r="E505" s="1135">
        <v>0</v>
      </c>
      <c r="F505" s="1135">
        <v>0</v>
      </c>
      <c r="G505" s="1135"/>
      <c r="H505" s="1135"/>
      <c r="I505" s="1135"/>
      <c r="J505" s="1135"/>
      <c r="K505" s="1135"/>
      <c r="L505" s="1135"/>
      <c r="M505" s="1135"/>
      <c r="N505" s="1135"/>
      <c r="O505" s="622">
        <f t="shared" si="102"/>
        <v>0</v>
      </c>
    </row>
    <row r="506" spans="2:15" s="3" customFormat="1" x14ac:dyDescent="0.35">
      <c r="B506" s="502" t="s">
        <v>81</v>
      </c>
      <c r="C506" s="1135">
        <v>0</v>
      </c>
      <c r="D506" s="1135">
        <v>0</v>
      </c>
      <c r="E506" s="1135">
        <v>0</v>
      </c>
      <c r="F506" s="1135">
        <v>0</v>
      </c>
      <c r="G506" s="1135"/>
      <c r="H506" s="1135"/>
      <c r="I506" s="1135"/>
      <c r="J506" s="1135"/>
      <c r="K506" s="1135"/>
      <c r="L506" s="1135"/>
      <c r="M506" s="1135"/>
      <c r="N506" s="1135"/>
      <c r="O506" s="622">
        <f t="shared" si="102"/>
        <v>0</v>
      </c>
    </row>
    <row r="507" spans="2:15" s="3" customFormat="1" x14ac:dyDescent="0.35">
      <c r="B507" s="502" t="s">
        <v>74</v>
      </c>
      <c r="C507" s="1135">
        <v>0</v>
      </c>
      <c r="D507" s="1135">
        <v>0</v>
      </c>
      <c r="E507" s="1135">
        <v>0</v>
      </c>
      <c r="F507" s="1135">
        <v>0</v>
      </c>
      <c r="G507" s="1135"/>
      <c r="H507" s="1135"/>
      <c r="I507" s="1135"/>
      <c r="J507" s="1135"/>
      <c r="K507" s="1135"/>
      <c r="L507" s="1135"/>
      <c r="M507" s="1135"/>
      <c r="N507" s="1135"/>
      <c r="O507" s="622">
        <f t="shared" si="102"/>
        <v>0</v>
      </c>
    </row>
    <row r="508" spans="2:15" s="3" customFormat="1" x14ac:dyDescent="0.35">
      <c r="B508" s="502" t="s">
        <v>491</v>
      </c>
      <c r="C508" s="1135">
        <v>0</v>
      </c>
      <c r="D508" s="1135">
        <v>0</v>
      </c>
      <c r="E508" s="1135">
        <v>0</v>
      </c>
      <c r="F508" s="1135">
        <v>0</v>
      </c>
      <c r="G508" s="1135"/>
      <c r="H508" s="1135"/>
      <c r="I508" s="1135"/>
      <c r="J508" s="1135"/>
      <c r="K508" s="1135"/>
      <c r="L508" s="1135"/>
      <c r="M508" s="1135"/>
      <c r="N508" s="1135"/>
      <c r="O508" s="622">
        <f t="shared" si="102"/>
        <v>0</v>
      </c>
    </row>
    <row r="509" spans="2:15" s="3" customFormat="1" x14ac:dyDescent="0.35">
      <c r="B509" s="502" t="s">
        <v>91</v>
      </c>
      <c r="C509" s="1135">
        <v>84.560000000004948</v>
      </c>
      <c r="D509" s="1135">
        <v>62.547000000027765</v>
      </c>
      <c r="E509" s="1135">
        <v>181.62600000001112</v>
      </c>
      <c r="F509" s="1135">
        <v>74.94499999999789</v>
      </c>
      <c r="G509" s="1135"/>
      <c r="H509" s="1135"/>
      <c r="I509" s="1135"/>
      <c r="J509" s="1135"/>
      <c r="K509" s="1135"/>
      <c r="L509" s="1135"/>
      <c r="M509" s="1135"/>
      <c r="N509" s="1135"/>
      <c r="O509" s="622">
        <f t="shared" si="102"/>
        <v>403.67800000004172</v>
      </c>
    </row>
    <row r="510" spans="2:15" s="3" customFormat="1" x14ac:dyDescent="0.35">
      <c r="B510" s="502"/>
      <c r="C510" s="625"/>
      <c r="D510" s="625"/>
      <c r="E510" s="625"/>
      <c r="F510" s="625"/>
      <c r="G510" s="625"/>
      <c r="H510" s="625"/>
      <c r="I510" s="625"/>
      <c r="J510" s="626"/>
      <c r="K510" s="626"/>
      <c r="L510" s="626"/>
      <c r="M510" s="626"/>
      <c r="N510" s="626"/>
      <c r="O510" s="503"/>
    </row>
    <row r="511" spans="2:15" s="3" customFormat="1" x14ac:dyDescent="0.35">
      <c r="B511" s="432" t="s">
        <v>36</v>
      </c>
      <c r="C511" s="1222">
        <f>+C477+C443</f>
        <v>322761.68706400017</v>
      </c>
      <c r="D511" s="1222">
        <f>+D477+D443</f>
        <v>396885.98656000005</v>
      </c>
      <c r="E511" s="1222">
        <f>+E477+E443</f>
        <v>393671.70800000022</v>
      </c>
      <c r="F511" s="1222">
        <f>+F477+F443</f>
        <v>349457.11499999987</v>
      </c>
      <c r="G511" s="1222">
        <f t="shared" ref="G511:L511" si="103">+G477+G443</f>
        <v>0</v>
      </c>
      <c r="H511" s="1222">
        <f t="shared" si="103"/>
        <v>0</v>
      </c>
      <c r="I511" s="1222">
        <f t="shared" si="103"/>
        <v>0</v>
      </c>
      <c r="J511" s="1222">
        <f t="shared" si="103"/>
        <v>0</v>
      </c>
      <c r="K511" s="1222">
        <f t="shared" si="103"/>
        <v>0</v>
      </c>
      <c r="L511" s="1222">
        <f t="shared" si="103"/>
        <v>0</v>
      </c>
      <c r="M511" s="1222">
        <f>+M477+M443</f>
        <v>0</v>
      </c>
      <c r="N511" s="1222">
        <f>+N477+N443</f>
        <v>0</v>
      </c>
      <c r="O511" s="1224">
        <f>SUM(C511:N511)</f>
        <v>1462776.4966240004</v>
      </c>
    </row>
    <row r="512" spans="2:15" s="3" customFormat="1" x14ac:dyDescent="0.35">
      <c r="B512" s="188"/>
      <c r="C512" s="182"/>
      <c r="D512" s="189"/>
      <c r="E512" s="189"/>
      <c r="F512" s="189"/>
      <c r="G512" s="189"/>
      <c r="H512" s="189"/>
      <c r="I512" s="189"/>
      <c r="J512" s="189"/>
      <c r="K512" s="189"/>
      <c r="L512" s="189"/>
      <c r="M512" s="189"/>
      <c r="N512" s="189"/>
      <c r="O512" s="187"/>
    </row>
    <row r="513" spans="2:15" s="135" customFormat="1" x14ac:dyDescent="0.35">
      <c r="B513" s="1068" t="s">
        <v>526</v>
      </c>
      <c r="C513" s="1068"/>
      <c r="D513" s="1068"/>
      <c r="E513" s="1068"/>
      <c r="F513" s="1068"/>
      <c r="G513" s="1068"/>
      <c r="H513" s="1068"/>
      <c r="I513" s="1068"/>
      <c r="J513" s="1068"/>
      <c r="K513" s="1068"/>
      <c r="L513" s="1068"/>
      <c r="M513" s="1068"/>
      <c r="N513" s="1068"/>
      <c r="O513" s="1068"/>
    </row>
    <row r="514" spans="2:15" s="135" customFormat="1" x14ac:dyDescent="0.35">
      <c r="B514" s="188"/>
      <c r="C514" s="189"/>
      <c r="D514" s="189"/>
      <c r="E514" s="189"/>
      <c r="F514" s="189"/>
      <c r="G514" s="189"/>
      <c r="H514" s="189"/>
      <c r="I514" s="189"/>
      <c r="J514" s="189"/>
      <c r="K514" s="189"/>
      <c r="L514" s="189"/>
      <c r="M514" s="189"/>
      <c r="N514" s="189"/>
      <c r="O514" s="187"/>
    </row>
    <row r="515" spans="2:15" s="135" customFormat="1" x14ac:dyDescent="0.35">
      <c r="B515" s="1077" t="s">
        <v>13</v>
      </c>
      <c r="C515" s="1112" t="s">
        <v>0</v>
      </c>
      <c r="D515" s="1136" t="s">
        <v>1</v>
      </c>
      <c r="E515" s="1136" t="s">
        <v>2</v>
      </c>
      <c r="F515" s="1136" t="s">
        <v>3</v>
      </c>
      <c r="G515" s="1136" t="s">
        <v>4</v>
      </c>
      <c r="H515" s="1136" t="s">
        <v>5</v>
      </c>
      <c r="I515" s="1136" t="s">
        <v>6</v>
      </c>
      <c r="J515" s="1136" t="s">
        <v>7</v>
      </c>
      <c r="K515" s="1136" t="s">
        <v>8</v>
      </c>
      <c r="L515" s="1136" t="s">
        <v>9</v>
      </c>
      <c r="M515" s="1136" t="s">
        <v>10</v>
      </c>
      <c r="N515" s="1136" t="s">
        <v>14</v>
      </c>
      <c r="O515" s="1077" t="s">
        <v>15</v>
      </c>
    </row>
    <row r="516" spans="2:15" s="135" customFormat="1" x14ac:dyDescent="0.35">
      <c r="B516" s="1088"/>
      <c r="C516" s="1145"/>
      <c r="D516" s="1153"/>
      <c r="E516" s="1153"/>
      <c r="F516" s="1153"/>
      <c r="G516" s="1153"/>
      <c r="H516" s="1153"/>
      <c r="I516" s="1153"/>
      <c r="J516" s="1153"/>
      <c r="K516" s="1153"/>
      <c r="L516" s="1153"/>
      <c r="M516" s="1153"/>
      <c r="N516" s="1153"/>
      <c r="O516" s="1088"/>
    </row>
    <row r="517" spans="2:15" s="135" customFormat="1" x14ac:dyDescent="0.35">
      <c r="B517" s="619"/>
      <c r="C517" s="1226"/>
      <c r="D517" s="621"/>
      <c r="E517" s="621"/>
      <c r="F517" s="621"/>
      <c r="G517" s="621"/>
      <c r="H517" s="621"/>
      <c r="I517" s="621"/>
      <c r="J517" s="621"/>
      <c r="K517" s="621"/>
      <c r="L517" s="621"/>
      <c r="M517" s="621"/>
      <c r="N517" s="621"/>
      <c r="O517" s="619"/>
    </row>
    <row r="518" spans="2:15" s="135" customFormat="1" x14ac:dyDescent="0.35">
      <c r="B518" s="1218" t="s">
        <v>47</v>
      </c>
      <c r="C518" s="594">
        <f>SUM(C520:C550)</f>
        <v>1669490.075399009</v>
      </c>
      <c r="D518" s="594">
        <f>SUM(D520:D550)</f>
        <v>1655437.4123989991</v>
      </c>
      <c r="E518" s="594">
        <f>SUM(E520:E550)</f>
        <v>2010238.8186400007</v>
      </c>
      <c r="F518" s="594">
        <f>SUM(F520:F550)</f>
        <v>1794693.611989999</v>
      </c>
      <c r="G518" s="594">
        <f t="shared" ref="G518:L518" si="104">SUM(G520:G550)</f>
        <v>0</v>
      </c>
      <c r="H518" s="594">
        <f t="shared" si="104"/>
        <v>0</v>
      </c>
      <c r="I518" s="594">
        <f t="shared" si="104"/>
        <v>0</v>
      </c>
      <c r="J518" s="594">
        <f t="shared" si="104"/>
        <v>0</v>
      </c>
      <c r="K518" s="594">
        <f t="shared" si="104"/>
        <v>0</v>
      </c>
      <c r="L518" s="594">
        <f t="shared" si="104"/>
        <v>0</v>
      </c>
      <c r="M518" s="594">
        <f>SUM(M520:M550)</f>
        <v>0</v>
      </c>
      <c r="N518" s="503">
        <f>SUM(N520:N550)</f>
        <v>0</v>
      </c>
      <c r="O518" s="620">
        <f>SUM(C518:N518)</f>
        <v>7129859.9184280075</v>
      </c>
    </row>
    <row r="519" spans="2:15" s="135" customFormat="1" x14ac:dyDescent="0.35">
      <c r="B519" s="503"/>
      <c r="C519" s="621"/>
      <c r="D519" s="621"/>
      <c r="E519" s="621"/>
      <c r="F519" s="621"/>
      <c r="G519" s="621"/>
      <c r="H519" s="621"/>
      <c r="I519" s="621"/>
      <c r="J519" s="621"/>
      <c r="K519" s="621"/>
      <c r="L519" s="621"/>
      <c r="M519" s="621"/>
      <c r="N519" s="621"/>
      <c r="O519" s="622"/>
    </row>
    <row r="520" spans="2:15" s="135" customFormat="1" x14ac:dyDescent="0.35">
      <c r="B520" s="502" t="s">
        <v>66</v>
      </c>
      <c r="C520" s="579">
        <v>495764.19699999993</v>
      </c>
      <c r="D520" s="579">
        <v>590730.86499999987</v>
      </c>
      <c r="E520" s="579">
        <v>851079.30699999991</v>
      </c>
      <c r="F520" s="579">
        <v>738133.951</v>
      </c>
      <c r="G520" s="579"/>
      <c r="H520" s="579"/>
      <c r="I520" s="579"/>
      <c r="J520" s="579"/>
      <c r="K520" s="579"/>
      <c r="L520" s="579"/>
      <c r="M520" s="579"/>
      <c r="N520" s="579"/>
      <c r="O520" s="622">
        <f t="shared" ref="O520:O550" si="105">SUM(C520:N520)</f>
        <v>2675708.3199999998</v>
      </c>
    </row>
    <row r="521" spans="2:15" s="135" customFormat="1" x14ac:dyDescent="0.35">
      <c r="B521" s="502" t="s">
        <v>67</v>
      </c>
      <c r="C521" s="1134">
        <v>238275.62700000039</v>
      </c>
      <c r="D521" s="1134">
        <v>166549.29699999964</v>
      </c>
      <c r="E521" s="1134">
        <v>137229.75000000009</v>
      </c>
      <c r="F521" s="1134">
        <v>142158.31299999935</v>
      </c>
      <c r="G521" s="1134"/>
      <c r="H521" s="1134"/>
      <c r="I521" s="1134"/>
      <c r="J521" s="1134"/>
      <c r="K521" s="1134"/>
      <c r="L521" s="1134"/>
      <c r="M521" s="1134"/>
      <c r="N521" s="1134"/>
      <c r="O521" s="622">
        <f t="shared" si="105"/>
        <v>684212.9869999995</v>
      </c>
    </row>
    <row r="522" spans="2:15" s="135" customFormat="1" x14ac:dyDescent="0.35">
      <c r="B522" s="502" t="s">
        <v>68</v>
      </c>
      <c r="C522" s="1134">
        <v>123922.496</v>
      </c>
      <c r="D522" s="1134">
        <v>96682.43299999999</v>
      </c>
      <c r="E522" s="1134">
        <v>153685.465</v>
      </c>
      <c r="F522" s="1134">
        <v>84749.021999999997</v>
      </c>
      <c r="G522" s="1134"/>
      <c r="H522" s="1134"/>
      <c r="I522" s="1134"/>
      <c r="J522" s="1134"/>
      <c r="K522" s="1134"/>
      <c r="L522" s="1134"/>
      <c r="M522" s="1134"/>
      <c r="N522" s="1134"/>
      <c r="O522" s="622">
        <f t="shared" si="105"/>
        <v>459039.41599999997</v>
      </c>
    </row>
    <row r="523" spans="2:15" s="135" customFormat="1" x14ac:dyDescent="0.35">
      <c r="B523" s="502" t="s">
        <v>70</v>
      </c>
      <c r="C523" s="1134">
        <v>84088.439000000144</v>
      </c>
      <c r="D523" s="1134">
        <v>77281.252000000022</v>
      </c>
      <c r="E523" s="1134">
        <v>88105.515999999931</v>
      </c>
      <c r="F523" s="1134">
        <v>107243.29299999964</v>
      </c>
      <c r="G523" s="1134"/>
      <c r="H523" s="1134"/>
      <c r="I523" s="1134"/>
      <c r="J523" s="1134"/>
      <c r="K523" s="1134"/>
      <c r="L523" s="1134"/>
      <c r="M523" s="1134"/>
      <c r="N523" s="1134"/>
      <c r="O523" s="622">
        <f t="shared" si="105"/>
        <v>356718.49999999977</v>
      </c>
    </row>
    <row r="524" spans="2:15" s="135" customFormat="1" x14ac:dyDescent="0.35">
      <c r="B524" s="623" t="s">
        <v>69</v>
      </c>
      <c r="C524" s="1134">
        <v>52651.319829999942</v>
      </c>
      <c r="D524" s="1134">
        <v>42169.581100000018</v>
      </c>
      <c r="E524" s="1134">
        <v>49057.524999999885</v>
      </c>
      <c r="F524" s="1134">
        <v>54254.53399999984</v>
      </c>
      <c r="G524" s="1134"/>
      <c r="H524" s="1134"/>
      <c r="I524" s="1134"/>
      <c r="J524" s="1134"/>
      <c r="K524" s="1134"/>
      <c r="L524" s="1134"/>
      <c r="M524" s="1134"/>
      <c r="N524" s="1134"/>
      <c r="O524" s="622">
        <f t="shared" si="105"/>
        <v>198132.95992999969</v>
      </c>
    </row>
    <row r="525" spans="2:15" s="135" customFormat="1" x14ac:dyDescent="0.35">
      <c r="B525" s="623" t="s">
        <v>71</v>
      </c>
      <c r="C525" s="1134">
        <v>25932.612599999997</v>
      </c>
      <c r="D525" s="1134">
        <v>69900.928000000305</v>
      </c>
      <c r="E525" s="1134">
        <v>76872.366000000387</v>
      </c>
      <c r="F525" s="1134">
        <v>77374.968999999721</v>
      </c>
      <c r="G525" s="1134"/>
      <c r="H525" s="1134"/>
      <c r="I525" s="1134"/>
      <c r="J525" s="1134"/>
      <c r="K525" s="1134"/>
      <c r="L525" s="1134"/>
      <c r="M525" s="1134"/>
      <c r="N525" s="1134"/>
      <c r="O525" s="622">
        <f t="shared" si="105"/>
        <v>250080.87560000041</v>
      </c>
    </row>
    <row r="526" spans="2:15" s="135" customFormat="1" x14ac:dyDescent="0.35">
      <c r="B526" s="623" t="s">
        <v>77</v>
      </c>
      <c r="C526" s="1134">
        <v>24214.291999999994</v>
      </c>
      <c r="D526" s="1134">
        <v>39745.236000000063</v>
      </c>
      <c r="E526" s="1134">
        <v>32181.485999999968</v>
      </c>
      <c r="F526" s="1134">
        <v>20559.204999999973</v>
      </c>
      <c r="G526" s="1134"/>
      <c r="H526" s="1134"/>
      <c r="I526" s="1134"/>
      <c r="J526" s="1134"/>
      <c r="K526" s="1134"/>
      <c r="L526" s="1134"/>
      <c r="M526" s="1134"/>
      <c r="N526" s="1134"/>
      <c r="O526" s="622">
        <f t="shared" si="105"/>
        <v>116700.219</v>
      </c>
    </row>
    <row r="527" spans="2:15" s="135" customFormat="1" x14ac:dyDescent="0.35">
      <c r="B527" s="623" t="s">
        <v>75</v>
      </c>
      <c r="C527" s="1134">
        <v>39725.976999999977</v>
      </c>
      <c r="D527" s="1134">
        <v>24756.174999999923</v>
      </c>
      <c r="E527" s="1134">
        <v>30314.664000000059</v>
      </c>
      <c r="F527" s="1134">
        <v>29681.87000000001</v>
      </c>
      <c r="G527" s="1134"/>
      <c r="H527" s="1134"/>
      <c r="I527" s="1134"/>
      <c r="J527" s="1134"/>
      <c r="K527" s="1134"/>
      <c r="L527" s="1134"/>
      <c r="M527" s="1134"/>
      <c r="N527" s="1134"/>
      <c r="O527" s="622">
        <f t="shared" si="105"/>
        <v>124478.68599999997</v>
      </c>
    </row>
    <row r="528" spans="2:15" s="135" customFormat="1" x14ac:dyDescent="0.35">
      <c r="B528" s="623" t="s">
        <v>74</v>
      </c>
      <c r="C528" s="1134">
        <v>42701.149000000012</v>
      </c>
      <c r="D528" s="1134">
        <v>69008.923999999999</v>
      </c>
      <c r="E528" s="1134">
        <v>31754.462999999996</v>
      </c>
      <c r="F528" s="1134">
        <v>39151.872999999992</v>
      </c>
      <c r="G528" s="1134"/>
      <c r="H528" s="1134"/>
      <c r="I528" s="1134"/>
      <c r="J528" s="1134"/>
      <c r="K528" s="1134"/>
      <c r="L528" s="1134"/>
      <c r="M528" s="1134"/>
      <c r="N528" s="1134"/>
      <c r="O528" s="622">
        <f t="shared" si="105"/>
        <v>182616.40899999999</v>
      </c>
    </row>
    <row r="529" spans="2:15" s="135" customFormat="1" x14ac:dyDescent="0.35">
      <c r="B529" s="623" t="s">
        <v>73</v>
      </c>
      <c r="C529" s="1134">
        <v>30613.926739999981</v>
      </c>
      <c r="D529" s="1134">
        <v>26463.009000000024</v>
      </c>
      <c r="E529" s="1134">
        <v>27930.127000000037</v>
      </c>
      <c r="F529" s="1134">
        <v>35267.243999999977</v>
      </c>
      <c r="G529" s="1134"/>
      <c r="H529" s="1134"/>
      <c r="I529" s="1134"/>
      <c r="J529" s="1134"/>
      <c r="K529" s="1134"/>
      <c r="L529" s="1134"/>
      <c r="M529" s="1134"/>
      <c r="N529" s="1134"/>
      <c r="O529" s="622">
        <f t="shared" si="105"/>
        <v>120274.30674000001</v>
      </c>
    </row>
    <row r="530" spans="2:15" s="135" customFormat="1" x14ac:dyDescent="0.35">
      <c r="B530" s="623" t="s">
        <v>470</v>
      </c>
      <c r="C530" s="1134">
        <v>15433.386999999999</v>
      </c>
      <c r="D530" s="1134">
        <v>5324.5079999999998</v>
      </c>
      <c r="E530" s="1134">
        <v>20295.909</v>
      </c>
      <c r="F530" s="1134">
        <v>27481.98</v>
      </c>
      <c r="G530" s="1134"/>
      <c r="H530" s="1134"/>
      <c r="I530" s="1134"/>
      <c r="J530" s="1134"/>
      <c r="K530" s="1134"/>
      <c r="L530" s="1134"/>
      <c r="M530" s="1134"/>
      <c r="N530" s="1134"/>
      <c r="O530" s="622">
        <f t="shared" si="105"/>
        <v>68535.784</v>
      </c>
    </row>
    <row r="531" spans="2:15" s="135" customFormat="1" x14ac:dyDescent="0.35">
      <c r="B531" s="623" t="s">
        <v>78</v>
      </c>
      <c r="C531" s="1134">
        <v>22727.043816999991</v>
      </c>
      <c r="D531" s="1134">
        <v>27388.518729999996</v>
      </c>
      <c r="E531" s="1134">
        <v>27312.924000000028</v>
      </c>
      <c r="F531" s="1134">
        <v>28139.325999999983</v>
      </c>
      <c r="G531" s="1134"/>
      <c r="H531" s="1134"/>
      <c r="I531" s="1134"/>
      <c r="J531" s="1134"/>
      <c r="K531" s="1134"/>
      <c r="L531" s="1134"/>
      <c r="M531" s="1134"/>
      <c r="N531" s="1134"/>
      <c r="O531" s="622">
        <f t="shared" si="105"/>
        <v>105567.81254699999</v>
      </c>
    </row>
    <row r="532" spans="2:15" s="135" customFormat="1" x14ac:dyDescent="0.35">
      <c r="B532" s="623" t="s">
        <v>113</v>
      </c>
      <c r="C532" s="1134">
        <v>21734.43299999999</v>
      </c>
      <c r="D532" s="1134">
        <v>11035.302999999993</v>
      </c>
      <c r="E532" s="1134">
        <v>16278.018999999998</v>
      </c>
      <c r="F532" s="1134">
        <v>13798.625000000013</v>
      </c>
      <c r="G532" s="1134"/>
      <c r="H532" s="1134"/>
      <c r="I532" s="1134"/>
      <c r="J532" s="1134"/>
      <c r="K532" s="1134"/>
      <c r="L532" s="1134"/>
      <c r="M532" s="1134"/>
      <c r="N532" s="1134"/>
      <c r="O532" s="622">
        <f t="shared" si="105"/>
        <v>62846.38</v>
      </c>
    </row>
    <row r="533" spans="2:15" s="135" customFormat="1" x14ac:dyDescent="0.35">
      <c r="B533" s="623" t="s">
        <v>72</v>
      </c>
      <c r="C533" s="1134">
        <v>16706.148380000002</v>
      </c>
      <c r="D533" s="1134">
        <v>18785.779000000024</v>
      </c>
      <c r="E533" s="1134">
        <v>18951.799000000017</v>
      </c>
      <c r="F533" s="1134">
        <v>16103.234999999995</v>
      </c>
      <c r="G533" s="1134"/>
      <c r="H533" s="1134"/>
      <c r="I533" s="1134"/>
      <c r="J533" s="1134"/>
      <c r="K533" s="1134"/>
      <c r="L533" s="1134"/>
      <c r="M533" s="1134"/>
      <c r="N533" s="1134"/>
      <c r="O533" s="622">
        <f t="shared" si="105"/>
        <v>70546.961380000037</v>
      </c>
    </row>
    <row r="534" spans="2:15" s="135" customFormat="1" x14ac:dyDescent="0.35">
      <c r="B534" s="623" t="s">
        <v>471</v>
      </c>
      <c r="C534" s="1134">
        <v>3527.3859999999995</v>
      </c>
      <c r="D534" s="1134">
        <v>3152.4389999999985</v>
      </c>
      <c r="E534" s="1134">
        <v>2480.9449999999979</v>
      </c>
      <c r="F534" s="1134">
        <v>3434.6150000000002</v>
      </c>
      <c r="G534" s="1134"/>
      <c r="H534" s="1134"/>
      <c r="I534" s="1134"/>
      <c r="J534" s="1134"/>
      <c r="K534" s="1134"/>
      <c r="L534" s="1134"/>
      <c r="M534" s="1134"/>
      <c r="N534" s="1134"/>
      <c r="O534" s="622">
        <f t="shared" si="105"/>
        <v>12595.384999999997</v>
      </c>
    </row>
    <row r="535" spans="2:15" s="135" customFormat="1" x14ac:dyDescent="0.35">
      <c r="B535" s="623" t="s">
        <v>79</v>
      </c>
      <c r="C535" s="1134">
        <v>14104.001000000009</v>
      </c>
      <c r="D535" s="1134">
        <v>17350.995000000021</v>
      </c>
      <c r="E535" s="1134">
        <v>9374.6009999999897</v>
      </c>
      <c r="F535" s="1134">
        <v>10398.144000000008</v>
      </c>
      <c r="G535" s="1134"/>
      <c r="H535" s="1134"/>
      <c r="I535" s="1134"/>
      <c r="J535" s="1134"/>
      <c r="K535" s="1134"/>
      <c r="L535" s="1134"/>
      <c r="M535" s="1134"/>
      <c r="N535" s="1134"/>
      <c r="O535" s="622">
        <f t="shared" si="105"/>
        <v>51227.741000000024</v>
      </c>
    </row>
    <row r="536" spans="2:15" s="135" customFormat="1" x14ac:dyDescent="0.35">
      <c r="B536" s="623" t="s">
        <v>80</v>
      </c>
      <c r="C536" s="1134">
        <v>17734.157999999996</v>
      </c>
      <c r="D536" s="1134">
        <v>13494.134000000002</v>
      </c>
      <c r="E536" s="1134">
        <v>23241.551999999974</v>
      </c>
      <c r="F536" s="1134">
        <v>17673.608999999979</v>
      </c>
      <c r="G536" s="1134"/>
      <c r="H536" s="1134"/>
      <c r="I536" s="1134"/>
      <c r="J536" s="1134"/>
      <c r="K536" s="1134"/>
      <c r="L536" s="1134"/>
      <c r="M536" s="1134"/>
      <c r="N536" s="1134"/>
      <c r="O536" s="622">
        <f t="shared" si="105"/>
        <v>72143.45299999995</v>
      </c>
    </row>
    <row r="537" spans="2:15" s="135" customFormat="1" x14ac:dyDescent="0.35">
      <c r="B537" s="623" t="s">
        <v>85</v>
      </c>
      <c r="C537" s="1134">
        <v>9307.9839999999986</v>
      </c>
      <c r="D537" s="1134">
        <v>9584.09</v>
      </c>
      <c r="E537" s="1134">
        <v>21731.4</v>
      </c>
      <c r="F537" s="1134">
        <v>7711.6069999999991</v>
      </c>
      <c r="G537" s="1134"/>
      <c r="H537" s="1134"/>
      <c r="I537" s="1134"/>
      <c r="J537" s="1134"/>
      <c r="K537" s="1134"/>
      <c r="L537" s="1134"/>
      <c r="M537" s="1134"/>
      <c r="N537" s="1134"/>
      <c r="O537" s="622">
        <f t="shared" si="105"/>
        <v>48335.080999999998</v>
      </c>
    </row>
    <row r="538" spans="2:15" s="135" customFormat="1" x14ac:dyDescent="0.35">
      <c r="B538" s="502" t="s">
        <v>88</v>
      </c>
      <c r="C538" s="1134">
        <v>8822.3310000000019</v>
      </c>
      <c r="D538" s="1134">
        <v>7994.5579999999982</v>
      </c>
      <c r="E538" s="1134">
        <v>7030.7840000000006</v>
      </c>
      <c r="F538" s="1134">
        <v>11641.237999999992</v>
      </c>
      <c r="G538" s="1134"/>
      <c r="H538" s="1134"/>
      <c r="I538" s="1134"/>
      <c r="J538" s="1134"/>
      <c r="K538" s="1134"/>
      <c r="L538" s="1134"/>
      <c r="M538" s="1134"/>
      <c r="N538" s="1134"/>
      <c r="O538" s="622">
        <f t="shared" si="105"/>
        <v>35488.910999999993</v>
      </c>
    </row>
    <row r="539" spans="2:15" s="135" customFormat="1" x14ac:dyDescent="0.35">
      <c r="B539" s="623" t="s">
        <v>83</v>
      </c>
      <c r="C539" s="1134">
        <v>16465.905999999988</v>
      </c>
      <c r="D539" s="1134">
        <v>10921.508000000009</v>
      </c>
      <c r="E539" s="1134">
        <v>10148.735999999997</v>
      </c>
      <c r="F539" s="1134">
        <v>18326.112999999983</v>
      </c>
      <c r="G539" s="1134"/>
      <c r="H539" s="1134"/>
      <c r="I539" s="1134"/>
      <c r="J539" s="1134"/>
      <c r="K539" s="1134"/>
      <c r="L539" s="1134"/>
      <c r="M539" s="1134"/>
      <c r="N539" s="1134"/>
      <c r="O539" s="622">
        <f t="shared" si="105"/>
        <v>55862.262999999977</v>
      </c>
    </row>
    <row r="540" spans="2:15" s="135" customFormat="1" x14ac:dyDescent="0.35">
      <c r="B540" s="1220" t="s">
        <v>81</v>
      </c>
      <c r="C540" s="1134">
        <v>8120.6087979999993</v>
      </c>
      <c r="D540" s="1134">
        <v>5053.5874649999951</v>
      </c>
      <c r="E540" s="1134">
        <v>8292.801000000014</v>
      </c>
      <c r="F540" s="1134">
        <v>5429.8079999999973</v>
      </c>
      <c r="G540" s="1134"/>
      <c r="H540" s="1134"/>
      <c r="I540" s="1134"/>
      <c r="J540" s="1134"/>
      <c r="K540" s="1134"/>
      <c r="L540" s="1134"/>
      <c r="M540" s="1134"/>
      <c r="N540" s="1134"/>
      <c r="O540" s="622">
        <f t="shared" si="105"/>
        <v>26896.805263000006</v>
      </c>
    </row>
    <row r="541" spans="2:15" s="135" customFormat="1" x14ac:dyDescent="0.35">
      <c r="B541" s="502" t="s">
        <v>87</v>
      </c>
      <c r="C541" s="1134">
        <v>8035.4407500000034</v>
      </c>
      <c r="D541" s="1134">
        <v>5923.8280000000004</v>
      </c>
      <c r="E541" s="1134">
        <v>5065.5299999999988</v>
      </c>
      <c r="F541" s="1134">
        <v>7699.8520000000026</v>
      </c>
      <c r="G541" s="1134"/>
      <c r="H541" s="1134"/>
      <c r="I541" s="1134"/>
      <c r="J541" s="1134"/>
      <c r="K541" s="1134"/>
      <c r="L541" s="1134"/>
      <c r="M541" s="1134"/>
      <c r="N541" s="1134"/>
      <c r="O541" s="622">
        <f t="shared" si="105"/>
        <v>26724.650750000004</v>
      </c>
    </row>
    <row r="542" spans="2:15" s="135" customFormat="1" x14ac:dyDescent="0.35">
      <c r="B542" s="502" t="s">
        <v>86</v>
      </c>
      <c r="C542" s="1134">
        <v>6919.5650000000023</v>
      </c>
      <c r="D542" s="1134">
        <v>5659.6090000000004</v>
      </c>
      <c r="E542" s="1134">
        <v>6529.2490000000062</v>
      </c>
      <c r="F542" s="1134">
        <v>7278.8940000000184</v>
      </c>
      <c r="G542" s="1134"/>
      <c r="H542" s="1134"/>
      <c r="I542" s="1134"/>
      <c r="J542" s="1134"/>
      <c r="K542" s="1134"/>
      <c r="L542" s="1134"/>
      <c r="M542" s="1134"/>
      <c r="N542" s="1134"/>
      <c r="O542" s="622">
        <f t="shared" si="105"/>
        <v>26387.317000000028</v>
      </c>
    </row>
    <row r="543" spans="2:15" s="135" customFormat="1" x14ac:dyDescent="0.35">
      <c r="B543" s="502" t="s">
        <v>115</v>
      </c>
      <c r="C543" s="1134">
        <v>7407.2474120000024</v>
      </c>
      <c r="D543" s="1134">
        <v>6182.2831000000024</v>
      </c>
      <c r="E543" s="1134">
        <v>6876.7726399999992</v>
      </c>
      <c r="F543" s="1134">
        <v>4941.4750000000013</v>
      </c>
      <c r="G543" s="1134"/>
      <c r="H543" s="1134"/>
      <c r="I543" s="1134"/>
      <c r="J543" s="1134"/>
      <c r="K543" s="1134"/>
      <c r="L543" s="1134"/>
      <c r="M543" s="1134"/>
      <c r="N543" s="1134"/>
      <c r="O543" s="622">
        <f t="shared" si="105"/>
        <v>25407.778152000006</v>
      </c>
    </row>
    <row r="544" spans="2:15" s="135" customFormat="1" x14ac:dyDescent="0.35">
      <c r="B544" s="502" t="s">
        <v>89</v>
      </c>
      <c r="C544" s="1134">
        <v>6945.7018799999714</v>
      </c>
      <c r="D544" s="1134">
        <v>7400.2310000000034</v>
      </c>
      <c r="E544" s="1134">
        <v>4370.9820000000018</v>
      </c>
      <c r="F544" s="1134">
        <v>7342.1180000000068</v>
      </c>
      <c r="G544" s="1134"/>
      <c r="H544" s="1134"/>
      <c r="I544" s="1134"/>
      <c r="J544" s="1134"/>
      <c r="K544" s="1134"/>
      <c r="L544" s="1134"/>
      <c r="M544" s="1134"/>
      <c r="N544" s="1134"/>
      <c r="O544" s="622">
        <f t="shared" si="105"/>
        <v>26059.032879999981</v>
      </c>
    </row>
    <row r="545" spans="2:15" s="135" customFormat="1" x14ac:dyDescent="0.35">
      <c r="B545" s="502" t="s">
        <v>76</v>
      </c>
      <c r="C545" s="1134">
        <v>0</v>
      </c>
      <c r="D545" s="1134">
        <v>152</v>
      </c>
      <c r="E545" s="1134">
        <v>0</v>
      </c>
      <c r="F545" s="1134">
        <v>25.725999999999999</v>
      </c>
      <c r="G545" s="1134"/>
      <c r="H545" s="1134"/>
      <c r="I545" s="1134"/>
      <c r="J545" s="1134"/>
      <c r="K545" s="1134"/>
      <c r="L545" s="1134"/>
      <c r="M545" s="1134"/>
      <c r="N545" s="1134"/>
      <c r="O545" s="622">
        <f t="shared" si="105"/>
        <v>177.726</v>
      </c>
    </row>
    <row r="546" spans="2:15" s="135" customFormat="1" x14ac:dyDescent="0.35">
      <c r="B546" s="502" t="s">
        <v>394</v>
      </c>
      <c r="C546" s="1134">
        <v>3999.7140000000018</v>
      </c>
      <c r="D546" s="1134">
        <v>5136.2549999999965</v>
      </c>
      <c r="E546" s="1134">
        <v>3827.2770000000014</v>
      </c>
      <c r="F546" s="1134">
        <v>682.1869999999999</v>
      </c>
      <c r="G546" s="1134"/>
      <c r="H546" s="1134"/>
      <c r="I546" s="1134"/>
      <c r="J546" s="1134"/>
      <c r="K546" s="1134"/>
      <c r="L546" s="1134"/>
      <c r="M546" s="1134"/>
      <c r="N546" s="1134"/>
      <c r="O546" s="622">
        <f t="shared" si="105"/>
        <v>13645.432999999999</v>
      </c>
    </row>
    <row r="547" spans="2:15" s="135" customFormat="1" x14ac:dyDescent="0.35">
      <c r="B547" s="502" t="s">
        <v>221</v>
      </c>
      <c r="C547" s="1134">
        <v>5129.2379999999948</v>
      </c>
      <c r="D547" s="1134">
        <v>3882.7040000000043</v>
      </c>
      <c r="E547" s="1134">
        <v>4322.4249999999965</v>
      </c>
      <c r="F547" s="1134">
        <v>4815.1009999999933</v>
      </c>
      <c r="G547" s="1134"/>
      <c r="H547" s="1134"/>
      <c r="I547" s="1134"/>
      <c r="J547" s="1134"/>
      <c r="K547" s="1134"/>
      <c r="L547" s="1134"/>
      <c r="M547" s="1134"/>
      <c r="N547" s="1134"/>
      <c r="O547" s="622">
        <f t="shared" si="105"/>
        <v>18149.467999999986</v>
      </c>
    </row>
    <row r="548" spans="2:15" s="135" customFormat="1" x14ac:dyDescent="0.35">
      <c r="B548" s="502" t="s">
        <v>84</v>
      </c>
      <c r="C548" s="1134">
        <v>3239.2469999999998</v>
      </c>
      <c r="D548" s="1134">
        <v>4592.8840000000027</v>
      </c>
      <c r="E548" s="1134">
        <v>3477.2509999999997</v>
      </c>
      <c r="F548" s="1134">
        <v>3936.1449999999995</v>
      </c>
      <c r="G548" s="1134"/>
      <c r="H548" s="1134"/>
      <c r="I548" s="1134"/>
      <c r="J548" s="1134"/>
      <c r="K548" s="1134"/>
      <c r="L548" s="1134"/>
      <c r="M548" s="1134"/>
      <c r="N548" s="1134"/>
      <c r="O548" s="622">
        <f t="shared" si="105"/>
        <v>15245.527000000002</v>
      </c>
    </row>
    <row r="549" spans="2:15" s="135" customFormat="1" x14ac:dyDescent="0.35">
      <c r="B549" s="502" t="s">
        <v>82</v>
      </c>
      <c r="C549" s="1134">
        <v>1386.94</v>
      </c>
      <c r="D549" s="1134">
        <v>20155.596999999991</v>
      </c>
      <c r="E549" s="1134">
        <v>1730.1309999999999</v>
      </c>
      <c r="F549" s="1134">
        <v>2045.7799999999991</v>
      </c>
      <c r="G549" s="1134"/>
      <c r="H549" s="1134"/>
      <c r="I549" s="1134"/>
      <c r="J549" s="1134"/>
      <c r="K549" s="1134"/>
      <c r="L549" s="1134"/>
      <c r="M549" s="1134"/>
      <c r="N549" s="1134"/>
      <c r="O549" s="622">
        <f t="shared" si="105"/>
        <v>25318.447999999989</v>
      </c>
    </row>
    <row r="550" spans="2:15" s="135" customFormat="1" x14ac:dyDescent="0.35">
      <c r="B550" s="502" t="s">
        <v>91</v>
      </c>
      <c r="C550" s="1135">
        <v>313853.55819200887</v>
      </c>
      <c r="D550" s="1135">
        <v>262978.90100399894</v>
      </c>
      <c r="E550" s="1135">
        <v>330689.06199999969</v>
      </c>
      <c r="F550" s="1135">
        <v>267213.7599900004</v>
      </c>
      <c r="G550" s="1135"/>
      <c r="H550" s="1135"/>
      <c r="I550" s="1135"/>
      <c r="J550" s="1135"/>
      <c r="K550" s="1135"/>
      <c r="L550" s="1135"/>
      <c r="M550" s="1135"/>
      <c r="N550" s="1135"/>
      <c r="O550" s="502">
        <f t="shared" si="105"/>
        <v>1174735.2811860079</v>
      </c>
    </row>
    <row r="551" spans="2:15" s="135" customFormat="1" x14ac:dyDescent="0.35">
      <c r="B551" s="503"/>
      <c r="C551" s="574"/>
      <c r="D551" s="574"/>
      <c r="E551" s="574"/>
      <c r="F551" s="574"/>
      <c r="G551" s="574"/>
      <c r="H551" s="574"/>
      <c r="I551" s="574"/>
      <c r="J551" s="574"/>
      <c r="K551" s="574"/>
      <c r="L551" s="574"/>
      <c r="M551" s="574"/>
      <c r="N551" s="574"/>
      <c r="O551" s="503"/>
    </row>
    <row r="552" spans="2:15" s="135" customFormat="1" x14ac:dyDescent="0.35">
      <c r="B552" s="1218" t="s">
        <v>56</v>
      </c>
      <c r="C552" s="594">
        <f>SUM(C554:C584)</f>
        <v>508649.78339999664</v>
      </c>
      <c r="D552" s="594">
        <f>SUM(D554:D584)</f>
        <v>512747.41104999959</v>
      </c>
      <c r="E552" s="594">
        <f>SUM(E554:E584)</f>
        <v>463939.11599999986</v>
      </c>
      <c r="F552" s="594">
        <f>SUM(F554:F584)</f>
        <v>502392.0129999998</v>
      </c>
      <c r="G552" s="594">
        <f t="shared" ref="G552:L552" si="106">SUM(G554:G584)</f>
        <v>0</v>
      </c>
      <c r="H552" s="594">
        <f t="shared" si="106"/>
        <v>0</v>
      </c>
      <c r="I552" s="594">
        <f t="shared" si="106"/>
        <v>0</v>
      </c>
      <c r="J552" s="594">
        <f t="shared" si="106"/>
        <v>0</v>
      </c>
      <c r="K552" s="594">
        <f t="shared" si="106"/>
        <v>0</v>
      </c>
      <c r="L552" s="594">
        <f t="shared" si="106"/>
        <v>0</v>
      </c>
      <c r="M552" s="594">
        <f>SUM(M554:M584)</f>
        <v>0</v>
      </c>
      <c r="N552" s="503">
        <f>SUM(N554:N584)</f>
        <v>0</v>
      </c>
      <c r="O552" s="620">
        <f>SUM(C552:N552)</f>
        <v>1987728.3234499958</v>
      </c>
    </row>
    <row r="553" spans="2:15" s="135" customFormat="1" x14ac:dyDescent="0.35">
      <c r="B553" s="503"/>
      <c r="C553" s="625"/>
      <c r="D553" s="621"/>
      <c r="E553" s="621"/>
      <c r="F553" s="621"/>
      <c r="G553" s="621"/>
      <c r="H553" s="621"/>
      <c r="I553" s="621"/>
      <c r="J553" s="621"/>
      <c r="K553" s="621"/>
      <c r="L553" s="621"/>
      <c r="M553" s="621"/>
      <c r="N553" s="621"/>
      <c r="O553" s="503"/>
    </row>
    <row r="554" spans="2:15" s="135" customFormat="1" x14ac:dyDescent="0.35">
      <c r="B554" s="502" t="s">
        <v>94</v>
      </c>
      <c r="C554" s="1134">
        <v>103893.10599999977</v>
      </c>
      <c r="D554" s="1134">
        <v>88988.934999999823</v>
      </c>
      <c r="E554" s="1134">
        <v>107070.19099999963</v>
      </c>
      <c r="F554" s="1134">
        <v>94497.774999999863</v>
      </c>
      <c r="G554" s="1134"/>
      <c r="H554" s="1134"/>
      <c r="I554" s="1134"/>
      <c r="J554" s="1134"/>
      <c r="K554" s="1134"/>
      <c r="L554" s="1134"/>
      <c r="M554" s="1134"/>
      <c r="N554" s="1134"/>
      <c r="O554" s="622">
        <f t="shared" ref="O554:O584" si="107">SUM(C554:N554)</f>
        <v>394450.00699999905</v>
      </c>
    </row>
    <row r="555" spans="2:15" s="135" customFormat="1" x14ac:dyDescent="0.35">
      <c r="B555" s="502" t="s">
        <v>472</v>
      </c>
      <c r="C555" s="1134">
        <v>109543.35</v>
      </c>
      <c r="D555" s="1134">
        <v>96607.959999999992</v>
      </c>
      <c r="E555" s="1134">
        <v>55000.92</v>
      </c>
      <c r="F555" s="1134">
        <v>51136.027000000002</v>
      </c>
      <c r="G555" s="1134"/>
      <c r="H555" s="1134"/>
      <c r="I555" s="1134"/>
      <c r="J555" s="1134"/>
      <c r="K555" s="1134"/>
      <c r="L555" s="1134"/>
      <c r="M555" s="1134"/>
      <c r="N555" s="1134"/>
      <c r="O555" s="622">
        <f t="shared" si="107"/>
        <v>312288.25699999998</v>
      </c>
    </row>
    <row r="556" spans="2:15" s="135" customFormat="1" x14ac:dyDescent="0.35">
      <c r="B556" s="628" t="s">
        <v>95</v>
      </c>
      <c r="C556" s="1134">
        <v>19468.429</v>
      </c>
      <c r="D556" s="1134">
        <v>13641.206000000002</v>
      </c>
      <c r="E556" s="1134">
        <v>10199.899000000001</v>
      </c>
      <c r="F556" s="1134">
        <v>57455.524000000027</v>
      </c>
      <c r="G556" s="1134"/>
      <c r="H556" s="1134"/>
      <c r="I556" s="1134"/>
      <c r="J556" s="1134"/>
      <c r="K556" s="1134"/>
      <c r="L556" s="1134"/>
      <c r="M556" s="1134"/>
      <c r="N556" s="1134"/>
      <c r="O556" s="622">
        <f t="shared" si="107"/>
        <v>100765.05800000002</v>
      </c>
    </row>
    <row r="557" spans="2:15" s="135" customFormat="1" x14ac:dyDescent="0.35">
      <c r="B557" s="502" t="s">
        <v>92</v>
      </c>
      <c r="C557" s="1134">
        <v>3</v>
      </c>
      <c r="D557" s="1134">
        <v>76430.152999999991</v>
      </c>
      <c r="E557" s="1134">
        <v>3173.5450000000001</v>
      </c>
      <c r="F557" s="1134">
        <v>58315.061000000009</v>
      </c>
      <c r="G557" s="1134"/>
      <c r="H557" s="1134"/>
      <c r="I557" s="1134"/>
      <c r="J557" s="1134"/>
      <c r="K557" s="1134"/>
      <c r="L557" s="1134"/>
      <c r="M557" s="1134"/>
      <c r="N557" s="1134"/>
      <c r="O557" s="622">
        <f t="shared" si="107"/>
        <v>137921.75899999999</v>
      </c>
    </row>
    <row r="558" spans="2:15" s="135" customFormat="1" x14ac:dyDescent="0.35">
      <c r="B558" s="502" t="s">
        <v>93</v>
      </c>
      <c r="C558" s="1134">
        <v>114700.73700000069</v>
      </c>
      <c r="D558" s="1134">
        <v>79787.988000000187</v>
      </c>
      <c r="E558" s="1134">
        <v>86494.602000000319</v>
      </c>
      <c r="F558" s="1134">
        <v>59064.361999999979</v>
      </c>
      <c r="G558" s="1134"/>
      <c r="H558" s="1134"/>
      <c r="I558" s="1134"/>
      <c r="J558" s="1134"/>
      <c r="K558" s="1134"/>
      <c r="L558" s="1134"/>
      <c r="M558" s="1134"/>
      <c r="N558" s="1134"/>
      <c r="O558" s="622">
        <f t="shared" si="107"/>
        <v>340047.68900000118</v>
      </c>
    </row>
    <row r="559" spans="2:15" s="135" customFormat="1" x14ac:dyDescent="0.35">
      <c r="B559" s="502" t="s">
        <v>96</v>
      </c>
      <c r="C559" s="1134">
        <v>29625.56100000014</v>
      </c>
      <c r="D559" s="1134">
        <v>28884.710000000156</v>
      </c>
      <c r="E559" s="1134">
        <v>35037.537000000208</v>
      </c>
      <c r="F559" s="1134">
        <v>35994.129000000008</v>
      </c>
      <c r="G559" s="1134"/>
      <c r="H559" s="1134"/>
      <c r="I559" s="1134"/>
      <c r="J559" s="1134"/>
      <c r="K559" s="1134"/>
      <c r="L559" s="1134"/>
      <c r="M559" s="1134"/>
      <c r="N559" s="1134"/>
      <c r="O559" s="622">
        <f t="shared" si="107"/>
        <v>129541.93700000053</v>
      </c>
    </row>
    <row r="560" spans="2:15" s="135" customFormat="1" x14ac:dyDescent="0.35">
      <c r="B560" s="628" t="s">
        <v>488</v>
      </c>
      <c r="C560" s="1134">
        <v>45403.847999999998</v>
      </c>
      <c r="D560" s="1134">
        <v>45082.559000000001</v>
      </c>
      <c r="E560" s="1134">
        <v>43281.330999999998</v>
      </c>
      <c r="F560" s="1134">
        <v>0</v>
      </c>
      <c r="G560" s="1134"/>
      <c r="H560" s="1134"/>
      <c r="I560" s="1134"/>
      <c r="J560" s="1134"/>
      <c r="K560" s="1134"/>
      <c r="L560" s="1134"/>
      <c r="M560" s="1134"/>
      <c r="N560" s="1134"/>
      <c r="O560" s="622">
        <f t="shared" si="107"/>
        <v>133767.73800000001</v>
      </c>
    </row>
    <row r="561" spans="2:15" s="135" customFormat="1" x14ac:dyDescent="0.35">
      <c r="B561" s="502" t="s">
        <v>97</v>
      </c>
      <c r="C561" s="1134">
        <v>25793.336999999941</v>
      </c>
      <c r="D561" s="1134">
        <v>23201.361999999928</v>
      </c>
      <c r="E561" s="1134">
        <v>31705.73499999987</v>
      </c>
      <c r="F561" s="1134">
        <v>24001.21399999992</v>
      </c>
      <c r="G561" s="1134"/>
      <c r="H561" s="1134"/>
      <c r="I561" s="1134"/>
      <c r="J561" s="1134"/>
      <c r="K561" s="1134"/>
      <c r="L561" s="1134"/>
      <c r="M561" s="1134"/>
      <c r="N561" s="1134"/>
      <c r="O561" s="622">
        <f t="shared" si="107"/>
        <v>104701.64799999967</v>
      </c>
    </row>
    <row r="562" spans="2:15" s="135" customFormat="1" x14ac:dyDescent="0.35">
      <c r="B562" s="502" t="s">
        <v>98</v>
      </c>
      <c r="C562" s="1134">
        <v>4403.41</v>
      </c>
      <c r="D562" s="1134">
        <v>13228.958999999993</v>
      </c>
      <c r="E562" s="1134">
        <v>16219.983999999997</v>
      </c>
      <c r="F562" s="1134">
        <v>19849.562000000005</v>
      </c>
      <c r="G562" s="1134"/>
      <c r="H562" s="1134"/>
      <c r="I562" s="1134"/>
      <c r="J562" s="1134"/>
      <c r="K562" s="1134"/>
      <c r="L562" s="1134"/>
      <c r="M562" s="1134"/>
      <c r="N562" s="1134"/>
      <c r="O562" s="622">
        <f t="shared" si="107"/>
        <v>53701.914999999994</v>
      </c>
    </row>
    <row r="563" spans="2:15" s="135" customFormat="1" x14ac:dyDescent="0.35">
      <c r="B563" s="502" t="s">
        <v>100</v>
      </c>
      <c r="C563" s="1134">
        <v>6277.0239999999967</v>
      </c>
      <c r="D563" s="1134">
        <v>8554.1579999999958</v>
      </c>
      <c r="E563" s="1134">
        <v>7795.2419999999956</v>
      </c>
      <c r="F563" s="1134">
        <v>7958.9059999999981</v>
      </c>
      <c r="G563" s="1134"/>
      <c r="H563" s="1134"/>
      <c r="I563" s="1134"/>
      <c r="J563" s="1134"/>
      <c r="K563" s="1134"/>
      <c r="L563" s="1134"/>
      <c r="M563" s="1134"/>
      <c r="N563" s="1134"/>
      <c r="O563" s="622">
        <f t="shared" si="107"/>
        <v>30585.329999999987</v>
      </c>
    </row>
    <row r="564" spans="2:15" s="135" customFormat="1" x14ac:dyDescent="0.35">
      <c r="B564" s="502" t="s">
        <v>101</v>
      </c>
      <c r="C564" s="1134">
        <v>2450.1089999999999</v>
      </c>
      <c r="D564" s="1134">
        <v>5049.0239999999994</v>
      </c>
      <c r="E564" s="1134">
        <v>4825.6959999999999</v>
      </c>
      <c r="F564" s="1134">
        <v>4050.4470000000001</v>
      </c>
      <c r="G564" s="1134"/>
      <c r="H564" s="1134"/>
      <c r="I564" s="1134"/>
      <c r="J564" s="1134"/>
      <c r="K564" s="1134"/>
      <c r="L564" s="1134"/>
      <c r="M564" s="1134"/>
      <c r="N564" s="1134"/>
      <c r="O564" s="622">
        <f t="shared" si="107"/>
        <v>16375.276</v>
      </c>
    </row>
    <row r="565" spans="2:15" s="135" customFormat="1" x14ac:dyDescent="0.35">
      <c r="B565" s="502" t="s">
        <v>77</v>
      </c>
      <c r="C565" s="1134">
        <v>13.628</v>
      </c>
      <c r="D565" s="1134">
        <v>120.733</v>
      </c>
      <c r="E565" s="1134">
        <v>355.17000000000007</v>
      </c>
      <c r="F565" s="1134">
        <v>25643.785999999644</v>
      </c>
      <c r="G565" s="1134"/>
      <c r="H565" s="1134"/>
      <c r="I565" s="1134"/>
      <c r="J565" s="1134"/>
      <c r="K565" s="1134"/>
      <c r="L565" s="1134"/>
      <c r="M565" s="1134"/>
      <c r="N565" s="1134"/>
      <c r="O565" s="622">
        <f t="shared" si="107"/>
        <v>26133.316999999643</v>
      </c>
    </row>
    <row r="566" spans="2:15" s="135" customFormat="1" x14ac:dyDescent="0.35">
      <c r="B566" s="502" t="s">
        <v>104</v>
      </c>
      <c r="C566" s="1134">
        <v>8996.26</v>
      </c>
      <c r="D566" s="1134">
        <v>565.6</v>
      </c>
      <c r="E566" s="1134">
        <v>9458.76</v>
      </c>
      <c r="F566" s="1134">
        <v>1882.64</v>
      </c>
      <c r="G566" s="1134"/>
      <c r="H566" s="1134"/>
      <c r="I566" s="1134"/>
      <c r="J566" s="1134"/>
      <c r="K566" s="1134"/>
      <c r="L566" s="1134"/>
      <c r="M566" s="1134"/>
      <c r="N566" s="1134"/>
      <c r="O566" s="622">
        <f t="shared" si="107"/>
        <v>20903.260000000002</v>
      </c>
    </row>
    <row r="567" spans="2:15" s="135" customFormat="1" x14ac:dyDescent="0.35">
      <c r="B567" s="502" t="s">
        <v>108</v>
      </c>
      <c r="C567" s="1134">
        <v>2936.2830000000004</v>
      </c>
      <c r="D567" s="1134">
        <v>3670.7319999999972</v>
      </c>
      <c r="E567" s="1134">
        <v>2973.7270000000008</v>
      </c>
      <c r="F567" s="1134">
        <v>3984.6600000000003</v>
      </c>
      <c r="G567" s="1134"/>
      <c r="H567" s="1134"/>
      <c r="I567" s="1134"/>
      <c r="J567" s="1134"/>
      <c r="K567" s="1134"/>
      <c r="L567" s="1134"/>
      <c r="M567" s="1134"/>
      <c r="N567" s="1134"/>
      <c r="O567" s="622">
        <f t="shared" si="107"/>
        <v>13565.401999999998</v>
      </c>
    </row>
    <row r="568" spans="2:15" s="135" customFormat="1" x14ac:dyDescent="0.35">
      <c r="B568" s="502" t="s">
        <v>76</v>
      </c>
      <c r="C568" s="1134">
        <v>0</v>
      </c>
      <c r="D568" s="1134">
        <v>214.69999999999996</v>
      </c>
      <c r="E568" s="1134">
        <v>347.54000000000008</v>
      </c>
      <c r="F568" s="1134">
        <v>85.32</v>
      </c>
      <c r="G568" s="1134"/>
      <c r="H568" s="1134"/>
      <c r="I568" s="1134"/>
      <c r="J568" s="1134"/>
      <c r="K568" s="1134"/>
      <c r="L568" s="1134"/>
      <c r="M568" s="1134"/>
      <c r="N568" s="1134"/>
      <c r="O568" s="622">
        <f t="shared" si="107"/>
        <v>647.55999999999995</v>
      </c>
    </row>
    <row r="569" spans="2:15" s="135" customFormat="1" x14ac:dyDescent="0.35">
      <c r="B569" s="502" t="s">
        <v>103</v>
      </c>
      <c r="C569" s="1134">
        <v>1002.747</v>
      </c>
      <c r="D569" s="1134">
        <v>1252.78</v>
      </c>
      <c r="E569" s="1134">
        <v>2443.7199999999998</v>
      </c>
      <c r="F569" s="1134">
        <v>2221.5000000000005</v>
      </c>
      <c r="G569" s="1134"/>
      <c r="H569" s="1134"/>
      <c r="I569" s="1134"/>
      <c r="J569" s="1134"/>
      <c r="K569" s="1134"/>
      <c r="L569" s="1134"/>
      <c r="M569" s="1134"/>
      <c r="N569" s="1134"/>
      <c r="O569" s="622">
        <f t="shared" si="107"/>
        <v>6920.7469999999994</v>
      </c>
    </row>
    <row r="570" spans="2:15" s="135" customFormat="1" x14ac:dyDescent="0.35">
      <c r="B570" s="502" t="s">
        <v>105</v>
      </c>
      <c r="C570" s="1134">
        <v>3256.672</v>
      </c>
      <c r="D570" s="1134">
        <v>2281.7199999999998</v>
      </c>
      <c r="E570" s="1134">
        <v>4478.7040000000052</v>
      </c>
      <c r="F570" s="1134">
        <v>4979.2850000000053</v>
      </c>
      <c r="G570" s="1134"/>
      <c r="H570" s="1134"/>
      <c r="I570" s="1134"/>
      <c r="J570" s="1134"/>
      <c r="K570" s="1134"/>
      <c r="L570" s="1134"/>
      <c r="M570" s="1134"/>
      <c r="N570" s="1134"/>
      <c r="O570" s="622">
        <f t="shared" si="107"/>
        <v>14996.38100000001</v>
      </c>
    </row>
    <row r="571" spans="2:15" s="135" customFormat="1" x14ac:dyDescent="0.35">
      <c r="B571" s="502" t="s">
        <v>106</v>
      </c>
      <c r="C571" s="1134">
        <v>987.11900000000003</v>
      </c>
      <c r="D571" s="1134">
        <v>1402.6080000000002</v>
      </c>
      <c r="E571" s="1134">
        <v>2151.0659999999998</v>
      </c>
      <c r="F571" s="1134">
        <v>1727.0549999999998</v>
      </c>
      <c r="G571" s="1134"/>
      <c r="H571" s="1134"/>
      <c r="I571" s="1134"/>
      <c r="J571" s="1134"/>
      <c r="K571" s="1134"/>
      <c r="L571" s="1134"/>
      <c r="M571" s="1134"/>
      <c r="N571" s="1134"/>
      <c r="O571" s="622">
        <f t="shared" si="107"/>
        <v>6267.848</v>
      </c>
    </row>
    <row r="572" spans="2:15" s="135" customFormat="1" x14ac:dyDescent="0.35">
      <c r="B572" s="502" t="s">
        <v>473</v>
      </c>
      <c r="C572" s="1134">
        <v>23.19</v>
      </c>
      <c r="D572" s="1134">
        <v>260.13</v>
      </c>
      <c r="E572" s="1134">
        <v>429.13</v>
      </c>
      <c r="F572" s="1134">
        <v>1135.1249999999998</v>
      </c>
      <c r="G572" s="1134"/>
      <c r="H572" s="1134"/>
      <c r="I572" s="1134"/>
      <c r="J572" s="1134"/>
      <c r="K572" s="1134"/>
      <c r="L572" s="1134"/>
      <c r="M572" s="1134"/>
      <c r="N572" s="1134"/>
      <c r="O572" s="622">
        <f t="shared" si="107"/>
        <v>1847.5749999999998</v>
      </c>
    </row>
    <row r="573" spans="2:15" s="135" customFormat="1" x14ac:dyDescent="0.35">
      <c r="B573" s="1220" t="s">
        <v>107</v>
      </c>
      <c r="C573" s="1134">
        <v>808.5809999999999</v>
      </c>
      <c r="D573" s="1134">
        <v>763.37599999999986</v>
      </c>
      <c r="E573" s="1134">
        <v>974.59200000000033</v>
      </c>
      <c r="F573" s="1134">
        <v>1018.474</v>
      </c>
      <c r="G573" s="1134"/>
      <c r="H573" s="1134"/>
      <c r="I573" s="1134"/>
      <c r="J573" s="1134"/>
      <c r="K573" s="1134"/>
      <c r="L573" s="1134"/>
      <c r="M573" s="1134"/>
      <c r="N573" s="1134"/>
      <c r="O573" s="622">
        <f t="shared" si="107"/>
        <v>3565.0230000000001</v>
      </c>
    </row>
    <row r="574" spans="2:15" s="135" customFormat="1" x14ac:dyDescent="0.35">
      <c r="B574" s="502" t="s">
        <v>152</v>
      </c>
      <c r="C574" s="1134">
        <v>0</v>
      </c>
      <c r="D574" s="1134">
        <v>480.39399999999995</v>
      </c>
      <c r="E574" s="1134">
        <v>1654.5680000000002</v>
      </c>
      <c r="F574" s="1134">
        <v>1649.175</v>
      </c>
      <c r="G574" s="1134"/>
      <c r="H574" s="1134"/>
      <c r="I574" s="1134"/>
      <c r="J574" s="1134"/>
      <c r="K574" s="1134"/>
      <c r="L574" s="1134"/>
      <c r="M574" s="1134"/>
      <c r="N574" s="1134"/>
      <c r="O574" s="622">
        <f t="shared" si="107"/>
        <v>3784.1369999999997</v>
      </c>
    </row>
    <row r="575" spans="2:15" s="135" customFormat="1" x14ac:dyDescent="0.35">
      <c r="B575" s="502" t="s">
        <v>109</v>
      </c>
      <c r="C575" s="1134">
        <v>718.71800000000007</v>
      </c>
      <c r="D575" s="1134">
        <v>875.69799999999987</v>
      </c>
      <c r="E575" s="1134">
        <v>1482.8879999999997</v>
      </c>
      <c r="F575" s="1134">
        <v>746.16499999999996</v>
      </c>
      <c r="G575" s="1134"/>
      <c r="H575" s="1134"/>
      <c r="I575" s="1134"/>
      <c r="J575" s="1134"/>
      <c r="K575" s="1134"/>
      <c r="L575" s="1134"/>
      <c r="M575" s="1134"/>
      <c r="N575" s="1134"/>
      <c r="O575" s="622">
        <f t="shared" si="107"/>
        <v>3823.4689999999996</v>
      </c>
    </row>
    <row r="576" spans="2:15" s="135" customFormat="1" x14ac:dyDescent="0.35">
      <c r="B576" s="502" t="s">
        <v>99</v>
      </c>
      <c r="C576" s="1134">
        <v>232.58600000000001</v>
      </c>
      <c r="D576" s="1134">
        <v>126</v>
      </c>
      <c r="E576" s="1134">
        <v>1146.2269999999999</v>
      </c>
      <c r="F576" s="1134">
        <v>807.36099999999999</v>
      </c>
      <c r="G576" s="1134"/>
      <c r="H576" s="1134"/>
      <c r="I576" s="1134"/>
      <c r="J576" s="1134"/>
      <c r="K576" s="1134"/>
      <c r="L576" s="1134"/>
      <c r="M576" s="1134"/>
      <c r="N576" s="1134"/>
      <c r="O576" s="622">
        <f t="shared" si="107"/>
        <v>2312.174</v>
      </c>
    </row>
    <row r="577" spans="2:15" s="135" customFormat="1" x14ac:dyDescent="0.35">
      <c r="B577" s="502" t="s">
        <v>262</v>
      </c>
      <c r="C577" s="1134">
        <v>2055.83</v>
      </c>
      <c r="D577" s="1134">
        <v>105.9</v>
      </c>
      <c r="E577" s="1134">
        <v>1188.4900000000002</v>
      </c>
      <c r="F577" s="1134">
        <v>611.20999999999992</v>
      </c>
      <c r="G577" s="1134"/>
      <c r="H577" s="1134"/>
      <c r="I577" s="1134"/>
      <c r="J577" s="1134"/>
      <c r="K577" s="1134"/>
      <c r="L577" s="1134"/>
      <c r="M577" s="1134"/>
      <c r="N577" s="1134"/>
      <c r="O577" s="622">
        <f t="shared" si="107"/>
        <v>3961.4300000000003</v>
      </c>
    </row>
    <row r="578" spans="2:15" s="135" customFormat="1" x14ac:dyDescent="0.35">
      <c r="B578" s="502" t="s">
        <v>112</v>
      </c>
      <c r="C578" s="1134">
        <v>518.04899999999986</v>
      </c>
      <c r="D578" s="1134">
        <v>361.7399999999999</v>
      </c>
      <c r="E578" s="1134">
        <v>1458.9519999999995</v>
      </c>
      <c r="F578" s="1134">
        <v>771.71199999999965</v>
      </c>
      <c r="G578" s="1134"/>
      <c r="H578" s="1134"/>
      <c r="I578" s="1134"/>
      <c r="J578" s="1134"/>
      <c r="K578" s="1134"/>
      <c r="L578" s="1134"/>
      <c r="M578" s="1134"/>
      <c r="N578" s="1134"/>
      <c r="O578" s="622">
        <f t="shared" si="107"/>
        <v>3110.4529999999986</v>
      </c>
    </row>
    <row r="579" spans="2:15" s="135" customFormat="1" x14ac:dyDescent="0.35">
      <c r="B579" s="502" t="s">
        <v>73</v>
      </c>
      <c r="C579" s="1134">
        <v>235.61300000000003</v>
      </c>
      <c r="D579" s="1134">
        <v>416.98700000000002</v>
      </c>
      <c r="E579" s="1134">
        <v>374.79100000000005</v>
      </c>
      <c r="F579" s="1134">
        <v>631.95100000000025</v>
      </c>
      <c r="G579" s="1134"/>
      <c r="H579" s="1134"/>
      <c r="I579" s="1134"/>
      <c r="J579" s="1134"/>
      <c r="K579" s="1134"/>
      <c r="L579" s="1134"/>
      <c r="M579" s="1134"/>
      <c r="N579" s="1134"/>
      <c r="O579" s="622">
        <f t="shared" si="107"/>
        <v>1659.3420000000003</v>
      </c>
    </row>
    <row r="580" spans="2:15" s="135" customFormat="1" x14ac:dyDescent="0.35">
      <c r="B580" s="502" t="s">
        <v>114</v>
      </c>
      <c r="C580" s="1134">
        <v>725.30799999999999</v>
      </c>
      <c r="D580" s="1134">
        <v>328.6</v>
      </c>
      <c r="E580" s="1134">
        <v>538.202</v>
      </c>
      <c r="F580" s="1134">
        <v>676.58399999999983</v>
      </c>
      <c r="G580" s="1134"/>
      <c r="H580" s="1134"/>
      <c r="I580" s="1134"/>
      <c r="J580" s="1134"/>
      <c r="K580" s="1134"/>
      <c r="L580" s="1134"/>
      <c r="M580" s="1134"/>
      <c r="N580" s="1134"/>
      <c r="O580" s="622">
        <f t="shared" si="107"/>
        <v>2268.6939999999995</v>
      </c>
    </row>
    <row r="581" spans="2:15" s="135" customFormat="1" x14ac:dyDescent="0.35">
      <c r="B581" s="502" t="s">
        <v>110</v>
      </c>
      <c r="C581" s="1134">
        <v>426.84999999999997</v>
      </c>
      <c r="D581" s="1134">
        <v>784.25099999999975</v>
      </c>
      <c r="E581" s="1134">
        <v>802.94499999999994</v>
      </c>
      <c r="F581" s="1134">
        <v>451.63000000000005</v>
      </c>
      <c r="G581" s="1134"/>
      <c r="H581" s="1134"/>
      <c r="I581" s="1134"/>
      <c r="J581" s="1134"/>
      <c r="K581" s="1134"/>
      <c r="L581" s="1134"/>
      <c r="M581" s="1134"/>
      <c r="N581" s="1134"/>
      <c r="O581" s="622">
        <f t="shared" si="107"/>
        <v>2465.6759999999995</v>
      </c>
    </row>
    <row r="582" spans="2:15" s="135" customFormat="1" x14ac:dyDescent="0.35">
      <c r="B582" s="502" t="s">
        <v>111</v>
      </c>
      <c r="C582" s="1134">
        <v>633.97700000000009</v>
      </c>
      <c r="D582" s="1134">
        <v>232.28</v>
      </c>
      <c r="E582" s="1134">
        <v>600.34299999999996</v>
      </c>
      <c r="F582" s="1134">
        <v>698.90499999999997</v>
      </c>
      <c r="G582" s="1134"/>
      <c r="H582" s="1134"/>
      <c r="I582" s="1134"/>
      <c r="J582" s="1134"/>
      <c r="K582" s="1134"/>
      <c r="L582" s="1134"/>
      <c r="M582" s="1134"/>
      <c r="N582" s="1134"/>
      <c r="O582" s="622">
        <f t="shared" si="107"/>
        <v>2165.5050000000001</v>
      </c>
    </row>
    <row r="583" spans="2:15" s="135" customFormat="1" x14ac:dyDescent="0.35">
      <c r="B583" s="502" t="s">
        <v>102</v>
      </c>
      <c r="C583" s="1134">
        <v>3754.9850000000001</v>
      </c>
      <c r="D583" s="1134">
        <v>0</v>
      </c>
      <c r="E583" s="1134">
        <v>6420.2659999999996</v>
      </c>
      <c r="F583" s="1134">
        <v>2248.6179999999999</v>
      </c>
      <c r="G583" s="1134"/>
      <c r="H583" s="1134"/>
      <c r="I583" s="1134"/>
      <c r="J583" s="1134"/>
      <c r="K583" s="1134"/>
      <c r="L583" s="1134"/>
      <c r="M583" s="1134"/>
      <c r="N583" s="1134"/>
      <c r="O583" s="622">
        <f t="shared" si="107"/>
        <v>12423.869000000001</v>
      </c>
    </row>
    <row r="584" spans="2:15" s="135" customFormat="1" x14ac:dyDescent="0.35">
      <c r="B584" s="502" t="s">
        <v>91</v>
      </c>
      <c r="C584" s="1134">
        <v>19761.476399996085</v>
      </c>
      <c r="D584" s="1134">
        <v>19046.168049999571</v>
      </c>
      <c r="E584" s="1134">
        <v>23854.352999999886</v>
      </c>
      <c r="F584" s="1134">
        <v>38097.850000000326</v>
      </c>
      <c r="G584" s="1134"/>
      <c r="H584" s="1134"/>
      <c r="I584" s="1134"/>
      <c r="J584" s="1134"/>
      <c r="K584" s="1134"/>
      <c r="L584" s="1134"/>
      <c r="M584" s="1134"/>
      <c r="N584" s="1134"/>
      <c r="O584" s="502">
        <f t="shared" si="107"/>
        <v>100759.84744999587</v>
      </c>
    </row>
    <row r="585" spans="2:15" s="135" customFormat="1" x14ac:dyDescent="0.35">
      <c r="B585" s="502"/>
      <c r="C585" s="625"/>
      <c r="D585" s="625"/>
      <c r="E585" s="625"/>
      <c r="F585" s="625"/>
      <c r="G585" s="625"/>
      <c r="H585" s="625"/>
      <c r="I585" s="625"/>
      <c r="J585" s="626"/>
      <c r="K585" s="626"/>
      <c r="L585" s="626"/>
      <c r="M585" s="626"/>
      <c r="N585" s="626"/>
      <c r="O585" s="503"/>
    </row>
    <row r="586" spans="2:15" s="135" customFormat="1" x14ac:dyDescent="0.35">
      <c r="B586" s="432" t="s">
        <v>36</v>
      </c>
      <c r="C586" s="1222">
        <f>+C552+C518</f>
        <v>2178139.8587990059</v>
      </c>
      <c r="D586" s="1222">
        <f>+D552+D518</f>
        <v>2168184.8234489989</v>
      </c>
      <c r="E586" s="1222">
        <f>+E552+E518</f>
        <v>2474177.9346400006</v>
      </c>
      <c r="F586" s="1222">
        <f>+F552+F518</f>
        <v>2297085.6249899985</v>
      </c>
      <c r="G586" s="1222">
        <f t="shared" ref="G586:L586" si="108">+G552+G518</f>
        <v>0</v>
      </c>
      <c r="H586" s="1222">
        <f t="shared" si="108"/>
        <v>0</v>
      </c>
      <c r="I586" s="1222">
        <f t="shared" si="108"/>
        <v>0</v>
      </c>
      <c r="J586" s="1222">
        <f t="shared" si="108"/>
        <v>0</v>
      </c>
      <c r="K586" s="1222">
        <f t="shared" si="108"/>
        <v>0</v>
      </c>
      <c r="L586" s="1222">
        <f t="shared" si="108"/>
        <v>0</v>
      </c>
      <c r="M586" s="1222">
        <f>+M552+M518</f>
        <v>0</v>
      </c>
      <c r="N586" s="1222">
        <f>+N552+N518</f>
        <v>0</v>
      </c>
      <c r="O586" s="1224">
        <f>SUM(C586:N586)</f>
        <v>9117588.2418780029</v>
      </c>
    </row>
    <row r="587" spans="2:15" s="3" customFormat="1" x14ac:dyDescent="0.35">
      <c r="B587" s="188"/>
      <c r="C587" s="182"/>
      <c r="D587" s="182"/>
      <c r="E587" s="182"/>
      <c r="F587" s="182"/>
      <c r="G587" s="183"/>
      <c r="H587" s="183"/>
      <c r="I587" s="183"/>
      <c r="J587" s="183"/>
      <c r="K587" s="183"/>
      <c r="L587" s="183"/>
      <c r="M587" s="183"/>
      <c r="N587" s="183"/>
      <c r="O587" s="1225"/>
    </row>
    <row r="588" spans="2:15" s="3" customFormat="1" x14ac:dyDescent="0.35">
      <c r="B588" s="1075" t="s">
        <v>223</v>
      </c>
      <c r="C588" s="1075"/>
      <c r="D588" s="1075"/>
      <c r="E588" s="1075"/>
      <c r="F588" s="1075"/>
      <c r="G588" s="1075"/>
      <c r="H588" s="1075"/>
      <c r="I588" s="1075"/>
      <c r="J588" s="1075"/>
      <c r="K588" s="1075"/>
      <c r="L588" s="1075"/>
      <c r="M588" s="1075"/>
      <c r="N588" s="1075"/>
      <c r="O588" s="1075"/>
    </row>
    <row r="589" spans="2:15" s="3" customFormat="1" x14ac:dyDescent="0.35">
      <c r="B589" s="105"/>
      <c r="C589" s="106"/>
      <c r="D589" s="106"/>
      <c r="E589" s="106"/>
      <c r="F589" s="106"/>
      <c r="G589" s="106"/>
      <c r="H589" s="106"/>
      <c r="I589" s="106"/>
      <c r="J589" s="106"/>
      <c r="K589" s="106"/>
      <c r="L589" s="106"/>
      <c r="M589" s="106"/>
      <c r="N589" s="106"/>
      <c r="O589" s="11"/>
    </row>
    <row r="590" spans="2:15" s="3" customFormat="1" x14ac:dyDescent="0.35">
      <c r="B590" s="1069" t="s">
        <v>527</v>
      </c>
      <c r="C590" s="1069"/>
      <c r="D590" s="1069"/>
      <c r="E590" s="1069"/>
      <c r="F590" s="1069"/>
      <c r="G590" s="1069"/>
      <c r="H590" s="1069"/>
      <c r="I590" s="1069"/>
      <c r="J590" s="1069"/>
      <c r="K590" s="1069"/>
      <c r="L590" s="1069"/>
      <c r="M590" s="1069"/>
      <c r="N590" s="1069"/>
      <c r="O590" s="1069"/>
    </row>
    <row r="591" spans="2:15" s="3" customFormat="1" x14ac:dyDescent="0.35">
      <c r="B591" s="190"/>
      <c r="C591" s="191"/>
      <c r="D591" s="191"/>
      <c r="E591" s="191"/>
      <c r="F591" s="191"/>
      <c r="G591" s="191"/>
      <c r="H591" s="191"/>
      <c r="I591" s="191"/>
      <c r="J591" s="191"/>
      <c r="K591" s="191"/>
      <c r="L591" s="191"/>
      <c r="M591" s="191"/>
      <c r="N591" s="191"/>
      <c r="O591" s="192"/>
    </row>
    <row r="592" spans="2:15" s="3" customFormat="1" ht="15" customHeight="1" x14ac:dyDescent="0.35">
      <c r="B592" s="1077" t="s">
        <v>13</v>
      </c>
      <c r="C592" s="1112" t="s">
        <v>0</v>
      </c>
      <c r="D592" s="1112" t="s">
        <v>1</v>
      </c>
      <c r="E592" s="1112" t="s">
        <v>2</v>
      </c>
      <c r="F592" s="1112" t="s">
        <v>3</v>
      </c>
      <c r="G592" s="1112" t="s">
        <v>4</v>
      </c>
      <c r="H592" s="1112" t="s">
        <v>5</v>
      </c>
      <c r="I592" s="1112" t="s">
        <v>6</v>
      </c>
      <c r="J592" s="1112" t="s">
        <v>7</v>
      </c>
      <c r="K592" s="1112" t="s">
        <v>8</v>
      </c>
      <c r="L592" s="1112" t="s">
        <v>9</v>
      </c>
      <c r="M592" s="1112" t="s">
        <v>10</v>
      </c>
      <c r="N592" s="1112" t="s">
        <v>14</v>
      </c>
      <c r="O592" s="1077" t="s">
        <v>15</v>
      </c>
    </row>
    <row r="593" spans="2:15" s="3" customFormat="1" ht="15" customHeight="1" x14ac:dyDescent="0.35">
      <c r="B593" s="1088"/>
      <c r="C593" s="1145"/>
      <c r="D593" s="1145"/>
      <c r="E593" s="1145"/>
      <c r="F593" s="1145"/>
      <c r="G593" s="1145"/>
      <c r="H593" s="1145"/>
      <c r="I593" s="1145"/>
      <c r="J593" s="1145"/>
      <c r="K593" s="1145"/>
      <c r="L593" s="1145"/>
      <c r="M593" s="1145"/>
      <c r="N593" s="1145"/>
      <c r="O593" s="1088"/>
    </row>
    <row r="594" spans="2:15" s="3" customFormat="1" x14ac:dyDescent="0.35">
      <c r="B594" s="193"/>
      <c r="C594" s="558"/>
      <c r="D594" s="1137"/>
      <c r="E594" s="1137"/>
      <c r="F594" s="1137"/>
      <c r="G594" s="1137"/>
      <c r="H594" s="1137"/>
      <c r="I594" s="1137"/>
      <c r="J594" s="1137"/>
      <c r="K594" s="1137"/>
      <c r="L594" s="1137"/>
      <c r="M594" s="1137"/>
      <c r="N594" s="1137"/>
      <c r="O594" s="1227"/>
    </row>
    <row r="595" spans="2:15" s="3" customFormat="1" x14ac:dyDescent="0.35">
      <c r="B595" s="439" t="s">
        <v>120</v>
      </c>
      <c r="C595" s="440">
        <f>SUM(C597:C599)</f>
        <v>620359.69424100011</v>
      </c>
      <c r="D595" s="440">
        <f>SUM(D597:D599)</f>
        <v>538237.63383999991</v>
      </c>
      <c r="E595" s="440">
        <f>SUM(E597:E599)</f>
        <v>565661.03100000008</v>
      </c>
      <c r="F595" s="440">
        <f>SUM(F597:F599)</f>
        <v>690930.23699999996</v>
      </c>
      <c r="G595" s="440">
        <f t="shared" ref="G595:L595" si="109">SUM(G597:G599)</f>
        <v>0</v>
      </c>
      <c r="H595" s="440">
        <f t="shared" si="109"/>
        <v>0</v>
      </c>
      <c r="I595" s="440">
        <f t="shared" si="109"/>
        <v>0</v>
      </c>
      <c r="J595" s="440">
        <f t="shared" si="109"/>
        <v>0</v>
      </c>
      <c r="K595" s="440">
        <f t="shared" si="109"/>
        <v>0</v>
      </c>
      <c r="L595" s="440">
        <f t="shared" si="109"/>
        <v>0</v>
      </c>
      <c r="M595" s="440">
        <f>SUM(M597:M599)</f>
        <v>0</v>
      </c>
      <c r="N595" s="440">
        <f>SUM(N597:N599)</f>
        <v>0</v>
      </c>
      <c r="O595" s="503">
        <f>SUM(C595:N595)</f>
        <v>2415188.5960809998</v>
      </c>
    </row>
    <row r="596" spans="2:15" s="3" customFormat="1" x14ac:dyDescent="0.35">
      <c r="B596" s="439"/>
      <c r="C596" s="440"/>
      <c r="D596" s="440"/>
      <c r="E596" s="440"/>
      <c r="F596" s="440"/>
      <c r="G596" s="440"/>
      <c r="H596" s="440"/>
      <c r="I596" s="440"/>
      <c r="J596" s="440"/>
      <c r="K596" s="440"/>
      <c r="L596" s="440"/>
      <c r="M596" s="440"/>
      <c r="N596" s="440"/>
      <c r="O596" s="503"/>
    </row>
    <row r="597" spans="2:15" s="3" customFormat="1" x14ac:dyDescent="0.35">
      <c r="B597" s="1228" t="s">
        <v>121</v>
      </c>
      <c r="C597" s="1138">
        <v>249486.69</v>
      </c>
      <c r="D597" s="1138">
        <v>136608.098</v>
      </c>
      <c r="E597" s="1138">
        <v>130183.60400000001</v>
      </c>
      <c r="F597" s="1138">
        <v>244832.41500000001</v>
      </c>
      <c r="G597" s="1138"/>
      <c r="H597" s="1138"/>
      <c r="I597" s="1138"/>
      <c r="J597" s="1138"/>
      <c r="K597" s="1138"/>
      <c r="L597" s="1138"/>
      <c r="M597" s="1138"/>
      <c r="N597" s="1138"/>
      <c r="O597" s="502">
        <f>SUM(C597:N597)</f>
        <v>761110.80700000003</v>
      </c>
    </row>
    <row r="598" spans="2:15" s="3" customFormat="1" x14ac:dyDescent="0.35">
      <c r="B598" s="1228" t="s">
        <v>122</v>
      </c>
      <c r="C598" s="1138">
        <v>262640.59100000001</v>
      </c>
      <c r="D598" s="1138">
        <v>305944.67099999997</v>
      </c>
      <c r="E598" s="1138">
        <v>305039.26500000001</v>
      </c>
      <c r="F598" s="1138">
        <v>344637.65400000004</v>
      </c>
      <c r="G598" s="1138"/>
      <c r="H598" s="1138"/>
      <c r="I598" s="1138"/>
      <c r="J598" s="1138"/>
      <c r="K598" s="1138"/>
      <c r="L598" s="1138"/>
      <c r="M598" s="1138"/>
      <c r="N598" s="1138"/>
      <c r="O598" s="502">
        <f>SUM(C598:N598)</f>
        <v>1218262.1810000001</v>
      </c>
    </row>
    <row r="599" spans="2:15" s="3" customFormat="1" x14ac:dyDescent="0.35">
      <c r="B599" s="1228" t="s">
        <v>123</v>
      </c>
      <c r="C599" s="441">
        <f>SUM(C600:C601)</f>
        <v>108232.41324100012</v>
      </c>
      <c r="D599" s="441">
        <f>SUM(D600:D601)</f>
        <v>95684.864839999922</v>
      </c>
      <c r="E599" s="441">
        <f>SUM(E600:E601)</f>
        <v>130438.16200000007</v>
      </c>
      <c r="F599" s="441">
        <f>SUM(F600:F601)</f>
        <v>101460.1679999999</v>
      </c>
      <c r="G599" s="441">
        <f t="shared" ref="G599:L599" si="110">SUM(G600:G601)</f>
        <v>0</v>
      </c>
      <c r="H599" s="441">
        <f t="shared" si="110"/>
        <v>0</v>
      </c>
      <c r="I599" s="441">
        <f t="shared" si="110"/>
        <v>0</v>
      </c>
      <c r="J599" s="441">
        <f t="shared" si="110"/>
        <v>0</v>
      </c>
      <c r="K599" s="441">
        <f t="shared" si="110"/>
        <v>0</v>
      </c>
      <c r="L599" s="441">
        <f t="shared" si="110"/>
        <v>0</v>
      </c>
      <c r="M599" s="441">
        <f>SUM(M600:M601)</f>
        <v>0</v>
      </c>
      <c r="N599" s="441">
        <f>SUM(N600:N601)</f>
        <v>0</v>
      </c>
      <c r="O599" s="502">
        <f>SUM(C599:N599)</f>
        <v>435815.60808099998</v>
      </c>
    </row>
    <row r="600" spans="2:15" s="3" customFormat="1" x14ac:dyDescent="0.35">
      <c r="B600" s="1229" t="s">
        <v>124</v>
      </c>
      <c r="C600" s="1139">
        <v>0</v>
      </c>
      <c r="D600" s="1139">
        <v>0</v>
      </c>
      <c r="E600" s="1139">
        <v>0</v>
      </c>
      <c r="F600" s="1139">
        <v>0</v>
      </c>
      <c r="G600" s="1139"/>
      <c r="H600" s="1139"/>
      <c r="I600" s="1139"/>
      <c r="J600" s="1139"/>
      <c r="K600" s="1139"/>
      <c r="L600" s="1139"/>
      <c r="M600" s="1139"/>
      <c r="N600" s="1139"/>
      <c r="O600" s="502">
        <f>SUM(C600:N600)</f>
        <v>0</v>
      </c>
    </row>
    <row r="601" spans="2:15" s="3" customFormat="1" x14ac:dyDescent="0.35">
      <c r="B601" s="1229" t="s">
        <v>125</v>
      </c>
      <c r="C601" s="1139">
        <v>108232.41324100012</v>
      </c>
      <c r="D601" s="1139">
        <v>95684.864839999922</v>
      </c>
      <c r="E601" s="1139">
        <v>130438.16200000007</v>
      </c>
      <c r="F601" s="1139">
        <v>101460.1679999999</v>
      </c>
      <c r="G601" s="1139"/>
      <c r="H601" s="1139"/>
      <c r="I601" s="1139"/>
      <c r="J601" s="1139"/>
      <c r="K601" s="1139"/>
      <c r="L601" s="1139"/>
      <c r="M601" s="1139"/>
      <c r="N601" s="1139"/>
      <c r="O601" s="502">
        <f>SUM(C601:N601)</f>
        <v>435815.60808099998</v>
      </c>
    </row>
    <row r="602" spans="2:15" s="3" customFormat="1" x14ac:dyDescent="0.35">
      <c r="B602" s="1230"/>
      <c r="C602" s="1152"/>
      <c r="D602" s="1140"/>
      <c r="E602" s="1140"/>
      <c r="F602" s="1140"/>
      <c r="G602" s="1140"/>
      <c r="H602" s="1140"/>
      <c r="I602" s="1140"/>
      <c r="J602" s="1140"/>
      <c r="K602" s="1140"/>
      <c r="L602" s="1231"/>
      <c r="M602" s="1232"/>
      <c r="N602" s="1140"/>
      <c r="O602" s="1233"/>
    </row>
    <row r="603" spans="2:15" s="3" customFormat="1" x14ac:dyDescent="0.35">
      <c r="B603" s="439" t="s">
        <v>126</v>
      </c>
      <c r="C603" s="1141">
        <f>C605+C607+C608</f>
        <v>448697.95699999994</v>
      </c>
      <c r="D603" s="1141">
        <f>D605+D607+D608</f>
        <v>284029.36499999999</v>
      </c>
      <c r="E603" s="1141">
        <f>E605+E607+E608</f>
        <v>232469.658</v>
      </c>
      <c r="F603" s="1141">
        <f>F605+F607+F608</f>
        <v>290201.364</v>
      </c>
      <c r="G603" s="1141">
        <f t="shared" ref="G603:L603" si="111">G605+G607+G608</f>
        <v>0</v>
      </c>
      <c r="H603" s="1141">
        <f t="shared" si="111"/>
        <v>0</v>
      </c>
      <c r="I603" s="1141">
        <f t="shared" si="111"/>
        <v>0</v>
      </c>
      <c r="J603" s="1141">
        <f t="shared" si="111"/>
        <v>0</v>
      </c>
      <c r="K603" s="1141">
        <f t="shared" si="111"/>
        <v>0</v>
      </c>
      <c r="L603" s="1141">
        <f t="shared" si="111"/>
        <v>0</v>
      </c>
      <c r="M603" s="1141">
        <f>M605+M607+M608</f>
        <v>0</v>
      </c>
      <c r="N603" s="1141">
        <f>N605+N607+N608</f>
        <v>0</v>
      </c>
      <c r="O603" s="503">
        <f>SUM(C603:N603)</f>
        <v>1255398.344</v>
      </c>
    </row>
    <row r="604" spans="2:15" s="3" customFormat="1" x14ac:dyDescent="0.35">
      <c r="B604" s="439"/>
      <c r="C604" s="1141"/>
      <c r="D604" s="1141"/>
      <c r="E604" s="1141"/>
      <c r="F604" s="1141"/>
      <c r="G604" s="1141"/>
      <c r="H604" s="1141"/>
      <c r="I604" s="1141"/>
      <c r="J604" s="1141"/>
      <c r="K604" s="1141"/>
      <c r="L604" s="1141"/>
      <c r="M604" s="1141"/>
      <c r="N604" s="1141"/>
      <c r="O604" s="503"/>
    </row>
    <row r="605" spans="2:15" s="3" customFormat="1" x14ac:dyDescent="0.35">
      <c r="B605" s="442" t="s">
        <v>127</v>
      </c>
      <c r="C605" s="1138">
        <v>312902.17599999998</v>
      </c>
      <c r="D605" s="1138">
        <v>190256.21600000001</v>
      </c>
      <c r="E605" s="1138">
        <v>191309.78700000001</v>
      </c>
      <c r="F605" s="1138">
        <v>190929.008</v>
      </c>
      <c r="G605" s="1234"/>
      <c r="H605" s="1234"/>
      <c r="I605" s="1234"/>
      <c r="J605" s="1234"/>
      <c r="K605" s="1234"/>
      <c r="L605" s="1138"/>
      <c r="M605" s="1138"/>
      <c r="N605" s="1234"/>
      <c r="O605" s="1184">
        <f t="shared" ref="O605:O610" si="112">SUM(C605:N605)</f>
        <v>885397.18700000003</v>
      </c>
    </row>
    <row r="606" spans="2:15" s="3" customFormat="1" x14ac:dyDescent="0.35">
      <c r="B606" s="1235" t="s">
        <v>128</v>
      </c>
      <c r="C606" s="443">
        <f>+C605</f>
        <v>312902.17599999998</v>
      </c>
      <c r="D606" s="1142">
        <f>+D605</f>
        <v>190256.21600000001</v>
      </c>
      <c r="E606" s="1142">
        <f>+E605</f>
        <v>191309.78700000001</v>
      </c>
      <c r="F606" s="1142">
        <f>+F605</f>
        <v>190929.008</v>
      </c>
      <c r="G606" s="1142">
        <f t="shared" ref="G606:L606" si="113">+G605</f>
        <v>0</v>
      </c>
      <c r="H606" s="1142">
        <f t="shared" si="113"/>
        <v>0</v>
      </c>
      <c r="I606" s="1142">
        <f t="shared" si="113"/>
        <v>0</v>
      </c>
      <c r="J606" s="1142">
        <f t="shared" si="113"/>
        <v>0</v>
      </c>
      <c r="K606" s="1142">
        <f t="shared" si="113"/>
        <v>0</v>
      </c>
      <c r="L606" s="1142">
        <f t="shared" si="113"/>
        <v>0</v>
      </c>
      <c r="M606" s="1142">
        <f>+M605</f>
        <v>0</v>
      </c>
      <c r="N606" s="444">
        <f>+N605</f>
        <v>0</v>
      </c>
      <c r="O606" s="1184">
        <f t="shared" si="112"/>
        <v>885397.18700000003</v>
      </c>
    </row>
    <row r="607" spans="2:15" s="3" customFormat="1" x14ac:dyDescent="0.35">
      <c r="B607" s="1228" t="s">
        <v>122</v>
      </c>
      <c r="C607" s="1138">
        <v>0</v>
      </c>
      <c r="D607" s="1138">
        <v>0</v>
      </c>
      <c r="E607" s="1138">
        <v>0</v>
      </c>
      <c r="F607" s="1138">
        <v>0</v>
      </c>
      <c r="G607" s="1138"/>
      <c r="H607" s="1138"/>
      <c r="I607" s="1138"/>
      <c r="J607" s="1138"/>
      <c r="K607" s="1138"/>
      <c r="L607" s="1138"/>
      <c r="M607" s="1138"/>
      <c r="N607" s="1138"/>
      <c r="O607" s="502">
        <f t="shared" si="112"/>
        <v>0</v>
      </c>
    </row>
    <row r="608" spans="2:15" s="3" customFormat="1" x14ac:dyDescent="0.35">
      <c r="B608" s="1228" t="s">
        <v>123</v>
      </c>
      <c r="C608" s="441">
        <f>SUM(C609:C610)</f>
        <v>135795.78099999999</v>
      </c>
      <c r="D608" s="441">
        <f>SUM(D609:D610)</f>
        <v>93773.149000000005</v>
      </c>
      <c r="E608" s="441">
        <f t="shared" ref="E608:M608" si="114">SUM(E609:E610)</f>
        <v>41159.870999999999</v>
      </c>
      <c r="F608" s="441">
        <f t="shared" si="114"/>
        <v>99272.356</v>
      </c>
      <c r="G608" s="441">
        <f t="shared" si="114"/>
        <v>0</v>
      </c>
      <c r="H608" s="441">
        <f t="shared" si="114"/>
        <v>0</v>
      </c>
      <c r="I608" s="441">
        <f t="shared" si="114"/>
        <v>0</v>
      </c>
      <c r="J608" s="441">
        <f t="shared" si="114"/>
        <v>0</v>
      </c>
      <c r="K608" s="441">
        <f t="shared" si="114"/>
        <v>0</v>
      </c>
      <c r="L608" s="441">
        <f t="shared" si="114"/>
        <v>0</v>
      </c>
      <c r="M608" s="441">
        <f t="shared" si="114"/>
        <v>0</v>
      </c>
      <c r="N608" s="441">
        <f>SUM(N609:N610)</f>
        <v>0</v>
      </c>
      <c r="O608" s="502">
        <f t="shared" si="112"/>
        <v>370001.15700000001</v>
      </c>
    </row>
    <row r="609" spans="2:15" s="3" customFormat="1" x14ac:dyDescent="0.35">
      <c r="B609" s="1229" t="s">
        <v>124</v>
      </c>
      <c r="C609" s="1139">
        <v>126374.75499999999</v>
      </c>
      <c r="D609" s="1139">
        <v>93739.691000000006</v>
      </c>
      <c r="E609" s="1139">
        <v>36661.413</v>
      </c>
      <c r="F609" s="1139">
        <v>94204.319999999992</v>
      </c>
      <c r="G609" s="1139"/>
      <c r="H609" s="1139"/>
      <c r="I609" s="1139"/>
      <c r="J609" s="1139"/>
      <c r="K609" s="1139"/>
      <c r="L609" s="1139"/>
      <c r="M609" s="1139"/>
      <c r="N609" s="1139"/>
      <c r="O609" s="502">
        <f t="shared" si="112"/>
        <v>350980.179</v>
      </c>
    </row>
    <row r="610" spans="2:15" s="3" customFormat="1" x14ac:dyDescent="0.35">
      <c r="B610" s="1229" t="s">
        <v>125</v>
      </c>
      <c r="C610" s="1139">
        <v>9421.0260000000017</v>
      </c>
      <c r="D610" s="1139">
        <v>33.457999999999998</v>
      </c>
      <c r="E610" s="1139">
        <v>4498.4580000000005</v>
      </c>
      <c r="F610" s="1139">
        <v>5068.0360000000001</v>
      </c>
      <c r="G610" s="1139"/>
      <c r="H610" s="1139"/>
      <c r="I610" s="1139"/>
      <c r="J610" s="1139"/>
      <c r="K610" s="1139"/>
      <c r="L610" s="1139"/>
      <c r="M610" s="1139"/>
      <c r="N610" s="1139"/>
      <c r="O610" s="502">
        <f t="shared" si="112"/>
        <v>19020.978000000003</v>
      </c>
    </row>
    <row r="611" spans="2:15" s="3" customFormat="1" x14ac:dyDescent="0.35">
      <c r="B611" s="1236"/>
      <c r="C611" s="444"/>
      <c r="D611" s="444"/>
      <c r="E611" s="444"/>
      <c r="F611" s="444"/>
      <c r="G611" s="444"/>
      <c r="H611" s="444"/>
      <c r="I611" s="444"/>
      <c r="J611" s="444"/>
      <c r="K611" s="444"/>
      <c r="L611" s="444"/>
      <c r="M611" s="444"/>
      <c r="N611" s="444"/>
      <c r="O611" s="1184"/>
    </row>
    <row r="612" spans="2:15" s="3" customFormat="1" x14ac:dyDescent="0.35">
      <c r="B612" s="445" t="s">
        <v>36</v>
      </c>
      <c r="C612" s="1143">
        <f>C595+C603</f>
        <v>1069057.651241</v>
      </c>
      <c r="D612" s="1143">
        <f>D595+D603</f>
        <v>822266.9988399999</v>
      </c>
      <c r="E612" s="1143">
        <f>E595+E603</f>
        <v>798130.68900000001</v>
      </c>
      <c r="F612" s="1143">
        <f>F595+F603</f>
        <v>981131.60100000002</v>
      </c>
      <c r="G612" s="1143">
        <f t="shared" ref="G612:L612" si="115">G595+G603</f>
        <v>0</v>
      </c>
      <c r="H612" s="1143">
        <f t="shared" si="115"/>
        <v>0</v>
      </c>
      <c r="I612" s="1143">
        <f t="shared" si="115"/>
        <v>0</v>
      </c>
      <c r="J612" s="1143">
        <f t="shared" si="115"/>
        <v>0</v>
      </c>
      <c r="K612" s="1143">
        <f t="shared" si="115"/>
        <v>0</v>
      </c>
      <c r="L612" s="1143">
        <f t="shared" si="115"/>
        <v>0</v>
      </c>
      <c r="M612" s="1143">
        <f>M595+M603</f>
        <v>0</v>
      </c>
      <c r="N612" s="1143">
        <f>N595+N603</f>
        <v>0</v>
      </c>
      <c r="O612" s="1237">
        <f>SUM(C612:N612)</f>
        <v>3670586.9400809994</v>
      </c>
    </row>
    <row r="613" spans="2:15" s="3" customFormat="1" ht="15.75" customHeight="1" x14ac:dyDescent="0.35">
      <c r="B613" s="1238"/>
      <c r="C613" s="446"/>
      <c r="D613" s="446"/>
      <c r="E613" s="446"/>
      <c r="F613" s="446"/>
      <c r="G613" s="446"/>
      <c r="H613" s="446"/>
      <c r="I613" s="446"/>
      <c r="J613" s="446"/>
      <c r="K613" s="446"/>
      <c r="L613" s="446"/>
      <c r="M613" s="446"/>
      <c r="N613" s="446"/>
      <c r="O613" s="1239"/>
    </row>
    <row r="614" spans="2:15" s="3" customFormat="1" ht="15" customHeight="1" x14ac:dyDescent="0.35">
      <c r="B614" s="442" t="s">
        <v>127</v>
      </c>
      <c r="C614" s="1240">
        <f>C597+C605</f>
        <v>562388.86599999992</v>
      </c>
      <c r="D614" s="441">
        <f>D597+D605</f>
        <v>326864.31400000001</v>
      </c>
      <c r="E614" s="441">
        <f>E597+E605</f>
        <v>321493.391</v>
      </c>
      <c r="F614" s="441">
        <f>F597+F605</f>
        <v>435761.42300000001</v>
      </c>
      <c r="G614" s="441">
        <f t="shared" ref="G614:L614" si="116">G597+G605</f>
        <v>0</v>
      </c>
      <c r="H614" s="441">
        <f t="shared" si="116"/>
        <v>0</v>
      </c>
      <c r="I614" s="441">
        <f t="shared" si="116"/>
        <v>0</v>
      </c>
      <c r="J614" s="441">
        <f t="shared" si="116"/>
        <v>0</v>
      </c>
      <c r="K614" s="441">
        <f t="shared" si="116"/>
        <v>0</v>
      </c>
      <c r="L614" s="441">
        <f t="shared" si="116"/>
        <v>0</v>
      </c>
      <c r="M614" s="441">
        <f>M597+M605</f>
        <v>0</v>
      </c>
      <c r="N614" s="441">
        <f>N597+N605</f>
        <v>0</v>
      </c>
      <c r="O614" s="502">
        <f t="shared" ref="O614:O619" si="117">SUM(C614:N614)</f>
        <v>1646507.9939999999</v>
      </c>
    </row>
    <row r="615" spans="2:15" s="3" customFormat="1" x14ac:dyDescent="0.35">
      <c r="B615" s="1235" t="s">
        <v>128</v>
      </c>
      <c r="C615" s="1240">
        <f>C606</f>
        <v>312902.17599999998</v>
      </c>
      <c r="D615" s="441">
        <f>D606</f>
        <v>190256.21600000001</v>
      </c>
      <c r="E615" s="441">
        <f>E606</f>
        <v>191309.78700000001</v>
      </c>
      <c r="F615" s="441">
        <f>F606</f>
        <v>190929.008</v>
      </c>
      <c r="G615" s="441">
        <f t="shared" ref="G615:L615" si="118">G606</f>
        <v>0</v>
      </c>
      <c r="H615" s="441">
        <f t="shared" si="118"/>
        <v>0</v>
      </c>
      <c r="I615" s="441">
        <f t="shared" si="118"/>
        <v>0</v>
      </c>
      <c r="J615" s="441">
        <f t="shared" si="118"/>
        <v>0</v>
      </c>
      <c r="K615" s="441">
        <f t="shared" si="118"/>
        <v>0</v>
      </c>
      <c r="L615" s="441">
        <f t="shared" si="118"/>
        <v>0</v>
      </c>
      <c r="M615" s="441">
        <f>M606</f>
        <v>0</v>
      </c>
      <c r="N615" s="441">
        <f>N606</f>
        <v>0</v>
      </c>
      <c r="O615" s="502">
        <f t="shared" si="117"/>
        <v>885397.18700000003</v>
      </c>
    </row>
    <row r="616" spans="2:15" s="3" customFormat="1" x14ac:dyDescent="0.35">
      <c r="B616" s="1228" t="s">
        <v>122</v>
      </c>
      <c r="C616" s="1240">
        <f t="shared" ref="C616:M619" si="119">C598+C607</f>
        <v>262640.59100000001</v>
      </c>
      <c r="D616" s="441">
        <f t="shared" si="119"/>
        <v>305944.67099999997</v>
      </c>
      <c r="E616" s="441">
        <f t="shared" si="119"/>
        <v>305039.26500000001</v>
      </c>
      <c r="F616" s="441">
        <f t="shared" si="119"/>
        <v>344637.65400000004</v>
      </c>
      <c r="G616" s="441">
        <f t="shared" si="119"/>
        <v>0</v>
      </c>
      <c r="H616" s="441">
        <f t="shared" si="119"/>
        <v>0</v>
      </c>
      <c r="I616" s="441">
        <f t="shared" si="119"/>
        <v>0</v>
      </c>
      <c r="J616" s="441">
        <f t="shared" si="119"/>
        <v>0</v>
      </c>
      <c r="K616" s="441">
        <f t="shared" si="119"/>
        <v>0</v>
      </c>
      <c r="L616" s="441">
        <f t="shared" si="119"/>
        <v>0</v>
      </c>
      <c r="M616" s="441">
        <f t="shared" si="119"/>
        <v>0</v>
      </c>
      <c r="N616" s="441">
        <f>N598+N607</f>
        <v>0</v>
      </c>
      <c r="O616" s="502">
        <f t="shared" si="117"/>
        <v>1218262.1810000001</v>
      </c>
    </row>
    <row r="617" spans="2:15" s="3" customFormat="1" x14ac:dyDescent="0.35">
      <c r="B617" s="1228" t="s">
        <v>123</v>
      </c>
      <c r="C617" s="1240">
        <f>C599+C608</f>
        <v>244028.19424100011</v>
      </c>
      <c r="D617" s="441">
        <f t="shared" si="119"/>
        <v>189458.01383999991</v>
      </c>
      <c r="E617" s="441">
        <f t="shared" si="119"/>
        <v>171598.03300000005</v>
      </c>
      <c r="F617" s="441">
        <f t="shared" si="119"/>
        <v>200732.52399999992</v>
      </c>
      <c r="G617" s="441">
        <f t="shared" si="119"/>
        <v>0</v>
      </c>
      <c r="H617" s="441">
        <f t="shared" si="119"/>
        <v>0</v>
      </c>
      <c r="I617" s="441">
        <f t="shared" si="119"/>
        <v>0</v>
      </c>
      <c r="J617" s="441">
        <f t="shared" si="119"/>
        <v>0</v>
      </c>
      <c r="K617" s="441">
        <f t="shared" si="119"/>
        <v>0</v>
      </c>
      <c r="L617" s="441">
        <f t="shared" si="119"/>
        <v>0</v>
      </c>
      <c r="M617" s="441">
        <f t="shared" si="119"/>
        <v>0</v>
      </c>
      <c r="N617" s="441">
        <f>N599+N608</f>
        <v>0</v>
      </c>
      <c r="O617" s="502">
        <f t="shared" si="117"/>
        <v>805816.76508100005</v>
      </c>
    </row>
    <row r="618" spans="2:15" s="3" customFormat="1" x14ac:dyDescent="0.35">
      <c r="B618" s="1229" t="s">
        <v>124</v>
      </c>
      <c r="C618" s="1240">
        <f t="shared" si="119"/>
        <v>126374.75499999999</v>
      </c>
      <c r="D618" s="443">
        <f t="shared" si="119"/>
        <v>93739.691000000006</v>
      </c>
      <c r="E618" s="443">
        <f t="shared" si="119"/>
        <v>36661.413</v>
      </c>
      <c r="F618" s="441">
        <f t="shared" si="119"/>
        <v>94204.319999999992</v>
      </c>
      <c r="G618" s="443">
        <f t="shared" si="119"/>
        <v>0</v>
      </c>
      <c r="H618" s="443">
        <f t="shared" si="119"/>
        <v>0</v>
      </c>
      <c r="I618" s="443">
        <f t="shared" si="119"/>
        <v>0</v>
      </c>
      <c r="J618" s="443">
        <f t="shared" si="119"/>
        <v>0</v>
      </c>
      <c r="K618" s="443">
        <f t="shared" si="119"/>
        <v>0</v>
      </c>
      <c r="L618" s="443">
        <f t="shared" si="119"/>
        <v>0</v>
      </c>
      <c r="M618" s="443">
        <f t="shared" si="119"/>
        <v>0</v>
      </c>
      <c r="N618" s="443">
        <f>N600+N609</f>
        <v>0</v>
      </c>
      <c r="O618" s="1241">
        <f t="shared" si="117"/>
        <v>350980.179</v>
      </c>
    </row>
    <row r="619" spans="2:15" s="3" customFormat="1" x14ac:dyDescent="0.35">
      <c r="B619" s="195" t="s">
        <v>125</v>
      </c>
      <c r="C619" s="1242">
        <f t="shared" si="119"/>
        <v>117653.43924100012</v>
      </c>
      <c r="D619" s="501">
        <f t="shared" si="119"/>
        <v>95718.322839999921</v>
      </c>
      <c r="E619" s="501">
        <f t="shared" si="119"/>
        <v>134936.62000000008</v>
      </c>
      <c r="F619" s="1144">
        <f t="shared" si="119"/>
        <v>106528.20399999991</v>
      </c>
      <c r="G619" s="501">
        <f t="shared" si="119"/>
        <v>0</v>
      </c>
      <c r="H619" s="501">
        <f t="shared" si="119"/>
        <v>0</v>
      </c>
      <c r="I619" s="501">
        <f t="shared" si="119"/>
        <v>0</v>
      </c>
      <c r="J619" s="501">
        <f t="shared" si="119"/>
        <v>0</v>
      </c>
      <c r="K619" s="501">
        <f t="shared" si="119"/>
        <v>0</v>
      </c>
      <c r="L619" s="501">
        <f t="shared" si="119"/>
        <v>0</v>
      </c>
      <c r="M619" s="501">
        <f t="shared" si="119"/>
        <v>0</v>
      </c>
      <c r="N619" s="501">
        <f>N601+N610</f>
        <v>0</v>
      </c>
      <c r="O619" s="1243">
        <f t="shared" si="117"/>
        <v>454836.58608100004</v>
      </c>
    </row>
    <row r="620" spans="2:15" s="3" customFormat="1" x14ac:dyDescent="0.35">
      <c r="B620" s="197"/>
      <c r="C620" s="198"/>
      <c r="D620" s="198"/>
      <c r="E620" s="198"/>
      <c r="F620" s="198"/>
      <c r="G620" s="198"/>
      <c r="H620" s="198"/>
      <c r="I620" s="198"/>
      <c r="J620" s="198"/>
      <c r="K620" s="198"/>
      <c r="L620" s="198"/>
      <c r="M620" s="198"/>
      <c r="N620" s="198"/>
      <c r="O620" s="1244"/>
    </row>
    <row r="621" spans="2:15" s="3" customFormat="1" x14ac:dyDescent="0.35">
      <c r="B621" s="1069" t="s">
        <v>528</v>
      </c>
      <c r="C621" s="1069"/>
      <c r="D621" s="1069"/>
      <c r="E621" s="1069"/>
      <c r="F621" s="1069"/>
      <c r="G621" s="1069"/>
      <c r="H621" s="1069"/>
      <c r="I621" s="1069"/>
      <c r="J621" s="1069"/>
      <c r="K621" s="1069"/>
      <c r="L621" s="1069"/>
      <c r="M621" s="1069"/>
      <c r="N621" s="1069"/>
      <c r="O621" s="1069"/>
    </row>
    <row r="622" spans="2:15" s="3" customFormat="1" x14ac:dyDescent="0.35">
      <c r="B622" s="190"/>
      <c r="C622" s="200"/>
      <c r="D622" s="200"/>
      <c r="E622" s="200"/>
      <c r="F622" s="200"/>
      <c r="G622" s="200"/>
      <c r="H622" s="200"/>
      <c r="I622" s="200"/>
      <c r="J622" s="200"/>
      <c r="K622" s="200"/>
      <c r="L622" s="200"/>
      <c r="M622" s="200"/>
      <c r="N622" s="200"/>
      <c r="O622" s="192"/>
    </row>
    <row r="623" spans="2:15" s="3" customFormat="1" ht="15" customHeight="1" x14ac:dyDescent="0.35">
      <c r="B623" s="1074" t="s">
        <v>13</v>
      </c>
      <c r="C623" s="1112" t="s">
        <v>0</v>
      </c>
      <c r="D623" s="1112" t="s">
        <v>1</v>
      </c>
      <c r="E623" s="1112" t="s">
        <v>2</v>
      </c>
      <c r="F623" s="1112" t="s">
        <v>3</v>
      </c>
      <c r="G623" s="1112" t="s">
        <v>4</v>
      </c>
      <c r="H623" s="1112" t="s">
        <v>5</v>
      </c>
      <c r="I623" s="1112" t="s">
        <v>6</v>
      </c>
      <c r="J623" s="1112" t="s">
        <v>7</v>
      </c>
      <c r="K623" s="1112" t="s">
        <v>8</v>
      </c>
      <c r="L623" s="1112" t="s">
        <v>9</v>
      </c>
      <c r="M623" s="1112" t="s">
        <v>10</v>
      </c>
      <c r="N623" s="1112" t="s">
        <v>14</v>
      </c>
      <c r="O623" s="1077" t="s">
        <v>15</v>
      </c>
    </row>
    <row r="624" spans="2:15" s="3" customFormat="1" ht="15" customHeight="1" x14ac:dyDescent="0.35">
      <c r="B624" s="1080"/>
      <c r="C624" s="1145"/>
      <c r="D624" s="1145"/>
      <c r="E624" s="1145"/>
      <c r="F624" s="1145"/>
      <c r="G624" s="1145"/>
      <c r="H624" s="1145"/>
      <c r="I624" s="1145"/>
      <c r="J624" s="1145"/>
      <c r="K624" s="1145"/>
      <c r="L624" s="1145"/>
      <c r="M624" s="1145"/>
      <c r="N624" s="1145"/>
      <c r="O624" s="1088"/>
    </row>
    <row r="625" spans="2:15" s="3" customFormat="1" x14ac:dyDescent="0.35">
      <c r="B625" s="201"/>
      <c r="C625" s="1245"/>
      <c r="D625" s="1146"/>
      <c r="E625" s="1146"/>
      <c r="F625" s="1146"/>
      <c r="G625" s="1146"/>
      <c r="H625" s="1146"/>
      <c r="I625" s="1146"/>
      <c r="J625" s="1146"/>
      <c r="K625" s="1146"/>
      <c r="L625" s="1146"/>
      <c r="M625" s="1146"/>
      <c r="N625" s="1146"/>
      <c r="O625" s="1246"/>
    </row>
    <row r="626" spans="2:15" s="3" customFormat="1" x14ac:dyDescent="0.35">
      <c r="B626" s="1247" t="s">
        <v>120</v>
      </c>
      <c r="C626" s="203">
        <f>SUM(C628:C629)</f>
        <v>620359.69424100057</v>
      </c>
      <c r="D626" s="203">
        <f>SUM(D628:D629)</f>
        <v>538237.63383999991</v>
      </c>
      <c r="E626" s="203">
        <f t="shared" ref="E626:M626" si="120">SUM(E628:E629)</f>
        <v>565661.03099999996</v>
      </c>
      <c r="F626" s="203">
        <f t="shared" si="120"/>
        <v>690930.23699999996</v>
      </c>
      <c r="G626" s="203">
        <f t="shared" si="120"/>
        <v>0</v>
      </c>
      <c r="H626" s="203">
        <f t="shared" si="120"/>
        <v>0</v>
      </c>
      <c r="I626" s="203">
        <f t="shared" si="120"/>
        <v>0</v>
      </c>
      <c r="J626" s="203">
        <f t="shared" si="120"/>
        <v>0</v>
      </c>
      <c r="K626" s="203">
        <f t="shared" si="120"/>
        <v>0</v>
      </c>
      <c r="L626" s="203">
        <f t="shared" si="120"/>
        <v>0</v>
      </c>
      <c r="M626" s="203">
        <f t="shared" si="120"/>
        <v>0</v>
      </c>
      <c r="N626" s="203">
        <f>SUM(N628:N629)</f>
        <v>0</v>
      </c>
      <c r="O626" s="1248">
        <f>SUM(C626:N626)</f>
        <v>2415188.5960810008</v>
      </c>
    </row>
    <row r="627" spans="2:15" s="3" customFormat="1" x14ac:dyDescent="0.35">
      <c r="B627" s="1249"/>
      <c r="C627" s="205"/>
      <c r="D627" s="205"/>
      <c r="E627" s="205"/>
      <c r="F627" s="205"/>
      <c r="G627" s="205"/>
      <c r="H627" s="205"/>
      <c r="I627" s="205"/>
      <c r="J627" s="205"/>
      <c r="K627" s="205"/>
      <c r="L627" s="205"/>
      <c r="M627" s="205"/>
      <c r="N627" s="205"/>
      <c r="O627" s="1248"/>
    </row>
    <row r="628" spans="2:15" s="3" customFormat="1" x14ac:dyDescent="0.35">
      <c r="B628" s="1250" t="s">
        <v>129</v>
      </c>
      <c r="C628" s="1147">
        <v>618417.55604100053</v>
      </c>
      <c r="D628" s="1147">
        <v>536725.43083999993</v>
      </c>
      <c r="E628" s="1147">
        <v>561818.17999999993</v>
      </c>
      <c r="F628" s="1147">
        <v>688145.89799999993</v>
      </c>
      <c r="G628" s="1147"/>
      <c r="H628" s="1147"/>
      <c r="I628" s="1147"/>
      <c r="J628" s="1251"/>
      <c r="K628" s="1251"/>
      <c r="L628" s="1251"/>
      <c r="M628" s="1251"/>
      <c r="N628" s="1251"/>
      <c r="O628" s="1252">
        <f t="shared" ref="O628:O633" si="121">SUM(C628:N628)</f>
        <v>2405107.0648810002</v>
      </c>
    </row>
    <row r="629" spans="2:15" s="3" customFormat="1" x14ac:dyDescent="0.35">
      <c r="B629" s="1250" t="s">
        <v>130</v>
      </c>
      <c r="C629" s="441">
        <f>SUM(C630:C633)</f>
        <v>1942.1381999999996</v>
      </c>
      <c r="D629" s="1149">
        <f>SUM(D630:D633)</f>
        <v>1512.2029999999997</v>
      </c>
      <c r="E629" s="1149">
        <f t="shared" ref="E629:M629" si="122">SUM(E630:E633)</f>
        <v>3842.851000000001</v>
      </c>
      <c r="F629" s="1149">
        <f t="shared" si="122"/>
        <v>2784.3389999999995</v>
      </c>
      <c r="G629" s="1149">
        <f t="shared" si="122"/>
        <v>0</v>
      </c>
      <c r="H629" s="1149">
        <f t="shared" si="122"/>
        <v>0</v>
      </c>
      <c r="I629" s="1149">
        <f t="shared" si="122"/>
        <v>0</v>
      </c>
      <c r="J629" s="1149">
        <f t="shared" si="122"/>
        <v>0</v>
      </c>
      <c r="K629" s="1149">
        <f t="shared" si="122"/>
        <v>0</v>
      </c>
      <c r="L629" s="1149">
        <f t="shared" si="122"/>
        <v>0</v>
      </c>
      <c r="M629" s="1149">
        <f t="shared" si="122"/>
        <v>0</v>
      </c>
      <c r="N629" s="1149">
        <f>SUM(N630:N633)</f>
        <v>0</v>
      </c>
      <c r="O629" s="1253">
        <f t="shared" si="121"/>
        <v>10081.531199999999</v>
      </c>
    </row>
    <row r="630" spans="2:15" s="3" customFormat="1" x14ac:dyDescent="0.35">
      <c r="B630" s="1254" t="s">
        <v>131</v>
      </c>
      <c r="C630" s="1128">
        <v>1547.3181999999997</v>
      </c>
      <c r="D630" s="1138">
        <v>1284.0769999999998</v>
      </c>
      <c r="E630" s="1138">
        <v>2802.257000000001</v>
      </c>
      <c r="F630" s="1138">
        <v>1465.4719999999998</v>
      </c>
      <c r="G630" s="1138"/>
      <c r="H630" s="1138"/>
      <c r="I630" s="1138"/>
      <c r="J630" s="1138"/>
      <c r="K630" s="1138"/>
      <c r="L630" s="1138"/>
      <c r="M630" s="1138"/>
      <c r="N630" s="1138"/>
      <c r="O630" s="1253">
        <f t="shared" si="121"/>
        <v>7099.1242000000002</v>
      </c>
    </row>
    <row r="631" spans="2:15" s="3" customFormat="1" x14ac:dyDescent="0.35">
      <c r="B631" s="1254" t="s">
        <v>132</v>
      </c>
      <c r="C631" s="1128">
        <v>394.82</v>
      </c>
      <c r="D631" s="1128">
        <v>228.126</v>
      </c>
      <c r="E631" s="1138">
        <v>1040.5940000000001</v>
      </c>
      <c r="F631" s="1138">
        <v>1141.2169999999999</v>
      </c>
      <c r="G631" s="1138"/>
      <c r="H631" s="1138"/>
      <c r="I631" s="1138"/>
      <c r="J631" s="1138"/>
      <c r="K631" s="1138"/>
      <c r="L631" s="1138"/>
      <c r="M631" s="1138"/>
      <c r="N631" s="1138"/>
      <c r="O631" s="1252">
        <f t="shared" si="121"/>
        <v>2804.7569999999996</v>
      </c>
    </row>
    <row r="632" spans="2:15" s="3" customFormat="1" x14ac:dyDescent="0.35">
      <c r="B632" s="1254" t="s">
        <v>133</v>
      </c>
      <c r="C632" s="1147">
        <v>0</v>
      </c>
      <c r="D632" s="1147">
        <v>0</v>
      </c>
      <c r="E632" s="1147">
        <v>0</v>
      </c>
      <c r="F632" s="1147">
        <v>0</v>
      </c>
      <c r="G632" s="1138"/>
      <c r="H632" s="1138"/>
      <c r="I632" s="1138"/>
      <c r="J632" s="1138"/>
      <c r="K632" s="1138"/>
      <c r="L632" s="1138"/>
      <c r="M632" s="1138"/>
      <c r="N632" s="1138"/>
      <c r="O632" s="1252">
        <f t="shared" si="121"/>
        <v>0</v>
      </c>
    </row>
    <row r="633" spans="2:15" s="3" customFormat="1" x14ac:dyDescent="0.35">
      <c r="B633" s="1254" t="s">
        <v>134</v>
      </c>
      <c r="C633" s="1147">
        <v>0</v>
      </c>
      <c r="D633" s="1147">
        <v>0</v>
      </c>
      <c r="E633" s="1147">
        <v>0</v>
      </c>
      <c r="F633" s="1147">
        <v>177.65</v>
      </c>
      <c r="G633" s="1138"/>
      <c r="H633" s="1138"/>
      <c r="I633" s="1138"/>
      <c r="J633" s="1138"/>
      <c r="K633" s="1138"/>
      <c r="L633" s="1138"/>
      <c r="M633" s="1138"/>
      <c r="N633" s="1138"/>
      <c r="O633" s="1252">
        <f t="shared" si="121"/>
        <v>177.65</v>
      </c>
    </row>
    <row r="634" spans="2:15" s="3" customFormat="1" x14ac:dyDescent="0.35">
      <c r="B634" s="1255"/>
      <c r="C634" s="176"/>
      <c r="D634" s="176"/>
      <c r="E634" s="176"/>
      <c r="F634" s="176"/>
      <c r="G634" s="176"/>
      <c r="H634" s="176"/>
      <c r="I634" s="176"/>
      <c r="J634" s="176"/>
      <c r="K634" s="176"/>
      <c r="L634" s="176"/>
      <c r="M634" s="176"/>
      <c r="N634" s="176"/>
      <c r="O634" s="1256"/>
    </row>
    <row r="635" spans="2:15" s="3" customFormat="1" x14ac:dyDescent="0.35">
      <c r="B635" s="1247" t="s">
        <v>135</v>
      </c>
      <c r="C635" s="203">
        <f>SUM(C637:C638)</f>
        <v>448697.95699999999</v>
      </c>
      <c r="D635" s="203">
        <f>SUM(D637:D638)</f>
        <v>284029.36499999993</v>
      </c>
      <c r="E635" s="203">
        <f t="shared" ref="E635:M635" si="123">SUM(E637:E638)</f>
        <v>232469.65800000002</v>
      </c>
      <c r="F635" s="203">
        <f t="shared" si="123"/>
        <v>290201.364</v>
      </c>
      <c r="G635" s="203">
        <f t="shared" si="123"/>
        <v>0</v>
      </c>
      <c r="H635" s="203">
        <f t="shared" si="123"/>
        <v>0</v>
      </c>
      <c r="I635" s="203">
        <f t="shared" si="123"/>
        <v>0</v>
      </c>
      <c r="J635" s="203">
        <f t="shared" si="123"/>
        <v>0</v>
      </c>
      <c r="K635" s="203">
        <f t="shared" si="123"/>
        <v>0</v>
      </c>
      <c r="L635" s="203">
        <f t="shared" si="123"/>
        <v>0</v>
      </c>
      <c r="M635" s="203">
        <f t="shared" si="123"/>
        <v>0</v>
      </c>
      <c r="N635" s="203">
        <f>SUM(N637:N638)</f>
        <v>0</v>
      </c>
      <c r="O635" s="1248">
        <f>SUM(C635:N635)</f>
        <v>1255398.344</v>
      </c>
    </row>
    <row r="636" spans="2:15" s="3" customFormat="1" x14ac:dyDescent="0.35">
      <c r="B636" s="1249"/>
      <c r="C636" s="205"/>
      <c r="D636" s="205"/>
      <c r="E636" s="205"/>
      <c r="F636" s="205"/>
      <c r="G636" s="205"/>
      <c r="H636" s="205"/>
      <c r="I636" s="205"/>
      <c r="J636" s="205"/>
      <c r="K636" s="205"/>
      <c r="L636" s="205"/>
      <c r="M636" s="205"/>
      <c r="N636" s="205"/>
      <c r="O636" s="1248"/>
    </row>
    <row r="637" spans="2:15" s="3" customFormat="1" x14ac:dyDescent="0.35">
      <c r="B637" s="1250" t="s">
        <v>129</v>
      </c>
      <c r="C637" s="1147">
        <v>448697.95699999999</v>
      </c>
      <c r="D637" s="1147">
        <v>284029.36499999993</v>
      </c>
      <c r="E637" s="1147">
        <v>232469.65800000002</v>
      </c>
      <c r="F637" s="1147">
        <v>290201.364</v>
      </c>
      <c r="G637" s="1147"/>
      <c r="H637" s="1147"/>
      <c r="I637" s="1147"/>
      <c r="J637" s="1147"/>
      <c r="K637" s="1147"/>
      <c r="L637" s="1147"/>
      <c r="M637" s="1147"/>
      <c r="N637" s="1147"/>
      <c r="O637" s="1252">
        <f t="shared" ref="O637:O642" si="124">SUM(C637:N637)</f>
        <v>1255398.344</v>
      </c>
    </row>
    <row r="638" spans="2:15" s="3" customFormat="1" x14ac:dyDescent="0.35">
      <c r="B638" s="1250" t="s">
        <v>130</v>
      </c>
      <c r="C638" s="441">
        <f>SUM(C639:C642)</f>
        <v>0</v>
      </c>
      <c r="D638" s="1149">
        <f>SUM(D639:D642)</f>
        <v>0</v>
      </c>
      <c r="E638" s="1149">
        <f t="shared" ref="E638:M638" si="125">SUM(E639:E642)</f>
        <v>0</v>
      </c>
      <c r="F638" s="1149">
        <f t="shared" si="125"/>
        <v>0</v>
      </c>
      <c r="G638" s="1149">
        <f t="shared" si="125"/>
        <v>0</v>
      </c>
      <c r="H638" s="1149">
        <f t="shared" si="125"/>
        <v>0</v>
      </c>
      <c r="I638" s="1149">
        <f t="shared" si="125"/>
        <v>0</v>
      </c>
      <c r="J638" s="1149">
        <f t="shared" si="125"/>
        <v>0</v>
      </c>
      <c r="K638" s="1149">
        <f t="shared" si="125"/>
        <v>0</v>
      </c>
      <c r="L638" s="1149">
        <f t="shared" si="125"/>
        <v>0</v>
      </c>
      <c r="M638" s="1149">
        <f t="shared" si="125"/>
        <v>0</v>
      </c>
      <c r="N638" s="1149">
        <f>SUM(N639:N642)</f>
        <v>0</v>
      </c>
      <c r="O638" s="1253">
        <f t="shared" si="124"/>
        <v>0</v>
      </c>
    </row>
    <row r="639" spans="2:15" s="3" customFormat="1" x14ac:dyDescent="0.35">
      <c r="B639" s="1254" t="s">
        <v>131</v>
      </c>
      <c r="C639" s="1128">
        <v>0</v>
      </c>
      <c r="D639" s="1128">
        <v>0</v>
      </c>
      <c r="E639" s="1128">
        <v>0</v>
      </c>
      <c r="F639" s="1138">
        <v>0</v>
      </c>
      <c r="G639" s="1138"/>
      <c r="H639" s="1138"/>
      <c r="I639" s="1138"/>
      <c r="J639" s="1138"/>
      <c r="K639" s="1138"/>
      <c r="L639" s="1138"/>
      <c r="M639" s="1138"/>
      <c r="N639" s="1138"/>
      <c r="O639" s="1253">
        <f t="shared" si="124"/>
        <v>0</v>
      </c>
    </row>
    <row r="640" spans="2:15" s="3" customFormat="1" x14ac:dyDescent="0.35">
      <c r="B640" s="1254" t="s">
        <v>132</v>
      </c>
      <c r="C640" s="1128">
        <v>0</v>
      </c>
      <c r="D640" s="1128">
        <v>0</v>
      </c>
      <c r="E640" s="1128">
        <v>0</v>
      </c>
      <c r="F640" s="1128">
        <v>0</v>
      </c>
      <c r="G640" s="1138"/>
      <c r="H640" s="1138"/>
      <c r="I640" s="1138"/>
      <c r="J640" s="1138"/>
      <c r="K640" s="1138"/>
      <c r="L640" s="1138"/>
      <c r="M640" s="1138"/>
      <c r="N640" s="1138"/>
      <c r="O640" s="1253">
        <f t="shared" si="124"/>
        <v>0</v>
      </c>
    </row>
    <row r="641" spans="2:15" s="3" customFormat="1" x14ac:dyDescent="0.35">
      <c r="B641" s="1254" t="s">
        <v>133</v>
      </c>
      <c r="C641" s="1128">
        <v>0</v>
      </c>
      <c r="D641" s="1128">
        <v>0</v>
      </c>
      <c r="E641" s="1128">
        <v>0</v>
      </c>
      <c r="F641" s="1128">
        <v>0</v>
      </c>
      <c r="G641" s="1138"/>
      <c r="H641" s="1138"/>
      <c r="I641" s="1138"/>
      <c r="J641" s="1138"/>
      <c r="K641" s="1138"/>
      <c r="L641" s="1138"/>
      <c r="M641" s="1138"/>
      <c r="N641" s="1138"/>
      <c r="O641" s="1253">
        <f t="shared" si="124"/>
        <v>0</v>
      </c>
    </row>
    <row r="642" spans="2:15" s="3" customFormat="1" x14ac:dyDescent="0.35">
      <c r="B642" s="1254" t="s">
        <v>134</v>
      </c>
      <c r="C642" s="1128">
        <v>0</v>
      </c>
      <c r="D642" s="1128">
        <v>0</v>
      </c>
      <c r="E642" s="1128">
        <v>0</v>
      </c>
      <c r="F642" s="1128">
        <v>0</v>
      </c>
      <c r="G642" s="1138"/>
      <c r="H642" s="1138"/>
      <c r="I642" s="1138"/>
      <c r="J642" s="1138"/>
      <c r="K642" s="1138"/>
      <c r="L642" s="1138"/>
      <c r="M642" s="1138"/>
      <c r="N642" s="1138"/>
      <c r="O642" s="1253">
        <f t="shared" si="124"/>
        <v>0</v>
      </c>
    </row>
    <row r="643" spans="2:15" s="3" customFormat="1" x14ac:dyDescent="0.35">
      <c r="B643" s="1255"/>
      <c r="C643" s="1128"/>
      <c r="D643" s="1129"/>
      <c r="E643" s="1129"/>
      <c r="F643" s="1129"/>
      <c r="G643" s="1129"/>
      <c r="H643" s="1129"/>
      <c r="I643" s="1129"/>
      <c r="J643" s="1129"/>
      <c r="K643" s="1129"/>
      <c r="L643" s="1129"/>
      <c r="M643" s="1129"/>
      <c r="N643" s="1129"/>
      <c r="O643" s="1239"/>
    </row>
    <row r="644" spans="2:15" s="3" customFormat="1" x14ac:dyDescent="0.35">
      <c r="B644" s="445" t="s">
        <v>36</v>
      </c>
      <c r="C644" s="1143">
        <f>+C626+C635</f>
        <v>1069057.6512410005</v>
      </c>
      <c r="D644" s="1150">
        <f>+D626+D635</f>
        <v>822266.99883999978</v>
      </c>
      <c r="E644" s="1150">
        <f>+E626+E635</f>
        <v>798130.68900000001</v>
      </c>
      <c r="F644" s="1150">
        <f>+F626+F635</f>
        <v>981131.60100000002</v>
      </c>
      <c r="G644" s="1150">
        <f t="shared" ref="G644:L644" si="126">+G626+G635</f>
        <v>0</v>
      </c>
      <c r="H644" s="1150">
        <f t="shared" si="126"/>
        <v>0</v>
      </c>
      <c r="I644" s="1150">
        <f t="shared" si="126"/>
        <v>0</v>
      </c>
      <c r="J644" s="1150">
        <f t="shared" si="126"/>
        <v>0</v>
      </c>
      <c r="K644" s="1150">
        <f t="shared" si="126"/>
        <v>0</v>
      </c>
      <c r="L644" s="1150">
        <f t="shared" si="126"/>
        <v>0</v>
      </c>
      <c r="M644" s="1150">
        <f>+M626+M635</f>
        <v>0</v>
      </c>
      <c r="N644" s="1150">
        <f>+N626+N635</f>
        <v>0</v>
      </c>
      <c r="O644" s="1237">
        <f>SUM(C644:N644)</f>
        <v>3670586.9400810003</v>
      </c>
    </row>
    <row r="645" spans="2:15" s="3" customFormat="1" x14ac:dyDescent="0.35">
      <c r="B645" s="1249"/>
      <c r="C645" s="1148"/>
      <c r="D645" s="1148"/>
      <c r="E645" s="1148"/>
      <c r="F645" s="1148"/>
      <c r="G645" s="1148"/>
      <c r="H645" s="1148"/>
      <c r="I645" s="1148"/>
      <c r="J645" s="1148"/>
      <c r="K645" s="1148"/>
      <c r="L645" s="1148"/>
      <c r="M645" s="1148"/>
      <c r="N645" s="1148"/>
      <c r="O645" s="1253"/>
    </row>
    <row r="646" spans="2:15" s="3" customFormat="1" x14ac:dyDescent="0.35">
      <c r="B646" s="1250" t="s">
        <v>129</v>
      </c>
      <c r="C646" s="441">
        <f t="shared" ref="C646:N651" si="127">+C628+C637</f>
        <v>1067115.5130410006</v>
      </c>
      <c r="D646" s="1149">
        <f t="shared" si="127"/>
        <v>820754.7958399998</v>
      </c>
      <c r="E646" s="1149">
        <f t="shared" si="127"/>
        <v>794287.83799999999</v>
      </c>
      <c r="F646" s="1149">
        <f t="shared" si="127"/>
        <v>978347.26199999987</v>
      </c>
      <c r="G646" s="1149">
        <f t="shared" si="127"/>
        <v>0</v>
      </c>
      <c r="H646" s="1149">
        <f t="shared" si="127"/>
        <v>0</v>
      </c>
      <c r="I646" s="1149">
        <f t="shared" si="127"/>
        <v>0</v>
      </c>
      <c r="J646" s="1149">
        <f t="shared" si="127"/>
        <v>0</v>
      </c>
      <c r="K646" s="1149">
        <f t="shared" si="127"/>
        <v>0</v>
      </c>
      <c r="L646" s="1149">
        <f t="shared" si="127"/>
        <v>0</v>
      </c>
      <c r="M646" s="1149">
        <f t="shared" si="127"/>
        <v>0</v>
      </c>
      <c r="N646" s="1149">
        <f t="shared" si="127"/>
        <v>0</v>
      </c>
      <c r="O646" s="1253">
        <f t="shared" ref="O646:O651" si="128">SUM(C646:N646)</f>
        <v>3660505.4088810002</v>
      </c>
    </row>
    <row r="647" spans="2:15" s="3" customFormat="1" x14ac:dyDescent="0.35">
      <c r="B647" s="1250" t="s">
        <v>130</v>
      </c>
      <c r="C647" s="441">
        <f t="shared" si="127"/>
        <v>1942.1381999999996</v>
      </c>
      <c r="D647" s="538">
        <f t="shared" si="127"/>
        <v>1512.2029999999997</v>
      </c>
      <c r="E647" s="538">
        <f t="shared" si="127"/>
        <v>3842.851000000001</v>
      </c>
      <c r="F647" s="538">
        <f t="shared" si="127"/>
        <v>2784.3389999999995</v>
      </c>
      <c r="G647" s="538">
        <f t="shared" si="127"/>
        <v>0</v>
      </c>
      <c r="H647" s="538">
        <f t="shared" si="127"/>
        <v>0</v>
      </c>
      <c r="I647" s="538">
        <f t="shared" si="127"/>
        <v>0</v>
      </c>
      <c r="J647" s="538">
        <f t="shared" si="127"/>
        <v>0</v>
      </c>
      <c r="K647" s="538">
        <f t="shared" si="127"/>
        <v>0</v>
      </c>
      <c r="L647" s="538">
        <f t="shared" si="127"/>
        <v>0</v>
      </c>
      <c r="M647" s="538">
        <f t="shared" si="127"/>
        <v>0</v>
      </c>
      <c r="N647" s="538">
        <f t="shared" si="127"/>
        <v>0</v>
      </c>
      <c r="O647" s="1253">
        <f t="shared" si="128"/>
        <v>10081.531199999999</v>
      </c>
    </row>
    <row r="648" spans="2:15" s="3" customFormat="1" x14ac:dyDescent="0.35">
      <c r="B648" s="1254" t="s">
        <v>131</v>
      </c>
      <c r="C648" s="441">
        <f t="shared" si="127"/>
        <v>1547.3181999999997</v>
      </c>
      <c r="D648" s="1149">
        <f t="shared" si="127"/>
        <v>1284.0769999999998</v>
      </c>
      <c r="E648" s="1149">
        <f t="shared" si="127"/>
        <v>2802.257000000001</v>
      </c>
      <c r="F648" s="1149">
        <f t="shared" si="127"/>
        <v>1465.4719999999998</v>
      </c>
      <c r="G648" s="1149">
        <f t="shared" si="127"/>
        <v>0</v>
      </c>
      <c r="H648" s="1149">
        <f t="shared" si="127"/>
        <v>0</v>
      </c>
      <c r="I648" s="1149">
        <f t="shared" si="127"/>
        <v>0</v>
      </c>
      <c r="J648" s="1149">
        <f t="shared" si="127"/>
        <v>0</v>
      </c>
      <c r="K648" s="1149">
        <f t="shared" si="127"/>
        <v>0</v>
      </c>
      <c r="L648" s="1149">
        <f t="shared" si="127"/>
        <v>0</v>
      </c>
      <c r="M648" s="1149">
        <f t="shared" si="127"/>
        <v>0</v>
      </c>
      <c r="N648" s="1149">
        <f t="shared" si="127"/>
        <v>0</v>
      </c>
      <c r="O648" s="1253">
        <f t="shared" si="128"/>
        <v>7099.1242000000002</v>
      </c>
    </row>
    <row r="649" spans="2:15" s="3" customFormat="1" x14ac:dyDescent="0.35">
      <c r="B649" s="1254" t="s">
        <v>132</v>
      </c>
      <c r="C649" s="1149">
        <f t="shared" si="127"/>
        <v>394.82</v>
      </c>
      <c r="D649" s="1149">
        <f t="shared" si="127"/>
        <v>228.126</v>
      </c>
      <c r="E649" s="1149">
        <f t="shared" si="127"/>
        <v>1040.5940000000001</v>
      </c>
      <c r="F649" s="1149">
        <f t="shared" si="127"/>
        <v>1141.2169999999999</v>
      </c>
      <c r="G649" s="1149">
        <f t="shared" si="127"/>
        <v>0</v>
      </c>
      <c r="H649" s="1149">
        <f t="shared" si="127"/>
        <v>0</v>
      </c>
      <c r="I649" s="1149">
        <f t="shared" si="127"/>
        <v>0</v>
      </c>
      <c r="J649" s="1149">
        <f t="shared" si="127"/>
        <v>0</v>
      </c>
      <c r="K649" s="1149">
        <f t="shared" si="127"/>
        <v>0</v>
      </c>
      <c r="L649" s="1149">
        <f t="shared" si="127"/>
        <v>0</v>
      </c>
      <c r="M649" s="1149">
        <f t="shared" si="127"/>
        <v>0</v>
      </c>
      <c r="N649" s="1149">
        <f t="shared" si="127"/>
        <v>0</v>
      </c>
      <c r="O649" s="1253">
        <f t="shared" si="128"/>
        <v>2804.7569999999996</v>
      </c>
    </row>
    <row r="650" spans="2:15" s="3" customFormat="1" x14ac:dyDescent="0.35">
      <c r="B650" s="1254" t="s">
        <v>133</v>
      </c>
      <c r="C650" s="1149">
        <f t="shared" si="127"/>
        <v>0</v>
      </c>
      <c r="D650" s="1149">
        <f t="shared" si="127"/>
        <v>0</v>
      </c>
      <c r="E650" s="1149">
        <f t="shared" si="127"/>
        <v>0</v>
      </c>
      <c r="F650" s="1149">
        <f t="shared" si="127"/>
        <v>0</v>
      </c>
      <c r="G650" s="1149">
        <f t="shared" si="127"/>
        <v>0</v>
      </c>
      <c r="H650" s="1149">
        <f t="shared" si="127"/>
        <v>0</v>
      </c>
      <c r="I650" s="1149">
        <f t="shared" si="127"/>
        <v>0</v>
      </c>
      <c r="J650" s="1149">
        <f t="shared" si="127"/>
        <v>0</v>
      </c>
      <c r="K650" s="1149">
        <f t="shared" si="127"/>
        <v>0</v>
      </c>
      <c r="L650" s="1149">
        <f t="shared" si="127"/>
        <v>0</v>
      </c>
      <c r="M650" s="1149">
        <f t="shared" si="127"/>
        <v>0</v>
      </c>
      <c r="N650" s="1149">
        <f t="shared" si="127"/>
        <v>0</v>
      </c>
      <c r="O650" s="1253">
        <f t="shared" si="128"/>
        <v>0</v>
      </c>
    </row>
    <row r="651" spans="2:15" s="3" customFormat="1" x14ac:dyDescent="0.35">
      <c r="B651" s="438" t="s">
        <v>134</v>
      </c>
      <c r="C651" s="4">
        <f t="shared" si="127"/>
        <v>0</v>
      </c>
      <c r="D651" s="4">
        <f t="shared" si="127"/>
        <v>0</v>
      </c>
      <c r="E651" s="4">
        <f t="shared" si="127"/>
        <v>0</v>
      </c>
      <c r="F651" s="4">
        <f t="shared" si="127"/>
        <v>177.65</v>
      </c>
      <c r="G651" s="4">
        <f t="shared" si="127"/>
        <v>0</v>
      </c>
      <c r="H651" s="4">
        <f t="shared" si="127"/>
        <v>0</v>
      </c>
      <c r="I651" s="4">
        <f t="shared" si="127"/>
        <v>0</v>
      </c>
      <c r="J651" s="4">
        <f t="shared" si="127"/>
        <v>0</v>
      </c>
      <c r="K651" s="4">
        <f t="shared" si="127"/>
        <v>0</v>
      </c>
      <c r="L651" s="4">
        <f t="shared" si="127"/>
        <v>0</v>
      </c>
      <c r="M651" s="4">
        <f t="shared" si="127"/>
        <v>0</v>
      </c>
      <c r="N651" s="4">
        <f t="shared" si="127"/>
        <v>0</v>
      </c>
      <c r="O651" s="1257">
        <f t="shared" si="128"/>
        <v>177.65</v>
      </c>
    </row>
    <row r="652" spans="2:15" s="3" customFormat="1" x14ac:dyDescent="0.35">
      <c r="B652" s="197"/>
      <c r="C652" s="198"/>
      <c r="D652" s="198"/>
      <c r="E652" s="198"/>
      <c r="F652" s="198"/>
      <c r="G652" s="198"/>
      <c r="H652" s="198"/>
      <c r="I652" s="198"/>
      <c r="J652" s="198"/>
      <c r="K652" s="198"/>
      <c r="L652" s="198"/>
      <c r="M652" s="198"/>
      <c r="N652" s="198"/>
      <c r="O652" s="1244"/>
    </row>
    <row r="653" spans="2:15" s="3" customFormat="1" x14ac:dyDescent="0.35">
      <c r="B653" s="1069" t="s">
        <v>529</v>
      </c>
      <c r="C653" s="1069"/>
      <c r="D653" s="1069"/>
      <c r="E653" s="1069"/>
      <c r="F653" s="1069"/>
      <c r="G653" s="1069"/>
      <c r="H653" s="1069"/>
      <c r="I653" s="1069"/>
      <c r="J653" s="1069"/>
      <c r="K653" s="1069"/>
      <c r="L653" s="1069"/>
      <c r="M653" s="1069"/>
      <c r="N653" s="1069"/>
      <c r="O653" s="1069"/>
    </row>
    <row r="654" spans="2:15" s="3" customFormat="1" x14ac:dyDescent="0.35">
      <c r="B654" s="190"/>
      <c r="C654" s="191"/>
      <c r="D654" s="191"/>
      <c r="E654" s="191"/>
      <c r="F654" s="191"/>
      <c r="G654" s="191"/>
      <c r="H654" s="191"/>
      <c r="I654" s="191"/>
      <c r="J654" s="191"/>
      <c r="K654" s="191"/>
      <c r="L654" s="191"/>
      <c r="M654" s="191"/>
      <c r="N654" s="191"/>
      <c r="O654" s="192"/>
    </row>
    <row r="655" spans="2:15" s="3" customFormat="1" ht="15" customHeight="1" x14ac:dyDescent="0.35">
      <c r="B655" s="1074" t="s">
        <v>13</v>
      </c>
      <c r="C655" s="1112" t="s">
        <v>0</v>
      </c>
      <c r="D655" s="1112" t="s">
        <v>1</v>
      </c>
      <c r="E655" s="1112" t="s">
        <v>2</v>
      </c>
      <c r="F655" s="1112" t="s">
        <v>3</v>
      </c>
      <c r="G655" s="1112" t="s">
        <v>4</v>
      </c>
      <c r="H655" s="1112" t="s">
        <v>5</v>
      </c>
      <c r="I655" s="1112" t="s">
        <v>6</v>
      </c>
      <c r="J655" s="1112" t="s">
        <v>7</v>
      </c>
      <c r="K655" s="1112" t="s">
        <v>8</v>
      </c>
      <c r="L655" s="1112" t="s">
        <v>9</v>
      </c>
      <c r="M655" s="1112" t="s">
        <v>10</v>
      </c>
      <c r="N655" s="1112" t="s">
        <v>14</v>
      </c>
      <c r="O655" s="1077" t="s">
        <v>15</v>
      </c>
    </row>
    <row r="656" spans="2:15" s="3" customFormat="1" ht="15" customHeight="1" x14ac:dyDescent="0.35">
      <c r="B656" s="1080"/>
      <c r="C656" s="1145"/>
      <c r="D656" s="1145"/>
      <c r="E656" s="1145"/>
      <c r="F656" s="1145"/>
      <c r="G656" s="1145"/>
      <c r="H656" s="1145"/>
      <c r="I656" s="1145"/>
      <c r="J656" s="1145"/>
      <c r="K656" s="1145"/>
      <c r="L656" s="1145"/>
      <c r="M656" s="1145"/>
      <c r="N656" s="1145"/>
      <c r="O656" s="1088"/>
    </row>
    <row r="657" spans="2:15" s="3" customFormat="1" x14ac:dyDescent="0.35">
      <c r="B657" s="193"/>
      <c r="C657" s="1258"/>
      <c r="D657" s="1151"/>
      <c r="E657" s="1151"/>
      <c r="F657" s="1151"/>
      <c r="G657" s="1151"/>
      <c r="H657" s="1151"/>
      <c r="I657" s="1151"/>
      <c r="J657" s="1151"/>
      <c r="K657" s="1151"/>
      <c r="L657" s="1151"/>
      <c r="M657" s="1151"/>
      <c r="N657" s="1151"/>
      <c r="O657" s="1259"/>
    </row>
    <row r="658" spans="2:15" s="3" customFormat="1" x14ac:dyDescent="0.35">
      <c r="B658" s="149" t="s">
        <v>120</v>
      </c>
      <c r="C658" s="203">
        <f>+C660+C665</f>
        <v>620359.69424100022</v>
      </c>
      <c r="D658" s="184">
        <f>+D660+D665</f>
        <v>538237.63383999991</v>
      </c>
      <c r="E658" s="184">
        <f>+E660+E665</f>
        <v>565661.03100000008</v>
      </c>
      <c r="F658" s="184">
        <f>+F660+F665</f>
        <v>690930.23699999996</v>
      </c>
      <c r="G658" s="184">
        <f t="shared" ref="G658:L658" si="129">+G660+G665</f>
        <v>0</v>
      </c>
      <c r="H658" s="184">
        <f t="shared" si="129"/>
        <v>0</v>
      </c>
      <c r="I658" s="184">
        <f t="shared" si="129"/>
        <v>0</v>
      </c>
      <c r="J658" s="184">
        <f t="shared" si="129"/>
        <v>0</v>
      </c>
      <c r="K658" s="184">
        <f t="shared" si="129"/>
        <v>0</v>
      </c>
      <c r="L658" s="184">
        <f t="shared" si="129"/>
        <v>0</v>
      </c>
      <c r="M658" s="184">
        <f>+M660+M665</f>
        <v>0</v>
      </c>
      <c r="N658" s="184">
        <f>+N660+N665</f>
        <v>0</v>
      </c>
      <c r="O658" s="901">
        <f>SUM(C658:N658)</f>
        <v>2415188.5960809998</v>
      </c>
    </row>
    <row r="659" spans="2:15" s="3" customFormat="1" x14ac:dyDescent="0.35">
      <c r="B659" s="149"/>
      <c r="C659" s="203"/>
      <c r="D659" s="184"/>
      <c r="E659" s="184"/>
      <c r="F659" s="184"/>
      <c r="G659" s="184"/>
      <c r="H659" s="184"/>
      <c r="I659" s="184"/>
      <c r="J659" s="184"/>
      <c r="K659" s="184"/>
      <c r="L659" s="184"/>
      <c r="M659" s="184"/>
      <c r="N659" s="184"/>
      <c r="O659" s="901"/>
    </row>
    <row r="660" spans="2:15" s="3" customFormat="1" x14ac:dyDescent="0.35">
      <c r="B660" s="149" t="s">
        <v>129</v>
      </c>
      <c r="C660" s="203">
        <f>SUM(C661:C663)</f>
        <v>618417.55604100018</v>
      </c>
      <c r="D660" s="184">
        <f>SUM(D661:D663)</f>
        <v>536725.43083999993</v>
      </c>
      <c r="E660" s="184">
        <f t="shared" ref="E660:M660" si="130">SUM(E661:E663)</f>
        <v>561818.18000000005</v>
      </c>
      <c r="F660" s="184">
        <f t="shared" si="130"/>
        <v>688145.89799999993</v>
      </c>
      <c r="G660" s="184">
        <f t="shared" si="130"/>
        <v>0</v>
      </c>
      <c r="H660" s="184">
        <f t="shared" si="130"/>
        <v>0</v>
      </c>
      <c r="I660" s="184">
        <f t="shared" si="130"/>
        <v>0</v>
      </c>
      <c r="J660" s="184">
        <f t="shared" si="130"/>
        <v>0</v>
      </c>
      <c r="K660" s="184">
        <f t="shared" si="130"/>
        <v>0</v>
      </c>
      <c r="L660" s="184">
        <f t="shared" si="130"/>
        <v>0</v>
      </c>
      <c r="M660" s="184">
        <f t="shared" si="130"/>
        <v>0</v>
      </c>
      <c r="N660" s="184">
        <f>SUM(N661:N663)</f>
        <v>0</v>
      </c>
      <c r="O660" s="901">
        <f>SUM(C660:N660)</f>
        <v>2405107.0648810002</v>
      </c>
    </row>
    <row r="661" spans="2:15" s="3" customFormat="1" x14ac:dyDescent="0.35">
      <c r="B661" s="208" t="s">
        <v>136</v>
      </c>
      <c r="C661" s="1260">
        <v>249486.69</v>
      </c>
      <c r="D661" s="1260">
        <v>136608.098</v>
      </c>
      <c r="E661" s="1260">
        <v>130183.60400000001</v>
      </c>
      <c r="F661" s="1260">
        <v>244832.41500000001</v>
      </c>
      <c r="G661" s="1260"/>
      <c r="H661" s="1260"/>
      <c r="I661" s="1260"/>
      <c r="J661" s="1260"/>
      <c r="K661" s="1260"/>
      <c r="L661" s="1260"/>
      <c r="M661" s="1260"/>
      <c r="N661" s="1260"/>
      <c r="O661" s="875">
        <f>SUM(C661:N661)</f>
        <v>761110.80700000003</v>
      </c>
    </row>
    <row r="662" spans="2:15" s="3" customFormat="1" x14ac:dyDescent="0.35">
      <c r="B662" s="208" t="s">
        <v>137</v>
      </c>
      <c r="C662" s="1260">
        <v>262640.59100000001</v>
      </c>
      <c r="D662" s="1260">
        <v>305944.67099999997</v>
      </c>
      <c r="E662" s="1260">
        <v>305039.26500000001</v>
      </c>
      <c r="F662" s="1260">
        <v>344637.65400000004</v>
      </c>
      <c r="G662" s="1260"/>
      <c r="H662" s="1260"/>
      <c r="I662" s="1260"/>
      <c r="J662" s="1260"/>
      <c r="K662" s="1260"/>
      <c r="L662" s="1260"/>
      <c r="M662" s="1260"/>
      <c r="N662" s="1260"/>
      <c r="O662" s="875">
        <f>SUM(C662:N662)</f>
        <v>1218262.1810000001</v>
      </c>
    </row>
    <row r="663" spans="2:15" s="3" customFormat="1" x14ac:dyDescent="0.35">
      <c r="B663" s="208" t="s">
        <v>138</v>
      </c>
      <c r="C663" s="1260">
        <v>106290.2750410001</v>
      </c>
      <c r="D663" s="1260">
        <v>94172.661839999913</v>
      </c>
      <c r="E663" s="1260">
        <v>126595.31100000006</v>
      </c>
      <c r="F663" s="1260">
        <v>98675.828999999911</v>
      </c>
      <c r="G663" s="1260"/>
      <c r="H663" s="1260"/>
      <c r="I663" s="1260"/>
      <c r="J663" s="1260"/>
      <c r="K663" s="1260"/>
      <c r="L663" s="1260"/>
      <c r="M663" s="1260"/>
      <c r="N663" s="1260"/>
      <c r="O663" s="875">
        <f>SUM(C663:N663)</f>
        <v>425734.07688099996</v>
      </c>
    </row>
    <row r="664" spans="2:15" s="3" customFormat="1" x14ac:dyDescent="0.35">
      <c r="B664" s="209"/>
      <c r="C664" s="210"/>
      <c r="D664" s="210"/>
      <c r="E664" s="210"/>
      <c r="F664" s="210"/>
      <c r="G664" s="210"/>
      <c r="H664" s="210"/>
      <c r="I664" s="210"/>
      <c r="J664" s="210"/>
      <c r="K664" s="210"/>
      <c r="L664" s="210"/>
      <c r="M664" s="210"/>
      <c r="N664" s="210"/>
      <c r="O664" s="875"/>
    </row>
    <row r="665" spans="2:15" s="3" customFormat="1" x14ac:dyDescent="0.35">
      <c r="B665" s="149" t="s">
        <v>130</v>
      </c>
      <c r="C665" s="203">
        <f>SUM(C666:C668)</f>
        <v>1942.1381999999994</v>
      </c>
      <c r="D665" s="184">
        <f>SUM(D666:D668)</f>
        <v>1512.203</v>
      </c>
      <c r="E665" s="184">
        <f t="shared" ref="E665:M665" si="131">SUM(E666:E668)</f>
        <v>3842.8510000000019</v>
      </c>
      <c r="F665" s="184">
        <f t="shared" si="131"/>
        <v>2784.3390000000009</v>
      </c>
      <c r="G665" s="184">
        <f t="shared" si="131"/>
        <v>0</v>
      </c>
      <c r="H665" s="184">
        <f t="shared" si="131"/>
        <v>0</v>
      </c>
      <c r="I665" s="184">
        <f t="shared" si="131"/>
        <v>0</v>
      </c>
      <c r="J665" s="184">
        <f t="shared" si="131"/>
        <v>0</v>
      </c>
      <c r="K665" s="184">
        <f t="shared" si="131"/>
        <v>0</v>
      </c>
      <c r="L665" s="184">
        <f t="shared" si="131"/>
        <v>0</v>
      </c>
      <c r="M665" s="184">
        <f t="shared" si="131"/>
        <v>0</v>
      </c>
      <c r="N665" s="184">
        <f>SUM(N666:N668)</f>
        <v>0</v>
      </c>
      <c r="O665" s="901">
        <f>SUM(C665:N665)</f>
        <v>10081.531200000001</v>
      </c>
    </row>
    <row r="666" spans="2:15" s="3" customFormat="1" x14ac:dyDescent="0.35">
      <c r="B666" s="208" t="s">
        <v>136</v>
      </c>
      <c r="C666" s="129">
        <v>0</v>
      </c>
      <c r="D666" s="129">
        <v>0</v>
      </c>
      <c r="E666" s="129">
        <v>0</v>
      </c>
      <c r="F666" s="129">
        <v>0</v>
      </c>
      <c r="G666" s="129"/>
      <c r="H666" s="129"/>
      <c r="I666" s="129"/>
      <c r="J666" s="1260"/>
      <c r="K666" s="1260"/>
      <c r="L666" s="1260"/>
      <c r="M666" s="1260"/>
      <c r="N666" s="1260"/>
      <c r="O666" s="875">
        <f>SUM(C666:N666)</f>
        <v>0</v>
      </c>
    </row>
    <row r="667" spans="2:15" s="3" customFormat="1" x14ac:dyDescent="0.35">
      <c r="B667" s="208" t="s">
        <v>137</v>
      </c>
      <c r="C667" s="129">
        <v>0</v>
      </c>
      <c r="D667" s="129">
        <v>0</v>
      </c>
      <c r="E667" s="129">
        <v>0</v>
      </c>
      <c r="F667" s="129">
        <v>0</v>
      </c>
      <c r="G667" s="129"/>
      <c r="H667" s="129"/>
      <c r="I667" s="129"/>
      <c r="J667" s="1260"/>
      <c r="K667" s="1260"/>
      <c r="L667" s="1260"/>
      <c r="M667" s="1260"/>
      <c r="N667" s="1260"/>
      <c r="O667" s="875">
        <f>SUM(C667:N667)</f>
        <v>0</v>
      </c>
    </row>
    <row r="668" spans="2:15" s="3" customFormat="1" x14ac:dyDescent="0.35">
      <c r="B668" s="208" t="s">
        <v>138</v>
      </c>
      <c r="C668" s="129">
        <v>1942.1381999999994</v>
      </c>
      <c r="D668" s="129">
        <v>1512.203</v>
      </c>
      <c r="E668" s="129">
        <v>3842.8510000000019</v>
      </c>
      <c r="F668" s="129">
        <v>2784.3390000000009</v>
      </c>
      <c r="G668" s="129"/>
      <c r="H668" s="129"/>
      <c r="I668" s="129"/>
      <c r="J668" s="1260"/>
      <c r="K668" s="1260"/>
      <c r="L668" s="1260"/>
      <c r="M668" s="1260"/>
      <c r="N668" s="1260"/>
      <c r="O668" s="875">
        <f>SUM(C668:N668)</f>
        <v>10081.531200000001</v>
      </c>
    </row>
    <row r="669" spans="2:15" s="3" customFormat="1" x14ac:dyDescent="0.35">
      <c r="B669" s="208"/>
      <c r="C669" s="1261"/>
      <c r="D669" s="1262"/>
      <c r="E669" s="1262"/>
      <c r="F669" s="1262"/>
      <c r="G669" s="1262"/>
      <c r="H669" s="1262"/>
      <c r="I669" s="1262"/>
      <c r="J669" s="1262"/>
      <c r="K669" s="1262"/>
      <c r="L669" s="1262"/>
      <c r="M669" s="1262"/>
      <c r="N669" s="1262"/>
      <c r="O669" s="875"/>
    </row>
    <row r="670" spans="2:15" s="3" customFormat="1" x14ac:dyDescent="0.35">
      <c r="B670" s="149" t="s">
        <v>126</v>
      </c>
      <c r="C670" s="203">
        <f>+C672+C677</f>
        <v>448697.95699999994</v>
      </c>
      <c r="D670" s="184">
        <f>+D672+D677</f>
        <v>284029.36499999999</v>
      </c>
      <c r="E670" s="184">
        <f>+E672+E677</f>
        <v>232469.658</v>
      </c>
      <c r="F670" s="184">
        <f>+F672+F677</f>
        <v>290201.364</v>
      </c>
      <c r="G670" s="184">
        <f t="shared" ref="G670:L670" si="132">+G672+G677</f>
        <v>0</v>
      </c>
      <c r="H670" s="184">
        <f t="shared" si="132"/>
        <v>0</v>
      </c>
      <c r="I670" s="184">
        <f t="shared" si="132"/>
        <v>0</v>
      </c>
      <c r="J670" s="184">
        <f t="shared" si="132"/>
        <v>0</v>
      </c>
      <c r="K670" s="184">
        <f t="shared" si="132"/>
        <v>0</v>
      </c>
      <c r="L670" s="184">
        <f t="shared" si="132"/>
        <v>0</v>
      </c>
      <c r="M670" s="184">
        <f>+M672+M677</f>
        <v>0</v>
      </c>
      <c r="N670" s="184">
        <f>+N672+N677</f>
        <v>0</v>
      </c>
      <c r="O670" s="901">
        <f>SUM(C670:N670)</f>
        <v>1255398.344</v>
      </c>
    </row>
    <row r="671" spans="2:15" s="3" customFormat="1" x14ac:dyDescent="0.35">
      <c r="B671" s="149"/>
      <c r="C671" s="203"/>
      <c r="D671" s="184"/>
      <c r="E671" s="184"/>
      <c r="F671" s="184"/>
      <c r="G671" s="184"/>
      <c r="H671" s="184"/>
      <c r="I671" s="184"/>
      <c r="J671" s="184"/>
      <c r="K671" s="184"/>
      <c r="L671" s="184"/>
      <c r="M671" s="184"/>
      <c r="N671" s="184"/>
      <c r="O671" s="901"/>
    </row>
    <row r="672" spans="2:15" s="3" customFormat="1" x14ac:dyDescent="0.35">
      <c r="B672" s="149" t="s">
        <v>129</v>
      </c>
      <c r="C672" s="203">
        <f>SUM(C673:C675)</f>
        <v>448697.95699999994</v>
      </c>
      <c r="D672" s="184">
        <f>SUM(D673:D675)</f>
        <v>284029.36499999999</v>
      </c>
      <c r="E672" s="184">
        <f t="shared" ref="E672:M672" si="133">SUM(E673:E675)</f>
        <v>232469.658</v>
      </c>
      <c r="F672" s="184">
        <f t="shared" si="133"/>
        <v>290201.364</v>
      </c>
      <c r="G672" s="184">
        <f t="shared" si="133"/>
        <v>0</v>
      </c>
      <c r="H672" s="184">
        <f t="shared" si="133"/>
        <v>0</v>
      </c>
      <c r="I672" s="184">
        <f t="shared" si="133"/>
        <v>0</v>
      </c>
      <c r="J672" s="184">
        <f t="shared" si="133"/>
        <v>0</v>
      </c>
      <c r="K672" s="184">
        <f t="shared" si="133"/>
        <v>0</v>
      </c>
      <c r="L672" s="184">
        <f t="shared" si="133"/>
        <v>0</v>
      </c>
      <c r="M672" s="184">
        <f t="shared" si="133"/>
        <v>0</v>
      </c>
      <c r="N672" s="184">
        <f>SUM(N673:N675)</f>
        <v>0</v>
      </c>
      <c r="O672" s="901">
        <f t="shared" ref="O672:O680" si="134">SUM(C672:N672)</f>
        <v>1255398.344</v>
      </c>
    </row>
    <row r="673" spans="2:20" s="3" customFormat="1" x14ac:dyDescent="0.35">
      <c r="B673" s="208" t="s">
        <v>136</v>
      </c>
      <c r="C673" s="1260">
        <v>312902.17599999998</v>
      </c>
      <c r="D673" s="1260">
        <v>190256.21600000001</v>
      </c>
      <c r="E673" s="1260">
        <v>191309.78700000001</v>
      </c>
      <c r="F673" s="1260">
        <v>190929.008</v>
      </c>
      <c r="G673" s="1260"/>
      <c r="H673" s="1260"/>
      <c r="I673" s="1260"/>
      <c r="J673" s="1260"/>
      <c r="K673" s="1260"/>
      <c r="L673" s="1260"/>
      <c r="M673" s="1260"/>
      <c r="N673" s="1260"/>
      <c r="O673" s="875">
        <f t="shared" si="134"/>
        <v>885397.18700000003</v>
      </c>
    </row>
    <row r="674" spans="2:20" s="3" customFormat="1" x14ac:dyDescent="0.35">
      <c r="B674" s="208" t="s">
        <v>137</v>
      </c>
      <c r="C674" s="1260">
        <v>0</v>
      </c>
      <c r="D674" s="1260">
        <v>0</v>
      </c>
      <c r="E674" s="1260">
        <v>0</v>
      </c>
      <c r="F674" s="1260">
        <v>0</v>
      </c>
      <c r="G674" s="1260"/>
      <c r="H674" s="1260"/>
      <c r="I674" s="1260"/>
      <c r="J674" s="1260"/>
      <c r="K674" s="1260"/>
      <c r="L674" s="1260"/>
      <c r="M674" s="1260"/>
      <c r="N674" s="1260"/>
      <c r="O674" s="875">
        <f t="shared" si="134"/>
        <v>0</v>
      </c>
    </row>
    <row r="675" spans="2:20" s="3" customFormat="1" x14ac:dyDescent="0.35">
      <c r="B675" s="208" t="s">
        <v>138</v>
      </c>
      <c r="C675" s="1260">
        <v>135795.78099999999</v>
      </c>
      <c r="D675" s="1260">
        <v>93773.149000000005</v>
      </c>
      <c r="E675" s="1260">
        <v>41159.870999999999</v>
      </c>
      <c r="F675" s="1260">
        <v>99272.356</v>
      </c>
      <c r="G675" s="1260"/>
      <c r="H675" s="1260"/>
      <c r="I675" s="1260"/>
      <c r="J675" s="1260"/>
      <c r="K675" s="1260"/>
      <c r="L675" s="1260"/>
      <c r="M675" s="1260"/>
      <c r="N675" s="1260"/>
      <c r="O675" s="875">
        <f t="shared" si="134"/>
        <v>370001.15700000001</v>
      </c>
    </row>
    <row r="676" spans="2:20" s="3" customFormat="1" x14ac:dyDescent="0.35">
      <c r="B676" s="209"/>
      <c r="C676" s="210"/>
      <c r="D676" s="210"/>
      <c r="E676" s="210"/>
      <c r="F676" s="210"/>
      <c r="G676" s="210"/>
      <c r="H676" s="210"/>
      <c r="I676" s="210"/>
      <c r="J676" s="210"/>
      <c r="K676" s="210"/>
      <c r="L676" s="210"/>
      <c r="M676" s="210"/>
      <c r="N676" s="210"/>
      <c r="O676" s="875">
        <f t="shared" si="134"/>
        <v>0</v>
      </c>
    </row>
    <row r="677" spans="2:20" s="3" customFormat="1" x14ac:dyDescent="0.35">
      <c r="B677" s="149" t="s">
        <v>130</v>
      </c>
      <c r="C677" s="203">
        <f>SUM(C678:C680)</f>
        <v>0</v>
      </c>
      <c r="D677" s="184">
        <f>SUM(D678:D680)</f>
        <v>0</v>
      </c>
      <c r="E677" s="184">
        <f t="shared" ref="E677:M677" si="135">SUM(E678:E680)</f>
        <v>0</v>
      </c>
      <c r="F677" s="184">
        <f t="shared" si="135"/>
        <v>0</v>
      </c>
      <c r="G677" s="184">
        <f t="shared" si="135"/>
        <v>0</v>
      </c>
      <c r="H677" s="184">
        <f t="shared" si="135"/>
        <v>0</v>
      </c>
      <c r="I677" s="184">
        <f t="shared" si="135"/>
        <v>0</v>
      </c>
      <c r="J677" s="184">
        <f t="shared" si="135"/>
        <v>0</v>
      </c>
      <c r="K677" s="184">
        <f t="shared" si="135"/>
        <v>0</v>
      </c>
      <c r="L677" s="184">
        <f t="shared" si="135"/>
        <v>0</v>
      </c>
      <c r="M677" s="184">
        <f t="shared" si="135"/>
        <v>0</v>
      </c>
      <c r="N677" s="184">
        <f>SUM(N678:N680)</f>
        <v>0</v>
      </c>
      <c r="O677" s="901">
        <f t="shared" si="134"/>
        <v>0</v>
      </c>
    </row>
    <row r="678" spans="2:20" s="3" customFormat="1" x14ac:dyDescent="0.35">
      <c r="B678" s="208" t="s">
        <v>136</v>
      </c>
      <c r="C678" s="1260">
        <v>0</v>
      </c>
      <c r="D678" s="1260">
        <v>0</v>
      </c>
      <c r="E678" s="1260">
        <v>0</v>
      </c>
      <c r="F678" s="1260">
        <v>0</v>
      </c>
      <c r="G678" s="1260"/>
      <c r="H678" s="1260"/>
      <c r="I678" s="1260"/>
      <c r="J678" s="1260"/>
      <c r="K678" s="1260"/>
      <c r="L678" s="1260"/>
      <c r="M678" s="1260"/>
      <c r="N678" s="1260"/>
      <c r="O678" s="875">
        <f t="shared" si="134"/>
        <v>0</v>
      </c>
    </row>
    <row r="679" spans="2:20" s="3" customFormat="1" x14ac:dyDescent="0.35">
      <c r="B679" s="208" t="s">
        <v>137</v>
      </c>
      <c r="C679" s="1260">
        <v>0</v>
      </c>
      <c r="D679" s="1260">
        <v>0</v>
      </c>
      <c r="E679" s="1260">
        <v>0</v>
      </c>
      <c r="F679" s="1260">
        <v>0</v>
      </c>
      <c r="G679" s="1260"/>
      <c r="H679" s="1260"/>
      <c r="I679" s="1260"/>
      <c r="J679" s="1260"/>
      <c r="K679" s="1260"/>
      <c r="L679" s="1260"/>
      <c r="M679" s="1260"/>
      <c r="N679" s="1260"/>
      <c r="O679" s="875">
        <f t="shared" si="134"/>
        <v>0</v>
      </c>
    </row>
    <row r="680" spans="2:20" s="3" customFormat="1" x14ac:dyDescent="0.35">
      <c r="B680" s="208" t="s">
        <v>138</v>
      </c>
      <c r="C680" s="1260">
        <v>0</v>
      </c>
      <c r="D680" s="1260">
        <v>0</v>
      </c>
      <c r="E680" s="1260">
        <v>0</v>
      </c>
      <c r="F680" s="1260">
        <v>0</v>
      </c>
      <c r="G680" s="1260"/>
      <c r="H680" s="1260"/>
      <c r="I680" s="1260"/>
      <c r="J680" s="1260"/>
      <c r="K680" s="1260"/>
      <c r="L680" s="1260"/>
      <c r="M680" s="1260"/>
      <c r="N680" s="1260"/>
      <c r="O680" s="875">
        <f t="shared" si="134"/>
        <v>0</v>
      </c>
    </row>
    <row r="681" spans="2:20" s="3" customFormat="1" x14ac:dyDescent="0.35">
      <c r="B681" s="211"/>
      <c r="C681" s="212"/>
      <c r="D681" s="212"/>
      <c r="E681" s="212"/>
      <c r="F681" s="212"/>
      <c r="G681" s="212"/>
      <c r="H681" s="212"/>
      <c r="I681" s="212"/>
      <c r="J681" s="212"/>
      <c r="K681" s="212"/>
      <c r="L681" s="212"/>
      <c r="M681" s="212"/>
      <c r="N681" s="212"/>
      <c r="O681" s="1263"/>
    </row>
    <row r="682" spans="2:20" s="3" customFormat="1" x14ac:dyDescent="0.35">
      <c r="B682" s="431" t="s">
        <v>36</v>
      </c>
      <c r="C682" s="1264">
        <f>+C658+C670</f>
        <v>1069057.6512410003</v>
      </c>
      <c r="D682" s="1264">
        <f>+D658+D670</f>
        <v>822266.9988399999</v>
      </c>
      <c r="E682" s="1264">
        <f>+E658+E670</f>
        <v>798130.68900000001</v>
      </c>
      <c r="F682" s="1264">
        <f>+F658+F670</f>
        <v>981131.60100000002</v>
      </c>
      <c r="G682" s="1264">
        <f t="shared" ref="G682:L682" si="136">+G658+G670</f>
        <v>0</v>
      </c>
      <c r="H682" s="1264">
        <f t="shared" si="136"/>
        <v>0</v>
      </c>
      <c r="I682" s="1264">
        <f t="shared" si="136"/>
        <v>0</v>
      </c>
      <c r="J682" s="1264">
        <f t="shared" si="136"/>
        <v>0</v>
      </c>
      <c r="K682" s="1264">
        <f t="shared" si="136"/>
        <v>0</v>
      </c>
      <c r="L682" s="1264">
        <f t="shared" si="136"/>
        <v>0</v>
      </c>
      <c r="M682" s="1264">
        <f>+M658+M670</f>
        <v>0</v>
      </c>
      <c r="N682" s="1264">
        <f>+N658+N670</f>
        <v>0</v>
      </c>
      <c r="O682" s="1265">
        <f>SUM(C682:N682)</f>
        <v>3670586.9400810003</v>
      </c>
    </row>
    <row r="683" spans="2:20" x14ac:dyDescent="0.35">
      <c r="B683" s="214"/>
      <c r="C683" s="203"/>
      <c r="D683" s="215"/>
      <c r="E683" s="215"/>
      <c r="F683" s="215"/>
      <c r="G683" s="215"/>
      <c r="H683" s="215"/>
      <c r="I683" s="215"/>
      <c r="J683" s="215"/>
      <c r="K683" s="215"/>
      <c r="L683" s="215"/>
      <c r="M683" s="215"/>
      <c r="N683" s="215"/>
      <c r="O683" s="1248"/>
      <c r="P683" s="3"/>
      <c r="Q683" s="3"/>
      <c r="R683" s="3"/>
      <c r="S683" s="3"/>
      <c r="T683" s="3"/>
    </row>
    <row r="684" spans="2:20" s="3" customFormat="1" x14ac:dyDescent="0.35">
      <c r="B684" s="149" t="s">
        <v>129</v>
      </c>
      <c r="C684" s="203">
        <f t="shared" ref="C684:M687" si="137">+C660+C672</f>
        <v>1067115.5130410001</v>
      </c>
      <c r="D684" s="184">
        <f t="shared" si="137"/>
        <v>820754.79583999992</v>
      </c>
      <c r="E684" s="184">
        <f t="shared" si="137"/>
        <v>794287.83799999999</v>
      </c>
      <c r="F684" s="184">
        <f t="shared" si="137"/>
        <v>978347.26199999987</v>
      </c>
      <c r="G684" s="184">
        <f t="shared" si="137"/>
        <v>0</v>
      </c>
      <c r="H684" s="184">
        <f t="shared" si="137"/>
        <v>0</v>
      </c>
      <c r="I684" s="184">
        <f t="shared" si="137"/>
        <v>0</v>
      </c>
      <c r="J684" s="184">
        <f t="shared" si="137"/>
        <v>0</v>
      </c>
      <c r="K684" s="184">
        <f t="shared" si="137"/>
        <v>0</v>
      </c>
      <c r="L684" s="184">
        <f t="shared" si="137"/>
        <v>0</v>
      </c>
      <c r="M684" s="184">
        <f t="shared" si="137"/>
        <v>0</v>
      </c>
      <c r="N684" s="184">
        <f>+N660+N672</f>
        <v>0</v>
      </c>
      <c r="O684" s="1248">
        <f>SUM(C684:N684)</f>
        <v>3660505.4088810002</v>
      </c>
      <c r="P684" s="324"/>
      <c r="Q684" s="324"/>
      <c r="R684" s="324"/>
      <c r="S684" s="324"/>
      <c r="T684" s="324"/>
    </row>
    <row r="685" spans="2:20" s="3" customFormat="1" x14ac:dyDescent="0.35">
      <c r="B685" s="208" t="s">
        <v>136</v>
      </c>
      <c r="C685" s="147">
        <f t="shared" si="137"/>
        <v>562388.86599999992</v>
      </c>
      <c r="D685" s="147">
        <f t="shared" si="137"/>
        <v>326864.31400000001</v>
      </c>
      <c r="E685" s="147">
        <f t="shared" si="137"/>
        <v>321493.391</v>
      </c>
      <c r="F685" s="147">
        <f t="shared" si="137"/>
        <v>435761.42300000001</v>
      </c>
      <c r="G685" s="147">
        <f t="shared" si="137"/>
        <v>0</v>
      </c>
      <c r="H685" s="147">
        <f t="shared" si="137"/>
        <v>0</v>
      </c>
      <c r="I685" s="147">
        <f t="shared" si="137"/>
        <v>0</v>
      </c>
      <c r="J685" s="147">
        <f t="shared" si="137"/>
        <v>0</v>
      </c>
      <c r="K685" s="147">
        <f t="shared" si="137"/>
        <v>0</v>
      </c>
      <c r="L685" s="147">
        <f t="shared" si="137"/>
        <v>0</v>
      </c>
      <c r="M685" s="147">
        <f t="shared" si="137"/>
        <v>0</v>
      </c>
      <c r="N685" s="147">
        <f>+N661+N673</f>
        <v>0</v>
      </c>
      <c r="O685" s="1252">
        <f>SUM(C685:N685)</f>
        <v>1646507.9939999999</v>
      </c>
    </row>
    <row r="686" spans="2:20" s="3" customFormat="1" x14ac:dyDescent="0.35">
      <c r="B686" s="208" t="s">
        <v>137</v>
      </c>
      <c r="C686" s="147">
        <f t="shared" si="137"/>
        <v>262640.59100000001</v>
      </c>
      <c r="D686" s="147">
        <f t="shared" si="137"/>
        <v>305944.67099999997</v>
      </c>
      <c r="E686" s="147">
        <f t="shared" si="137"/>
        <v>305039.26500000001</v>
      </c>
      <c r="F686" s="147">
        <f t="shared" si="137"/>
        <v>344637.65400000004</v>
      </c>
      <c r="G686" s="147">
        <f t="shared" si="137"/>
        <v>0</v>
      </c>
      <c r="H686" s="147">
        <f t="shared" si="137"/>
        <v>0</v>
      </c>
      <c r="I686" s="147">
        <f t="shared" si="137"/>
        <v>0</v>
      </c>
      <c r="J686" s="147">
        <f t="shared" si="137"/>
        <v>0</v>
      </c>
      <c r="K686" s="147">
        <f t="shared" si="137"/>
        <v>0</v>
      </c>
      <c r="L686" s="147">
        <f t="shared" si="137"/>
        <v>0</v>
      </c>
      <c r="M686" s="147">
        <f t="shared" si="137"/>
        <v>0</v>
      </c>
      <c r="N686" s="147">
        <f>+N662+N674</f>
        <v>0</v>
      </c>
      <c r="O686" s="1252">
        <f>SUM(C686:N686)</f>
        <v>1218262.1810000001</v>
      </c>
    </row>
    <row r="687" spans="2:20" s="3" customFormat="1" x14ac:dyDescent="0.35">
      <c r="B687" s="208" t="s">
        <v>138</v>
      </c>
      <c r="C687" s="147">
        <f t="shared" si="137"/>
        <v>242086.05604100009</v>
      </c>
      <c r="D687" s="147">
        <f t="shared" si="137"/>
        <v>187945.81083999993</v>
      </c>
      <c r="E687" s="147">
        <f t="shared" si="137"/>
        <v>167755.18200000006</v>
      </c>
      <c r="F687" s="147">
        <f t="shared" si="137"/>
        <v>197948.18499999991</v>
      </c>
      <c r="G687" s="147">
        <f t="shared" si="137"/>
        <v>0</v>
      </c>
      <c r="H687" s="147">
        <f t="shared" si="137"/>
        <v>0</v>
      </c>
      <c r="I687" s="147">
        <f t="shared" si="137"/>
        <v>0</v>
      </c>
      <c r="J687" s="147">
        <f t="shared" si="137"/>
        <v>0</v>
      </c>
      <c r="K687" s="147">
        <f t="shared" si="137"/>
        <v>0</v>
      </c>
      <c r="L687" s="147">
        <f t="shared" si="137"/>
        <v>0</v>
      </c>
      <c r="M687" s="147">
        <f t="shared" si="137"/>
        <v>0</v>
      </c>
      <c r="N687" s="147">
        <f>+N663+N675</f>
        <v>0</v>
      </c>
      <c r="O687" s="1252">
        <f>SUM(C687:N687)</f>
        <v>795735.23388099996</v>
      </c>
    </row>
    <row r="688" spans="2:20" s="3" customFormat="1" ht="22.5" customHeight="1" x14ac:dyDescent="0.35">
      <c r="B688" s="209"/>
      <c r="C688" s="216"/>
      <c r="D688" s="216"/>
      <c r="E688" s="216"/>
      <c r="F688" s="216"/>
      <c r="G688" s="216"/>
      <c r="H688" s="216"/>
      <c r="I688" s="216"/>
      <c r="J688" s="216"/>
      <c r="K688" s="216"/>
      <c r="L688" s="216"/>
      <c r="M688" s="216"/>
      <c r="N688" s="216"/>
      <c r="O688" s="1266"/>
    </row>
    <row r="689" spans="1:20" s="3" customFormat="1" x14ac:dyDescent="0.35">
      <c r="B689" s="149" t="s">
        <v>130</v>
      </c>
      <c r="C689" s="203">
        <f t="shared" ref="C689:M692" si="138">+C665+C677</f>
        <v>1942.1381999999994</v>
      </c>
      <c r="D689" s="184">
        <f t="shared" si="138"/>
        <v>1512.203</v>
      </c>
      <c r="E689" s="184">
        <f t="shared" si="138"/>
        <v>3842.8510000000019</v>
      </c>
      <c r="F689" s="184">
        <f t="shared" si="138"/>
        <v>2784.3390000000009</v>
      </c>
      <c r="G689" s="184">
        <f t="shared" si="138"/>
        <v>0</v>
      </c>
      <c r="H689" s="184">
        <f t="shared" si="138"/>
        <v>0</v>
      </c>
      <c r="I689" s="184">
        <f t="shared" si="138"/>
        <v>0</v>
      </c>
      <c r="J689" s="184">
        <f t="shared" si="138"/>
        <v>0</v>
      </c>
      <c r="K689" s="184">
        <f t="shared" si="138"/>
        <v>0</v>
      </c>
      <c r="L689" s="184">
        <f t="shared" si="138"/>
        <v>0</v>
      </c>
      <c r="M689" s="184">
        <f t="shared" si="138"/>
        <v>0</v>
      </c>
      <c r="N689" s="184">
        <f>+N665+N677</f>
        <v>0</v>
      </c>
      <c r="O689" s="1248">
        <f>SUM(C689:N689)</f>
        <v>10081.531200000001</v>
      </c>
    </row>
    <row r="690" spans="1:20" ht="15" customHeight="1" x14ac:dyDescent="0.35">
      <c r="B690" s="208" t="s">
        <v>136</v>
      </c>
      <c r="C690" s="147">
        <f t="shared" si="138"/>
        <v>0</v>
      </c>
      <c r="D690" s="147">
        <f t="shared" si="138"/>
        <v>0</v>
      </c>
      <c r="E690" s="147">
        <f t="shared" si="138"/>
        <v>0</v>
      </c>
      <c r="F690" s="147">
        <f t="shared" si="138"/>
        <v>0</v>
      </c>
      <c r="G690" s="147">
        <f t="shared" si="138"/>
        <v>0</v>
      </c>
      <c r="H690" s="147">
        <f t="shared" si="138"/>
        <v>0</v>
      </c>
      <c r="I690" s="147">
        <f t="shared" si="138"/>
        <v>0</v>
      </c>
      <c r="J690" s="147">
        <f t="shared" si="138"/>
        <v>0</v>
      </c>
      <c r="K690" s="147">
        <f t="shared" si="138"/>
        <v>0</v>
      </c>
      <c r="L690" s="147">
        <f t="shared" si="138"/>
        <v>0</v>
      </c>
      <c r="M690" s="147">
        <f t="shared" si="138"/>
        <v>0</v>
      </c>
      <c r="N690" s="147">
        <f>+N666+N678</f>
        <v>0</v>
      </c>
      <c r="O690" s="1252">
        <f>SUM(C690:N690)</f>
        <v>0</v>
      </c>
      <c r="P690" s="3"/>
      <c r="Q690" s="3"/>
      <c r="R690" s="3"/>
      <c r="S690" s="3"/>
      <c r="T690" s="3"/>
    </row>
    <row r="691" spans="1:20" x14ac:dyDescent="0.35">
      <c r="B691" s="208" t="s">
        <v>137</v>
      </c>
      <c r="C691" s="147">
        <f t="shared" si="138"/>
        <v>0</v>
      </c>
      <c r="D691" s="147">
        <f t="shared" si="138"/>
        <v>0</v>
      </c>
      <c r="E691" s="147">
        <f t="shared" si="138"/>
        <v>0</v>
      </c>
      <c r="F691" s="147">
        <f t="shared" si="138"/>
        <v>0</v>
      </c>
      <c r="G691" s="147">
        <f t="shared" si="138"/>
        <v>0</v>
      </c>
      <c r="H691" s="147">
        <f t="shared" si="138"/>
        <v>0</v>
      </c>
      <c r="I691" s="147">
        <f t="shared" si="138"/>
        <v>0</v>
      </c>
      <c r="J691" s="147">
        <f t="shared" si="138"/>
        <v>0</v>
      </c>
      <c r="K691" s="147">
        <f t="shared" si="138"/>
        <v>0</v>
      </c>
      <c r="L691" s="147">
        <f t="shared" si="138"/>
        <v>0</v>
      </c>
      <c r="M691" s="147">
        <f t="shared" si="138"/>
        <v>0</v>
      </c>
      <c r="N691" s="147">
        <f>+N667+N679</f>
        <v>0</v>
      </c>
      <c r="O691" s="1252">
        <f>SUM(C691:N691)</f>
        <v>0</v>
      </c>
    </row>
    <row r="692" spans="1:20" s="3" customFormat="1" x14ac:dyDescent="0.35">
      <c r="B692" s="208" t="s">
        <v>138</v>
      </c>
      <c r="C692" s="147">
        <f t="shared" si="138"/>
        <v>1942.1381999999994</v>
      </c>
      <c r="D692" s="147">
        <f t="shared" si="138"/>
        <v>1512.203</v>
      </c>
      <c r="E692" s="147">
        <f t="shared" si="138"/>
        <v>3842.8510000000019</v>
      </c>
      <c r="F692" s="147">
        <f t="shared" si="138"/>
        <v>2784.3390000000009</v>
      </c>
      <c r="G692" s="147">
        <f t="shared" si="138"/>
        <v>0</v>
      </c>
      <c r="H692" s="147">
        <f t="shared" si="138"/>
        <v>0</v>
      </c>
      <c r="I692" s="147">
        <f t="shared" si="138"/>
        <v>0</v>
      </c>
      <c r="J692" s="147">
        <f t="shared" si="138"/>
        <v>0</v>
      </c>
      <c r="K692" s="147">
        <f t="shared" si="138"/>
        <v>0</v>
      </c>
      <c r="L692" s="147">
        <f t="shared" si="138"/>
        <v>0</v>
      </c>
      <c r="M692" s="147">
        <f t="shared" si="138"/>
        <v>0</v>
      </c>
      <c r="N692" s="147">
        <f>+N668+N680</f>
        <v>0</v>
      </c>
      <c r="O692" s="875">
        <f>SUM(C692:N692)</f>
        <v>10081.531200000001</v>
      </c>
      <c r="P692" s="324"/>
      <c r="Q692" s="324"/>
      <c r="R692" s="324"/>
      <c r="S692" s="324"/>
      <c r="T692" s="324"/>
    </row>
    <row r="693" spans="1:20" s="3" customFormat="1" x14ac:dyDescent="0.35">
      <c r="B693" s="195"/>
      <c r="C693" s="218"/>
      <c r="D693" s="218"/>
      <c r="E693" s="218"/>
      <c r="F693" s="218"/>
      <c r="G693" s="218"/>
      <c r="H693" s="218"/>
      <c r="I693" s="218"/>
      <c r="J693" s="218"/>
      <c r="K693" s="218"/>
      <c r="L693" s="218"/>
      <c r="M693" s="218"/>
      <c r="N693" s="218"/>
      <c r="O693" s="1243"/>
    </row>
    <row r="694" spans="1:20" s="3" customFormat="1" x14ac:dyDescent="0.35">
      <c r="B694" s="197"/>
      <c r="C694" s="219"/>
      <c r="D694" s="219"/>
      <c r="E694" s="219"/>
      <c r="F694" s="219"/>
      <c r="G694" s="219"/>
      <c r="H694" s="219"/>
      <c r="I694" s="219"/>
      <c r="J694" s="219"/>
      <c r="K694" s="219"/>
      <c r="L694" s="219"/>
      <c r="M694" s="219"/>
      <c r="N694" s="219"/>
      <c r="O694" s="1244"/>
    </row>
    <row r="695" spans="1:20" s="3" customFormat="1" x14ac:dyDescent="0.35">
      <c r="B695" s="1075" t="s">
        <v>139</v>
      </c>
      <c r="C695" s="1075"/>
      <c r="D695" s="1075"/>
      <c r="E695" s="1075"/>
      <c r="F695" s="1075"/>
      <c r="G695" s="1075"/>
      <c r="H695" s="1075"/>
      <c r="I695" s="1075"/>
      <c r="J695" s="1075"/>
      <c r="K695" s="1075"/>
      <c r="L695" s="1075"/>
      <c r="M695" s="1075"/>
      <c r="N695" s="1075"/>
      <c r="O695" s="1075"/>
    </row>
    <row r="696" spans="1:20" s="3" customFormat="1" x14ac:dyDescent="0.35">
      <c r="B696" s="105"/>
      <c r="C696" s="106"/>
      <c r="D696" s="106"/>
      <c r="E696" s="106"/>
      <c r="F696" s="106"/>
      <c r="G696" s="106"/>
      <c r="H696" s="106"/>
      <c r="I696" s="106"/>
      <c r="J696" s="106"/>
      <c r="K696" s="106"/>
      <c r="L696" s="106"/>
      <c r="M696" s="106"/>
      <c r="N696" s="106"/>
      <c r="O696" s="11"/>
    </row>
    <row r="697" spans="1:20" s="3" customFormat="1" x14ac:dyDescent="0.35">
      <c r="B697" s="1067" t="s">
        <v>530</v>
      </c>
      <c r="C697" s="1067"/>
      <c r="D697" s="1067"/>
      <c r="E697" s="1067"/>
      <c r="F697" s="1067"/>
      <c r="G697" s="1067"/>
      <c r="H697" s="1067"/>
      <c r="I697" s="1067"/>
      <c r="J697" s="1067"/>
      <c r="K697" s="1067"/>
      <c r="L697" s="1067"/>
      <c r="M697" s="1067"/>
      <c r="N697" s="1067"/>
      <c r="O697" s="1067"/>
    </row>
    <row r="698" spans="1:20" s="3" customFormat="1" x14ac:dyDescent="0.35">
      <c r="B698" s="173"/>
      <c r="C698" s="174"/>
      <c r="D698" s="174"/>
      <c r="E698" s="174"/>
      <c r="F698" s="174"/>
      <c r="G698" s="174"/>
      <c r="H698" s="174"/>
      <c r="I698" s="174"/>
      <c r="J698" s="180"/>
      <c r="K698" s="180"/>
      <c r="L698" s="180"/>
      <c r="M698" s="180"/>
      <c r="N698" s="180"/>
      <c r="O698" s="11"/>
    </row>
    <row r="699" spans="1:20" s="3" customFormat="1" ht="15" customHeight="1" x14ac:dyDescent="0.35">
      <c r="B699" s="1074" t="s">
        <v>13</v>
      </c>
      <c r="C699" s="1112" t="s">
        <v>0</v>
      </c>
      <c r="D699" s="1112" t="s">
        <v>1</v>
      </c>
      <c r="E699" s="1112" t="s">
        <v>2</v>
      </c>
      <c r="F699" s="1112" t="s">
        <v>3</v>
      </c>
      <c r="G699" s="1112" t="s">
        <v>4</v>
      </c>
      <c r="H699" s="1112" t="s">
        <v>5</v>
      </c>
      <c r="I699" s="1112" t="s">
        <v>6</v>
      </c>
      <c r="J699" s="1112" t="s">
        <v>7</v>
      </c>
      <c r="K699" s="1112" t="s">
        <v>8</v>
      </c>
      <c r="L699" s="1112" t="s">
        <v>9</v>
      </c>
      <c r="M699" s="1112" t="s">
        <v>10</v>
      </c>
      <c r="N699" s="1112" t="s">
        <v>14</v>
      </c>
      <c r="O699" s="1077" t="s">
        <v>15</v>
      </c>
    </row>
    <row r="700" spans="1:20" s="3" customFormat="1" ht="15" customHeight="1" x14ac:dyDescent="0.35">
      <c r="B700" s="1080"/>
      <c r="C700" s="1145"/>
      <c r="D700" s="1145"/>
      <c r="E700" s="1145"/>
      <c r="F700" s="1145"/>
      <c r="G700" s="1145"/>
      <c r="H700" s="1145"/>
      <c r="I700" s="1145"/>
      <c r="J700" s="1145"/>
      <c r="K700" s="1145"/>
      <c r="L700" s="1145"/>
      <c r="M700" s="1145"/>
      <c r="N700" s="1145"/>
      <c r="O700" s="1088"/>
    </row>
    <row r="701" spans="1:20" s="3" customFormat="1" x14ac:dyDescent="0.35">
      <c r="B701" s="161"/>
      <c r="C701" s="1127"/>
      <c r="D701" s="1127"/>
      <c r="E701" s="1127"/>
      <c r="F701" s="1127"/>
      <c r="G701" s="1127"/>
      <c r="H701" s="1127"/>
      <c r="I701" s="1127"/>
      <c r="J701" s="1127"/>
      <c r="K701" s="1127"/>
      <c r="L701" s="1127"/>
      <c r="M701" s="1127"/>
      <c r="N701" s="1127"/>
      <c r="O701" s="109"/>
    </row>
    <row r="702" spans="1:20" s="135" customFormat="1" x14ac:dyDescent="0.35">
      <c r="A702" s="359"/>
      <c r="B702" s="1267" t="s">
        <v>47</v>
      </c>
      <c r="C702" s="175">
        <f>SUM(C704:C706)</f>
        <v>2104546.5357760051</v>
      </c>
      <c r="D702" s="175">
        <f>SUM(D704:D706)</f>
        <v>1938015.9147389997</v>
      </c>
      <c r="E702" s="175">
        <f t="shared" ref="E702:M702" si="139">SUM(E704:E706)</f>
        <v>2338644.4846400009</v>
      </c>
      <c r="F702" s="175">
        <f t="shared" si="139"/>
        <v>2214435.3629999971</v>
      </c>
      <c r="G702" s="175">
        <f t="shared" si="139"/>
        <v>0</v>
      </c>
      <c r="H702" s="175">
        <f t="shared" si="139"/>
        <v>0</v>
      </c>
      <c r="I702" s="175">
        <f t="shared" si="139"/>
        <v>0</v>
      </c>
      <c r="J702" s="175">
        <f t="shared" si="139"/>
        <v>0</v>
      </c>
      <c r="K702" s="175">
        <f t="shared" si="139"/>
        <v>0</v>
      </c>
      <c r="L702" s="175">
        <f t="shared" si="139"/>
        <v>0</v>
      </c>
      <c r="M702" s="175">
        <f t="shared" si="139"/>
        <v>0</v>
      </c>
      <c r="N702" s="175">
        <f>SUM(N704:N706)</f>
        <v>0</v>
      </c>
      <c r="O702" s="163">
        <f>SUM(C702:N702)</f>
        <v>8595642.2981550023</v>
      </c>
    </row>
    <row r="703" spans="1:20" s="135" customFormat="1" x14ac:dyDescent="0.35">
      <c r="A703" s="359"/>
      <c r="B703" s="1268"/>
      <c r="C703" s="175"/>
      <c r="D703" s="175"/>
      <c r="E703" s="175"/>
      <c r="F703" s="175"/>
      <c r="G703" s="175"/>
      <c r="H703" s="175"/>
      <c r="I703" s="175"/>
      <c r="J703" s="175"/>
      <c r="K703" s="175"/>
      <c r="L703" s="175"/>
      <c r="M703" s="175"/>
      <c r="N703" s="175"/>
      <c r="O703" s="164"/>
    </row>
    <row r="704" spans="1:20" s="135" customFormat="1" x14ac:dyDescent="0.35">
      <c r="B704" s="1269" t="s">
        <v>41</v>
      </c>
      <c r="C704" s="176">
        <f>+C628</f>
        <v>618417.55604100053</v>
      </c>
      <c r="D704" s="176">
        <f>+D628</f>
        <v>536725.43083999993</v>
      </c>
      <c r="E704" s="176">
        <f>+E628</f>
        <v>561818.17999999993</v>
      </c>
      <c r="F704" s="176">
        <f>+F628</f>
        <v>688145.89799999993</v>
      </c>
      <c r="G704" s="176">
        <f t="shared" ref="G704:L704" si="140">+G628</f>
        <v>0</v>
      </c>
      <c r="H704" s="176">
        <f t="shared" si="140"/>
        <v>0</v>
      </c>
      <c r="I704" s="176">
        <f t="shared" si="140"/>
        <v>0</v>
      </c>
      <c r="J704" s="176">
        <f t="shared" si="140"/>
        <v>0</v>
      </c>
      <c r="K704" s="176">
        <f t="shared" si="140"/>
        <v>0</v>
      </c>
      <c r="L704" s="176">
        <f t="shared" si="140"/>
        <v>0</v>
      </c>
      <c r="M704" s="176">
        <f>+M628</f>
        <v>0</v>
      </c>
      <c r="N704" s="176">
        <f>+N628</f>
        <v>0</v>
      </c>
      <c r="O704" s="164">
        <f>SUM(C704:N704)</f>
        <v>2405107.0648810002</v>
      </c>
    </row>
    <row r="705" spans="1:20" s="135" customFormat="1" x14ac:dyDescent="0.35">
      <c r="B705" s="1269" t="s">
        <v>42</v>
      </c>
      <c r="C705" s="176">
        <f>+C337</f>
        <v>1398594.9867350047</v>
      </c>
      <c r="D705" s="176">
        <f>+D337</f>
        <v>1313432.5063989998</v>
      </c>
      <c r="E705" s="176">
        <f>+E337</f>
        <v>1672035.0976400012</v>
      </c>
      <c r="F705" s="176">
        <f>+F337</f>
        <v>1460682.7279899972</v>
      </c>
      <c r="G705" s="176">
        <f t="shared" ref="G705:L705" si="141">+G337</f>
        <v>0</v>
      </c>
      <c r="H705" s="176">
        <f t="shared" si="141"/>
        <v>0</v>
      </c>
      <c r="I705" s="176">
        <f t="shared" si="141"/>
        <v>0</v>
      </c>
      <c r="J705" s="176">
        <f t="shared" si="141"/>
        <v>0</v>
      </c>
      <c r="K705" s="176">
        <f t="shared" si="141"/>
        <v>0</v>
      </c>
      <c r="L705" s="176">
        <f t="shared" si="141"/>
        <v>0</v>
      </c>
      <c r="M705" s="176">
        <f>+M337</f>
        <v>0</v>
      </c>
      <c r="N705" s="176">
        <f>+N337</f>
        <v>0</v>
      </c>
      <c r="O705" s="164">
        <f>SUM(C705:N705)</f>
        <v>5844745.318764003</v>
      </c>
    </row>
    <row r="706" spans="1:20" s="135" customFormat="1" x14ac:dyDescent="0.35">
      <c r="B706" s="1269" t="s">
        <v>43</v>
      </c>
      <c r="C706" s="220">
        <f>+C707+C708</f>
        <v>87533.993000000017</v>
      </c>
      <c r="D706" s="220">
        <f>+D707+D708</f>
        <v>87857.977500000008</v>
      </c>
      <c r="E706" s="220">
        <f>+E707+E708</f>
        <v>104791.20700000002</v>
      </c>
      <c r="F706" s="220">
        <f>+F707+F708</f>
        <v>65606.737010000012</v>
      </c>
      <c r="G706" s="220">
        <f t="shared" ref="G706:L706" si="142">+G707+G708</f>
        <v>0</v>
      </c>
      <c r="H706" s="220">
        <f t="shared" si="142"/>
        <v>0</v>
      </c>
      <c r="I706" s="220">
        <f t="shared" si="142"/>
        <v>0</v>
      </c>
      <c r="J706" s="220">
        <f t="shared" si="142"/>
        <v>0</v>
      </c>
      <c r="K706" s="220">
        <f t="shared" si="142"/>
        <v>0</v>
      </c>
      <c r="L706" s="220">
        <f t="shared" si="142"/>
        <v>0</v>
      </c>
      <c r="M706" s="220">
        <f>+M707+M708</f>
        <v>0</v>
      </c>
      <c r="N706" s="220">
        <f>+N707+N708</f>
        <v>0</v>
      </c>
      <c r="O706" s="164">
        <f>SUM(C706:N706)</f>
        <v>345789.91451000003</v>
      </c>
    </row>
    <row r="707" spans="1:20" s="8" customFormat="1" x14ac:dyDescent="0.35">
      <c r="B707" s="1269" t="s">
        <v>140</v>
      </c>
      <c r="C707" s="177">
        <f>C303</f>
        <v>63592.871500000008</v>
      </c>
      <c r="D707" s="177">
        <f>D303</f>
        <v>63749.178000000014</v>
      </c>
      <c r="E707" s="177">
        <f>E303</f>
        <v>77121.657000000021</v>
      </c>
      <c r="F707" s="177">
        <f>F303</f>
        <v>57048.677010000014</v>
      </c>
      <c r="G707" s="177">
        <f t="shared" ref="G707:L707" si="143">G303</f>
        <v>0</v>
      </c>
      <c r="H707" s="177">
        <f t="shared" si="143"/>
        <v>0</v>
      </c>
      <c r="I707" s="177">
        <f t="shared" si="143"/>
        <v>0</v>
      </c>
      <c r="J707" s="177">
        <f t="shared" si="143"/>
        <v>0</v>
      </c>
      <c r="K707" s="177">
        <f t="shared" si="143"/>
        <v>0</v>
      </c>
      <c r="L707" s="177">
        <f t="shared" si="143"/>
        <v>0</v>
      </c>
      <c r="M707" s="177">
        <f>M303</f>
        <v>0</v>
      </c>
      <c r="N707" s="177">
        <f>N303</f>
        <v>0</v>
      </c>
      <c r="O707" s="164">
        <f>SUM(C707:N707)</f>
        <v>261512.38351000004</v>
      </c>
      <c r="P707" s="135"/>
      <c r="Q707" s="135"/>
      <c r="R707" s="135"/>
      <c r="S707" s="135"/>
      <c r="T707" s="135"/>
    </row>
    <row r="708" spans="1:20" s="8" customFormat="1" x14ac:dyDescent="0.35">
      <c r="B708" s="1269" t="s">
        <v>141</v>
      </c>
      <c r="C708" s="29">
        <f>+C304</f>
        <v>23941.121500000001</v>
      </c>
      <c r="D708" s="29">
        <f>+D304</f>
        <v>24108.799499999997</v>
      </c>
      <c r="E708" s="29">
        <f>+E304</f>
        <v>27669.549999999996</v>
      </c>
      <c r="F708" s="29">
        <f>+F304</f>
        <v>8558.0599999999977</v>
      </c>
      <c r="G708" s="29">
        <f t="shared" ref="G708:L708" si="144">+G304</f>
        <v>0</v>
      </c>
      <c r="H708" s="29">
        <f t="shared" si="144"/>
        <v>0</v>
      </c>
      <c r="I708" s="29">
        <f t="shared" si="144"/>
        <v>0</v>
      </c>
      <c r="J708" s="29">
        <f t="shared" si="144"/>
        <v>0</v>
      </c>
      <c r="K708" s="29">
        <f t="shared" si="144"/>
        <v>0</v>
      </c>
      <c r="L708" s="29">
        <f t="shared" si="144"/>
        <v>0</v>
      </c>
      <c r="M708" s="29">
        <f>+M304</f>
        <v>0</v>
      </c>
      <c r="N708" s="29">
        <f>+N304</f>
        <v>0</v>
      </c>
      <c r="O708" s="164">
        <f>SUM(C708:N708)</f>
        <v>84277.530999999988</v>
      </c>
    </row>
    <row r="709" spans="1:20" s="8" customFormat="1" x14ac:dyDescent="0.35">
      <c r="B709" s="1269"/>
      <c r="C709" s="177"/>
      <c r="D709" s="177"/>
      <c r="E709" s="177"/>
      <c r="F709" s="177"/>
      <c r="G709" s="177"/>
      <c r="H709" s="177"/>
      <c r="I709" s="177"/>
      <c r="J709" s="177"/>
      <c r="K709" s="177"/>
      <c r="L709" s="177"/>
      <c r="M709" s="177"/>
      <c r="N709" s="177"/>
      <c r="O709" s="164"/>
    </row>
    <row r="710" spans="1:20" s="8" customFormat="1" x14ac:dyDescent="0.35">
      <c r="A710" s="359"/>
      <c r="B710" s="1267" t="s">
        <v>56</v>
      </c>
      <c r="C710" s="175">
        <f>SUM(C712:C714)</f>
        <v>905764.5579999967</v>
      </c>
      <c r="D710" s="175">
        <f>SUM(D712:D714)</f>
        <v>742501.53548999934</v>
      </c>
      <c r="E710" s="175">
        <f t="shared" ref="E710:M710" si="145">SUM(E712:E714)</f>
        <v>643479.94999999995</v>
      </c>
      <c r="F710" s="175">
        <f t="shared" si="145"/>
        <v>778269.12199999997</v>
      </c>
      <c r="G710" s="175">
        <f t="shared" si="145"/>
        <v>0</v>
      </c>
      <c r="H710" s="175">
        <f t="shared" si="145"/>
        <v>0</v>
      </c>
      <c r="I710" s="175">
        <f t="shared" si="145"/>
        <v>0</v>
      </c>
      <c r="J710" s="175">
        <f t="shared" si="145"/>
        <v>0</v>
      </c>
      <c r="K710" s="175">
        <f t="shared" si="145"/>
        <v>0</v>
      </c>
      <c r="L710" s="175">
        <f t="shared" si="145"/>
        <v>0</v>
      </c>
      <c r="M710" s="175">
        <f t="shared" si="145"/>
        <v>0</v>
      </c>
      <c r="N710" s="175">
        <f>SUM(N712:N714)</f>
        <v>0</v>
      </c>
      <c r="O710" s="163">
        <f>SUM(C710:N710)</f>
        <v>3070015.1654899963</v>
      </c>
    </row>
    <row r="711" spans="1:20" s="8" customFormat="1" x14ac:dyDescent="0.35">
      <c r="A711" s="359"/>
      <c r="B711" s="1269"/>
      <c r="C711" s="177"/>
      <c r="D711" s="177"/>
      <c r="E711" s="177"/>
      <c r="F711" s="177"/>
      <c r="G711" s="177"/>
      <c r="H711" s="177"/>
      <c r="I711" s="177"/>
      <c r="J711" s="177"/>
      <c r="K711" s="177"/>
      <c r="L711" s="177"/>
      <c r="M711" s="177"/>
      <c r="N711" s="177"/>
      <c r="O711" s="164"/>
    </row>
    <row r="712" spans="1:20" s="8" customFormat="1" x14ac:dyDescent="0.35">
      <c r="B712" s="1269" t="s">
        <v>41</v>
      </c>
      <c r="C712" s="176">
        <f>+C637</f>
        <v>448697.95699999999</v>
      </c>
      <c r="D712" s="176">
        <f>+D637</f>
        <v>284029.36499999993</v>
      </c>
      <c r="E712" s="176">
        <f>+E637</f>
        <v>232469.65800000002</v>
      </c>
      <c r="F712" s="176">
        <f>+F637</f>
        <v>290201.364</v>
      </c>
      <c r="G712" s="176">
        <f t="shared" ref="G712:L712" si="146">+G637</f>
        <v>0</v>
      </c>
      <c r="H712" s="176">
        <f t="shared" si="146"/>
        <v>0</v>
      </c>
      <c r="I712" s="176">
        <f t="shared" si="146"/>
        <v>0</v>
      </c>
      <c r="J712" s="176">
        <f t="shared" si="146"/>
        <v>0</v>
      </c>
      <c r="K712" s="176">
        <f t="shared" si="146"/>
        <v>0</v>
      </c>
      <c r="L712" s="176">
        <f t="shared" si="146"/>
        <v>0</v>
      </c>
      <c r="M712" s="176">
        <f>+M637</f>
        <v>0</v>
      </c>
      <c r="N712" s="176">
        <f>+N637</f>
        <v>0</v>
      </c>
      <c r="O712" s="164">
        <f>SUM(C712:N712)</f>
        <v>1255398.344</v>
      </c>
    </row>
    <row r="713" spans="1:20" s="8" customFormat="1" x14ac:dyDescent="0.35">
      <c r="B713" s="1269" t="s">
        <v>42</v>
      </c>
      <c r="C713" s="176">
        <f>+C346</f>
        <v>456783.18499999668</v>
      </c>
      <c r="D713" s="176">
        <f>+D346</f>
        <v>457866.33048999938</v>
      </c>
      <c r="E713" s="176">
        <f>+E346</f>
        <v>408471.12899999984</v>
      </c>
      <c r="F713" s="176">
        <f>+F346</f>
        <v>486945.78199999989</v>
      </c>
      <c r="G713" s="176">
        <f t="shared" ref="G713:L713" si="147">+G346</f>
        <v>0</v>
      </c>
      <c r="H713" s="176">
        <f t="shared" si="147"/>
        <v>0</v>
      </c>
      <c r="I713" s="176">
        <f t="shared" si="147"/>
        <v>0</v>
      </c>
      <c r="J713" s="176">
        <f t="shared" si="147"/>
        <v>0</v>
      </c>
      <c r="K713" s="176">
        <f t="shared" si="147"/>
        <v>0</v>
      </c>
      <c r="L713" s="176">
        <f t="shared" si="147"/>
        <v>0</v>
      </c>
      <c r="M713" s="176">
        <f>+M346</f>
        <v>0</v>
      </c>
      <c r="N713" s="176">
        <f>+N346</f>
        <v>0</v>
      </c>
      <c r="O713" s="164">
        <f>SUM(C713:N713)</f>
        <v>1810066.4264899958</v>
      </c>
    </row>
    <row r="714" spans="1:20" s="8" customFormat="1" x14ac:dyDescent="0.35">
      <c r="B714" s="1269" t="s">
        <v>43</v>
      </c>
      <c r="C714" s="220">
        <f>+C715+C716</f>
        <v>283.416</v>
      </c>
      <c r="D714" s="220">
        <f>+D715+D716</f>
        <v>605.84</v>
      </c>
      <c r="E714" s="220">
        <f>+E715+E716</f>
        <v>2539.1630000000009</v>
      </c>
      <c r="F714" s="220">
        <f>+F715+F716</f>
        <v>1121.9759999999999</v>
      </c>
      <c r="G714" s="220">
        <f t="shared" ref="G714:L714" si="148">+G715+G716</f>
        <v>0</v>
      </c>
      <c r="H714" s="220">
        <f t="shared" si="148"/>
        <v>0</v>
      </c>
      <c r="I714" s="220">
        <f t="shared" si="148"/>
        <v>0</v>
      </c>
      <c r="J714" s="220">
        <f t="shared" si="148"/>
        <v>0</v>
      </c>
      <c r="K714" s="220">
        <f t="shared" si="148"/>
        <v>0</v>
      </c>
      <c r="L714" s="220">
        <f t="shared" si="148"/>
        <v>0</v>
      </c>
      <c r="M714" s="220">
        <f>+M715+M716</f>
        <v>0</v>
      </c>
      <c r="N714" s="220">
        <f>+N715+N716</f>
        <v>0</v>
      </c>
      <c r="O714" s="164">
        <f>SUM(C714:N714)</f>
        <v>4550.3950000000004</v>
      </c>
    </row>
    <row r="715" spans="1:20" s="8" customFormat="1" x14ac:dyDescent="0.35">
      <c r="B715" s="1269" t="s">
        <v>140</v>
      </c>
      <c r="C715" s="177">
        <f>C312</f>
        <v>283.416</v>
      </c>
      <c r="D715" s="177">
        <f>D312</f>
        <v>605.84</v>
      </c>
      <c r="E715" s="177">
        <f t="shared" ref="E715:L716" si="149">E312</f>
        <v>2539.1630000000009</v>
      </c>
      <c r="F715" s="177">
        <f t="shared" si="149"/>
        <v>1121.9759999999999</v>
      </c>
      <c r="G715" s="177">
        <f t="shared" si="149"/>
        <v>0</v>
      </c>
      <c r="H715" s="177">
        <f t="shared" si="149"/>
        <v>0</v>
      </c>
      <c r="I715" s="177">
        <f t="shared" si="149"/>
        <v>0</v>
      </c>
      <c r="J715" s="177">
        <f t="shared" si="149"/>
        <v>0</v>
      </c>
      <c r="K715" s="177">
        <f t="shared" si="149"/>
        <v>0</v>
      </c>
      <c r="L715" s="177">
        <f t="shared" si="149"/>
        <v>0</v>
      </c>
      <c r="M715" s="177">
        <f>M312</f>
        <v>0</v>
      </c>
      <c r="N715" s="177">
        <f>N312</f>
        <v>0</v>
      </c>
      <c r="O715" s="164">
        <f>SUM(C715:N715)</f>
        <v>4550.3950000000004</v>
      </c>
    </row>
    <row r="716" spans="1:20" s="8" customFormat="1" x14ac:dyDescent="0.35">
      <c r="B716" s="1269" t="s">
        <v>141</v>
      </c>
      <c r="C716" s="29">
        <f>C313</f>
        <v>0</v>
      </c>
      <c r="D716" s="29">
        <f>D313</f>
        <v>0</v>
      </c>
      <c r="E716" s="29">
        <f t="shared" si="149"/>
        <v>0</v>
      </c>
      <c r="F716" s="29">
        <f t="shared" si="149"/>
        <v>0</v>
      </c>
      <c r="G716" s="29">
        <f t="shared" si="149"/>
        <v>0</v>
      </c>
      <c r="H716" s="29">
        <f t="shared" si="149"/>
        <v>0</v>
      </c>
      <c r="I716" s="29">
        <f t="shared" si="149"/>
        <v>0</v>
      </c>
      <c r="J716" s="29">
        <f t="shared" si="149"/>
        <v>0</v>
      </c>
      <c r="K716" s="29">
        <f t="shared" si="149"/>
        <v>0</v>
      </c>
      <c r="L716" s="29">
        <f t="shared" si="149"/>
        <v>0</v>
      </c>
      <c r="M716" s="29">
        <f>M313</f>
        <v>0</v>
      </c>
      <c r="N716" s="29">
        <f>N313</f>
        <v>0</v>
      </c>
      <c r="O716" s="164">
        <f>SUM(C716:N716)</f>
        <v>0</v>
      </c>
    </row>
    <row r="717" spans="1:20" s="8" customFormat="1" x14ac:dyDescent="0.35">
      <c r="B717" s="1269"/>
      <c r="C717" s="177"/>
      <c r="D717" s="177"/>
      <c r="E717" s="177"/>
      <c r="F717" s="177"/>
      <c r="G717" s="177"/>
      <c r="H717" s="177"/>
      <c r="I717" s="177"/>
      <c r="J717" s="177"/>
      <c r="K717" s="177"/>
      <c r="L717" s="177"/>
      <c r="M717" s="177"/>
      <c r="N717" s="177"/>
      <c r="O717" s="164"/>
    </row>
    <row r="718" spans="1:20" s="8" customFormat="1" x14ac:dyDescent="0.35">
      <c r="B718" s="433" t="s">
        <v>36</v>
      </c>
      <c r="C718" s="1270">
        <f>C702+C710</f>
        <v>3010311.0937760016</v>
      </c>
      <c r="D718" s="1270">
        <f>D702+D710</f>
        <v>2680517.4502289989</v>
      </c>
      <c r="E718" s="1270">
        <f>E702+E710</f>
        <v>2982124.4346400006</v>
      </c>
      <c r="F718" s="1270">
        <f>F702+F710</f>
        <v>2992704.4849999971</v>
      </c>
      <c r="G718" s="1270">
        <f t="shared" ref="G718:L718" si="150">G702+G710</f>
        <v>0</v>
      </c>
      <c r="H718" s="1270">
        <f t="shared" si="150"/>
        <v>0</v>
      </c>
      <c r="I718" s="1270">
        <f t="shared" si="150"/>
        <v>0</v>
      </c>
      <c r="J718" s="1270">
        <f t="shared" si="150"/>
        <v>0</v>
      </c>
      <c r="K718" s="1270">
        <f t="shared" si="150"/>
        <v>0</v>
      </c>
      <c r="L718" s="1270">
        <f t="shared" si="150"/>
        <v>0</v>
      </c>
      <c r="M718" s="1270">
        <f>M702+M710</f>
        <v>0</v>
      </c>
      <c r="N718" s="1270">
        <f>N702+N710</f>
        <v>0</v>
      </c>
      <c r="O718" s="1271">
        <f>SUM(C718:N718)</f>
        <v>11665657.463644998</v>
      </c>
    </row>
    <row r="719" spans="1:20" s="8" customFormat="1" x14ac:dyDescent="0.35">
      <c r="B719" s="221"/>
      <c r="C719" s="222"/>
      <c r="D719" s="222"/>
      <c r="E719" s="222"/>
      <c r="F719" s="222"/>
      <c r="G719" s="222"/>
      <c r="H719" s="222"/>
      <c r="I719" s="222"/>
      <c r="J719" s="222"/>
      <c r="K719" s="222"/>
      <c r="L719" s="222"/>
      <c r="M719" s="222"/>
      <c r="N719" s="222"/>
      <c r="O719" s="223"/>
    </row>
    <row r="720" spans="1:20" s="8" customFormat="1" x14ac:dyDescent="0.35">
      <c r="B720" s="1269" t="s">
        <v>41</v>
      </c>
      <c r="C720" s="177">
        <f t="shared" ref="C720:M724" si="151">C704+C712</f>
        <v>1067115.5130410006</v>
      </c>
      <c r="D720" s="177">
        <f t="shared" si="151"/>
        <v>820754.7958399998</v>
      </c>
      <c r="E720" s="177">
        <f t="shared" si="151"/>
        <v>794287.83799999999</v>
      </c>
      <c r="F720" s="177">
        <f t="shared" si="151"/>
        <v>978347.26199999987</v>
      </c>
      <c r="G720" s="177">
        <f t="shared" si="151"/>
        <v>0</v>
      </c>
      <c r="H720" s="177">
        <f t="shared" si="151"/>
        <v>0</v>
      </c>
      <c r="I720" s="177">
        <f t="shared" si="151"/>
        <v>0</v>
      </c>
      <c r="J720" s="177">
        <f t="shared" si="151"/>
        <v>0</v>
      </c>
      <c r="K720" s="177">
        <f t="shared" si="151"/>
        <v>0</v>
      </c>
      <c r="L720" s="177">
        <f t="shared" si="151"/>
        <v>0</v>
      </c>
      <c r="M720" s="177">
        <f t="shared" si="151"/>
        <v>0</v>
      </c>
      <c r="N720" s="177">
        <f>N704+N712</f>
        <v>0</v>
      </c>
      <c r="O720" s="164">
        <f>SUM(C720:N720)</f>
        <v>3660505.4088810002</v>
      </c>
      <c r="P720" s="329">
        <f>O720/$O$718</f>
        <v>0.31378474983417309</v>
      </c>
      <c r="Q720" s="540">
        <f>O720/O104</f>
        <v>0.99725342803083716</v>
      </c>
      <c r="R720" s="540">
        <f>O720/($O$720+$O$721)</f>
        <v>0.32350002735392419</v>
      </c>
    </row>
    <row r="721" spans="1:18" s="8" customFormat="1" x14ac:dyDescent="0.35">
      <c r="B721" s="1269" t="s">
        <v>42</v>
      </c>
      <c r="C721" s="177">
        <f t="shared" si="151"/>
        <v>1855378.1717350013</v>
      </c>
      <c r="D721" s="177">
        <f t="shared" si="151"/>
        <v>1771298.8368889992</v>
      </c>
      <c r="E721" s="177">
        <f t="shared" si="151"/>
        <v>2080506.2266400009</v>
      </c>
      <c r="F721" s="177">
        <f t="shared" si="151"/>
        <v>1947628.5099899971</v>
      </c>
      <c r="G721" s="177">
        <f t="shared" si="151"/>
        <v>0</v>
      </c>
      <c r="H721" s="177">
        <f t="shared" si="151"/>
        <v>0</v>
      </c>
      <c r="I721" s="177">
        <f t="shared" si="151"/>
        <v>0</v>
      </c>
      <c r="J721" s="177">
        <f t="shared" si="151"/>
        <v>0</v>
      </c>
      <c r="K721" s="177">
        <f t="shared" si="151"/>
        <v>0</v>
      </c>
      <c r="L721" s="177">
        <f t="shared" si="151"/>
        <v>0</v>
      </c>
      <c r="M721" s="177">
        <f t="shared" si="151"/>
        <v>0</v>
      </c>
      <c r="N721" s="177">
        <f>N705+N713</f>
        <v>0</v>
      </c>
      <c r="O721" s="164">
        <f>SUM(C721:N721)</f>
        <v>7654811.7452539988</v>
      </c>
      <c r="P721" s="329">
        <f>O721/$O$718</f>
        <v>0.65618348293780704</v>
      </c>
      <c r="Q721" s="540"/>
      <c r="R721" s="540">
        <f>O721/($O$720+$O$721)</f>
        <v>0.67649997264607575</v>
      </c>
    </row>
    <row r="722" spans="1:18" s="8" customFormat="1" ht="15" customHeight="1" x14ac:dyDescent="0.35">
      <c r="B722" s="1269" t="s">
        <v>43</v>
      </c>
      <c r="C722" s="168">
        <f t="shared" si="151"/>
        <v>87817.409000000014</v>
      </c>
      <c r="D722" s="168">
        <f t="shared" si="151"/>
        <v>88463.817500000005</v>
      </c>
      <c r="E722" s="168">
        <f t="shared" si="151"/>
        <v>107330.37000000002</v>
      </c>
      <c r="F722" s="168">
        <f t="shared" si="151"/>
        <v>66728.713010000007</v>
      </c>
      <c r="G722" s="168">
        <f t="shared" si="151"/>
        <v>0</v>
      </c>
      <c r="H722" s="168">
        <f t="shared" si="151"/>
        <v>0</v>
      </c>
      <c r="I722" s="168">
        <f t="shared" si="151"/>
        <v>0</v>
      </c>
      <c r="J722" s="168">
        <f t="shared" si="151"/>
        <v>0</v>
      </c>
      <c r="K722" s="168">
        <f t="shared" si="151"/>
        <v>0</v>
      </c>
      <c r="L722" s="168">
        <f t="shared" si="151"/>
        <v>0</v>
      </c>
      <c r="M722" s="168">
        <f t="shared" si="151"/>
        <v>0</v>
      </c>
      <c r="N722" s="168">
        <f>N706+N714</f>
        <v>0</v>
      </c>
      <c r="O722" s="164">
        <f>SUM(C722:N722)</f>
        <v>350340.30951000005</v>
      </c>
      <c r="P722" s="329">
        <f>O722/$O$718</f>
        <v>3.0031767228019937E-2</v>
      </c>
      <c r="Q722" s="540">
        <f>O722/Q238</f>
        <v>0.89984597542374833</v>
      </c>
    </row>
    <row r="723" spans="1:18" s="8" customFormat="1" x14ac:dyDescent="0.35">
      <c r="B723" s="1269" t="s">
        <v>140</v>
      </c>
      <c r="C723" s="177">
        <f t="shared" si="151"/>
        <v>63876.287500000006</v>
      </c>
      <c r="D723" s="177">
        <f t="shared" si="151"/>
        <v>64355.018000000011</v>
      </c>
      <c r="E723" s="177">
        <f t="shared" si="151"/>
        <v>79660.820000000022</v>
      </c>
      <c r="F723" s="177">
        <f t="shared" si="151"/>
        <v>58170.653010000016</v>
      </c>
      <c r="G723" s="177">
        <f t="shared" si="151"/>
        <v>0</v>
      </c>
      <c r="H723" s="177">
        <f t="shared" si="151"/>
        <v>0</v>
      </c>
      <c r="I723" s="177">
        <f t="shared" si="151"/>
        <v>0</v>
      </c>
      <c r="J723" s="177">
        <f t="shared" si="151"/>
        <v>0</v>
      </c>
      <c r="K723" s="177">
        <f t="shared" si="151"/>
        <v>0</v>
      </c>
      <c r="L723" s="177">
        <f t="shared" si="151"/>
        <v>0</v>
      </c>
      <c r="M723" s="177">
        <f t="shared" si="151"/>
        <v>0</v>
      </c>
      <c r="N723" s="177">
        <f>N707+N715</f>
        <v>0</v>
      </c>
      <c r="O723" s="164">
        <f>SUM(C723:N723)</f>
        <v>266062.77851000003</v>
      </c>
    </row>
    <row r="724" spans="1:18" s="8" customFormat="1" x14ac:dyDescent="0.35">
      <c r="B724" s="1272" t="s">
        <v>141</v>
      </c>
      <c r="C724" s="224">
        <f t="shared" si="151"/>
        <v>23941.121500000001</v>
      </c>
      <c r="D724" s="224">
        <f t="shared" si="151"/>
        <v>24108.799499999997</v>
      </c>
      <c r="E724" s="224">
        <f t="shared" si="151"/>
        <v>27669.549999999996</v>
      </c>
      <c r="F724" s="224">
        <f t="shared" si="151"/>
        <v>8558.0599999999977</v>
      </c>
      <c r="G724" s="224">
        <f t="shared" si="151"/>
        <v>0</v>
      </c>
      <c r="H724" s="224">
        <f t="shared" si="151"/>
        <v>0</v>
      </c>
      <c r="I724" s="224">
        <f t="shared" si="151"/>
        <v>0</v>
      </c>
      <c r="J724" s="224">
        <f t="shared" si="151"/>
        <v>0</v>
      </c>
      <c r="K724" s="224">
        <f t="shared" si="151"/>
        <v>0</v>
      </c>
      <c r="L724" s="224">
        <f t="shared" si="151"/>
        <v>0</v>
      </c>
      <c r="M724" s="224">
        <f t="shared" si="151"/>
        <v>0</v>
      </c>
      <c r="N724" s="224">
        <f>N708+N716</f>
        <v>0</v>
      </c>
      <c r="O724" s="225">
        <f>SUM(C724:N724)</f>
        <v>84277.530999999988</v>
      </c>
    </row>
    <row r="725" spans="1:18" s="3" customFormat="1" x14ac:dyDescent="0.35">
      <c r="B725" s="132"/>
      <c r="C725" s="133"/>
      <c r="D725" s="133"/>
      <c r="E725" s="133"/>
      <c r="F725" s="133"/>
      <c r="G725" s="133"/>
      <c r="H725" s="133"/>
      <c r="I725" s="133"/>
      <c r="J725" s="133"/>
      <c r="K725" s="133"/>
      <c r="L725" s="133"/>
      <c r="M725" s="133"/>
      <c r="N725" s="133"/>
      <c r="O725" s="134"/>
    </row>
    <row r="726" spans="1:18" s="3" customFormat="1" x14ac:dyDescent="0.35">
      <c r="B726" s="1068" t="s">
        <v>531</v>
      </c>
      <c r="C726" s="1068"/>
      <c r="D726" s="1068"/>
      <c r="E726" s="1068"/>
      <c r="F726" s="1068"/>
      <c r="G726" s="1068"/>
      <c r="H726" s="1068"/>
      <c r="I726" s="1068"/>
      <c r="J726" s="1068"/>
      <c r="K726" s="1068"/>
      <c r="L726" s="1068"/>
      <c r="M726" s="1068"/>
      <c r="N726" s="1068"/>
      <c r="O726" s="1068"/>
    </row>
    <row r="727" spans="1:18" s="3" customFormat="1" x14ac:dyDescent="0.35">
      <c r="B727" s="226"/>
      <c r="C727" s="227"/>
      <c r="D727" s="227"/>
      <c r="E727" s="227"/>
      <c r="F727" s="227"/>
      <c r="G727" s="227"/>
      <c r="H727" s="227"/>
      <c r="I727" s="227"/>
      <c r="J727" s="227"/>
      <c r="K727" s="227"/>
      <c r="L727" s="227"/>
      <c r="M727" s="227"/>
      <c r="N727" s="227"/>
      <c r="O727" s="1273"/>
    </row>
    <row r="728" spans="1:18" s="3" customFormat="1" ht="15" customHeight="1" x14ac:dyDescent="0.35">
      <c r="B728" s="1074" t="s">
        <v>13</v>
      </c>
      <c r="C728" s="1112" t="s">
        <v>0</v>
      </c>
      <c r="D728" s="1136" t="s">
        <v>1</v>
      </c>
      <c r="E728" s="1136" t="s">
        <v>2</v>
      </c>
      <c r="F728" s="1136" t="s">
        <v>3</v>
      </c>
      <c r="G728" s="1136" t="s">
        <v>4</v>
      </c>
      <c r="H728" s="1136" t="s">
        <v>5</v>
      </c>
      <c r="I728" s="1136" t="s">
        <v>6</v>
      </c>
      <c r="J728" s="1136" t="s">
        <v>7</v>
      </c>
      <c r="K728" s="1136" t="s">
        <v>8</v>
      </c>
      <c r="L728" s="1136" t="s">
        <v>9</v>
      </c>
      <c r="M728" s="1136" t="s">
        <v>10</v>
      </c>
      <c r="N728" s="1136" t="s">
        <v>14</v>
      </c>
      <c r="O728" s="1077" t="s">
        <v>15</v>
      </c>
    </row>
    <row r="729" spans="1:18" s="3" customFormat="1" ht="15" customHeight="1" x14ac:dyDescent="0.35">
      <c r="B729" s="1080"/>
      <c r="C729" s="1145"/>
      <c r="D729" s="1153"/>
      <c r="E729" s="1153"/>
      <c r="F729" s="1153"/>
      <c r="G729" s="1153"/>
      <c r="H729" s="1153"/>
      <c r="I729" s="1153"/>
      <c r="J729" s="1153"/>
      <c r="K729" s="1153"/>
      <c r="L729" s="1153"/>
      <c r="M729" s="1153"/>
      <c r="N729" s="1153"/>
      <c r="O729" s="1088"/>
    </row>
    <row r="730" spans="1:18" s="3" customFormat="1" x14ac:dyDescent="0.35">
      <c r="B730" s="229"/>
      <c r="C730" s="1154"/>
      <c r="D730" s="1154"/>
      <c r="E730" s="1154"/>
      <c r="F730" s="1154"/>
      <c r="G730" s="1154"/>
      <c r="H730" s="1154"/>
      <c r="I730" s="1154"/>
      <c r="J730" s="1154"/>
      <c r="K730" s="1154"/>
      <c r="L730" s="1154"/>
      <c r="M730" s="1154"/>
      <c r="N730" s="1154"/>
      <c r="O730" s="1274"/>
    </row>
    <row r="731" spans="1:18" s="3" customFormat="1" x14ac:dyDescent="0.35">
      <c r="A731" s="359"/>
      <c r="B731" s="110" t="s">
        <v>216</v>
      </c>
      <c r="C731" s="111">
        <f>SUM(C732:C733)</f>
        <v>414045.28999999899</v>
      </c>
      <c r="D731" s="111">
        <f>SUM(D732:D733)</f>
        <v>402851.22999999986</v>
      </c>
      <c r="E731" s="111">
        <f t="shared" ref="E731:M731" si="152">SUM(E732:E733)</f>
        <v>479195.82299999933</v>
      </c>
      <c r="F731" s="111">
        <f t="shared" si="152"/>
        <v>484231.7582000001</v>
      </c>
      <c r="G731" s="111">
        <f t="shared" si="152"/>
        <v>0</v>
      </c>
      <c r="H731" s="111">
        <f t="shared" si="152"/>
        <v>0</v>
      </c>
      <c r="I731" s="111">
        <f t="shared" si="152"/>
        <v>0</v>
      </c>
      <c r="J731" s="111">
        <f t="shared" si="152"/>
        <v>0</v>
      </c>
      <c r="K731" s="111">
        <f t="shared" si="152"/>
        <v>0</v>
      </c>
      <c r="L731" s="111">
        <f t="shared" si="152"/>
        <v>0</v>
      </c>
      <c r="M731" s="111">
        <f t="shared" si="152"/>
        <v>0</v>
      </c>
      <c r="N731" s="111">
        <f>SUM(N732:N733)</f>
        <v>0</v>
      </c>
      <c r="O731" s="112">
        <f>SUM(C731:N731)</f>
        <v>1780324.1011999983</v>
      </c>
    </row>
    <row r="732" spans="1:18" s="3" customFormat="1" x14ac:dyDescent="0.35">
      <c r="A732" s="359"/>
      <c r="B732" s="1275" t="s">
        <v>218</v>
      </c>
      <c r="C732" s="1276">
        <v>408713.21999999898</v>
      </c>
      <c r="D732" s="1276">
        <v>397566.45899999986</v>
      </c>
      <c r="E732" s="1276">
        <v>474942.37799999933</v>
      </c>
      <c r="F732" s="1276">
        <v>483405.79820000008</v>
      </c>
      <c r="G732" s="1276"/>
      <c r="H732" s="1276"/>
      <c r="I732" s="1276"/>
      <c r="J732" s="1276"/>
      <c r="K732" s="1276"/>
      <c r="L732" s="1276"/>
      <c r="M732" s="1276"/>
      <c r="N732" s="1276"/>
      <c r="O732" s="165">
        <f>SUM(C732:N732)</f>
        <v>1764627.8551999982</v>
      </c>
    </row>
    <row r="733" spans="1:18" s="3" customFormat="1" x14ac:dyDescent="0.35">
      <c r="B733" s="1275" t="s">
        <v>219</v>
      </c>
      <c r="C733" s="137">
        <f>+C120</f>
        <v>5332.0699999999988</v>
      </c>
      <c r="D733" s="137">
        <f>+D120</f>
        <v>5284.7709999999997</v>
      </c>
      <c r="E733" s="137">
        <f>+E120</f>
        <v>4253.4450000000006</v>
      </c>
      <c r="F733" s="137">
        <f>+F120</f>
        <v>825.96</v>
      </c>
      <c r="G733" s="137">
        <f t="shared" ref="G733:L733" si="153">+G120</f>
        <v>0</v>
      </c>
      <c r="H733" s="137">
        <f t="shared" si="153"/>
        <v>0</v>
      </c>
      <c r="I733" s="137">
        <f t="shared" si="153"/>
        <v>0</v>
      </c>
      <c r="J733" s="137">
        <f t="shared" si="153"/>
        <v>0</v>
      </c>
      <c r="K733" s="137">
        <f t="shared" si="153"/>
        <v>0</v>
      </c>
      <c r="L733" s="137">
        <f t="shared" si="153"/>
        <v>0</v>
      </c>
      <c r="M733" s="137">
        <f>+M120</f>
        <v>0</v>
      </c>
      <c r="N733" s="137">
        <f>+N120</f>
        <v>0</v>
      </c>
      <c r="O733" s="165">
        <f>SUM(C733:N733)</f>
        <v>15696.245999999999</v>
      </c>
    </row>
    <row r="734" spans="1:18" s="3" customFormat="1" x14ac:dyDescent="0.35">
      <c r="B734" s="110"/>
      <c r="C734" s="231"/>
      <c r="D734" s="231"/>
      <c r="E734" s="231"/>
      <c r="F734" s="231"/>
      <c r="G734" s="231"/>
      <c r="H734" s="231"/>
      <c r="I734" s="231"/>
      <c r="J734" s="231"/>
      <c r="K734" s="231"/>
      <c r="L734" s="231"/>
      <c r="M734" s="231"/>
      <c r="N734" s="231"/>
      <c r="O734" s="112"/>
    </row>
    <row r="735" spans="1:18" s="3" customFormat="1" x14ac:dyDescent="0.35">
      <c r="A735" s="359"/>
      <c r="B735" s="113" t="s">
        <v>217</v>
      </c>
      <c r="C735" s="111">
        <f>SUM(C736:C737)</f>
        <v>377398.74800000008</v>
      </c>
      <c r="D735" s="111">
        <f>SUM(D736:D737)</f>
        <v>393267.51799999992</v>
      </c>
      <c r="E735" s="111">
        <f t="shared" ref="E735:M735" si="154">SUM(E736:E737)</f>
        <v>399928.68099999992</v>
      </c>
      <c r="F735" s="111">
        <f t="shared" si="154"/>
        <v>427546.56300000014</v>
      </c>
      <c r="G735" s="111">
        <f t="shared" si="154"/>
        <v>0</v>
      </c>
      <c r="H735" s="111">
        <f t="shared" si="154"/>
        <v>0</v>
      </c>
      <c r="I735" s="111">
        <f t="shared" si="154"/>
        <v>0</v>
      </c>
      <c r="J735" s="111">
        <f t="shared" si="154"/>
        <v>0</v>
      </c>
      <c r="K735" s="111">
        <f t="shared" si="154"/>
        <v>0</v>
      </c>
      <c r="L735" s="111">
        <f t="shared" si="154"/>
        <v>0</v>
      </c>
      <c r="M735" s="111">
        <f t="shared" si="154"/>
        <v>0</v>
      </c>
      <c r="N735" s="111">
        <f>SUM(N736:N737)</f>
        <v>0</v>
      </c>
      <c r="O735" s="112">
        <f>SUM(C735:N735)</f>
        <v>1598141.51</v>
      </c>
    </row>
    <row r="736" spans="1:18" s="3" customFormat="1" x14ac:dyDescent="0.35">
      <c r="A736" s="359"/>
      <c r="B736" s="1275" t="s">
        <v>218</v>
      </c>
      <c r="C736" s="1276">
        <v>372926.06300000008</v>
      </c>
      <c r="D736" s="1276">
        <v>389127.89199999993</v>
      </c>
      <c r="E736" s="1276">
        <v>399928.68099999992</v>
      </c>
      <c r="F736" s="1276">
        <v>427546.56300000014</v>
      </c>
      <c r="G736" s="1276"/>
      <c r="H736" s="1276"/>
      <c r="I736" s="1276"/>
      <c r="J736" s="1276"/>
      <c r="K736" s="1276"/>
      <c r="L736" s="1276"/>
      <c r="M736" s="1276"/>
      <c r="N736" s="1276"/>
      <c r="O736" s="165">
        <f>SUM(C736:N736)</f>
        <v>1589529.199</v>
      </c>
    </row>
    <row r="737" spans="1:18" s="3" customFormat="1" x14ac:dyDescent="0.35">
      <c r="B737" s="1275" t="s">
        <v>219</v>
      </c>
      <c r="C737" s="137">
        <f>+C132</f>
        <v>4472.6850000000004</v>
      </c>
      <c r="D737" s="137">
        <f>+D132</f>
        <v>4139.6259999999993</v>
      </c>
      <c r="E737" s="137">
        <f>+E132</f>
        <v>0</v>
      </c>
      <c r="F737" s="137">
        <f>+F132</f>
        <v>0</v>
      </c>
      <c r="G737" s="137">
        <f t="shared" ref="G737:L737" si="155">+G132</f>
        <v>0</v>
      </c>
      <c r="H737" s="137">
        <f t="shared" si="155"/>
        <v>0</v>
      </c>
      <c r="I737" s="137">
        <f t="shared" si="155"/>
        <v>0</v>
      </c>
      <c r="J737" s="137">
        <f t="shared" si="155"/>
        <v>0</v>
      </c>
      <c r="K737" s="137">
        <f t="shared" si="155"/>
        <v>0</v>
      </c>
      <c r="L737" s="137">
        <f t="shared" si="155"/>
        <v>0</v>
      </c>
      <c r="M737" s="137">
        <f>+M132</f>
        <v>0</v>
      </c>
      <c r="N737" s="137">
        <f>+N132</f>
        <v>0</v>
      </c>
      <c r="O737" s="165">
        <f>SUM(C737:N737)</f>
        <v>8612.3109999999997</v>
      </c>
    </row>
    <row r="738" spans="1:18" s="3" customFormat="1" x14ac:dyDescent="0.35">
      <c r="B738" s="113"/>
      <c r="C738" s="231"/>
      <c r="D738" s="231"/>
      <c r="E738" s="231"/>
      <c r="F738" s="231"/>
      <c r="G738" s="231"/>
      <c r="H738" s="231"/>
      <c r="I738" s="231"/>
      <c r="J738" s="231"/>
      <c r="K738" s="231"/>
      <c r="L738" s="231"/>
      <c r="M738" s="231"/>
      <c r="N738" s="231"/>
      <c r="O738" s="112"/>
      <c r="P738" s="704"/>
    </row>
    <row r="739" spans="1:18" s="3" customFormat="1" x14ac:dyDescent="0.35">
      <c r="B739" s="431" t="s">
        <v>36</v>
      </c>
      <c r="C739" s="1277">
        <f t="shared" ref="C739:M741" si="156">C731+C735</f>
        <v>791444.03799999901</v>
      </c>
      <c r="D739" s="1277">
        <f t="shared" si="156"/>
        <v>796118.74799999979</v>
      </c>
      <c r="E739" s="1277">
        <f t="shared" si="156"/>
        <v>879124.50399999926</v>
      </c>
      <c r="F739" s="1277">
        <f t="shared" si="156"/>
        <v>911778.32120000024</v>
      </c>
      <c r="G739" s="1277">
        <f t="shared" si="156"/>
        <v>0</v>
      </c>
      <c r="H739" s="1277">
        <f t="shared" si="156"/>
        <v>0</v>
      </c>
      <c r="I739" s="1277">
        <f t="shared" si="156"/>
        <v>0</v>
      </c>
      <c r="J739" s="1277">
        <f t="shared" si="156"/>
        <v>0</v>
      </c>
      <c r="K739" s="1277">
        <f t="shared" si="156"/>
        <v>0</v>
      </c>
      <c r="L739" s="1277">
        <f t="shared" si="156"/>
        <v>0</v>
      </c>
      <c r="M739" s="1277">
        <f t="shared" si="156"/>
        <v>0</v>
      </c>
      <c r="N739" s="1277">
        <f>N731+N735</f>
        <v>0</v>
      </c>
      <c r="O739" s="1278">
        <f>SUM(C739:N739)</f>
        <v>3378465.6111999983</v>
      </c>
      <c r="P739" s="715"/>
      <c r="Q739" s="329">
        <f>O1109/O739</f>
        <v>0.99021569025583223</v>
      </c>
      <c r="R739" s="712" t="s">
        <v>421</v>
      </c>
    </row>
    <row r="740" spans="1:18" s="3" customFormat="1" x14ac:dyDescent="0.35">
      <c r="B740" s="1275" t="s">
        <v>218</v>
      </c>
      <c r="C740" s="232">
        <f t="shared" si="156"/>
        <v>781639.28299999912</v>
      </c>
      <c r="D740" s="232">
        <f t="shared" si="156"/>
        <v>786694.35099999979</v>
      </c>
      <c r="E740" s="232">
        <f t="shared" si="156"/>
        <v>874871.05899999919</v>
      </c>
      <c r="F740" s="232">
        <f t="shared" si="156"/>
        <v>910952.36120000016</v>
      </c>
      <c r="G740" s="232">
        <f t="shared" si="156"/>
        <v>0</v>
      </c>
      <c r="H740" s="232">
        <f t="shared" si="156"/>
        <v>0</v>
      </c>
      <c r="I740" s="232">
        <f t="shared" si="156"/>
        <v>0</v>
      </c>
      <c r="J740" s="232">
        <f t="shared" si="156"/>
        <v>0</v>
      </c>
      <c r="K740" s="232">
        <f t="shared" si="156"/>
        <v>0</v>
      </c>
      <c r="L740" s="232">
        <f t="shared" si="156"/>
        <v>0</v>
      </c>
      <c r="M740" s="232">
        <f t="shared" si="156"/>
        <v>0</v>
      </c>
      <c r="N740" s="232">
        <f>N732+N736</f>
        <v>0</v>
      </c>
      <c r="O740" s="165">
        <f>SUM(C740:N740)</f>
        <v>3354157.0541999983</v>
      </c>
      <c r="Q740" s="329">
        <f>1-Q739</f>
        <v>9.784309744167774E-3</v>
      </c>
      <c r="R740" s="712" t="s">
        <v>422</v>
      </c>
    </row>
    <row r="741" spans="1:18" s="3" customFormat="1" x14ac:dyDescent="0.35">
      <c r="B741" s="1275" t="s">
        <v>219</v>
      </c>
      <c r="C741" s="232">
        <f t="shared" si="156"/>
        <v>9804.7549999999992</v>
      </c>
      <c r="D741" s="232">
        <f t="shared" si="156"/>
        <v>9424.396999999999</v>
      </c>
      <c r="E741" s="232">
        <f t="shared" si="156"/>
        <v>4253.4450000000006</v>
      </c>
      <c r="F741" s="232">
        <f t="shared" si="156"/>
        <v>825.96</v>
      </c>
      <c r="G741" s="232">
        <f t="shared" si="156"/>
        <v>0</v>
      </c>
      <c r="H741" s="232">
        <f t="shared" si="156"/>
        <v>0</v>
      </c>
      <c r="I741" s="232">
        <f t="shared" si="156"/>
        <v>0</v>
      </c>
      <c r="J741" s="232">
        <f t="shared" si="156"/>
        <v>0</v>
      </c>
      <c r="K741" s="232">
        <f t="shared" si="156"/>
        <v>0</v>
      </c>
      <c r="L741" s="232">
        <f t="shared" si="156"/>
        <v>0</v>
      </c>
      <c r="M741" s="232">
        <f t="shared" si="156"/>
        <v>0</v>
      </c>
      <c r="N741" s="232">
        <f>N733+N737</f>
        <v>0</v>
      </c>
      <c r="O741" s="165">
        <f>SUM(C741:N741)</f>
        <v>24308.556999999997</v>
      </c>
    </row>
    <row r="742" spans="1:18" s="3" customFormat="1" x14ac:dyDescent="0.35">
      <c r="B742" s="115"/>
      <c r="C742" s="116"/>
      <c r="D742" s="116"/>
      <c r="E742" s="116"/>
      <c r="F742" s="116"/>
      <c r="G742" s="116"/>
      <c r="H742" s="116"/>
      <c r="I742" s="116"/>
      <c r="J742" s="116"/>
      <c r="K742" s="116"/>
      <c r="L742" s="116"/>
      <c r="M742" s="116"/>
      <c r="N742" s="116"/>
      <c r="O742" s="233"/>
    </row>
    <row r="743" spans="1:18" s="3" customFormat="1" x14ac:dyDescent="0.35">
      <c r="B743" s="105"/>
      <c r="C743" s="106"/>
      <c r="D743" s="106"/>
      <c r="E743" s="106"/>
      <c r="F743" s="106"/>
      <c r="G743" s="106"/>
      <c r="H743" s="106"/>
      <c r="I743" s="106"/>
      <c r="J743" s="106"/>
      <c r="K743" s="106"/>
      <c r="L743" s="106"/>
      <c r="M743" s="106"/>
      <c r="N743" s="106"/>
      <c r="O743" s="11"/>
    </row>
    <row r="744" spans="1:18" s="3" customFormat="1" x14ac:dyDescent="0.35">
      <c r="B744" s="1068" t="s">
        <v>532</v>
      </c>
      <c r="C744" s="1068"/>
      <c r="D744" s="1068"/>
      <c r="E744" s="1068"/>
      <c r="F744" s="1068"/>
      <c r="G744" s="1068"/>
      <c r="H744" s="1068"/>
      <c r="I744" s="1068"/>
      <c r="J744" s="1068"/>
      <c r="K744" s="1068"/>
      <c r="L744" s="1068"/>
      <c r="M744" s="1068"/>
      <c r="N744" s="1068"/>
      <c r="O744" s="1068"/>
    </row>
    <row r="745" spans="1:18" s="3" customFormat="1" x14ac:dyDescent="0.35">
      <c r="B745" s="8"/>
      <c r="C745" s="106"/>
      <c r="D745" s="106"/>
      <c r="E745" s="106"/>
      <c r="F745" s="106"/>
      <c r="G745" s="106"/>
      <c r="H745" s="106"/>
      <c r="I745" s="106"/>
      <c r="J745" s="106"/>
      <c r="K745" s="106"/>
      <c r="L745" s="106"/>
      <c r="M745" s="106"/>
      <c r="N745" s="106"/>
      <c r="O745" s="11"/>
    </row>
    <row r="746" spans="1:18" s="3" customFormat="1" ht="15" customHeight="1" x14ac:dyDescent="0.35">
      <c r="B746" s="1074" t="s">
        <v>13</v>
      </c>
      <c r="C746" s="1112" t="s">
        <v>0</v>
      </c>
      <c r="D746" s="1112" t="s">
        <v>1</v>
      </c>
      <c r="E746" s="1112" t="s">
        <v>2</v>
      </c>
      <c r="F746" s="1112" t="s">
        <v>3</v>
      </c>
      <c r="G746" s="1112" t="s">
        <v>4</v>
      </c>
      <c r="H746" s="1112" t="s">
        <v>5</v>
      </c>
      <c r="I746" s="1112" t="s">
        <v>6</v>
      </c>
      <c r="J746" s="1112" t="s">
        <v>7</v>
      </c>
      <c r="K746" s="1112" t="s">
        <v>8</v>
      </c>
      <c r="L746" s="1112" t="s">
        <v>9</v>
      </c>
      <c r="M746" s="1112" t="s">
        <v>10</v>
      </c>
      <c r="N746" s="1112" t="s">
        <v>14</v>
      </c>
      <c r="O746" s="1077" t="s">
        <v>15</v>
      </c>
    </row>
    <row r="747" spans="1:18" s="3" customFormat="1" ht="15" customHeight="1" x14ac:dyDescent="0.35">
      <c r="B747" s="1080"/>
      <c r="C747" s="1145"/>
      <c r="D747" s="1145"/>
      <c r="E747" s="1145"/>
      <c r="F747" s="1145"/>
      <c r="G747" s="1145"/>
      <c r="H747" s="1145"/>
      <c r="I747" s="1145"/>
      <c r="J747" s="1145"/>
      <c r="K747" s="1145"/>
      <c r="L747" s="1145"/>
      <c r="M747" s="1145"/>
      <c r="N747" s="1145"/>
      <c r="O747" s="1088"/>
    </row>
    <row r="748" spans="1:18" s="3" customFormat="1" x14ac:dyDescent="0.35">
      <c r="B748" s="107"/>
      <c r="C748" s="108"/>
      <c r="D748" s="109"/>
      <c r="E748" s="109"/>
      <c r="F748" s="109"/>
      <c r="G748" s="109"/>
      <c r="H748" s="108"/>
      <c r="I748" s="108"/>
      <c r="J748" s="108"/>
      <c r="K748" s="108"/>
      <c r="L748" s="108"/>
      <c r="M748" s="108"/>
      <c r="N748" s="108"/>
      <c r="O748" s="109"/>
    </row>
    <row r="749" spans="1:18" s="3" customFormat="1" x14ac:dyDescent="0.35">
      <c r="A749" s="359"/>
      <c r="B749" s="110" t="s">
        <v>216</v>
      </c>
      <c r="C749" s="234">
        <f>SUM(C751:C754)</f>
        <v>277107.15886400011</v>
      </c>
      <c r="D749" s="111">
        <f>SUM(D751:D754)</f>
        <v>346822.32599999936</v>
      </c>
      <c r="E749" s="111">
        <f t="shared" ref="E749:M749" si="157">SUM(E751:E754)</f>
        <v>346055.57900000026</v>
      </c>
      <c r="F749" s="111">
        <f t="shared" si="157"/>
        <v>339895.84100000007</v>
      </c>
      <c r="G749" s="111">
        <f t="shared" si="157"/>
        <v>0</v>
      </c>
      <c r="H749" s="111">
        <f t="shared" si="157"/>
        <v>0</v>
      </c>
      <c r="I749" s="111">
        <f t="shared" si="157"/>
        <v>0</v>
      </c>
      <c r="J749" s="111">
        <f t="shared" si="157"/>
        <v>0</v>
      </c>
      <c r="K749" s="111">
        <f t="shared" si="157"/>
        <v>0</v>
      </c>
      <c r="L749" s="111">
        <f t="shared" si="157"/>
        <v>0</v>
      </c>
      <c r="M749" s="111">
        <f t="shared" si="157"/>
        <v>0</v>
      </c>
      <c r="N749" s="111">
        <f>SUM(N751:N754)</f>
        <v>0</v>
      </c>
      <c r="O749" s="112">
        <f>SUM(C749:N749)</f>
        <v>1309880.9048639999</v>
      </c>
    </row>
    <row r="750" spans="1:18" s="3" customFormat="1" x14ac:dyDescent="0.35">
      <c r="A750" s="359"/>
      <c r="B750" s="110"/>
      <c r="C750" s="234"/>
      <c r="D750" s="234"/>
      <c r="E750" s="234"/>
      <c r="F750" s="234"/>
      <c r="G750" s="234"/>
      <c r="H750" s="234"/>
      <c r="I750" s="234"/>
      <c r="J750" s="111"/>
      <c r="K750" s="111"/>
      <c r="L750" s="111"/>
      <c r="M750" s="111"/>
      <c r="N750" s="111"/>
      <c r="O750" s="112"/>
    </row>
    <row r="751" spans="1:18" s="3" customFormat="1" x14ac:dyDescent="0.35">
      <c r="B751" s="235" t="s">
        <v>131</v>
      </c>
      <c r="C751" s="1276">
        <v>114656.55878400002</v>
      </c>
      <c r="D751" s="1276">
        <v>194139.88599999953</v>
      </c>
      <c r="E751" s="1279">
        <v>216448.23200000028</v>
      </c>
      <c r="F751" s="1279">
        <v>203374.92600000004</v>
      </c>
      <c r="G751" s="1279"/>
      <c r="H751" s="1279"/>
      <c r="I751" s="1279"/>
      <c r="J751" s="1280"/>
      <c r="K751" s="1280"/>
      <c r="L751" s="1280"/>
      <c r="M751" s="1280"/>
      <c r="N751" s="1280"/>
      <c r="O751" s="138">
        <f>SUM(C751:N751)</f>
        <v>728619.60278399987</v>
      </c>
    </row>
    <row r="752" spans="1:18" s="3" customFormat="1" x14ac:dyDescent="0.35">
      <c r="B752" s="235" t="s">
        <v>132</v>
      </c>
      <c r="C752" s="1276">
        <v>158339.72808000009</v>
      </c>
      <c r="D752" s="1276">
        <v>141338.89299999981</v>
      </c>
      <c r="E752" s="1279">
        <v>126760.38099999994</v>
      </c>
      <c r="F752" s="1279">
        <v>131246.56200000003</v>
      </c>
      <c r="G752" s="1279"/>
      <c r="H752" s="1279"/>
      <c r="I752" s="1279"/>
      <c r="J752" s="1280"/>
      <c r="K752" s="1280"/>
      <c r="L752" s="1280"/>
      <c r="M752" s="1280"/>
      <c r="N752" s="1280"/>
      <c r="O752" s="138">
        <f>SUM(C752:N752)</f>
        <v>557685.56407999992</v>
      </c>
    </row>
    <row r="753" spans="1:20" s="3" customFormat="1" x14ac:dyDescent="0.35">
      <c r="B753" s="235" t="s">
        <v>133</v>
      </c>
      <c r="C753" s="1280">
        <v>0</v>
      </c>
      <c r="D753" s="1280">
        <v>27.7</v>
      </c>
      <c r="E753" s="1279">
        <v>0</v>
      </c>
      <c r="F753" s="1279">
        <v>10.999000000000001</v>
      </c>
      <c r="G753" s="1279"/>
      <c r="H753" s="1279"/>
      <c r="I753" s="1279"/>
      <c r="J753" s="1280"/>
      <c r="K753" s="1280"/>
      <c r="L753" s="1280"/>
      <c r="M753" s="1280"/>
      <c r="N753" s="1280"/>
      <c r="O753" s="138">
        <f>SUM(C753:N753)</f>
        <v>38.698999999999998</v>
      </c>
    </row>
    <row r="754" spans="1:20" s="3" customFormat="1" x14ac:dyDescent="0.35">
      <c r="B754" s="235" t="s">
        <v>142</v>
      </c>
      <c r="C754" s="1280">
        <v>4110.8719999999994</v>
      </c>
      <c r="D754" s="1280">
        <v>11315.846999999998</v>
      </c>
      <c r="E754" s="1279">
        <v>2846.9660000000017</v>
      </c>
      <c r="F754" s="1279">
        <v>5263.3540000000039</v>
      </c>
      <c r="G754" s="1279"/>
      <c r="H754" s="1279"/>
      <c r="I754" s="1279"/>
      <c r="J754" s="1280"/>
      <c r="K754" s="1280"/>
      <c r="L754" s="1280"/>
      <c r="M754" s="1280"/>
      <c r="N754" s="1280"/>
      <c r="O754" s="138">
        <f>SUM(C754:N754)</f>
        <v>23537.039000000001</v>
      </c>
    </row>
    <row r="755" spans="1:20" s="3" customFormat="1" x14ac:dyDescent="0.35">
      <c r="B755" s="236"/>
      <c r="C755" s="131"/>
      <c r="D755" s="131"/>
      <c r="E755" s="1281"/>
      <c r="F755" s="131"/>
      <c r="G755" s="131"/>
      <c r="H755" s="131"/>
      <c r="I755" s="131"/>
      <c r="J755" s="131"/>
      <c r="K755" s="131"/>
      <c r="L755" s="131"/>
      <c r="M755" s="131"/>
      <c r="N755" s="131"/>
      <c r="O755" s="130"/>
    </row>
    <row r="756" spans="1:20" ht="15" customHeight="1" x14ac:dyDescent="0.35">
      <c r="A756" s="359"/>
      <c r="B756" s="110" t="s">
        <v>217</v>
      </c>
      <c r="C756" s="234">
        <f>SUM(C758:C761)</f>
        <v>51866.59840000001</v>
      </c>
      <c r="D756" s="111">
        <f>SUM(D758:D761)</f>
        <v>54881.080559999995</v>
      </c>
      <c r="E756" s="111">
        <f t="shared" ref="E756:M756" si="158">SUM(E758:E761)</f>
        <v>55467.98700000003</v>
      </c>
      <c r="F756" s="234">
        <f t="shared" si="158"/>
        <v>15446.231000000007</v>
      </c>
      <c r="G756" s="111">
        <f t="shared" si="158"/>
        <v>0</v>
      </c>
      <c r="H756" s="111">
        <f t="shared" si="158"/>
        <v>0</v>
      </c>
      <c r="I756" s="111">
        <f t="shared" si="158"/>
        <v>0</v>
      </c>
      <c r="J756" s="111">
        <f t="shared" si="158"/>
        <v>0</v>
      </c>
      <c r="K756" s="111">
        <f t="shared" si="158"/>
        <v>0</v>
      </c>
      <c r="L756" s="111">
        <f t="shared" si="158"/>
        <v>0</v>
      </c>
      <c r="M756" s="111">
        <f t="shared" si="158"/>
        <v>0</v>
      </c>
      <c r="N756" s="111">
        <f>SUM(N758:N761)</f>
        <v>0</v>
      </c>
      <c r="O756" s="112">
        <f>SUM(C756:N756)</f>
        <v>177661.89696000004</v>
      </c>
      <c r="P756" s="3"/>
      <c r="Q756" s="3"/>
      <c r="R756" s="3"/>
      <c r="S756" s="3"/>
      <c r="T756" s="3"/>
    </row>
    <row r="757" spans="1:20" x14ac:dyDescent="0.35">
      <c r="A757" s="359"/>
      <c r="B757" s="110"/>
      <c r="C757" s="234"/>
      <c r="D757" s="234"/>
      <c r="E757" s="234"/>
      <c r="F757" s="234"/>
      <c r="G757" s="234"/>
      <c r="H757" s="234"/>
      <c r="I757" s="234"/>
      <c r="J757" s="111"/>
      <c r="K757" s="111"/>
      <c r="L757" s="111"/>
      <c r="M757" s="111"/>
      <c r="N757" s="111"/>
      <c r="O757" s="112"/>
    </row>
    <row r="758" spans="1:20" s="3" customFormat="1" x14ac:dyDescent="0.35">
      <c r="B758" s="235" t="s">
        <v>131</v>
      </c>
      <c r="C758" s="1279">
        <v>3503.0304000000006</v>
      </c>
      <c r="D758" s="1279">
        <v>5884.6815599999991</v>
      </c>
      <c r="E758" s="1279">
        <v>9531.8559999999998</v>
      </c>
      <c r="F758" s="1279">
        <v>13050.387000000006</v>
      </c>
      <c r="G758" s="1279"/>
      <c r="H758" s="1279"/>
      <c r="I758" s="1279"/>
      <c r="J758" s="1280"/>
      <c r="K758" s="1280"/>
      <c r="L758" s="1280"/>
      <c r="M758" s="1280"/>
      <c r="N758" s="1280"/>
      <c r="O758" s="138">
        <f>SUM(C758:N758)</f>
        <v>31969.954960000006</v>
      </c>
      <c r="P758" s="324"/>
      <c r="Q758" s="324"/>
      <c r="R758" s="324"/>
      <c r="S758" s="324"/>
      <c r="T758" s="324"/>
    </row>
    <row r="759" spans="1:20" s="3" customFormat="1" x14ac:dyDescent="0.35">
      <c r="B759" s="235" t="s">
        <v>132</v>
      </c>
      <c r="C759" s="1279">
        <v>48363.568000000007</v>
      </c>
      <c r="D759" s="1279">
        <v>48996.398999999998</v>
      </c>
      <c r="E759" s="1279">
        <v>45936.13100000003</v>
      </c>
      <c r="F759" s="1279">
        <v>2395.8440000000001</v>
      </c>
      <c r="G759" s="1279"/>
      <c r="H759" s="1279"/>
      <c r="I759" s="1279"/>
      <c r="J759" s="1280"/>
      <c r="K759" s="1280"/>
      <c r="L759" s="1280"/>
      <c r="M759" s="1280"/>
      <c r="N759" s="1280"/>
      <c r="O759" s="138">
        <f>SUM(C759:N759)</f>
        <v>145691.94200000004</v>
      </c>
    </row>
    <row r="760" spans="1:20" s="3" customFormat="1" x14ac:dyDescent="0.35">
      <c r="B760" s="235" t="s">
        <v>133</v>
      </c>
      <c r="C760" s="1280">
        <v>0</v>
      </c>
      <c r="D760" s="1280">
        <v>0</v>
      </c>
      <c r="E760" s="1280">
        <v>0</v>
      </c>
      <c r="F760" s="1280">
        <v>0</v>
      </c>
      <c r="G760" s="1280"/>
      <c r="H760" s="1280"/>
      <c r="I760" s="1280"/>
      <c r="J760" s="1280"/>
      <c r="K760" s="1280"/>
      <c r="L760" s="1280"/>
      <c r="M760" s="1280"/>
      <c r="N760" s="1280"/>
      <c r="O760" s="138">
        <f>SUM(C760:N760)</f>
        <v>0</v>
      </c>
    </row>
    <row r="761" spans="1:20" s="3" customFormat="1" x14ac:dyDescent="0.35">
      <c r="B761" s="235" t="s">
        <v>142</v>
      </c>
      <c r="C761" s="1280">
        <v>0</v>
      </c>
      <c r="D761" s="1280">
        <v>0</v>
      </c>
      <c r="E761" s="1280">
        <v>0</v>
      </c>
      <c r="F761" s="1280">
        <v>0</v>
      </c>
      <c r="G761" s="1280"/>
      <c r="H761" s="1280"/>
      <c r="I761" s="1280"/>
      <c r="J761" s="1280"/>
      <c r="K761" s="1280"/>
      <c r="L761" s="1280"/>
      <c r="M761" s="1280"/>
      <c r="N761" s="1280"/>
      <c r="O761" s="138">
        <f>SUM(C761:N761)</f>
        <v>0</v>
      </c>
    </row>
    <row r="762" spans="1:20" s="3" customFormat="1" x14ac:dyDescent="0.35">
      <c r="B762" s="235"/>
      <c r="C762" s="29"/>
      <c r="D762" s="29"/>
      <c r="E762" s="29"/>
      <c r="F762" s="29"/>
      <c r="G762" s="29"/>
      <c r="H762" s="29"/>
      <c r="I762" s="29"/>
      <c r="J762" s="29"/>
      <c r="K762" s="29"/>
      <c r="L762" s="29"/>
      <c r="M762" s="29"/>
      <c r="N762" s="29"/>
      <c r="O762" s="138"/>
    </row>
    <row r="763" spans="1:20" s="3" customFormat="1" x14ac:dyDescent="0.35">
      <c r="B763" s="431" t="s">
        <v>36</v>
      </c>
      <c r="C763" s="1277">
        <f>C749+C756</f>
        <v>328973.75726400013</v>
      </c>
      <c r="D763" s="1277">
        <f>D749+D756</f>
        <v>401703.40655999933</v>
      </c>
      <c r="E763" s="1277">
        <f>E749+E756</f>
        <v>401523.56600000028</v>
      </c>
      <c r="F763" s="1277">
        <f>F749+F756</f>
        <v>355342.0720000001</v>
      </c>
      <c r="G763" s="1277">
        <f t="shared" ref="G763:L763" si="159">G749+G756</f>
        <v>0</v>
      </c>
      <c r="H763" s="1277">
        <f t="shared" si="159"/>
        <v>0</v>
      </c>
      <c r="I763" s="1277">
        <f t="shared" si="159"/>
        <v>0</v>
      </c>
      <c r="J763" s="1277">
        <f t="shared" si="159"/>
        <v>0</v>
      </c>
      <c r="K763" s="1277">
        <f t="shared" si="159"/>
        <v>0</v>
      </c>
      <c r="L763" s="1277">
        <f t="shared" si="159"/>
        <v>0</v>
      </c>
      <c r="M763" s="1277">
        <f>M749+M756</f>
        <v>0</v>
      </c>
      <c r="N763" s="1277">
        <f>N749+N756</f>
        <v>0</v>
      </c>
      <c r="O763" s="1278">
        <f>SUM(C763:N763)</f>
        <v>1487542.801824</v>
      </c>
    </row>
    <row r="764" spans="1:20" s="3" customFormat="1" x14ac:dyDescent="0.35">
      <c r="B764" s="237"/>
      <c r="C764" s="143"/>
      <c r="D764" s="143"/>
      <c r="E764" s="143"/>
      <c r="F764" s="143"/>
      <c r="G764" s="143"/>
      <c r="H764" s="143"/>
      <c r="I764" s="143"/>
      <c r="J764" s="143"/>
      <c r="K764" s="143"/>
      <c r="L764" s="143"/>
      <c r="M764" s="143"/>
      <c r="N764" s="143"/>
      <c r="O764" s="142"/>
    </row>
    <row r="765" spans="1:20" s="3" customFormat="1" x14ac:dyDescent="0.35">
      <c r="B765" s="235" t="s">
        <v>131</v>
      </c>
      <c r="C765" s="29">
        <f t="shared" ref="C765:M768" si="160">C751+C758</f>
        <v>118159.58918400003</v>
      </c>
      <c r="D765" s="29">
        <f t="shared" si="160"/>
        <v>200024.56755999953</v>
      </c>
      <c r="E765" s="29">
        <f t="shared" si="160"/>
        <v>225980.08800000028</v>
      </c>
      <c r="F765" s="29">
        <f t="shared" si="160"/>
        <v>216425.31300000005</v>
      </c>
      <c r="G765" s="29">
        <f t="shared" si="160"/>
        <v>0</v>
      </c>
      <c r="H765" s="29">
        <f t="shared" si="160"/>
        <v>0</v>
      </c>
      <c r="I765" s="29">
        <f t="shared" si="160"/>
        <v>0</v>
      </c>
      <c r="J765" s="29">
        <f t="shared" si="160"/>
        <v>0</v>
      </c>
      <c r="K765" s="29">
        <f t="shared" si="160"/>
        <v>0</v>
      </c>
      <c r="L765" s="29">
        <f t="shared" si="160"/>
        <v>0</v>
      </c>
      <c r="M765" s="29">
        <f t="shared" si="160"/>
        <v>0</v>
      </c>
      <c r="N765" s="29">
        <f>N751+N758</f>
        <v>0</v>
      </c>
      <c r="O765" s="138">
        <f>SUM(C765:N765)</f>
        <v>760589.55774399987</v>
      </c>
      <c r="P765" s="28">
        <f>O765/$O$763</f>
        <v>0.51130599859807579</v>
      </c>
    </row>
    <row r="766" spans="1:20" s="3" customFormat="1" x14ac:dyDescent="0.35">
      <c r="B766" s="235" t="s">
        <v>132</v>
      </c>
      <c r="C766" s="29">
        <f t="shared" si="160"/>
        <v>206703.29608000009</v>
      </c>
      <c r="D766" s="29">
        <f t="shared" si="160"/>
        <v>190335.29199999981</v>
      </c>
      <c r="E766" s="29">
        <f t="shared" si="160"/>
        <v>172696.51199999996</v>
      </c>
      <c r="F766" s="29">
        <f t="shared" si="160"/>
        <v>133642.40600000005</v>
      </c>
      <c r="G766" s="29">
        <f t="shared" si="160"/>
        <v>0</v>
      </c>
      <c r="H766" s="29">
        <f t="shared" si="160"/>
        <v>0</v>
      </c>
      <c r="I766" s="29">
        <f t="shared" si="160"/>
        <v>0</v>
      </c>
      <c r="J766" s="29">
        <f t="shared" si="160"/>
        <v>0</v>
      </c>
      <c r="K766" s="29">
        <f t="shared" si="160"/>
        <v>0</v>
      </c>
      <c r="L766" s="29">
        <f t="shared" si="160"/>
        <v>0</v>
      </c>
      <c r="M766" s="29">
        <f t="shared" si="160"/>
        <v>0</v>
      </c>
      <c r="N766" s="29">
        <f>N752+N759</f>
        <v>0</v>
      </c>
      <c r="O766" s="138">
        <f>SUM(C766:N766)</f>
        <v>703377.50607999996</v>
      </c>
      <c r="P766" s="28">
        <f t="shared" ref="P766:P768" si="161">O766/$O$763</f>
        <v>0.47284522180977268</v>
      </c>
    </row>
    <row r="767" spans="1:20" s="3" customFormat="1" x14ac:dyDescent="0.35">
      <c r="B767" s="235" t="s">
        <v>133</v>
      </c>
      <c r="C767" s="29">
        <f t="shared" si="160"/>
        <v>0</v>
      </c>
      <c r="D767" s="29">
        <f t="shared" si="160"/>
        <v>27.7</v>
      </c>
      <c r="E767" s="29">
        <f t="shared" si="160"/>
        <v>0</v>
      </c>
      <c r="F767" s="29">
        <f t="shared" si="160"/>
        <v>10.999000000000001</v>
      </c>
      <c r="G767" s="29">
        <f t="shared" si="160"/>
        <v>0</v>
      </c>
      <c r="H767" s="29">
        <f t="shared" si="160"/>
        <v>0</v>
      </c>
      <c r="I767" s="29">
        <f t="shared" si="160"/>
        <v>0</v>
      </c>
      <c r="J767" s="29">
        <f t="shared" si="160"/>
        <v>0</v>
      </c>
      <c r="K767" s="29">
        <f t="shared" si="160"/>
        <v>0</v>
      </c>
      <c r="L767" s="29">
        <f t="shared" si="160"/>
        <v>0</v>
      </c>
      <c r="M767" s="29">
        <f t="shared" si="160"/>
        <v>0</v>
      </c>
      <c r="N767" s="29">
        <f>N753+N760</f>
        <v>0</v>
      </c>
      <c r="O767" s="138">
        <f>SUM(C767:N767)</f>
        <v>38.698999999999998</v>
      </c>
      <c r="P767" s="28">
        <f t="shared" si="161"/>
        <v>2.6015385878341071E-5</v>
      </c>
    </row>
    <row r="768" spans="1:20" s="3" customFormat="1" x14ac:dyDescent="0.35">
      <c r="B768" s="235" t="s">
        <v>142</v>
      </c>
      <c r="C768" s="29">
        <f t="shared" si="160"/>
        <v>4110.8719999999994</v>
      </c>
      <c r="D768" s="29">
        <f t="shared" si="160"/>
        <v>11315.846999999998</v>
      </c>
      <c r="E768" s="29">
        <f t="shared" si="160"/>
        <v>2846.9660000000017</v>
      </c>
      <c r="F768" s="29">
        <f t="shared" si="160"/>
        <v>5263.3540000000039</v>
      </c>
      <c r="G768" s="29">
        <f t="shared" si="160"/>
        <v>0</v>
      </c>
      <c r="H768" s="29">
        <f t="shared" si="160"/>
        <v>0</v>
      </c>
      <c r="I768" s="29">
        <f t="shared" si="160"/>
        <v>0</v>
      </c>
      <c r="J768" s="29">
        <f t="shared" si="160"/>
        <v>0</v>
      </c>
      <c r="K768" s="29">
        <f t="shared" si="160"/>
        <v>0</v>
      </c>
      <c r="L768" s="29">
        <f t="shared" si="160"/>
        <v>0</v>
      </c>
      <c r="M768" s="29">
        <f t="shared" si="160"/>
        <v>0</v>
      </c>
      <c r="N768" s="29">
        <f>N754+N761</f>
        <v>0</v>
      </c>
      <c r="O768" s="138">
        <f>SUM(C768:N768)</f>
        <v>23537.039000000001</v>
      </c>
      <c r="P768" s="28">
        <f t="shared" si="161"/>
        <v>1.5822764206273109E-2</v>
      </c>
    </row>
    <row r="769" spans="2:15" s="3" customFormat="1" x14ac:dyDescent="0.35">
      <c r="B769" s="238"/>
      <c r="C769" s="239"/>
      <c r="D769" s="239"/>
      <c r="E769" s="239"/>
      <c r="F769" s="239"/>
      <c r="G769" s="239"/>
      <c r="H769" s="239"/>
      <c r="I769" s="239"/>
      <c r="J769" s="239"/>
      <c r="K769" s="239"/>
      <c r="L769" s="239"/>
      <c r="M769" s="239"/>
      <c r="N769" s="239"/>
      <c r="O769" s="240"/>
    </row>
    <row r="770" spans="2:15" s="3" customFormat="1" x14ac:dyDescent="0.35">
      <c r="B770" s="158"/>
      <c r="C770" s="118"/>
      <c r="D770" s="118"/>
      <c r="E770" s="118"/>
      <c r="F770" s="118" t="s">
        <v>11</v>
      </c>
      <c r="G770" s="118"/>
      <c r="H770" s="118"/>
      <c r="I770" s="118"/>
      <c r="J770" s="118"/>
      <c r="K770" s="118"/>
      <c r="L770" s="118"/>
      <c r="M770" s="118"/>
      <c r="N770" s="118"/>
      <c r="O770" s="160"/>
    </row>
    <row r="771" spans="2:15" s="3" customFormat="1" x14ac:dyDescent="0.35">
      <c r="B771" s="1068" t="s">
        <v>533</v>
      </c>
      <c r="C771" s="1068"/>
      <c r="D771" s="1068"/>
      <c r="E771" s="1068"/>
      <c r="F771" s="1068"/>
      <c r="G771" s="1068"/>
      <c r="H771" s="1068"/>
      <c r="I771" s="1068"/>
      <c r="J771" s="1068"/>
      <c r="K771" s="1068"/>
      <c r="L771" s="1068"/>
      <c r="M771" s="1068"/>
      <c r="N771" s="1068"/>
      <c r="O771" s="1068"/>
    </row>
    <row r="772" spans="2:15" s="3" customFormat="1" x14ac:dyDescent="0.35">
      <c r="B772" s="158"/>
      <c r="C772" s="118"/>
      <c r="D772" s="118"/>
      <c r="E772" s="118"/>
      <c r="F772" s="118"/>
      <c r="G772" s="118"/>
      <c r="H772" s="118"/>
      <c r="I772" s="118"/>
      <c r="J772" s="118"/>
      <c r="K772" s="118"/>
      <c r="L772" s="118"/>
      <c r="M772" s="118"/>
      <c r="N772" s="118"/>
      <c r="O772" s="160"/>
    </row>
    <row r="773" spans="2:15" s="3" customFormat="1" x14ac:dyDescent="0.35">
      <c r="B773" s="1068" t="s">
        <v>143</v>
      </c>
      <c r="C773" s="1068"/>
      <c r="D773" s="1068"/>
      <c r="E773" s="1068"/>
      <c r="F773" s="1068"/>
      <c r="G773" s="1068"/>
      <c r="H773" s="1068"/>
      <c r="I773" s="1068"/>
      <c r="J773" s="1068"/>
      <c r="K773" s="1068"/>
      <c r="L773" s="1068"/>
      <c r="M773" s="1068"/>
      <c r="N773" s="1068"/>
      <c r="O773" s="1068"/>
    </row>
    <row r="774" spans="2:15" s="3" customFormat="1" x14ac:dyDescent="0.35">
      <c r="B774" s="173"/>
      <c r="C774" s="267"/>
      <c r="D774" s="267"/>
      <c r="E774" s="267"/>
      <c r="F774" s="267"/>
      <c r="G774" s="267"/>
      <c r="H774" s="267"/>
      <c r="I774" s="267"/>
      <c r="J774" s="267"/>
      <c r="K774" s="267"/>
      <c r="L774" s="267"/>
      <c r="M774" s="267"/>
      <c r="N774" s="267"/>
      <c r="O774" s="1171"/>
    </row>
    <row r="775" spans="2:15" s="3" customFormat="1" ht="15" customHeight="1" x14ac:dyDescent="0.35">
      <c r="B775" s="1074" t="s">
        <v>13</v>
      </c>
      <c r="C775" s="1112" t="s">
        <v>0</v>
      </c>
      <c r="D775" s="1112" t="s">
        <v>1</v>
      </c>
      <c r="E775" s="1112" t="s">
        <v>2</v>
      </c>
      <c r="F775" s="1112" t="s">
        <v>3</v>
      </c>
      <c r="G775" s="1112" t="s">
        <v>4</v>
      </c>
      <c r="H775" s="1112" t="s">
        <v>5</v>
      </c>
      <c r="I775" s="1112" t="s">
        <v>6</v>
      </c>
      <c r="J775" s="1112" t="s">
        <v>7</v>
      </c>
      <c r="K775" s="1112" t="s">
        <v>8</v>
      </c>
      <c r="L775" s="1112" t="s">
        <v>9</v>
      </c>
      <c r="M775" s="1112" t="s">
        <v>10</v>
      </c>
      <c r="N775" s="1112" t="s">
        <v>14</v>
      </c>
      <c r="O775" s="1077" t="s">
        <v>15</v>
      </c>
    </row>
    <row r="776" spans="2:15" s="3" customFormat="1" ht="15" customHeight="1" x14ac:dyDescent="0.35">
      <c r="B776" s="1080"/>
      <c r="C776" s="1145"/>
      <c r="D776" s="1145"/>
      <c r="E776" s="1145"/>
      <c r="F776" s="1145"/>
      <c r="G776" s="1145"/>
      <c r="H776" s="1145"/>
      <c r="I776" s="1145"/>
      <c r="J776" s="1145"/>
      <c r="K776" s="1145"/>
      <c r="L776" s="1145"/>
      <c r="M776" s="1145"/>
      <c r="N776" s="1145"/>
      <c r="O776" s="1088"/>
    </row>
    <row r="777" spans="2:15" s="3" customFormat="1" x14ac:dyDescent="0.35">
      <c r="B777" s="242"/>
      <c r="C777" s="1155"/>
      <c r="D777" s="1155"/>
      <c r="E777" s="1155"/>
      <c r="F777" s="1155"/>
      <c r="G777" s="1155"/>
      <c r="H777" s="1155"/>
      <c r="I777" s="1155"/>
      <c r="J777" s="1155"/>
      <c r="K777" s="1155"/>
      <c r="L777" s="1282"/>
      <c r="M777" s="1282"/>
      <c r="N777" s="1282"/>
      <c r="O777" s="243"/>
    </row>
    <row r="778" spans="2:15" s="3" customFormat="1" x14ac:dyDescent="0.35">
      <c r="B778" s="1283" t="s">
        <v>47</v>
      </c>
      <c r="C778" s="244">
        <f>SUM(C780:C800)</f>
        <v>114656.55878400002</v>
      </c>
      <c r="D778" s="244">
        <f>SUM(D780:D800)</f>
        <v>194139.88599999953</v>
      </c>
      <c r="E778" s="244">
        <f t="shared" ref="E778:M778" si="162">SUM(E780:E800)</f>
        <v>216448.23200000016</v>
      </c>
      <c r="F778" s="244">
        <f t="shared" si="162"/>
        <v>203374.92600000009</v>
      </c>
      <c r="G778" s="244">
        <f t="shared" si="162"/>
        <v>0</v>
      </c>
      <c r="H778" s="244">
        <f t="shared" si="162"/>
        <v>0</v>
      </c>
      <c r="I778" s="244">
        <f t="shared" si="162"/>
        <v>0</v>
      </c>
      <c r="J778" s="244">
        <f t="shared" si="162"/>
        <v>0</v>
      </c>
      <c r="K778" s="244">
        <f t="shared" si="162"/>
        <v>0</v>
      </c>
      <c r="L778" s="244">
        <f t="shared" si="162"/>
        <v>0</v>
      </c>
      <c r="M778" s="244">
        <f t="shared" si="162"/>
        <v>0</v>
      </c>
      <c r="N778" s="244">
        <f>SUM(N780:N800)</f>
        <v>0</v>
      </c>
      <c r="O778" s="112">
        <f>SUM(C778:N778)</f>
        <v>728619.60278399987</v>
      </c>
    </row>
    <row r="779" spans="2:15" s="3" customFormat="1" x14ac:dyDescent="0.35">
      <c r="B779" s="1284"/>
      <c r="C779" s="245"/>
      <c r="D779" s="897"/>
      <c r="E779" s="897"/>
      <c r="F779" s="897"/>
      <c r="G779" s="897"/>
      <c r="H779" s="897"/>
      <c r="I779" s="897"/>
      <c r="J779" s="897"/>
      <c r="K779" s="897"/>
      <c r="L779" s="897"/>
      <c r="M779" s="897"/>
      <c r="N779" s="897"/>
      <c r="O779" s="138"/>
    </row>
    <row r="780" spans="2:15" s="3" customFormat="1" x14ac:dyDescent="0.35">
      <c r="B780" s="1285" t="s">
        <v>66</v>
      </c>
      <c r="C780" s="1280">
        <v>35003.112000000001</v>
      </c>
      <c r="D780" s="1280">
        <v>112533.622</v>
      </c>
      <c r="E780" s="1280">
        <v>112054.22200000001</v>
      </c>
      <c r="F780" s="1280">
        <v>90476.570999999996</v>
      </c>
      <c r="G780" s="1280"/>
      <c r="H780" s="1280"/>
      <c r="I780" s="1280"/>
      <c r="J780" s="1280"/>
      <c r="K780" s="1280"/>
      <c r="L780" s="1280"/>
      <c r="M780" s="1280"/>
      <c r="N780" s="1280"/>
      <c r="O780" s="138">
        <f t="shared" ref="O780:O800" si="163">SUM(C780:N780)</f>
        <v>350067.527</v>
      </c>
    </row>
    <row r="781" spans="2:15" s="3" customFormat="1" x14ac:dyDescent="0.35">
      <c r="B781" s="1285" t="s">
        <v>68</v>
      </c>
      <c r="C781" s="1280">
        <v>18400</v>
      </c>
      <c r="D781" s="1280">
        <v>22834.214</v>
      </c>
      <c r="E781" s="1280">
        <v>35992.42</v>
      </c>
      <c r="F781" s="1280">
        <v>2000</v>
      </c>
      <c r="G781" s="1280"/>
      <c r="H781" s="1280"/>
      <c r="I781" s="1280"/>
      <c r="J781" s="1280"/>
      <c r="K781" s="1280"/>
      <c r="L781" s="1280"/>
      <c r="M781" s="1280"/>
      <c r="N781" s="1280"/>
      <c r="O781" s="138">
        <f t="shared" si="163"/>
        <v>79226.633999999991</v>
      </c>
    </row>
    <row r="782" spans="2:15" s="3" customFormat="1" x14ac:dyDescent="0.35">
      <c r="B782" s="1285" t="s">
        <v>67</v>
      </c>
      <c r="C782" s="1280">
        <v>3478.4670000000001</v>
      </c>
      <c r="D782" s="1280">
        <v>2083.4390000000008</v>
      </c>
      <c r="E782" s="1280">
        <v>1290.5249999999992</v>
      </c>
      <c r="F782" s="1280">
        <v>1541.848999999999</v>
      </c>
      <c r="G782" s="1280"/>
      <c r="H782" s="1280"/>
      <c r="I782" s="1280"/>
      <c r="J782" s="1280"/>
      <c r="K782" s="1280"/>
      <c r="L782" s="1280"/>
      <c r="M782" s="1280"/>
      <c r="N782" s="1280"/>
      <c r="O782" s="138">
        <f t="shared" si="163"/>
        <v>8394.2799999999988</v>
      </c>
    </row>
    <row r="783" spans="2:15" s="3" customFormat="1" x14ac:dyDescent="0.35">
      <c r="B783" s="1285" t="s">
        <v>71</v>
      </c>
      <c r="C783" s="1280">
        <v>11917.190600000025</v>
      </c>
      <c r="D783" s="1280">
        <v>14366.29700000001</v>
      </c>
      <c r="E783" s="1280">
        <v>24565.053000000029</v>
      </c>
      <c r="F783" s="1280">
        <v>16902.106000000018</v>
      </c>
      <c r="G783" s="1280"/>
      <c r="H783" s="1280"/>
      <c r="I783" s="1280"/>
      <c r="J783" s="1280"/>
      <c r="K783" s="1280"/>
      <c r="L783" s="1280"/>
      <c r="M783" s="1280"/>
      <c r="N783" s="1280"/>
      <c r="O783" s="138">
        <f t="shared" si="163"/>
        <v>67750.64660000008</v>
      </c>
    </row>
    <row r="784" spans="2:15" s="3" customFormat="1" x14ac:dyDescent="0.35">
      <c r="B784" s="1285" t="s">
        <v>113</v>
      </c>
      <c r="C784" s="1280">
        <v>19055.07699999999</v>
      </c>
      <c r="D784" s="1280">
        <v>8055.5360000000028</v>
      </c>
      <c r="E784" s="1280">
        <v>11380.365000000009</v>
      </c>
      <c r="F784" s="1280">
        <v>10313.325000000026</v>
      </c>
      <c r="G784" s="1280"/>
      <c r="H784" s="1280"/>
      <c r="I784" s="1280"/>
      <c r="J784" s="1280"/>
      <c r="K784" s="1280"/>
      <c r="L784" s="1280"/>
      <c r="M784" s="1280"/>
      <c r="N784" s="1280"/>
      <c r="O784" s="138">
        <f t="shared" si="163"/>
        <v>48804.303000000029</v>
      </c>
    </row>
    <row r="785" spans="2:15" s="3" customFormat="1" x14ac:dyDescent="0.35">
      <c r="B785" s="1285" t="s">
        <v>74</v>
      </c>
      <c r="C785" s="1280">
        <v>182.12799999999999</v>
      </c>
      <c r="D785" s="1280">
        <v>10365.715</v>
      </c>
      <c r="E785" s="1280">
        <v>3506.22</v>
      </c>
      <c r="F785" s="1280">
        <v>6794.2829999999994</v>
      </c>
      <c r="G785" s="1280"/>
      <c r="H785" s="1280"/>
      <c r="I785" s="1280"/>
      <c r="J785" s="1280"/>
      <c r="K785" s="1280"/>
      <c r="L785" s="1280"/>
      <c r="M785" s="1280"/>
      <c r="N785" s="1280"/>
      <c r="O785" s="138">
        <f t="shared" si="163"/>
        <v>20848.345999999998</v>
      </c>
    </row>
    <row r="786" spans="2:15" s="3" customFormat="1" x14ac:dyDescent="0.35">
      <c r="B786" s="1285" t="s">
        <v>86</v>
      </c>
      <c r="C786" s="1280">
        <v>717.04099999999994</v>
      </c>
      <c r="D786" s="1280">
        <v>2485.8619999999987</v>
      </c>
      <c r="E786" s="1280">
        <v>1180.3529999999996</v>
      </c>
      <c r="F786" s="1280">
        <v>1819.2699999999995</v>
      </c>
      <c r="G786" s="1280"/>
      <c r="H786" s="1280"/>
      <c r="I786" s="1280"/>
      <c r="J786" s="1280"/>
      <c r="K786" s="1280"/>
      <c r="L786" s="1280"/>
      <c r="M786" s="1280"/>
      <c r="N786" s="1280"/>
      <c r="O786" s="138">
        <f t="shared" si="163"/>
        <v>6202.5259999999971</v>
      </c>
    </row>
    <row r="787" spans="2:15" s="3" customFormat="1" x14ac:dyDescent="0.35">
      <c r="B787" s="1285" t="s">
        <v>147</v>
      </c>
      <c r="C787" s="1280">
        <v>1903.7340000000006</v>
      </c>
      <c r="D787" s="1280">
        <v>3290.1910000000016</v>
      </c>
      <c r="E787" s="1280">
        <v>1628.808</v>
      </c>
      <c r="F787" s="1280">
        <v>3992.2480000000046</v>
      </c>
      <c r="G787" s="1280"/>
      <c r="H787" s="1280"/>
      <c r="I787" s="1280"/>
      <c r="J787" s="1280"/>
      <c r="K787" s="1280"/>
      <c r="L787" s="1280"/>
      <c r="M787" s="1280"/>
      <c r="N787" s="1280"/>
      <c r="O787" s="138">
        <f t="shared" si="163"/>
        <v>10814.981000000007</v>
      </c>
    </row>
    <row r="788" spans="2:15" s="3" customFormat="1" x14ac:dyDescent="0.35">
      <c r="B788" s="1285" t="s">
        <v>470</v>
      </c>
      <c r="C788" s="1280">
        <v>1640.51</v>
      </c>
      <c r="D788" s="1280">
        <v>0</v>
      </c>
      <c r="E788" s="1280">
        <v>1444.61</v>
      </c>
      <c r="F788" s="1280">
        <v>2651.76</v>
      </c>
      <c r="G788" s="1280"/>
      <c r="H788" s="1280"/>
      <c r="I788" s="1280"/>
      <c r="J788" s="1280"/>
      <c r="K788" s="1280"/>
      <c r="L788" s="1280"/>
      <c r="M788" s="1280"/>
      <c r="N788" s="1280"/>
      <c r="O788" s="138">
        <f t="shared" si="163"/>
        <v>5736.88</v>
      </c>
    </row>
    <row r="789" spans="2:15" s="3" customFormat="1" x14ac:dyDescent="0.35">
      <c r="B789" s="1285" t="s">
        <v>116</v>
      </c>
      <c r="C789" s="1280">
        <v>1536.5080000000014</v>
      </c>
      <c r="D789" s="1280">
        <v>2442.3440000000001</v>
      </c>
      <c r="E789" s="1280">
        <v>1606.0300000000007</v>
      </c>
      <c r="F789" s="1280">
        <v>2049.9900000000007</v>
      </c>
      <c r="G789" s="1280"/>
      <c r="H789" s="1280"/>
      <c r="I789" s="1280"/>
      <c r="J789" s="1280"/>
      <c r="K789" s="1280"/>
      <c r="L789" s="1280"/>
      <c r="M789" s="1280"/>
      <c r="N789" s="1280"/>
      <c r="O789" s="138">
        <f t="shared" si="163"/>
        <v>7634.872000000003</v>
      </c>
    </row>
    <row r="790" spans="2:15" s="3" customFormat="1" x14ac:dyDescent="0.35">
      <c r="B790" s="1285" t="s">
        <v>81</v>
      </c>
      <c r="C790" s="1280">
        <v>1067.5384640000002</v>
      </c>
      <c r="D790" s="1280">
        <v>482.05199999999996</v>
      </c>
      <c r="E790" s="1280">
        <v>879.51599999999996</v>
      </c>
      <c r="F790" s="1280">
        <v>1057.4730000000006</v>
      </c>
      <c r="G790" s="1280"/>
      <c r="H790" s="1280"/>
      <c r="I790" s="1280"/>
      <c r="J790" s="1280"/>
      <c r="K790" s="1280"/>
      <c r="L790" s="1280"/>
      <c r="M790" s="1280"/>
      <c r="N790" s="1280"/>
      <c r="O790" s="138">
        <f t="shared" si="163"/>
        <v>3486.5794640000004</v>
      </c>
    </row>
    <row r="791" spans="2:15" s="3" customFormat="1" x14ac:dyDescent="0.35">
      <c r="B791" s="1286" t="s">
        <v>145</v>
      </c>
      <c r="C791" s="1280">
        <v>1547.3181999999997</v>
      </c>
      <c r="D791" s="246">
        <v>1284.0769999999998</v>
      </c>
      <c r="E791" s="246">
        <v>2802.257000000001</v>
      </c>
      <c r="F791" s="246">
        <v>1465.4719999999998</v>
      </c>
      <c r="G791" s="246"/>
      <c r="H791" s="246"/>
      <c r="I791" s="246"/>
      <c r="J791" s="246"/>
      <c r="K791" s="246"/>
      <c r="L791" s="246"/>
      <c r="M791" s="246"/>
      <c r="N791" s="246"/>
      <c r="O791" s="138">
        <f t="shared" si="163"/>
        <v>7099.1242000000002</v>
      </c>
    </row>
    <row r="792" spans="2:15" s="3" customFormat="1" x14ac:dyDescent="0.35">
      <c r="B792" s="43" t="s">
        <v>85</v>
      </c>
      <c r="C792" s="1280">
        <v>0</v>
      </c>
      <c r="D792" s="246">
        <v>0</v>
      </c>
      <c r="E792" s="246">
        <v>3745.2470000000003</v>
      </c>
      <c r="F792" s="246">
        <v>0</v>
      </c>
      <c r="G792" s="246"/>
      <c r="H792" s="246"/>
      <c r="I792" s="246"/>
      <c r="J792" s="246"/>
      <c r="K792" s="246"/>
      <c r="L792" s="246"/>
      <c r="M792" s="246"/>
      <c r="N792" s="246"/>
      <c r="O792" s="138">
        <f t="shared" si="163"/>
        <v>3745.2470000000003</v>
      </c>
    </row>
    <row r="793" spans="2:15" s="3" customFormat="1" x14ac:dyDescent="0.35">
      <c r="B793" s="43" t="s">
        <v>73</v>
      </c>
      <c r="C793" s="1280">
        <v>1991.0819999999994</v>
      </c>
      <c r="D793" s="246">
        <v>1545.9859999999992</v>
      </c>
      <c r="E793" s="246">
        <v>886.47099999999932</v>
      </c>
      <c r="F793" s="246">
        <v>1894.454999999999</v>
      </c>
      <c r="G793" s="246"/>
      <c r="H793" s="246"/>
      <c r="I793" s="246"/>
      <c r="J793" s="246"/>
      <c r="K793" s="246"/>
      <c r="L793" s="246"/>
      <c r="M793" s="246"/>
      <c r="N793" s="246"/>
      <c r="O793" s="138">
        <f t="shared" si="163"/>
        <v>6317.993999999997</v>
      </c>
    </row>
    <row r="794" spans="2:15" s="3" customFormat="1" x14ac:dyDescent="0.35">
      <c r="B794" s="43" t="s">
        <v>70</v>
      </c>
      <c r="C794" s="1280">
        <v>0</v>
      </c>
      <c r="D794" s="246">
        <v>0</v>
      </c>
      <c r="E794" s="246">
        <v>0</v>
      </c>
      <c r="F794" s="246">
        <v>43370</v>
      </c>
      <c r="G794" s="246"/>
      <c r="H794" s="246"/>
      <c r="I794" s="246"/>
      <c r="J794" s="246"/>
      <c r="K794" s="246"/>
      <c r="L794" s="246"/>
      <c r="M794" s="246"/>
      <c r="N794" s="246"/>
      <c r="O794" s="138">
        <f t="shared" si="163"/>
        <v>43370</v>
      </c>
    </row>
    <row r="795" spans="2:15" s="3" customFormat="1" x14ac:dyDescent="0.35">
      <c r="B795" s="43" t="s">
        <v>111</v>
      </c>
      <c r="C795" s="1280">
        <v>1961.3480000000004</v>
      </c>
      <c r="D795" s="246">
        <v>544.71999999999991</v>
      </c>
      <c r="E795" s="246">
        <v>123.80000000000001</v>
      </c>
      <c r="F795" s="246">
        <v>996.02999999999929</v>
      </c>
      <c r="G795" s="246"/>
      <c r="H795" s="246"/>
      <c r="I795" s="246"/>
      <c r="J795" s="246"/>
      <c r="K795" s="246"/>
      <c r="L795" s="246"/>
      <c r="M795" s="246"/>
      <c r="N795" s="246"/>
      <c r="O795" s="138">
        <f t="shared" si="163"/>
        <v>3625.8979999999997</v>
      </c>
    </row>
    <row r="796" spans="2:15" s="3" customFormat="1" x14ac:dyDescent="0.35">
      <c r="B796" s="43" t="s">
        <v>487</v>
      </c>
      <c r="C796" s="1280">
        <v>25.361999999999998</v>
      </c>
      <c r="D796" s="246">
        <v>0</v>
      </c>
      <c r="E796" s="246">
        <v>0</v>
      </c>
      <c r="F796" s="246">
        <v>0</v>
      </c>
      <c r="G796" s="246"/>
      <c r="H796" s="246"/>
      <c r="I796" s="246"/>
      <c r="J796" s="246"/>
      <c r="K796" s="246"/>
      <c r="L796" s="246"/>
      <c r="M796" s="246"/>
      <c r="N796" s="246"/>
      <c r="O796" s="138">
        <f t="shared" si="163"/>
        <v>25.361999999999998</v>
      </c>
    </row>
    <row r="797" spans="2:15" s="3" customFormat="1" x14ac:dyDescent="0.35">
      <c r="B797" s="43" t="s">
        <v>82</v>
      </c>
      <c r="C797" s="1280">
        <v>0</v>
      </c>
      <c r="D797" s="246">
        <v>1950.174</v>
      </c>
      <c r="E797" s="246">
        <v>728.42</v>
      </c>
      <c r="F797" s="246">
        <v>1684.1999999999994</v>
      </c>
      <c r="G797" s="246"/>
      <c r="H797" s="246"/>
      <c r="I797" s="246"/>
      <c r="J797" s="246"/>
      <c r="K797" s="246"/>
      <c r="L797" s="246"/>
      <c r="M797" s="246"/>
      <c r="N797" s="246"/>
      <c r="O797" s="138">
        <f t="shared" si="163"/>
        <v>4362.7939999999999</v>
      </c>
    </row>
    <row r="798" spans="2:15" s="3" customFormat="1" x14ac:dyDescent="0.35">
      <c r="B798" s="43" t="s">
        <v>158</v>
      </c>
      <c r="C798" s="1280">
        <v>617.149</v>
      </c>
      <c r="D798" s="246">
        <v>28.459</v>
      </c>
      <c r="E798" s="246">
        <v>44.260999999999996</v>
      </c>
      <c r="F798" s="246">
        <v>46.53</v>
      </c>
      <c r="G798" s="246"/>
      <c r="H798" s="246"/>
      <c r="I798" s="246"/>
      <c r="J798" s="246"/>
      <c r="K798" s="246"/>
      <c r="L798" s="246"/>
      <c r="M798" s="246"/>
      <c r="N798" s="246"/>
      <c r="O798" s="138">
        <f t="shared" si="163"/>
        <v>736.39899999999989</v>
      </c>
    </row>
    <row r="799" spans="2:15" s="3" customFormat="1" x14ac:dyDescent="0.35">
      <c r="B799" s="43" t="s">
        <v>146</v>
      </c>
      <c r="C799" s="1280">
        <v>290.17500000000001</v>
      </c>
      <c r="D799" s="246">
        <v>301.48000000000008</v>
      </c>
      <c r="E799" s="246">
        <v>331.72600000000011</v>
      </c>
      <c r="F799" s="246">
        <v>439.21100000000001</v>
      </c>
      <c r="G799" s="246"/>
      <c r="H799" s="246"/>
      <c r="I799" s="246"/>
      <c r="J799" s="246"/>
      <c r="K799" s="246"/>
      <c r="L799" s="246"/>
      <c r="M799" s="246"/>
      <c r="N799" s="246"/>
      <c r="O799" s="138">
        <f t="shared" si="163"/>
        <v>1362.5920000000001</v>
      </c>
    </row>
    <row r="800" spans="2:15" s="3" customFormat="1" x14ac:dyDescent="0.35">
      <c r="B800" s="1287" t="s">
        <v>91</v>
      </c>
      <c r="C800" s="1280">
        <v>13322.81852000003</v>
      </c>
      <c r="D800" s="246">
        <v>9545.7179999994987</v>
      </c>
      <c r="E800" s="246">
        <v>12257.928000000131</v>
      </c>
      <c r="F800" s="246">
        <v>13880.153000000049</v>
      </c>
      <c r="G800" s="246"/>
      <c r="H800" s="246"/>
      <c r="I800" s="246"/>
      <c r="J800" s="246"/>
      <c r="K800" s="246"/>
      <c r="L800" s="246"/>
      <c r="M800" s="246"/>
      <c r="N800" s="246"/>
      <c r="O800" s="138">
        <f t="shared" si="163"/>
        <v>49006.617519999709</v>
      </c>
    </row>
    <row r="801" spans="2:20" s="3" customFormat="1" x14ac:dyDescent="0.35">
      <c r="B801" s="43"/>
      <c r="C801" s="246"/>
      <c r="D801" s="185"/>
      <c r="E801" s="185"/>
      <c r="F801" s="185"/>
      <c r="G801" s="185"/>
      <c r="H801" s="185"/>
      <c r="I801" s="185"/>
      <c r="J801" s="185"/>
      <c r="K801" s="185"/>
      <c r="L801" s="185"/>
      <c r="M801" s="185"/>
      <c r="N801" s="185"/>
      <c r="O801" s="138"/>
    </row>
    <row r="802" spans="2:20" s="3" customFormat="1" x14ac:dyDescent="0.35">
      <c r="B802" s="1288" t="s">
        <v>149</v>
      </c>
      <c r="C802" s="1289">
        <v>1547.3181999999997</v>
      </c>
      <c r="D802" s="1289">
        <v>1284.0769999999998</v>
      </c>
      <c r="E802" s="1289">
        <v>2802.257000000001</v>
      </c>
      <c r="F802" s="1289">
        <v>1465.4719999999998</v>
      </c>
      <c r="G802" s="1289"/>
      <c r="H802" s="1289"/>
      <c r="I802" s="1289"/>
      <c r="J802" s="1289"/>
      <c r="K802" s="1289"/>
      <c r="L802" s="1289"/>
      <c r="M802" s="1289"/>
      <c r="N802" s="1289"/>
      <c r="O802" s="429">
        <f>SUM(C802:N802)</f>
        <v>7099.1242000000002</v>
      </c>
    </row>
    <row r="803" spans="2:20" s="3" customFormat="1" x14ac:dyDescent="0.35">
      <c r="B803" s="1288" t="s">
        <v>150</v>
      </c>
      <c r="C803" s="1289">
        <v>112227.30158400003</v>
      </c>
      <c r="D803" s="1289">
        <v>192310.83699999956</v>
      </c>
      <c r="E803" s="1289">
        <v>212900.17100000041</v>
      </c>
      <c r="F803" s="1289">
        <v>201407.1500000009</v>
      </c>
      <c r="G803" s="1289"/>
      <c r="H803" s="1289"/>
      <c r="I803" s="1289"/>
      <c r="J803" s="1289"/>
      <c r="K803" s="1289"/>
      <c r="L803" s="1289"/>
      <c r="M803" s="1289"/>
      <c r="N803" s="1289"/>
      <c r="O803" s="429">
        <f>SUM(C803:N803)</f>
        <v>718845.45958400099</v>
      </c>
    </row>
    <row r="804" spans="2:20" s="3" customFormat="1" x14ac:dyDescent="0.35">
      <c r="B804" s="1288" t="s">
        <v>151</v>
      </c>
      <c r="C804" s="1289">
        <v>881.93899999999996</v>
      </c>
      <c r="D804" s="1289">
        <v>544.97199999999998</v>
      </c>
      <c r="E804" s="1289">
        <v>745.80400000000009</v>
      </c>
      <c r="F804" s="1289">
        <v>502.30399999999997</v>
      </c>
      <c r="G804" s="1289"/>
      <c r="H804" s="1289"/>
      <c r="I804" s="1289"/>
      <c r="J804" s="1289"/>
      <c r="K804" s="1289"/>
      <c r="L804" s="1289"/>
      <c r="M804" s="1289"/>
      <c r="N804" s="1289"/>
      <c r="O804" s="429">
        <f>SUM(C804:N804)</f>
        <v>2675.0190000000002</v>
      </c>
    </row>
    <row r="805" spans="2:20" s="3" customFormat="1" x14ac:dyDescent="0.35">
      <c r="B805" s="1290"/>
      <c r="C805" s="830"/>
      <c r="D805" s="830"/>
      <c r="E805" s="830"/>
      <c r="F805" s="830"/>
      <c r="G805" s="830"/>
      <c r="H805" s="830"/>
      <c r="I805" s="830"/>
      <c r="J805" s="830"/>
      <c r="K805" s="830"/>
      <c r="L805" s="830"/>
      <c r="M805" s="830"/>
      <c r="N805" s="830"/>
      <c r="O805" s="138"/>
    </row>
    <row r="806" spans="2:20" s="3" customFormat="1" x14ac:dyDescent="0.35">
      <c r="B806" s="1283" t="s">
        <v>56</v>
      </c>
      <c r="C806" s="244">
        <f>SUM(C808:C828)</f>
        <v>3503.0303999999996</v>
      </c>
      <c r="D806" s="244">
        <f>SUM(D808:D828)</f>
        <v>5884.6815599999991</v>
      </c>
      <c r="E806" s="244">
        <f t="shared" ref="E806:M806" si="164">SUM(E808:E828)</f>
        <v>9531.8559999999998</v>
      </c>
      <c r="F806" s="244">
        <f t="shared" si="164"/>
        <v>13050.387000000006</v>
      </c>
      <c r="G806" s="244">
        <f t="shared" si="164"/>
        <v>0</v>
      </c>
      <c r="H806" s="244">
        <f t="shared" si="164"/>
        <v>0</v>
      </c>
      <c r="I806" s="244">
        <f t="shared" si="164"/>
        <v>0</v>
      </c>
      <c r="J806" s="244">
        <f t="shared" si="164"/>
        <v>0</v>
      </c>
      <c r="K806" s="244">
        <f t="shared" si="164"/>
        <v>0</v>
      </c>
      <c r="L806" s="244">
        <f t="shared" si="164"/>
        <v>0</v>
      </c>
      <c r="M806" s="244">
        <f t="shared" si="164"/>
        <v>0</v>
      </c>
      <c r="N806" s="244">
        <f>SUM(N808:N828)</f>
        <v>0</v>
      </c>
      <c r="O806" s="112">
        <f>SUM(C806:N806)</f>
        <v>31969.954960000006</v>
      </c>
    </row>
    <row r="807" spans="2:20" s="3" customFormat="1" x14ac:dyDescent="0.35">
      <c r="B807" s="1290"/>
      <c r="C807" s="244"/>
      <c r="D807" s="897"/>
      <c r="E807" s="897"/>
      <c r="F807" s="897"/>
      <c r="G807" s="897"/>
      <c r="H807" s="897"/>
      <c r="I807" s="897"/>
      <c r="J807" s="897"/>
      <c r="K807" s="897"/>
      <c r="L807" s="897"/>
      <c r="M807" s="897"/>
      <c r="N807" s="897"/>
      <c r="O807" s="136"/>
    </row>
    <row r="808" spans="2:20" s="3" customFormat="1" x14ac:dyDescent="0.35">
      <c r="B808" s="43" t="s">
        <v>98</v>
      </c>
      <c r="C808" s="246">
        <v>856.56000000000006</v>
      </c>
      <c r="D808" s="246">
        <v>3297.5190000000002</v>
      </c>
      <c r="E808" s="246">
        <v>4242.2059999999992</v>
      </c>
      <c r="F808" s="246">
        <v>7996.452000000003</v>
      </c>
      <c r="G808" s="246"/>
      <c r="H808" s="246"/>
      <c r="I808" s="246"/>
      <c r="J808" s="246"/>
      <c r="K808" s="246"/>
      <c r="L808" s="129"/>
      <c r="M808" s="129"/>
      <c r="N808" s="129"/>
      <c r="O808" s="248">
        <f t="shared" ref="O808:O828" si="165">SUM(C808:N808)</f>
        <v>16392.737000000001</v>
      </c>
    </row>
    <row r="809" spans="2:20" s="3" customFormat="1" x14ac:dyDescent="0.35">
      <c r="B809" s="43" t="s">
        <v>105</v>
      </c>
      <c r="C809" s="246">
        <v>1720.3489999999997</v>
      </c>
      <c r="D809" s="246">
        <v>1110.3630000000001</v>
      </c>
      <c r="E809" s="246">
        <v>2293.5720000000001</v>
      </c>
      <c r="F809" s="246">
        <v>2872.2350000000019</v>
      </c>
      <c r="G809" s="246"/>
      <c r="H809" s="246"/>
      <c r="I809" s="246"/>
      <c r="J809" s="246"/>
      <c r="K809" s="246"/>
      <c r="L809" s="129"/>
      <c r="M809" s="129"/>
      <c r="N809" s="129"/>
      <c r="O809" s="248">
        <f t="shared" si="165"/>
        <v>7996.5190000000021</v>
      </c>
    </row>
    <row r="810" spans="2:20" s="3" customFormat="1" x14ac:dyDescent="0.35">
      <c r="B810" s="43" t="s">
        <v>152</v>
      </c>
      <c r="C810" s="246">
        <v>0</v>
      </c>
      <c r="D810" s="246">
        <v>0</v>
      </c>
      <c r="E810" s="246">
        <v>1558.326</v>
      </c>
      <c r="F810" s="246">
        <v>1289.1199999999999</v>
      </c>
      <c r="G810" s="246"/>
      <c r="H810" s="246"/>
      <c r="I810" s="246"/>
      <c r="J810" s="246"/>
      <c r="K810" s="246"/>
      <c r="L810" s="129"/>
      <c r="M810" s="129"/>
      <c r="N810" s="129"/>
      <c r="O810" s="248">
        <f t="shared" si="165"/>
        <v>2847.4459999999999</v>
      </c>
    </row>
    <row r="811" spans="2:20" s="3" customFormat="1" x14ac:dyDescent="0.35">
      <c r="B811" s="43" t="s">
        <v>77</v>
      </c>
      <c r="C811" s="246">
        <v>10.507</v>
      </c>
      <c r="D811" s="246">
        <v>80</v>
      </c>
      <c r="E811" s="246">
        <v>246.87200000000001</v>
      </c>
      <c r="F811" s="246">
        <v>455.87199999999996</v>
      </c>
      <c r="G811" s="246"/>
      <c r="H811" s="246"/>
      <c r="I811" s="246"/>
      <c r="J811" s="246"/>
      <c r="K811" s="246"/>
      <c r="L811" s="129"/>
      <c r="M811" s="129"/>
      <c r="N811" s="129"/>
      <c r="O811" s="248">
        <f t="shared" si="165"/>
        <v>793.25099999999998</v>
      </c>
    </row>
    <row r="812" spans="2:20" s="3" customFormat="1" x14ac:dyDescent="0.35">
      <c r="B812" s="43" t="s">
        <v>95</v>
      </c>
      <c r="C812" s="246">
        <v>0</v>
      </c>
      <c r="D812" s="246">
        <v>1204</v>
      </c>
      <c r="E812" s="246">
        <v>17.059999999999999</v>
      </c>
      <c r="F812" s="246">
        <v>16.86</v>
      </c>
      <c r="G812" s="246"/>
      <c r="H812" s="246"/>
      <c r="I812" s="246"/>
      <c r="J812" s="246"/>
      <c r="K812" s="246"/>
      <c r="L812" s="129"/>
      <c r="M812" s="129"/>
      <c r="N812" s="129"/>
      <c r="O812" s="248">
        <f t="shared" si="165"/>
        <v>1237.9199999999998</v>
      </c>
    </row>
    <row r="813" spans="2:20" s="3" customFormat="1" x14ac:dyDescent="0.35">
      <c r="B813" s="43" t="s">
        <v>262</v>
      </c>
      <c r="C813" s="246">
        <v>795.7600000000001</v>
      </c>
      <c r="D813" s="246">
        <v>0</v>
      </c>
      <c r="E813" s="246">
        <v>545.74000000000012</v>
      </c>
      <c r="F813" s="246">
        <v>0</v>
      </c>
      <c r="G813" s="246"/>
      <c r="H813" s="246"/>
      <c r="I813" s="246"/>
      <c r="J813" s="246"/>
      <c r="K813" s="246"/>
      <c r="L813" s="129"/>
      <c r="M813" s="129"/>
      <c r="N813" s="129"/>
      <c r="O813" s="248">
        <f t="shared" si="165"/>
        <v>1341.5000000000002</v>
      </c>
    </row>
    <row r="814" spans="2:20" s="3" customFormat="1" x14ac:dyDescent="0.35">
      <c r="B814" s="43" t="s">
        <v>94</v>
      </c>
      <c r="C814" s="246">
        <v>0</v>
      </c>
      <c r="D814" s="246">
        <v>0</v>
      </c>
      <c r="E814" s="246">
        <v>0</v>
      </c>
      <c r="F814" s="246">
        <v>0</v>
      </c>
      <c r="G814" s="246"/>
      <c r="H814" s="246"/>
      <c r="I814" s="246"/>
      <c r="J814" s="246"/>
      <c r="K814" s="246"/>
      <c r="L814" s="129"/>
      <c r="M814" s="129"/>
      <c r="N814" s="129"/>
      <c r="O814" s="248">
        <f t="shared" si="165"/>
        <v>0</v>
      </c>
    </row>
    <row r="815" spans="2:20" ht="15" customHeight="1" x14ac:dyDescent="0.35">
      <c r="B815" s="43" t="s">
        <v>153</v>
      </c>
      <c r="C815" s="246">
        <v>0</v>
      </c>
      <c r="D815" s="246">
        <v>0</v>
      </c>
      <c r="E815" s="246">
        <v>20.509</v>
      </c>
      <c r="F815" s="246">
        <v>17.119</v>
      </c>
      <c r="G815" s="246"/>
      <c r="H815" s="246"/>
      <c r="I815" s="246"/>
      <c r="J815" s="246"/>
      <c r="K815" s="246"/>
      <c r="L815" s="129"/>
      <c r="M815" s="129"/>
      <c r="N815" s="129"/>
      <c r="O815" s="248">
        <f t="shared" si="165"/>
        <v>37.628</v>
      </c>
      <c r="P815" s="3"/>
      <c r="Q815" s="3"/>
      <c r="R815" s="3"/>
      <c r="S815" s="3"/>
      <c r="T815" s="3"/>
    </row>
    <row r="816" spans="2:20" x14ac:dyDescent="0.35">
      <c r="B816" s="43" t="s">
        <v>485</v>
      </c>
      <c r="C816" s="246">
        <v>71.430400000000006</v>
      </c>
      <c r="D816" s="246">
        <v>119.35256000000001</v>
      </c>
      <c r="E816" s="246">
        <v>367.80800000000005</v>
      </c>
      <c r="F816" s="246">
        <v>321.44899999999996</v>
      </c>
      <c r="G816" s="246"/>
      <c r="H816" s="246"/>
      <c r="I816" s="246"/>
      <c r="J816" s="246"/>
      <c r="K816" s="246"/>
      <c r="L816" s="129"/>
      <c r="M816" s="129"/>
      <c r="N816" s="129"/>
      <c r="O816" s="248">
        <f t="shared" si="165"/>
        <v>880.03995999999995</v>
      </c>
    </row>
    <row r="817" spans="2:20" s="3" customFormat="1" x14ac:dyDescent="0.35">
      <c r="B817" s="43" t="s">
        <v>155</v>
      </c>
      <c r="C817" s="246">
        <v>0</v>
      </c>
      <c r="D817" s="246">
        <v>0</v>
      </c>
      <c r="E817" s="246">
        <v>0</v>
      </c>
      <c r="F817" s="246">
        <v>0</v>
      </c>
      <c r="G817" s="246"/>
      <c r="H817" s="246"/>
      <c r="I817" s="246"/>
      <c r="J817" s="246"/>
      <c r="K817" s="246"/>
      <c r="L817" s="129"/>
      <c r="M817" s="129"/>
      <c r="N817" s="129"/>
      <c r="O817" s="248">
        <f t="shared" si="165"/>
        <v>0</v>
      </c>
      <c r="P817" s="324"/>
      <c r="Q817" s="324"/>
      <c r="R817" s="324"/>
      <c r="S817" s="324"/>
      <c r="T817" s="324"/>
    </row>
    <row r="818" spans="2:20" s="3" customFormat="1" x14ac:dyDescent="0.35">
      <c r="B818" s="43" t="s">
        <v>103</v>
      </c>
      <c r="C818" s="246">
        <v>0</v>
      </c>
      <c r="D818" s="246">
        <v>0</v>
      </c>
      <c r="E818" s="246">
        <v>31.68</v>
      </c>
      <c r="F818" s="246">
        <v>0</v>
      </c>
      <c r="G818" s="246"/>
      <c r="H818" s="246"/>
      <c r="I818" s="246"/>
      <c r="J818" s="246"/>
      <c r="K818" s="246"/>
      <c r="L818" s="129"/>
      <c r="M818" s="129"/>
      <c r="N818" s="129"/>
      <c r="O818" s="248">
        <f t="shared" si="165"/>
        <v>31.68</v>
      </c>
    </row>
    <row r="819" spans="2:20" s="3" customFormat="1" x14ac:dyDescent="0.35">
      <c r="B819" s="43" t="s">
        <v>118</v>
      </c>
      <c r="C819" s="246">
        <v>4.4240000000000004</v>
      </c>
      <c r="D819" s="246">
        <v>10.9</v>
      </c>
      <c r="E819" s="246">
        <v>7.26</v>
      </c>
      <c r="F819" s="246">
        <v>5.4</v>
      </c>
      <c r="G819" s="246"/>
      <c r="H819" s="246"/>
      <c r="I819" s="246"/>
      <c r="J819" s="246"/>
      <c r="K819" s="246"/>
      <c r="L819" s="129"/>
      <c r="M819" s="129"/>
      <c r="N819" s="129"/>
      <c r="O819" s="248">
        <f t="shared" si="165"/>
        <v>27.984000000000002</v>
      </c>
    </row>
    <row r="820" spans="2:20" s="3" customFormat="1" x14ac:dyDescent="0.35">
      <c r="B820" s="43" t="s">
        <v>489</v>
      </c>
      <c r="C820" s="246">
        <v>0</v>
      </c>
      <c r="D820" s="246">
        <v>0</v>
      </c>
      <c r="E820" s="246">
        <v>0</v>
      </c>
      <c r="F820" s="246">
        <v>0</v>
      </c>
      <c r="G820" s="246"/>
      <c r="H820" s="246"/>
      <c r="I820" s="246"/>
      <c r="J820" s="246"/>
      <c r="K820" s="246"/>
      <c r="L820" s="129"/>
      <c r="M820" s="129"/>
      <c r="N820" s="129"/>
      <c r="O820" s="248">
        <f t="shared" si="165"/>
        <v>0</v>
      </c>
    </row>
    <row r="821" spans="2:20" s="3" customFormat="1" x14ac:dyDescent="0.35">
      <c r="B821" s="43" t="s">
        <v>69</v>
      </c>
      <c r="C821" s="246">
        <v>0</v>
      </c>
      <c r="D821" s="246">
        <v>0</v>
      </c>
      <c r="E821" s="246">
        <v>0</v>
      </c>
      <c r="F821" s="246">
        <v>0</v>
      </c>
      <c r="G821" s="246"/>
      <c r="H821" s="246"/>
      <c r="I821" s="246"/>
      <c r="J821" s="246"/>
      <c r="K821" s="246"/>
      <c r="L821" s="129"/>
      <c r="M821" s="129"/>
      <c r="N821" s="129"/>
      <c r="O821" s="248">
        <f t="shared" si="165"/>
        <v>0</v>
      </c>
    </row>
    <row r="822" spans="2:20" s="3" customFormat="1" x14ac:dyDescent="0.35">
      <c r="B822" s="43" t="s">
        <v>89</v>
      </c>
      <c r="C822" s="246">
        <v>0</v>
      </c>
      <c r="D822" s="246">
        <v>0</v>
      </c>
      <c r="E822" s="246">
        <v>4.9000000000000004</v>
      </c>
      <c r="F822" s="246">
        <v>0.93500000000000005</v>
      </c>
      <c r="G822" s="246"/>
      <c r="H822" s="246"/>
      <c r="I822" s="246"/>
      <c r="J822" s="246"/>
      <c r="K822" s="246"/>
      <c r="L822" s="129"/>
      <c r="M822" s="129"/>
      <c r="N822" s="129"/>
      <c r="O822" s="248">
        <f t="shared" si="165"/>
        <v>5.8350000000000009</v>
      </c>
    </row>
    <row r="823" spans="2:20" s="3" customFormat="1" x14ac:dyDescent="0.35">
      <c r="B823" s="43" t="s">
        <v>88</v>
      </c>
      <c r="C823" s="246">
        <v>0</v>
      </c>
      <c r="D823" s="246">
        <v>0</v>
      </c>
      <c r="E823" s="246">
        <v>0</v>
      </c>
      <c r="F823" s="246">
        <v>0</v>
      </c>
      <c r="G823" s="246"/>
      <c r="H823" s="246"/>
      <c r="I823" s="246"/>
      <c r="J823" s="246"/>
      <c r="K823" s="246"/>
      <c r="L823" s="129"/>
      <c r="M823" s="129"/>
      <c r="N823" s="129"/>
      <c r="O823" s="248">
        <f t="shared" si="165"/>
        <v>0</v>
      </c>
    </row>
    <row r="824" spans="2:20" s="3" customFormat="1" x14ac:dyDescent="0.35">
      <c r="B824" s="43" t="s">
        <v>474</v>
      </c>
      <c r="C824" s="246">
        <v>0</v>
      </c>
      <c r="D824" s="246">
        <v>0</v>
      </c>
      <c r="E824" s="246">
        <v>0</v>
      </c>
      <c r="F824" s="246">
        <v>0</v>
      </c>
      <c r="G824" s="246"/>
      <c r="H824" s="246"/>
      <c r="I824" s="246"/>
      <c r="J824" s="246"/>
      <c r="K824" s="246"/>
      <c r="L824" s="129"/>
      <c r="M824" s="129"/>
      <c r="N824" s="129"/>
      <c r="O824" s="248">
        <f t="shared" si="165"/>
        <v>0</v>
      </c>
    </row>
    <row r="825" spans="2:20" s="3" customFormat="1" x14ac:dyDescent="0.35">
      <c r="B825" s="43" t="s">
        <v>490</v>
      </c>
      <c r="C825" s="246">
        <v>0</v>
      </c>
      <c r="D825" s="246">
        <v>0</v>
      </c>
      <c r="E825" s="246">
        <v>0</v>
      </c>
      <c r="F825" s="246">
        <v>0</v>
      </c>
      <c r="G825" s="246"/>
      <c r="H825" s="246"/>
      <c r="I825" s="246"/>
      <c r="J825" s="246"/>
      <c r="K825" s="246"/>
      <c r="L825" s="129"/>
      <c r="M825" s="129"/>
      <c r="N825" s="129"/>
      <c r="O825" s="248">
        <f t="shared" si="165"/>
        <v>0</v>
      </c>
    </row>
    <row r="826" spans="2:20" s="3" customFormat="1" x14ac:dyDescent="0.35">
      <c r="B826" s="43" t="s">
        <v>475</v>
      </c>
      <c r="C826" s="246">
        <v>0</v>
      </c>
      <c r="D826" s="246">
        <v>0</v>
      </c>
      <c r="E826" s="246">
        <v>0</v>
      </c>
      <c r="F826" s="246">
        <v>0</v>
      </c>
      <c r="G826" s="246"/>
      <c r="H826" s="246"/>
      <c r="I826" s="246"/>
      <c r="J826" s="246"/>
      <c r="K826" s="246"/>
      <c r="L826" s="129"/>
      <c r="M826" s="129"/>
      <c r="N826" s="129"/>
      <c r="O826" s="248">
        <f t="shared" si="165"/>
        <v>0</v>
      </c>
    </row>
    <row r="827" spans="2:20" s="3" customFormat="1" x14ac:dyDescent="0.35">
      <c r="B827" s="43" t="s">
        <v>73</v>
      </c>
      <c r="C827" s="246">
        <v>0</v>
      </c>
      <c r="D827" s="246">
        <v>0</v>
      </c>
      <c r="E827" s="246">
        <v>14.297000000000001</v>
      </c>
      <c r="F827" s="246">
        <v>0</v>
      </c>
      <c r="G827" s="246"/>
      <c r="H827" s="246"/>
      <c r="I827" s="246"/>
      <c r="J827" s="246"/>
      <c r="K827" s="246"/>
      <c r="L827" s="129"/>
      <c r="M827" s="129"/>
      <c r="N827" s="129"/>
      <c r="O827" s="248">
        <f t="shared" si="165"/>
        <v>14.297000000000001</v>
      </c>
    </row>
    <row r="828" spans="2:20" s="3" customFormat="1" x14ac:dyDescent="0.35">
      <c r="B828" s="1287" t="s">
        <v>91</v>
      </c>
      <c r="C828" s="246">
        <v>43.999999999999545</v>
      </c>
      <c r="D828" s="246">
        <v>62.546999999998661</v>
      </c>
      <c r="E828" s="246">
        <v>181.6260000000002</v>
      </c>
      <c r="F828" s="246">
        <v>74.945000000001528</v>
      </c>
      <c r="G828" s="246"/>
      <c r="H828" s="246"/>
      <c r="I828" s="246"/>
      <c r="J828" s="246"/>
      <c r="K828" s="246"/>
      <c r="L828" s="129"/>
      <c r="M828" s="129"/>
      <c r="N828" s="129"/>
      <c r="O828" s="248">
        <f t="shared" si="165"/>
        <v>363.11799999999994</v>
      </c>
    </row>
    <row r="829" spans="2:20" x14ac:dyDescent="0.35">
      <c r="B829" s="43"/>
      <c r="C829" s="832"/>
      <c r="D829" s="185"/>
      <c r="E829" s="185"/>
      <c r="F829" s="185"/>
      <c r="G829" s="185"/>
      <c r="H829" s="185"/>
      <c r="I829" s="185"/>
      <c r="J829" s="185"/>
      <c r="K829" s="185"/>
      <c r="L829" s="185"/>
      <c r="M829" s="185"/>
      <c r="N829" s="185"/>
      <c r="O829" s="1291"/>
      <c r="P829" s="3"/>
      <c r="Q829" s="3"/>
      <c r="R829" s="3"/>
      <c r="S829" s="3"/>
      <c r="T829" s="3"/>
    </row>
    <row r="830" spans="2:20" x14ac:dyDescent="0.35">
      <c r="B830" s="1288" t="s">
        <v>149</v>
      </c>
      <c r="C830" s="1289">
        <v>0</v>
      </c>
      <c r="D830" s="1289">
        <v>0</v>
      </c>
      <c r="E830" s="1289">
        <v>0</v>
      </c>
      <c r="F830" s="1289">
        <v>0</v>
      </c>
      <c r="G830" s="1289"/>
      <c r="H830" s="1289"/>
      <c r="I830" s="1289"/>
      <c r="J830" s="1289"/>
      <c r="K830" s="1289"/>
      <c r="L830" s="1289"/>
      <c r="M830" s="1289"/>
      <c r="N830" s="1289"/>
      <c r="O830" s="429">
        <f>SUM(C830:N830)</f>
        <v>0</v>
      </c>
    </row>
    <row r="831" spans="2:20" x14ac:dyDescent="0.35">
      <c r="B831" s="1288" t="s">
        <v>150</v>
      </c>
      <c r="C831" s="1289">
        <v>3503.0304000000006</v>
      </c>
      <c r="D831" s="1289">
        <v>5884.6815599999991</v>
      </c>
      <c r="E831" s="1289">
        <v>9531.8559999999998</v>
      </c>
      <c r="F831" s="1289">
        <v>13050.387000000006</v>
      </c>
      <c r="G831" s="1289"/>
      <c r="H831" s="1289"/>
      <c r="I831" s="1289"/>
      <c r="J831" s="1289"/>
      <c r="K831" s="1289"/>
      <c r="L831" s="1289"/>
      <c r="M831" s="1289"/>
      <c r="N831" s="1289"/>
      <c r="O831" s="429">
        <f>SUM(C831:N831)</f>
        <v>31969.954960000006</v>
      </c>
    </row>
    <row r="832" spans="2:20" x14ac:dyDescent="0.35">
      <c r="B832" s="1288" t="s">
        <v>151</v>
      </c>
      <c r="C832" s="1289">
        <v>0</v>
      </c>
      <c r="D832" s="1289">
        <v>0</v>
      </c>
      <c r="E832" s="1289">
        <v>0</v>
      </c>
      <c r="F832" s="1289">
        <v>0</v>
      </c>
      <c r="G832" s="1289"/>
      <c r="H832" s="1289"/>
      <c r="I832" s="1289"/>
      <c r="J832" s="1289"/>
      <c r="K832" s="1289"/>
      <c r="L832" s="1289"/>
      <c r="M832" s="1289"/>
      <c r="N832" s="1289"/>
      <c r="O832" s="429">
        <f>SUM(C832:N832)</f>
        <v>0</v>
      </c>
    </row>
    <row r="833" spans="2:15" x14ac:dyDescent="0.35">
      <c r="B833" s="44"/>
      <c r="C833" s="247"/>
      <c r="D833" s="247"/>
      <c r="E833" s="247"/>
      <c r="F833" s="247"/>
      <c r="G833" s="247"/>
      <c r="H833" s="247"/>
      <c r="I833" s="247"/>
      <c r="J833" s="247"/>
      <c r="K833" s="247"/>
      <c r="L833" s="247"/>
      <c r="M833" s="247"/>
      <c r="N833" s="247"/>
      <c r="O833" s="248"/>
    </row>
    <row r="834" spans="2:15" x14ac:dyDescent="0.35">
      <c r="B834" s="432" t="s">
        <v>36</v>
      </c>
      <c r="C834" s="1156">
        <f>C806+C778</f>
        <v>118159.58918400003</v>
      </c>
      <c r="D834" s="1156">
        <f>D806+D778</f>
        <v>200024.56755999953</v>
      </c>
      <c r="E834" s="1156">
        <f>E806+E778</f>
        <v>225980.08800000016</v>
      </c>
      <c r="F834" s="1156">
        <f>F806+F778</f>
        <v>216425.31300000011</v>
      </c>
      <c r="G834" s="1156">
        <f t="shared" ref="G834:L834" si="166">G806+G778</f>
        <v>0</v>
      </c>
      <c r="H834" s="1156">
        <f t="shared" si="166"/>
        <v>0</v>
      </c>
      <c r="I834" s="1156">
        <f t="shared" si="166"/>
        <v>0</v>
      </c>
      <c r="J834" s="1156">
        <f t="shared" si="166"/>
        <v>0</v>
      </c>
      <c r="K834" s="1156">
        <f t="shared" si="166"/>
        <v>0</v>
      </c>
      <c r="L834" s="1156">
        <f t="shared" si="166"/>
        <v>0</v>
      </c>
      <c r="M834" s="1156">
        <f>M806+M778</f>
        <v>0</v>
      </c>
      <c r="N834" s="1156">
        <f>N806+N778</f>
        <v>0</v>
      </c>
      <c r="O834" s="1292">
        <f>SUM(C834:N834)</f>
        <v>760589.55774399987</v>
      </c>
    </row>
    <row r="835" spans="2:15" x14ac:dyDescent="0.35">
      <c r="B835" s="251"/>
      <c r="C835" s="118"/>
      <c r="D835" s="254"/>
      <c r="E835" s="254"/>
      <c r="F835" s="254"/>
      <c r="G835" s="254"/>
      <c r="H835" s="254"/>
      <c r="I835" s="254"/>
      <c r="J835" s="118"/>
      <c r="K835" s="118"/>
      <c r="L835" s="118"/>
      <c r="M835" s="118"/>
      <c r="N835" s="118"/>
      <c r="O835" s="160"/>
    </row>
    <row r="836" spans="2:15" x14ac:dyDescent="0.35">
      <c r="B836" s="1068" t="s">
        <v>156</v>
      </c>
      <c r="C836" s="1068"/>
      <c r="D836" s="1068"/>
      <c r="E836" s="1068"/>
      <c r="F836" s="1068"/>
      <c r="G836" s="1068"/>
      <c r="H836" s="1068"/>
      <c r="I836" s="1068"/>
      <c r="J836" s="1068"/>
      <c r="K836" s="1068"/>
      <c r="L836" s="1068"/>
      <c r="M836" s="1068"/>
      <c r="N836" s="1068"/>
      <c r="O836" s="1068"/>
    </row>
    <row r="837" spans="2:15" x14ac:dyDescent="0.35">
      <c r="B837" s="252"/>
      <c r="C837" s="253"/>
      <c r="D837" s="253"/>
      <c r="E837" s="253"/>
      <c r="F837" s="253"/>
      <c r="G837" s="253"/>
      <c r="H837" s="253"/>
      <c r="I837" s="253"/>
      <c r="J837" s="253"/>
      <c r="K837" s="253"/>
      <c r="L837" s="254"/>
      <c r="M837" s="254"/>
      <c r="N837" s="254"/>
      <c r="O837" s="160"/>
    </row>
    <row r="838" spans="2:15" ht="15" customHeight="1" x14ac:dyDescent="0.35">
      <c r="B838" s="1074" t="s">
        <v>13</v>
      </c>
      <c r="C838" s="1112" t="s">
        <v>0</v>
      </c>
      <c r="D838" s="1112" t="s">
        <v>1</v>
      </c>
      <c r="E838" s="1112" t="s">
        <v>2</v>
      </c>
      <c r="F838" s="1112" t="s">
        <v>3</v>
      </c>
      <c r="G838" s="1112" t="s">
        <v>4</v>
      </c>
      <c r="H838" s="1112" t="s">
        <v>5</v>
      </c>
      <c r="I838" s="1112" t="s">
        <v>6</v>
      </c>
      <c r="J838" s="1112" t="s">
        <v>7</v>
      </c>
      <c r="K838" s="1112" t="s">
        <v>8</v>
      </c>
      <c r="L838" s="1112" t="s">
        <v>9</v>
      </c>
      <c r="M838" s="1112" t="s">
        <v>10</v>
      </c>
      <c r="N838" s="1112" t="s">
        <v>14</v>
      </c>
      <c r="O838" s="1077" t="s">
        <v>15</v>
      </c>
    </row>
    <row r="839" spans="2:15" ht="15" customHeight="1" x14ac:dyDescent="0.35">
      <c r="B839" s="1080"/>
      <c r="C839" s="1145"/>
      <c r="D839" s="1145"/>
      <c r="E839" s="1145"/>
      <c r="F839" s="1145"/>
      <c r="G839" s="1145"/>
      <c r="H839" s="1145"/>
      <c r="I839" s="1145"/>
      <c r="J839" s="1145"/>
      <c r="K839" s="1145"/>
      <c r="L839" s="1145"/>
      <c r="M839" s="1145"/>
      <c r="N839" s="1145"/>
      <c r="O839" s="1088"/>
    </row>
    <row r="840" spans="2:15" x14ac:dyDescent="0.35">
      <c r="B840" s="242"/>
      <c r="C840" s="1226"/>
      <c r="D840" s="1155"/>
      <c r="E840" s="1155"/>
      <c r="F840" s="1155"/>
      <c r="G840" s="1155"/>
      <c r="H840" s="1155"/>
      <c r="I840" s="1155"/>
      <c r="J840" s="1155"/>
      <c r="K840" s="1155"/>
      <c r="L840" s="1282"/>
      <c r="M840" s="1282"/>
      <c r="N840" s="1282"/>
      <c r="O840" s="243"/>
    </row>
    <row r="841" spans="2:15" x14ac:dyDescent="0.35">
      <c r="B841" s="1283" t="s">
        <v>47</v>
      </c>
      <c r="C841" s="244">
        <f t="shared" ref="C841:M841" si="167">SUM(C843:C863)</f>
        <v>158339.72808000009</v>
      </c>
      <c r="D841" s="244">
        <f t="shared" si="167"/>
        <v>141338.89299999981</v>
      </c>
      <c r="E841" s="244">
        <f t="shared" si="167"/>
        <v>126760.38099999999</v>
      </c>
      <c r="F841" s="244">
        <f t="shared" si="167"/>
        <v>131246.56200000009</v>
      </c>
      <c r="G841" s="244">
        <f t="shared" si="167"/>
        <v>0</v>
      </c>
      <c r="H841" s="244">
        <f t="shared" si="167"/>
        <v>0</v>
      </c>
      <c r="I841" s="244">
        <f t="shared" si="167"/>
        <v>0</v>
      </c>
      <c r="J841" s="244">
        <f t="shared" si="167"/>
        <v>0</v>
      </c>
      <c r="K841" s="244">
        <f t="shared" si="167"/>
        <v>0</v>
      </c>
      <c r="L841" s="244">
        <f t="shared" si="167"/>
        <v>0</v>
      </c>
      <c r="M841" s="244">
        <f t="shared" si="167"/>
        <v>0</v>
      </c>
      <c r="N841" s="244">
        <f>SUM(N843:N863)</f>
        <v>0</v>
      </c>
      <c r="O841" s="112">
        <f>SUM(C841:N841)</f>
        <v>557685.56407999992</v>
      </c>
    </row>
    <row r="842" spans="2:15" ht="22.5" customHeight="1" x14ac:dyDescent="0.35">
      <c r="B842" s="1293"/>
      <c r="C842" s="244"/>
      <c r="D842" s="897"/>
      <c r="E842" s="897"/>
      <c r="F842" s="897"/>
      <c r="G842" s="897"/>
      <c r="H842" s="897"/>
      <c r="I842" s="897"/>
      <c r="J842" s="897"/>
      <c r="K842" s="897"/>
      <c r="L842" s="897"/>
      <c r="M842" s="897"/>
      <c r="N842" s="897"/>
      <c r="O842" s="136"/>
    </row>
    <row r="843" spans="2:15" x14ac:dyDescent="0.35">
      <c r="B843" s="1287" t="s">
        <v>68</v>
      </c>
      <c r="C843" s="1280">
        <v>38399.67</v>
      </c>
      <c r="D843" s="1280">
        <v>30834.058000000001</v>
      </c>
      <c r="E843" s="129">
        <v>36078</v>
      </c>
      <c r="F843" s="129">
        <v>30750</v>
      </c>
      <c r="G843" s="129"/>
      <c r="H843" s="129"/>
      <c r="I843" s="129"/>
      <c r="J843" s="129"/>
      <c r="K843" s="129"/>
      <c r="L843" s="129"/>
      <c r="M843" s="129"/>
      <c r="N843" s="129"/>
      <c r="O843" s="248">
        <f t="shared" ref="O843:O867" si="168">SUM(C843:N843)</f>
        <v>136061.728</v>
      </c>
    </row>
    <row r="844" spans="2:15" ht="15" customHeight="1" x14ac:dyDescent="0.35">
      <c r="B844" s="1287" t="s">
        <v>67</v>
      </c>
      <c r="C844" s="1280">
        <v>52019.477000000014</v>
      </c>
      <c r="D844" s="1280">
        <v>15358.641</v>
      </c>
      <c r="E844" s="129">
        <v>3032.5340000000006</v>
      </c>
      <c r="F844" s="129">
        <v>28677.497000000076</v>
      </c>
      <c r="G844" s="129"/>
      <c r="H844" s="129"/>
      <c r="I844" s="129"/>
      <c r="J844" s="129"/>
      <c r="K844" s="129"/>
      <c r="L844" s="129"/>
      <c r="M844" s="129"/>
      <c r="N844" s="129"/>
      <c r="O844" s="248">
        <f t="shared" si="168"/>
        <v>99088.149000000092</v>
      </c>
    </row>
    <row r="845" spans="2:15" x14ac:dyDescent="0.35">
      <c r="B845" s="1287" t="s">
        <v>71</v>
      </c>
      <c r="C845" s="1280">
        <v>2544.1279999999997</v>
      </c>
      <c r="D845" s="1280">
        <v>37433.530000000006</v>
      </c>
      <c r="E845" s="129">
        <v>14947.679999999998</v>
      </c>
      <c r="F845" s="129">
        <v>10019.858000000004</v>
      </c>
      <c r="G845" s="129"/>
      <c r="H845" s="129"/>
      <c r="I845" s="129"/>
      <c r="J845" s="129"/>
      <c r="K845" s="129"/>
      <c r="L845" s="129"/>
      <c r="M845" s="129"/>
      <c r="N845" s="129"/>
      <c r="O845" s="248">
        <f t="shared" si="168"/>
        <v>64945.196000000011</v>
      </c>
    </row>
    <row r="846" spans="2:15" x14ac:dyDescent="0.35">
      <c r="B846" s="1287" t="s">
        <v>88</v>
      </c>
      <c r="C846" s="1280">
        <v>2028.2699999999998</v>
      </c>
      <c r="D846" s="1280">
        <v>788.15200000000004</v>
      </c>
      <c r="E846" s="129">
        <v>587.63</v>
      </c>
      <c r="F846" s="129">
        <v>1779.1330000000003</v>
      </c>
      <c r="G846" s="129"/>
      <c r="H846" s="129"/>
      <c r="I846" s="129"/>
      <c r="J846" s="129"/>
      <c r="K846" s="129"/>
      <c r="L846" s="129"/>
      <c r="M846" s="129"/>
      <c r="N846" s="129"/>
      <c r="O846" s="248">
        <f t="shared" si="168"/>
        <v>5183.1849999999995</v>
      </c>
    </row>
    <row r="847" spans="2:15" x14ac:dyDescent="0.35">
      <c r="B847" s="1287" t="s">
        <v>66</v>
      </c>
      <c r="C847" s="1280">
        <v>0</v>
      </c>
      <c r="D847" s="1280">
        <v>0</v>
      </c>
      <c r="E847" s="129">
        <v>0</v>
      </c>
      <c r="F847" s="129">
        <v>0</v>
      </c>
      <c r="G847" s="129"/>
      <c r="H847" s="129"/>
      <c r="I847" s="129"/>
      <c r="J847" s="129"/>
      <c r="K847" s="129"/>
      <c r="L847" s="129"/>
      <c r="M847" s="129"/>
      <c r="N847" s="129"/>
      <c r="O847" s="248">
        <f t="shared" si="168"/>
        <v>0</v>
      </c>
    </row>
    <row r="848" spans="2:15" x14ac:dyDescent="0.35">
      <c r="B848" s="1287" t="s">
        <v>74</v>
      </c>
      <c r="C848" s="1280">
        <v>6739.9189999999999</v>
      </c>
      <c r="D848" s="1280">
        <v>7316.0199999999995</v>
      </c>
      <c r="E848" s="129">
        <v>6562.1129999999994</v>
      </c>
      <c r="F848" s="129">
        <v>1453.5360000000001</v>
      </c>
      <c r="G848" s="129"/>
      <c r="H848" s="129"/>
      <c r="I848" s="129"/>
      <c r="J848" s="129"/>
      <c r="K848" s="129"/>
      <c r="L848" s="129"/>
      <c r="M848" s="129"/>
      <c r="N848" s="129"/>
      <c r="O848" s="248">
        <f t="shared" si="168"/>
        <v>22071.587999999996</v>
      </c>
    </row>
    <row r="849" spans="2:15" x14ac:dyDescent="0.35">
      <c r="B849" s="1287" t="s">
        <v>164</v>
      </c>
      <c r="C849" s="1280">
        <v>3387.9929999999986</v>
      </c>
      <c r="D849" s="1280">
        <v>2760.2450000000003</v>
      </c>
      <c r="E849" s="129">
        <v>3263.2029999999986</v>
      </c>
      <c r="F849" s="129">
        <v>2598.3139999999994</v>
      </c>
      <c r="G849" s="129"/>
      <c r="H849" s="129"/>
      <c r="I849" s="129"/>
      <c r="J849" s="129"/>
      <c r="K849" s="129"/>
      <c r="L849" s="129"/>
      <c r="M849" s="129"/>
      <c r="N849" s="129"/>
      <c r="O849" s="248">
        <f t="shared" si="168"/>
        <v>12009.754999999997</v>
      </c>
    </row>
    <row r="850" spans="2:15" x14ac:dyDescent="0.35">
      <c r="B850" s="1287" t="s">
        <v>119</v>
      </c>
      <c r="C850" s="1280">
        <v>1318.4880000000003</v>
      </c>
      <c r="D850" s="1280">
        <v>1918.3939999999996</v>
      </c>
      <c r="E850" s="129">
        <v>2744.9599999999996</v>
      </c>
      <c r="F850" s="129">
        <v>1780.1149999999986</v>
      </c>
      <c r="G850" s="129"/>
      <c r="H850" s="129"/>
      <c r="I850" s="129"/>
      <c r="J850" s="129"/>
      <c r="K850" s="129"/>
      <c r="L850" s="129"/>
      <c r="M850" s="129"/>
      <c r="N850" s="129"/>
      <c r="O850" s="248">
        <f t="shared" si="168"/>
        <v>7761.9569999999976</v>
      </c>
    </row>
    <row r="851" spans="2:15" x14ac:dyDescent="0.35">
      <c r="B851" s="1287" t="s">
        <v>113</v>
      </c>
      <c r="C851" s="1280">
        <v>1869.9940000000001</v>
      </c>
      <c r="D851" s="1280">
        <v>2898.4590000000021</v>
      </c>
      <c r="E851" s="129">
        <v>2616.6800000000007</v>
      </c>
      <c r="F851" s="129">
        <v>2586.7799999999997</v>
      </c>
      <c r="G851" s="129"/>
      <c r="H851" s="129"/>
      <c r="I851" s="129"/>
      <c r="J851" s="129"/>
      <c r="K851" s="129"/>
      <c r="L851" s="129"/>
      <c r="M851" s="129"/>
      <c r="N851" s="129"/>
      <c r="O851" s="248">
        <f t="shared" si="168"/>
        <v>9971.9130000000041</v>
      </c>
    </row>
    <row r="852" spans="2:15" x14ac:dyDescent="0.35">
      <c r="B852" s="1287" t="s">
        <v>486</v>
      </c>
      <c r="C852" s="1280">
        <v>3329.4670000000001</v>
      </c>
      <c r="D852" s="1280">
        <v>2593.2849999999994</v>
      </c>
      <c r="E852" s="129">
        <v>2319.0829999999992</v>
      </c>
      <c r="F852" s="129">
        <v>2802.8929999999987</v>
      </c>
      <c r="G852" s="129"/>
      <c r="H852" s="129"/>
      <c r="I852" s="129"/>
      <c r="J852" s="129"/>
      <c r="K852" s="129"/>
      <c r="L852" s="129"/>
      <c r="M852" s="129"/>
      <c r="N852" s="129"/>
      <c r="O852" s="248">
        <f t="shared" si="168"/>
        <v>11044.727999999997</v>
      </c>
    </row>
    <row r="853" spans="2:15" x14ac:dyDescent="0.35">
      <c r="B853" s="1287" t="s">
        <v>77</v>
      </c>
      <c r="C853" s="1280">
        <v>406.3</v>
      </c>
      <c r="D853" s="1280">
        <v>480.02800000000002</v>
      </c>
      <c r="E853" s="129">
        <v>1302.1039999999998</v>
      </c>
      <c r="F853" s="129">
        <v>1335.0509999999999</v>
      </c>
      <c r="G853" s="129"/>
      <c r="H853" s="129"/>
      <c r="I853" s="129"/>
      <c r="J853" s="129"/>
      <c r="K853" s="129"/>
      <c r="L853" s="129"/>
      <c r="M853" s="129"/>
      <c r="N853" s="129"/>
      <c r="O853" s="248">
        <f t="shared" si="168"/>
        <v>3523.4829999999997</v>
      </c>
    </row>
    <row r="854" spans="2:15" x14ac:dyDescent="0.35">
      <c r="B854" s="1287" t="s">
        <v>470</v>
      </c>
      <c r="C854" s="1280">
        <v>0</v>
      </c>
      <c r="D854" s="1280">
        <v>0</v>
      </c>
      <c r="E854" s="129">
        <v>3041.0119999999997</v>
      </c>
      <c r="F854" s="129">
        <v>0</v>
      </c>
      <c r="G854" s="129"/>
      <c r="H854" s="129"/>
      <c r="I854" s="129"/>
      <c r="J854" s="129"/>
      <c r="K854" s="129"/>
      <c r="L854" s="129"/>
      <c r="M854" s="129"/>
      <c r="N854" s="129"/>
      <c r="O854" s="248">
        <f t="shared" si="168"/>
        <v>3041.0119999999997</v>
      </c>
    </row>
    <row r="855" spans="2:15" x14ac:dyDescent="0.35">
      <c r="B855" s="1287" t="s">
        <v>69</v>
      </c>
      <c r="C855" s="1280">
        <v>1970.5700000000004</v>
      </c>
      <c r="D855" s="1280">
        <v>1048.7819999999999</v>
      </c>
      <c r="E855" s="129">
        <v>832.65599999999995</v>
      </c>
      <c r="F855" s="129">
        <v>2335.1750000000002</v>
      </c>
      <c r="G855" s="129"/>
      <c r="H855" s="129"/>
      <c r="I855" s="129"/>
      <c r="J855" s="129"/>
      <c r="K855" s="129"/>
      <c r="L855" s="129"/>
      <c r="M855" s="129"/>
      <c r="N855" s="129"/>
      <c r="O855" s="248">
        <f t="shared" si="168"/>
        <v>6187.1830000000009</v>
      </c>
    </row>
    <row r="856" spans="2:15" x14ac:dyDescent="0.35">
      <c r="B856" s="1287" t="s">
        <v>70</v>
      </c>
      <c r="C856" s="1280">
        <v>6</v>
      </c>
      <c r="D856" s="1280">
        <v>59.445</v>
      </c>
      <c r="E856" s="129">
        <v>5000</v>
      </c>
      <c r="F856" s="129">
        <v>175.51600000000002</v>
      </c>
      <c r="G856" s="129"/>
      <c r="H856" s="129"/>
      <c r="I856" s="129"/>
      <c r="J856" s="129"/>
      <c r="K856" s="129"/>
      <c r="L856" s="129"/>
      <c r="M856" s="129"/>
      <c r="N856" s="129"/>
      <c r="O856" s="248">
        <f t="shared" si="168"/>
        <v>5240.9609999999993</v>
      </c>
    </row>
    <row r="857" spans="2:15" x14ac:dyDescent="0.35">
      <c r="B857" s="1287" t="s">
        <v>83</v>
      </c>
      <c r="C857" s="1280">
        <v>4498.3550000000005</v>
      </c>
      <c r="D857" s="1280">
        <v>2173.8920000000003</v>
      </c>
      <c r="E857" s="129">
        <v>2103.9299999999998</v>
      </c>
      <c r="F857" s="129">
        <v>3460.51</v>
      </c>
      <c r="G857" s="129"/>
      <c r="H857" s="129"/>
      <c r="I857" s="129"/>
      <c r="J857" s="129"/>
      <c r="K857" s="129"/>
      <c r="L857" s="129"/>
      <c r="M857" s="129"/>
      <c r="N857" s="129"/>
      <c r="O857" s="248">
        <f t="shared" si="168"/>
        <v>12236.687000000002</v>
      </c>
    </row>
    <row r="858" spans="2:15" x14ac:dyDescent="0.35">
      <c r="B858" s="1287" t="s">
        <v>162</v>
      </c>
      <c r="C858" s="1280">
        <v>1821.8389999999999</v>
      </c>
      <c r="D858" s="1280">
        <v>1723.972</v>
      </c>
      <c r="E858" s="129">
        <v>1480.3180000000002</v>
      </c>
      <c r="F858" s="129">
        <v>1512.5609999999999</v>
      </c>
      <c r="G858" s="129"/>
      <c r="H858" s="129"/>
      <c r="I858" s="129"/>
      <c r="J858" s="129"/>
      <c r="K858" s="129"/>
      <c r="L858" s="129"/>
      <c r="M858" s="129"/>
      <c r="N858" s="129"/>
      <c r="O858" s="248">
        <f t="shared" si="168"/>
        <v>6538.69</v>
      </c>
    </row>
    <row r="859" spans="2:15" ht="19.5" customHeight="1" x14ac:dyDescent="0.35">
      <c r="B859" s="1287" t="s">
        <v>116</v>
      </c>
      <c r="C859" s="1280">
        <v>1406.1970000000001</v>
      </c>
      <c r="D859" s="1280">
        <v>2051.2200000000003</v>
      </c>
      <c r="E859" s="129">
        <v>1223.0740000000001</v>
      </c>
      <c r="F859" s="129">
        <v>3851.1240000000003</v>
      </c>
      <c r="G859" s="129"/>
      <c r="H859" s="129"/>
      <c r="I859" s="129"/>
      <c r="J859" s="129"/>
      <c r="K859" s="129"/>
      <c r="L859" s="129"/>
      <c r="M859" s="129"/>
      <c r="N859" s="129"/>
      <c r="O859" s="248">
        <f t="shared" si="168"/>
        <v>8531.6149999999998</v>
      </c>
    </row>
    <row r="860" spans="2:15" x14ac:dyDescent="0.35">
      <c r="B860" s="1287" t="s">
        <v>148</v>
      </c>
      <c r="C860" s="1280">
        <v>875.4</v>
      </c>
      <c r="D860" s="1280">
        <v>911.71499999999992</v>
      </c>
      <c r="E860" s="129">
        <v>1040.8499999999999</v>
      </c>
      <c r="F860" s="129">
        <v>833.54900000000009</v>
      </c>
      <c r="G860" s="129"/>
      <c r="H860" s="129"/>
      <c r="I860" s="129"/>
      <c r="J860" s="129"/>
      <c r="K860" s="129"/>
      <c r="L860" s="129"/>
      <c r="M860" s="129"/>
      <c r="N860" s="129"/>
      <c r="O860" s="248">
        <f t="shared" si="168"/>
        <v>3661.5139999999997</v>
      </c>
    </row>
    <row r="861" spans="2:15" x14ac:dyDescent="0.35">
      <c r="B861" s="1287" t="s">
        <v>85</v>
      </c>
      <c r="C861" s="1280">
        <v>0</v>
      </c>
      <c r="D861" s="1280">
        <v>27.86</v>
      </c>
      <c r="E861" s="129">
        <v>885</v>
      </c>
      <c r="F861" s="129">
        <v>587</v>
      </c>
      <c r="G861" s="129"/>
      <c r="H861" s="129"/>
      <c r="I861" s="129"/>
      <c r="J861" s="129"/>
      <c r="K861" s="129"/>
      <c r="L861" s="129"/>
      <c r="M861" s="129"/>
      <c r="N861" s="129"/>
      <c r="O861" s="248">
        <f t="shared" si="168"/>
        <v>1499.8600000000001</v>
      </c>
    </row>
    <row r="862" spans="2:15" x14ac:dyDescent="0.35">
      <c r="B862" s="1287" t="s">
        <v>73</v>
      </c>
      <c r="C862" s="1280">
        <v>816.27700000000016</v>
      </c>
      <c r="D862" s="1280">
        <v>460.74500000000006</v>
      </c>
      <c r="E862" s="129">
        <v>2210.1650000000004</v>
      </c>
      <c r="F862" s="129">
        <v>638.88199999999995</v>
      </c>
      <c r="G862" s="129"/>
      <c r="H862" s="129"/>
      <c r="I862" s="129"/>
      <c r="J862" s="129"/>
      <c r="K862" s="129"/>
      <c r="L862" s="129"/>
      <c r="M862" s="129"/>
      <c r="N862" s="129"/>
      <c r="O862" s="248">
        <f t="shared" si="168"/>
        <v>4126.0690000000004</v>
      </c>
    </row>
    <row r="863" spans="2:15" x14ac:dyDescent="0.35">
      <c r="B863" s="1287" t="s">
        <v>91</v>
      </c>
      <c r="C863" s="1280">
        <v>34901.384080000062</v>
      </c>
      <c r="D863" s="1280">
        <v>30500.449999999779</v>
      </c>
      <c r="E863" s="129">
        <v>35489.388999999996</v>
      </c>
      <c r="F863" s="129">
        <v>34069.067999999999</v>
      </c>
      <c r="G863" s="129"/>
      <c r="H863" s="129"/>
      <c r="I863" s="129"/>
      <c r="J863" s="129"/>
      <c r="K863" s="129"/>
      <c r="L863" s="129"/>
      <c r="M863" s="129"/>
      <c r="N863" s="129"/>
      <c r="O863" s="248">
        <f t="shared" si="168"/>
        <v>134960.29107999982</v>
      </c>
    </row>
    <row r="864" spans="2:15" x14ac:dyDescent="0.35">
      <c r="B864" s="1287"/>
      <c r="C864" s="246"/>
      <c r="D864" s="185"/>
      <c r="E864" s="185"/>
      <c r="F864" s="185"/>
      <c r="G864" s="185"/>
      <c r="H864" s="185"/>
      <c r="I864" s="185"/>
      <c r="J864" s="185"/>
      <c r="K864" s="185"/>
      <c r="L864" s="185"/>
      <c r="M864" s="185"/>
      <c r="N864" s="185"/>
      <c r="O864" s="248">
        <f t="shared" si="168"/>
        <v>0</v>
      </c>
    </row>
    <row r="865" spans="2:15" x14ac:dyDescent="0.35">
      <c r="B865" s="1288" t="s">
        <v>149</v>
      </c>
      <c r="C865" s="1289">
        <v>394.82000000000011</v>
      </c>
      <c r="D865" s="1289">
        <v>228.126</v>
      </c>
      <c r="E865" s="1289">
        <v>1040.5940000000001</v>
      </c>
      <c r="F865" s="1289">
        <v>1141.2169999999999</v>
      </c>
      <c r="G865" s="1289"/>
      <c r="H865" s="1289"/>
      <c r="I865" s="1289"/>
      <c r="J865" s="1289"/>
      <c r="K865" s="1289"/>
      <c r="L865" s="1289"/>
      <c r="M865" s="1289"/>
      <c r="N865" s="1289"/>
      <c r="O865" s="429">
        <f t="shared" si="168"/>
        <v>2804.7570000000001</v>
      </c>
    </row>
    <row r="866" spans="2:15" ht="22.5" customHeight="1" x14ac:dyDescent="0.35">
      <c r="B866" s="1288" t="s">
        <v>150</v>
      </c>
      <c r="C866" s="1289">
        <v>154556.91508000001</v>
      </c>
      <c r="D866" s="1289">
        <v>138350.52199999985</v>
      </c>
      <c r="E866" s="1289">
        <v>122456.58400000003</v>
      </c>
      <c r="F866" s="1289">
        <v>127507.03099999981</v>
      </c>
      <c r="G866" s="1289"/>
      <c r="H866" s="1289"/>
      <c r="I866" s="1289"/>
      <c r="J866" s="1289"/>
      <c r="K866" s="1289"/>
      <c r="L866" s="1289"/>
      <c r="M866" s="1289"/>
      <c r="N866" s="1289"/>
      <c r="O866" s="429">
        <f t="shared" si="168"/>
        <v>542871.0520799997</v>
      </c>
    </row>
    <row r="867" spans="2:15" x14ac:dyDescent="0.35">
      <c r="B867" s="1288" t="s">
        <v>151</v>
      </c>
      <c r="C867" s="1289">
        <v>3387.9929999999986</v>
      </c>
      <c r="D867" s="1289">
        <v>2760.2450000000003</v>
      </c>
      <c r="E867" s="1289">
        <v>3263.2029999999986</v>
      </c>
      <c r="F867" s="1289">
        <v>2598.3139999999994</v>
      </c>
      <c r="G867" s="1289"/>
      <c r="H867" s="1289"/>
      <c r="I867" s="1289"/>
      <c r="J867" s="1289"/>
      <c r="K867" s="1289"/>
      <c r="L867" s="1289"/>
      <c r="M867" s="1289"/>
      <c r="N867" s="1289"/>
      <c r="O867" s="429">
        <f t="shared" si="168"/>
        <v>12009.754999999997</v>
      </c>
    </row>
    <row r="868" spans="2:15" ht="15" customHeight="1" x14ac:dyDescent="0.35">
      <c r="B868" s="1293"/>
      <c r="C868" s="830"/>
      <c r="D868" s="830"/>
      <c r="E868" s="830"/>
      <c r="F868" s="830"/>
      <c r="G868" s="830"/>
      <c r="H868" s="830"/>
      <c r="I868" s="830"/>
      <c r="J868" s="830"/>
      <c r="K868" s="830"/>
      <c r="L868" s="830"/>
      <c r="M868" s="830"/>
      <c r="N868" s="830"/>
      <c r="O868" s="248"/>
    </row>
    <row r="869" spans="2:15" ht="28.5" customHeight="1" x14ac:dyDescent="0.35">
      <c r="B869" s="1294" t="s">
        <v>56</v>
      </c>
      <c r="C869" s="244">
        <f>SUM(C871:C891)</f>
        <v>48363.567999999999</v>
      </c>
      <c r="D869" s="244">
        <f>SUM(D871:D891)</f>
        <v>48996.399000000005</v>
      </c>
      <c r="E869" s="244">
        <f t="shared" ref="E869:M869" si="169">SUM(E871:E891)</f>
        <v>45936.131000000001</v>
      </c>
      <c r="F869" s="244">
        <f t="shared" si="169"/>
        <v>2395.8439999999996</v>
      </c>
      <c r="G869" s="244">
        <f t="shared" si="169"/>
        <v>0</v>
      </c>
      <c r="H869" s="244">
        <f t="shared" si="169"/>
        <v>0</v>
      </c>
      <c r="I869" s="244">
        <f t="shared" si="169"/>
        <v>0</v>
      </c>
      <c r="J869" s="244">
        <f t="shared" si="169"/>
        <v>0</v>
      </c>
      <c r="K869" s="244">
        <f t="shared" si="169"/>
        <v>0</v>
      </c>
      <c r="L869" s="244">
        <f t="shared" si="169"/>
        <v>0</v>
      </c>
      <c r="M869" s="244">
        <f t="shared" si="169"/>
        <v>0</v>
      </c>
      <c r="N869" s="244">
        <f>SUM(N871:N891)</f>
        <v>0</v>
      </c>
      <c r="O869" s="112">
        <f>SUM(C869:N869)</f>
        <v>145691.94200000001</v>
      </c>
    </row>
    <row r="870" spans="2:15" x14ac:dyDescent="0.35">
      <c r="B870" s="1293"/>
      <c r="C870" s="244"/>
      <c r="D870" s="897"/>
      <c r="E870" s="897"/>
      <c r="F870" s="897"/>
      <c r="G870" s="897"/>
      <c r="H870" s="897"/>
      <c r="I870" s="897"/>
      <c r="J870" s="897"/>
      <c r="K870" s="897"/>
      <c r="L870" s="897"/>
      <c r="M870" s="897"/>
      <c r="N870" s="897"/>
      <c r="O870" s="136"/>
    </row>
    <row r="871" spans="2:15" x14ac:dyDescent="0.35">
      <c r="B871" s="1287" t="s">
        <v>488</v>
      </c>
      <c r="C871" s="1280">
        <v>45403.847999999998</v>
      </c>
      <c r="D871" s="1280">
        <v>45082.559000000001</v>
      </c>
      <c r="E871" s="1280">
        <v>43281.330999999998</v>
      </c>
      <c r="F871" s="1280">
        <v>0</v>
      </c>
      <c r="G871" s="1280"/>
      <c r="H871" s="1280"/>
      <c r="I871" s="1280"/>
      <c r="J871" s="1280"/>
      <c r="K871" s="1280"/>
      <c r="L871" s="1280"/>
      <c r="M871" s="1280"/>
      <c r="N871" s="1280"/>
      <c r="O871" s="138">
        <f t="shared" ref="O871:O891" si="170">SUM(C871:N871)</f>
        <v>133767.73800000001</v>
      </c>
    </row>
    <row r="872" spans="2:15" x14ac:dyDescent="0.35">
      <c r="B872" s="1287" t="s">
        <v>98</v>
      </c>
      <c r="C872" s="1280">
        <v>2919.16</v>
      </c>
      <c r="D872" s="1280">
        <v>3913.8400000000006</v>
      </c>
      <c r="E872" s="1280">
        <v>2654.7999999999997</v>
      </c>
      <c r="F872" s="1280">
        <v>2134.3199999999997</v>
      </c>
      <c r="G872" s="1280"/>
      <c r="H872" s="1280"/>
      <c r="I872" s="1280"/>
      <c r="J872" s="1280"/>
      <c r="K872" s="1280"/>
      <c r="L872" s="1280"/>
      <c r="M872" s="1280"/>
      <c r="N872" s="1280"/>
      <c r="O872" s="138">
        <f t="shared" si="170"/>
        <v>11622.119999999999</v>
      </c>
    </row>
    <row r="873" spans="2:15" x14ac:dyDescent="0.35">
      <c r="B873" s="1287" t="s">
        <v>77</v>
      </c>
      <c r="C873" s="1280">
        <v>0</v>
      </c>
      <c r="D873" s="1280">
        <v>0</v>
      </c>
      <c r="E873" s="1280">
        <v>0</v>
      </c>
      <c r="F873" s="1280">
        <v>261.524</v>
      </c>
      <c r="G873" s="1280"/>
      <c r="H873" s="1280"/>
      <c r="I873" s="1280"/>
      <c r="J873" s="1280"/>
      <c r="K873" s="1280"/>
      <c r="L873" s="1280"/>
      <c r="M873" s="1280"/>
      <c r="N873" s="1280"/>
      <c r="O873" s="138">
        <f t="shared" si="170"/>
        <v>261.524</v>
      </c>
    </row>
    <row r="874" spans="2:15" x14ac:dyDescent="0.35">
      <c r="B874" s="1287" t="s">
        <v>102</v>
      </c>
      <c r="C874" s="1280">
        <v>0</v>
      </c>
      <c r="D874" s="1280">
        <v>0</v>
      </c>
      <c r="E874" s="1280">
        <v>0</v>
      </c>
      <c r="F874" s="1280">
        <v>0</v>
      </c>
      <c r="G874" s="1280"/>
      <c r="H874" s="1280"/>
      <c r="I874" s="1280"/>
      <c r="J874" s="1280"/>
      <c r="K874" s="1280"/>
      <c r="L874" s="1280"/>
      <c r="M874" s="1280"/>
      <c r="N874" s="1280"/>
      <c r="O874" s="138">
        <f t="shared" si="170"/>
        <v>0</v>
      </c>
    </row>
    <row r="875" spans="2:15" x14ac:dyDescent="0.35">
      <c r="B875" s="1287" t="s">
        <v>152</v>
      </c>
      <c r="C875" s="1280">
        <v>0</v>
      </c>
      <c r="D875" s="1280">
        <v>0</v>
      </c>
      <c r="E875" s="1280">
        <v>0</v>
      </c>
      <c r="F875" s="1280">
        <v>0</v>
      </c>
      <c r="G875" s="1280"/>
      <c r="H875" s="1280"/>
      <c r="I875" s="1280"/>
      <c r="J875" s="1280"/>
      <c r="K875" s="1280"/>
      <c r="L875" s="1280"/>
      <c r="M875" s="1280"/>
      <c r="N875" s="1280"/>
      <c r="O875" s="138">
        <f t="shared" si="170"/>
        <v>0</v>
      </c>
    </row>
    <row r="876" spans="2:15" x14ac:dyDescent="0.35">
      <c r="B876" s="1287" t="s">
        <v>96</v>
      </c>
      <c r="C876" s="1280">
        <v>0</v>
      </c>
      <c r="D876" s="1280">
        <v>0</v>
      </c>
      <c r="E876" s="1280">
        <v>0</v>
      </c>
      <c r="F876" s="1280">
        <v>0</v>
      </c>
      <c r="G876" s="1280"/>
      <c r="H876" s="1280"/>
      <c r="I876" s="1280"/>
      <c r="J876" s="1280"/>
      <c r="K876" s="1280"/>
      <c r="L876" s="1280"/>
      <c r="M876" s="1280"/>
      <c r="N876" s="1280"/>
      <c r="O876" s="138">
        <f t="shared" si="170"/>
        <v>0</v>
      </c>
    </row>
    <row r="877" spans="2:15" x14ac:dyDescent="0.35">
      <c r="B877" s="1287" t="s">
        <v>97</v>
      </c>
      <c r="C877" s="1280">
        <v>0</v>
      </c>
      <c r="D877" s="1280">
        <v>0</v>
      </c>
      <c r="E877" s="1280">
        <v>0</v>
      </c>
      <c r="F877" s="1280">
        <v>0</v>
      </c>
      <c r="G877" s="1280"/>
      <c r="H877" s="1280"/>
      <c r="I877" s="1280"/>
      <c r="J877" s="1280"/>
      <c r="K877" s="1280"/>
      <c r="L877" s="1280"/>
      <c r="M877" s="1280"/>
      <c r="N877" s="1280"/>
      <c r="O877" s="138">
        <f t="shared" si="170"/>
        <v>0</v>
      </c>
    </row>
    <row r="878" spans="2:15" x14ac:dyDescent="0.35">
      <c r="B878" s="1287" t="s">
        <v>492</v>
      </c>
      <c r="C878" s="1280">
        <v>0</v>
      </c>
      <c r="D878" s="1280">
        <v>0</v>
      </c>
      <c r="E878" s="1280">
        <v>0</v>
      </c>
      <c r="F878" s="1280">
        <v>0</v>
      </c>
      <c r="G878" s="1280"/>
      <c r="H878" s="1280"/>
      <c r="I878" s="1280"/>
      <c r="J878" s="1280"/>
      <c r="K878" s="1280"/>
      <c r="L878" s="1280"/>
      <c r="M878" s="1280"/>
      <c r="N878" s="1280"/>
      <c r="O878" s="138">
        <f t="shared" si="170"/>
        <v>0</v>
      </c>
    </row>
    <row r="879" spans="2:15" x14ac:dyDescent="0.35">
      <c r="B879" s="1287" t="s">
        <v>90</v>
      </c>
      <c r="C879" s="1280">
        <v>0</v>
      </c>
      <c r="D879" s="1280">
        <v>0</v>
      </c>
      <c r="E879" s="1280">
        <v>0</v>
      </c>
      <c r="F879" s="1280">
        <v>0</v>
      </c>
      <c r="G879" s="1280"/>
      <c r="H879" s="1280"/>
      <c r="I879" s="1280"/>
      <c r="J879" s="1280"/>
      <c r="K879" s="1280"/>
      <c r="L879" s="1280"/>
      <c r="M879" s="1280"/>
      <c r="N879" s="1280"/>
      <c r="O879" s="138">
        <f t="shared" si="170"/>
        <v>0</v>
      </c>
    </row>
    <row r="880" spans="2:15" x14ac:dyDescent="0.35">
      <c r="B880" s="1287" t="s">
        <v>476</v>
      </c>
      <c r="C880" s="1280">
        <v>0</v>
      </c>
      <c r="D880" s="1280">
        <v>0</v>
      </c>
      <c r="E880" s="1280">
        <v>0</v>
      </c>
      <c r="F880" s="1280">
        <v>0</v>
      </c>
      <c r="G880" s="1280"/>
      <c r="H880" s="1280"/>
      <c r="I880" s="1280"/>
      <c r="J880" s="1280"/>
      <c r="K880" s="1280"/>
      <c r="L880" s="1280"/>
      <c r="M880" s="1280"/>
      <c r="N880" s="1280"/>
      <c r="O880" s="138">
        <f t="shared" si="170"/>
        <v>0</v>
      </c>
    </row>
    <row r="881" spans="2:20" x14ac:dyDescent="0.35">
      <c r="B881" s="1287" t="s">
        <v>73</v>
      </c>
      <c r="C881" s="1280">
        <v>0</v>
      </c>
      <c r="D881" s="1280">
        <v>0</v>
      </c>
      <c r="E881" s="1280">
        <v>0</v>
      </c>
      <c r="F881" s="1280">
        <v>0</v>
      </c>
      <c r="G881" s="1280"/>
      <c r="H881" s="1280"/>
      <c r="I881" s="1280"/>
      <c r="J881" s="1280"/>
      <c r="K881" s="1280"/>
      <c r="L881" s="1280"/>
      <c r="M881" s="1280"/>
      <c r="N881" s="1280"/>
      <c r="O881" s="138">
        <f t="shared" si="170"/>
        <v>0</v>
      </c>
    </row>
    <row r="882" spans="2:20" x14ac:dyDescent="0.35">
      <c r="B882" s="1287" t="s">
        <v>105</v>
      </c>
      <c r="C882" s="1280">
        <v>0</v>
      </c>
      <c r="D882" s="1280">
        <v>0</v>
      </c>
      <c r="E882" s="1280">
        <v>0</v>
      </c>
      <c r="F882" s="1280">
        <v>0</v>
      </c>
      <c r="G882" s="1280"/>
      <c r="H882" s="1280"/>
      <c r="I882" s="1280"/>
      <c r="J882" s="1280"/>
      <c r="K882" s="1280"/>
      <c r="L882" s="1280"/>
      <c r="M882" s="1280"/>
      <c r="N882" s="1280"/>
      <c r="O882" s="138">
        <f t="shared" si="170"/>
        <v>0</v>
      </c>
    </row>
    <row r="883" spans="2:20" s="3" customFormat="1" x14ac:dyDescent="0.35">
      <c r="B883" s="1287" t="s">
        <v>313</v>
      </c>
      <c r="C883" s="1280">
        <v>0</v>
      </c>
      <c r="D883" s="1280">
        <v>0</v>
      </c>
      <c r="E883" s="1280">
        <v>0</v>
      </c>
      <c r="F883" s="1280">
        <v>0</v>
      </c>
      <c r="G883" s="1280"/>
      <c r="H883" s="1280"/>
      <c r="I883" s="1280"/>
      <c r="J883" s="1280"/>
      <c r="K883" s="1280"/>
      <c r="L883" s="1280"/>
      <c r="M883" s="1280"/>
      <c r="N883" s="1280"/>
      <c r="O883" s="138">
        <f t="shared" si="170"/>
        <v>0</v>
      </c>
      <c r="P883" s="324"/>
      <c r="Q883" s="324"/>
      <c r="R883" s="324"/>
      <c r="S883" s="324"/>
      <c r="T883" s="324"/>
    </row>
    <row r="884" spans="2:20" s="3" customFormat="1" x14ac:dyDescent="0.35">
      <c r="B884" s="1287" t="s">
        <v>89</v>
      </c>
      <c r="C884" s="1280">
        <v>0</v>
      </c>
      <c r="D884" s="1280">
        <v>0</v>
      </c>
      <c r="E884" s="1280">
        <v>0</v>
      </c>
      <c r="F884" s="1280">
        <v>0</v>
      </c>
      <c r="G884" s="1280"/>
      <c r="H884" s="1280"/>
      <c r="I884" s="1280"/>
      <c r="J884" s="1280"/>
      <c r="K884" s="1280"/>
      <c r="L884" s="1280"/>
      <c r="M884" s="1280"/>
      <c r="N884" s="1280"/>
      <c r="O884" s="138">
        <f t="shared" si="170"/>
        <v>0</v>
      </c>
    </row>
    <row r="885" spans="2:20" s="3" customFormat="1" x14ac:dyDescent="0.35">
      <c r="B885" s="1287" t="s">
        <v>224</v>
      </c>
      <c r="C885" s="1280">
        <v>0</v>
      </c>
      <c r="D885" s="1280">
        <v>0</v>
      </c>
      <c r="E885" s="1280">
        <v>0</v>
      </c>
      <c r="F885" s="1280">
        <v>0</v>
      </c>
      <c r="G885" s="1280"/>
      <c r="H885" s="1280"/>
      <c r="I885" s="1280"/>
      <c r="J885" s="1280"/>
      <c r="K885" s="1280"/>
      <c r="L885" s="1280"/>
      <c r="M885" s="1280"/>
      <c r="N885" s="1280"/>
      <c r="O885" s="138">
        <f t="shared" si="170"/>
        <v>0</v>
      </c>
    </row>
    <row r="886" spans="2:20" s="3" customFormat="1" x14ac:dyDescent="0.35">
      <c r="B886" s="875" t="s">
        <v>75</v>
      </c>
      <c r="C886" s="1280">
        <v>0</v>
      </c>
      <c r="D886" s="1280">
        <v>0</v>
      </c>
      <c r="E886" s="1280">
        <v>0</v>
      </c>
      <c r="F886" s="1280">
        <v>0</v>
      </c>
      <c r="G886" s="1280"/>
      <c r="H886" s="1280"/>
      <c r="I886" s="1280"/>
      <c r="J886" s="1280"/>
      <c r="K886" s="1280"/>
      <c r="L886" s="1280"/>
      <c r="M886" s="1280"/>
      <c r="N886" s="1280"/>
      <c r="O886" s="138">
        <f t="shared" si="170"/>
        <v>0</v>
      </c>
    </row>
    <row r="887" spans="2:20" s="3" customFormat="1" x14ac:dyDescent="0.35">
      <c r="B887" s="1287" t="s">
        <v>146</v>
      </c>
      <c r="C887" s="1280">
        <v>0</v>
      </c>
      <c r="D887" s="1280">
        <v>0</v>
      </c>
      <c r="E887" s="1280">
        <v>0</v>
      </c>
      <c r="F887" s="1280">
        <v>0</v>
      </c>
      <c r="G887" s="1280"/>
      <c r="H887" s="1280"/>
      <c r="I887" s="1280"/>
      <c r="J887" s="1280"/>
      <c r="K887" s="1280"/>
      <c r="L887" s="1280"/>
      <c r="M887" s="1280"/>
      <c r="N887" s="1280"/>
      <c r="O887" s="138">
        <f t="shared" si="170"/>
        <v>0</v>
      </c>
    </row>
    <row r="888" spans="2:20" s="3" customFormat="1" x14ac:dyDescent="0.35">
      <c r="B888" s="1287" t="s">
        <v>397</v>
      </c>
      <c r="C888" s="1280">
        <v>0</v>
      </c>
      <c r="D888" s="1280">
        <v>0</v>
      </c>
      <c r="E888" s="1280">
        <v>0</v>
      </c>
      <c r="F888" s="1280">
        <v>0</v>
      </c>
      <c r="G888" s="1280"/>
      <c r="H888" s="1280"/>
      <c r="I888" s="1280"/>
      <c r="J888" s="1280"/>
      <c r="K888" s="1280"/>
      <c r="L888" s="1280"/>
      <c r="M888" s="1280"/>
      <c r="N888" s="1280"/>
      <c r="O888" s="138">
        <f t="shared" si="170"/>
        <v>0</v>
      </c>
    </row>
    <row r="889" spans="2:20" s="3" customFormat="1" x14ac:dyDescent="0.35">
      <c r="B889" s="1287" t="s">
        <v>88</v>
      </c>
      <c r="C889" s="1280">
        <v>0</v>
      </c>
      <c r="D889" s="1280">
        <v>0</v>
      </c>
      <c r="E889" s="1280">
        <v>0</v>
      </c>
      <c r="F889" s="1280">
        <v>0</v>
      </c>
      <c r="G889" s="1280"/>
      <c r="H889" s="1280"/>
      <c r="I889" s="1280"/>
      <c r="J889" s="1280"/>
      <c r="K889" s="1280"/>
      <c r="L889" s="1280"/>
      <c r="M889" s="1280"/>
      <c r="N889" s="1280"/>
      <c r="O889" s="138">
        <f t="shared" si="170"/>
        <v>0</v>
      </c>
    </row>
    <row r="890" spans="2:20" s="3" customFormat="1" x14ac:dyDescent="0.35">
      <c r="B890" s="1287" t="s">
        <v>155</v>
      </c>
      <c r="C890" s="1280">
        <v>0</v>
      </c>
      <c r="D890" s="1280">
        <v>0</v>
      </c>
      <c r="E890" s="1280">
        <v>0</v>
      </c>
      <c r="F890" s="1280">
        <v>0</v>
      </c>
      <c r="G890" s="1280"/>
      <c r="H890" s="1280"/>
      <c r="I890" s="1280"/>
      <c r="J890" s="1280"/>
      <c r="K890" s="1280"/>
      <c r="L890" s="1280"/>
      <c r="M890" s="1280"/>
      <c r="N890" s="1280"/>
      <c r="O890" s="138">
        <f t="shared" si="170"/>
        <v>0</v>
      </c>
    </row>
    <row r="891" spans="2:20" s="3" customFormat="1" x14ac:dyDescent="0.35">
      <c r="B891" s="1287" t="s">
        <v>91</v>
      </c>
      <c r="C891" s="1280">
        <v>40.559999999997672</v>
      </c>
      <c r="D891" s="1280">
        <v>0</v>
      </c>
      <c r="E891" s="1280">
        <v>0</v>
      </c>
      <c r="F891" s="1280">
        <v>0</v>
      </c>
      <c r="G891" s="1280"/>
      <c r="H891" s="1280"/>
      <c r="I891" s="1280"/>
      <c r="J891" s="1280"/>
      <c r="K891" s="1280"/>
      <c r="L891" s="1280"/>
      <c r="M891" s="1280"/>
      <c r="N891" s="1280"/>
      <c r="O891" s="138">
        <f t="shared" si="170"/>
        <v>40.559999999997672</v>
      </c>
    </row>
    <row r="892" spans="2:20" s="3" customFormat="1" x14ac:dyDescent="0.35">
      <c r="B892" s="1295"/>
      <c r="C892" s="832"/>
      <c r="D892" s="129"/>
      <c r="E892" s="129"/>
      <c r="F892" s="129"/>
      <c r="G892" s="129"/>
      <c r="H892" s="129"/>
      <c r="I892" s="129"/>
      <c r="J892" s="129"/>
      <c r="K892" s="129"/>
      <c r="L892" s="129"/>
      <c r="M892" s="129"/>
      <c r="N892" s="129"/>
      <c r="O892" s="138"/>
    </row>
    <row r="893" spans="2:20" s="3" customFormat="1" x14ac:dyDescent="0.35">
      <c r="B893" s="1288" t="s">
        <v>149</v>
      </c>
      <c r="C893" s="1289">
        <v>0</v>
      </c>
      <c r="D893" s="1289">
        <v>0</v>
      </c>
      <c r="E893" s="1289">
        <v>0</v>
      </c>
      <c r="F893" s="1289">
        <v>0</v>
      </c>
      <c r="G893" s="1289"/>
      <c r="H893" s="1289"/>
      <c r="I893" s="1289"/>
      <c r="J893" s="1289"/>
      <c r="K893" s="1289"/>
      <c r="L893" s="1289"/>
      <c r="M893" s="1289"/>
      <c r="N893" s="1289"/>
      <c r="O893" s="429">
        <f>SUM(C893:N893)</f>
        <v>0</v>
      </c>
    </row>
    <row r="894" spans="2:20" s="3" customFormat="1" x14ac:dyDescent="0.35">
      <c r="B894" s="1288" t="s">
        <v>150</v>
      </c>
      <c r="C894" s="1289">
        <v>48363.568000000007</v>
      </c>
      <c r="D894" s="1289">
        <v>48996.398999999998</v>
      </c>
      <c r="E894" s="1289">
        <v>45936.13100000003</v>
      </c>
      <c r="F894" s="1289">
        <v>2395.8440000000001</v>
      </c>
      <c r="G894" s="1289"/>
      <c r="H894" s="1289"/>
      <c r="I894" s="1289"/>
      <c r="J894" s="1289"/>
      <c r="K894" s="1289"/>
      <c r="L894" s="1289"/>
      <c r="M894" s="1289"/>
      <c r="N894" s="1289"/>
      <c r="O894" s="429">
        <f>SUM(C894:N894)</f>
        <v>145691.94200000004</v>
      </c>
    </row>
    <row r="895" spans="2:20" s="3" customFormat="1" x14ac:dyDescent="0.35">
      <c r="B895" s="1288" t="s">
        <v>151</v>
      </c>
      <c r="C895" s="1289">
        <v>0</v>
      </c>
      <c r="D895" s="1289">
        <v>0</v>
      </c>
      <c r="E895" s="1289">
        <v>0</v>
      </c>
      <c r="F895" s="1289">
        <v>0</v>
      </c>
      <c r="G895" s="1289"/>
      <c r="H895" s="1289"/>
      <c r="I895" s="1289"/>
      <c r="J895" s="1289"/>
      <c r="K895" s="1289"/>
      <c r="L895" s="1289"/>
      <c r="M895" s="1289"/>
      <c r="N895" s="1289"/>
      <c r="O895" s="429">
        <f>SUM(C895:N895)</f>
        <v>0</v>
      </c>
    </row>
    <row r="896" spans="2:20" s="3" customFormat="1" x14ac:dyDescent="0.35">
      <c r="B896" s="1287"/>
      <c r="C896" s="257"/>
      <c r="D896" s="257"/>
      <c r="E896" s="257"/>
      <c r="F896" s="257"/>
      <c r="G896" s="256"/>
      <c r="H896" s="256"/>
      <c r="I896" s="256"/>
      <c r="J896" s="256"/>
      <c r="K896" s="256"/>
      <c r="L896" s="257"/>
      <c r="M896" s="256"/>
      <c r="N896" s="256"/>
      <c r="O896" s="138"/>
    </row>
    <row r="897" spans="2:15" s="3" customFormat="1" ht="15" customHeight="1" x14ac:dyDescent="0.35">
      <c r="B897" s="432" t="s">
        <v>36</v>
      </c>
      <c r="C897" s="1156">
        <f>C869+C841</f>
        <v>206703.29608000009</v>
      </c>
      <c r="D897" s="1156">
        <f>D869+D841</f>
        <v>190335.29199999981</v>
      </c>
      <c r="E897" s="1156">
        <f>E869+E841</f>
        <v>172696.51199999999</v>
      </c>
      <c r="F897" s="1156">
        <f>+F869+F841</f>
        <v>133642.4060000001</v>
      </c>
      <c r="G897" s="1156">
        <f t="shared" ref="G897:L897" si="171">G869+G841</f>
        <v>0</v>
      </c>
      <c r="H897" s="1156">
        <f t="shared" si="171"/>
        <v>0</v>
      </c>
      <c r="I897" s="1156">
        <f t="shared" si="171"/>
        <v>0</v>
      </c>
      <c r="J897" s="1156">
        <f t="shared" si="171"/>
        <v>0</v>
      </c>
      <c r="K897" s="1156">
        <f t="shared" si="171"/>
        <v>0</v>
      </c>
      <c r="L897" s="1156">
        <f t="shared" si="171"/>
        <v>0</v>
      </c>
      <c r="M897" s="1156">
        <f>M869+M841</f>
        <v>0</v>
      </c>
      <c r="N897" s="1156">
        <f>N869+N841</f>
        <v>0</v>
      </c>
      <c r="O897" s="1292">
        <f>SUM(C897:N897)</f>
        <v>703377.50607999996</v>
      </c>
    </row>
    <row r="898" spans="2:15" s="3" customFormat="1" ht="15" customHeight="1" x14ac:dyDescent="0.35">
      <c r="B898" s="158"/>
      <c r="C898" s="118"/>
      <c r="D898" s="118"/>
      <c r="E898" s="118"/>
      <c r="F898" s="118"/>
      <c r="G898" s="118"/>
      <c r="H898" s="118"/>
      <c r="I898" s="118"/>
      <c r="J898" s="118"/>
      <c r="K898" s="118"/>
      <c r="L898" s="118"/>
      <c r="M898" s="118"/>
      <c r="N898" s="118"/>
      <c r="O898" s="160"/>
    </row>
    <row r="899" spans="2:15" s="3" customFormat="1" x14ac:dyDescent="0.35">
      <c r="B899" s="1068" t="s">
        <v>160</v>
      </c>
      <c r="C899" s="1068"/>
      <c r="D899" s="1068"/>
      <c r="E899" s="1068"/>
      <c r="F899" s="1068"/>
      <c r="G899" s="1068"/>
      <c r="H899" s="1068"/>
      <c r="I899" s="1068"/>
      <c r="J899" s="1068"/>
      <c r="K899" s="1068"/>
      <c r="L899" s="1068"/>
      <c r="M899" s="1068"/>
      <c r="N899" s="1068"/>
      <c r="O899" s="1068"/>
    </row>
    <row r="900" spans="2:15" s="3" customFormat="1" x14ac:dyDescent="0.35">
      <c r="B900" s="173"/>
      <c r="C900" s="267"/>
      <c r="D900" s="267"/>
      <c r="E900" s="267"/>
      <c r="F900" s="267"/>
      <c r="G900" s="267"/>
      <c r="H900" s="267"/>
      <c r="I900" s="267"/>
      <c r="J900" s="267"/>
      <c r="K900" s="267"/>
      <c r="L900" s="267"/>
      <c r="M900" s="267"/>
      <c r="N900" s="267"/>
      <c r="O900" s="1171"/>
    </row>
    <row r="901" spans="2:15" s="3" customFormat="1" ht="15" customHeight="1" x14ac:dyDescent="0.35">
      <c r="B901" s="1074" t="s">
        <v>13</v>
      </c>
      <c r="C901" s="1112" t="s">
        <v>0</v>
      </c>
      <c r="D901" s="1112" t="s">
        <v>1</v>
      </c>
      <c r="E901" s="1112" t="s">
        <v>2</v>
      </c>
      <c r="F901" s="1112" t="s">
        <v>3</v>
      </c>
      <c r="G901" s="1112" t="s">
        <v>4</v>
      </c>
      <c r="H901" s="1112" t="s">
        <v>5</v>
      </c>
      <c r="I901" s="1112" t="s">
        <v>6</v>
      </c>
      <c r="J901" s="1112" t="s">
        <v>7</v>
      </c>
      <c r="K901" s="1112" t="s">
        <v>8</v>
      </c>
      <c r="L901" s="1112" t="s">
        <v>9</v>
      </c>
      <c r="M901" s="1112" t="s">
        <v>10</v>
      </c>
      <c r="N901" s="1112" t="s">
        <v>14</v>
      </c>
      <c r="O901" s="1077" t="s">
        <v>15</v>
      </c>
    </row>
    <row r="902" spans="2:15" s="3" customFormat="1" ht="15" customHeight="1" x14ac:dyDescent="0.35">
      <c r="B902" s="1080"/>
      <c r="C902" s="1145"/>
      <c r="D902" s="1145"/>
      <c r="E902" s="1145"/>
      <c r="F902" s="1145"/>
      <c r="G902" s="1145"/>
      <c r="H902" s="1145"/>
      <c r="I902" s="1145"/>
      <c r="J902" s="1145"/>
      <c r="K902" s="1145"/>
      <c r="L902" s="1145"/>
      <c r="M902" s="1145"/>
      <c r="N902" s="1145"/>
      <c r="O902" s="1088"/>
    </row>
    <row r="903" spans="2:15" s="3" customFormat="1" x14ac:dyDescent="0.35">
      <c r="B903" s="242"/>
      <c r="C903" s="1226"/>
      <c r="D903" s="1155"/>
      <c r="E903" s="1155"/>
      <c r="F903" s="1155"/>
      <c r="G903" s="1155"/>
      <c r="H903" s="1155"/>
      <c r="I903" s="1155"/>
      <c r="J903" s="1155"/>
      <c r="K903" s="1155"/>
      <c r="L903" s="1282"/>
      <c r="M903" s="1282"/>
      <c r="N903" s="1282"/>
      <c r="O903" s="243"/>
    </row>
    <row r="904" spans="2:15" s="3" customFormat="1" x14ac:dyDescent="0.35">
      <c r="B904" s="1283" t="s">
        <v>47</v>
      </c>
      <c r="C904" s="244">
        <f>SUM(C906:C926)</f>
        <v>0</v>
      </c>
      <c r="D904" s="244">
        <f>SUM(D906:D926)</f>
        <v>27.7</v>
      </c>
      <c r="E904" s="244">
        <f t="shared" ref="E904:M904" si="172">SUM(E906:E926)</f>
        <v>0</v>
      </c>
      <c r="F904" s="244">
        <f t="shared" si="172"/>
        <v>10.999000000000001</v>
      </c>
      <c r="G904" s="244">
        <f t="shared" si="172"/>
        <v>0</v>
      </c>
      <c r="H904" s="244">
        <f t="shared" si="172"/>
        <v>0</v>
      </c>
      <c r="I904" s="244">
        <f t="shared" si="172"/>
        <v>0</v>
      </c>
      <c r="J904" s="244">
        <f t="shared" si="172"/>
        <v>0</v>
      </c>
      <c r="K904" s="244">
        <f t="shared" si="172"/>
        <v>0</v>
      </c>
      <c r="L904" s="244">
        <f t="shared" si="172"/>
        <v>0</v>
      </c>
      <c r="M904" s="244">
        <f t="shared" si="172"/>
        <v>0</v>
      </c>
      <c r="N904" s="244">
        <f>SUM(N906:N926)</f>
        <v>0</v>
      </c>
      <c r="O904" s="112">
        <f t="shared" ref="O904:O930" si="173">SUM(C904:N904)</f>
        <v>38.698999999999998</v>
      </c>
    </row>
    <row r="905" spans="2:15" s="3" customFormat="1" x14ac:dyDescent="0.35">
      <c r="B905" s="1283"/>
      <c r="C905" s="244"/>
      <c r="D905" s="897"/>
      <c r="E905" s="897"/>
      <c r="F905" s="897"/>
      <c r="G905" s="897"/>
      <c r="H905" s="897"/>
      <c r="I905" s="897"/>
      <c r="J905" s="897"/>
      <c r="K905" s="897"/>
      <c r="L905" s="897"/>
      <c r="M905" s="897"/>
      <c r="N905" s="897"/>
      <c r="O905" s="136">
        <f t="shared" si="173"/>
        <v>0</v>
      </c>
    </row>
    <row r="906" spans="2:15" s="3" customFormat="1" x14ac:dyDescent="0.35">
      <c r="B906" s="43" t="s">
        <v>146</v>
      </c>
      <c r="C906" s="1280">
        <v>0</v>
      </c>
      <c r="D906" s="1280">
        <v>0</v>
      </c>
      <c r="E906" s="1280">
        <v>0</v>
      </c>
      <c r="F906" s="129">
        <v>0</v>
      </c>
      <c r="G906" s="129"/>
      <c r="H906" s="129"/>
      <c r="I906" s="129"/>
      <c r="J906" s="129"/>
      <c r="K906" s="129"/>
      <c r="L906" s="129"/>
      <c r="M906" s="129"/>
      <c r="N906" s="129"/>
      <c r="O906" s="248">
        <f t="shared" si="173"/>
        <v>0</v>
      </c>
    </row>
    <row r="907" spans="2:15" s="3" customFormat="1" x14ac:dyDescent="0.35">
      <c r="B907" s="43" t="s">
        <v>88</v>
      </c>
      <c r="C907" s="1280">
        <v>0</v>
      </c>
      <c r="D907" s="129">
        <v>0</v>
      </c>
      <c r="E907" s="1280">
        <v>0</v>
      </c>
      <c r="F907" s="129">
        <v>0</v>
      </c>
      <c r="G907" s="129"/>
      <c r="H907" s="129"/>
      <c r="I907" s="129"/>
      <c r="J907" s="129"/>
      <c r="K907" s="129"/>
      <c r="L907" s="129"/>
      <c r="M907" s="129"/>
      <c r="N907" s="129"/>
      <c r="O907" s="248">
        <f t="shared" si="173"/>
        <v>0</v>
      </c>
    </row>
    <row r="908" spans="2:15" s="3" customFormat="1" x14ac:dyDescent="0.35">
      <c r="B908" s="43" t="s">
        <v>493</v>
      </c>
      <c r="C908" s="1280">
        <v>0</v>
      </c>
      <c r="D908" s="129">
        <v>0</v>
      </c>
      <c r="E908" s="1280">
        <v>0</v>
      </c>
      <c r="F908" s="129">
        <v>0</v>
      </c>
      <c r="G908" s="129"/>
      <c r="H908" s="129"/>
      <c r="I908" s="129"/>
      <c r="J908" s="129"/>
      <c r="K908" s="129"/>
      <c r="L908" s="129"/>
      <c r="M908" s="129"/>
      <c r="N908" s="129"/>
      <c r="O908" s="248">
        <f t="shared" si="173"/>
        <v>0</v>
      </c>
    </row>
    <row r="909" spans="2:15" s="3" customFormat="1" x14ac:dyDescent="0.35">
      <c r="B909" s="43" t="s">
        <v>83</v>
      </c>
      <c r="C909" s="1280">
        <v>0</v>
      </c>
      <c r="D909" s="129">
        <v>0</v>
      </c>
      <c r="E909" s="1280">
        <v>0</v>
      </c>
      <c r="F909" s="129">
        <v>0</v>
      </c>
      <c r="G909" s="129"/>
      <c r="H909" s="129"/>
      <c r="I909" s="129"/>
      <c r="J909" s="129"/>
      <c r="K909" s="129"/>
      <c r="L909" s="129"/>
      <c r="M909" s="129"/>
      <c r="N909" s="129"/>
      <c r="O909" s="248">
        <f t="shared" si="173"/>
        <v>0</v>
      </c>
    </row>
    <row r="910" spans="2:15" s="3" customFormat="1" x14ac:dyDescent="0.35">
      <c r="B910" s="43" t="s">
        <v>117</v>
      </c>
      <c r="C910" s="1280">
        <v>0</v>
      </c>
      <c r="D910" s="129">
        <v>0</v>
      </c>
      <c r="E910" s="1280">
        <v>0</v>
      </c>
      <c r="F910" s="129">
        <v>0</v>
      </c>
      <c r="G910" s="129"/>
      <c r="H910" s="129"/>
      <c r="I910" s="129"/>
      <c r="J910" s="129"/>
      <c r="K910" s="129"/>
      <c r="L910" s="129"/>
      <c r="M910" s="129"/>
      <c r="N910" s="129"/>
      <c r="O910" s="248">
        <f t="shared" si="173"/>
        <v>0</v>
      </c>
    </row>
    <row r="911" spans="2:15" s="3" customFormat="1" x14ac:dyDescent="0.35">
      <c r="B911" s="43" t="s">
        <v>477</v>
      </c>
      <c r="C911" s="1280">
        <v>0</v>
      </c>
      <c r="D911" s="129">
        <v>0</v>
      </c>
      <c r="E911" s="1280">
        <v>0</v>
      </c>
      <c r="F911" s="129">
        <v>0</v>
      </c>
      <c r="G911" s="129"/>
      <c r="H911" s="129"/>
      <c r="I911" s="129"/>
      <c r="J911" s="129"/>
      <c r="K911" s="129"/>
      <c r="L911" s="129"/>
      <c r="M911" s="129"/>
      <c r="N911" s="129"/>
      <c r="O911" s="248">
        <f t="shared" si="173"/>
        <v>0</v>
      </c>
    </row>
    <row r="912" spans="2:15" s="3" customFormat="1" x14ac:dyDescent="0.35">
      <c r="B912" s="43" t="s">
        <v>264</v>
      </c>
      <c r="C912" s="1280">
        <v>0</v>
      </c>
      <c r="D912" s="129">
        <v>0</v>
      </c>
      <c r="E912" s="1280">
        <v>0</v>
      </c>
      <c r="F912" s="129">
        <v>0</v>
      </c>
      <c r="G912" s="129"/>
      <c r="H912" s="129"/>
      <c r="I912" s="129"/>
      <c r="J912" s="129"/>
      <c r="K912" s="129"/>
      <c r="L912" s="129"/>
      <c r="M912" s="129"/>
      <c r="N912" s="129"/>
      <c r="O912" s="248">
        <f t="shared" si="173"/>
        <v>0</v>
      </c>
    </row>
    <row r="913" spans="2:15" s="3" customFormat="1" x14ac:dyDescent="0.35">
      <c r="B913" s="43" t="s">
        <v>312</v>
      </c>
      <c r="C913" s="1280">
        <v>0</v>
      </c>
      <c r="D913" s="129">
        <v>0</v>
      </c>
      <c r="E913" s="1280">
        <v>0</v>
      </c>
      <c r="F913" s="129">
        <v>0</v>
      </c>
      <c r="G913" s="129"/>
      <c r="H913" s="129"/>
      <c r="I913" s="129"/>
      <c r="J913" s="129"/>
      <c r="K913" s="129"/>
      <c r="L913" s="129"/>
      <c r="M913" s="129"/>
      <c r="N913" s="129"/>
      <c r="O913" s="248">
        <f t="shared" si="173"/>
        <v>0</v>
      </c>
    </row>
    <row r="914" spans="2:15" s="3" customFormat="1" x14ac:dyDescent="0.35">
      <c r="B914" s="43" t="s">
        <v>478</v>
      </c>
      <c r="C914" s="1280">
        <v>0</v>
      </c>
      <c r="D914" s="129">
        <v>0</v>
      </c>
      <c r="E914" s="1280">
        <v>0</v>
      </c>
      <c r="F914" s="129">
        <v>0</v>
      </c>
      <c r="G914" s="129"/>
      <c r="H914" s="129"/>
      <c r="I914" s="129"/>
      <c r="J914" s="129"/>
      <c r="K914" s="129"/>
      <c r="L914" s="129"/>
      <c r="M914" s="129"/>
      <c r="N914" s="129"/>
      <c r="O914" s="248">
        <f t="shared" si="173"/>
        <v>0</v>
      </c>
    </row>
    <row r="915" spans="2:15" s="3" customFormat="1" x14ac:dyDescent="0.35">
      <c r="B915" s="43" t="s">
        <v>266</v>
      </c>
      <c r="C915" s="1280">
        <v>0</v>
      </c>
      <c r="D915" s="129">
        <v>0</v>
      </c>
      <c r="E915" s="1280">
        <v>0</v>
      </c>
      <c r="F915" s="129">
        <v>0</v>
      </c>
      <c r="G915" s="129"/>
      <c r="H915" s="129"/>
      <c r="I915" s="129"/>
      <c r="J915" s="129"/>
      <c r="K915" s="129"/>
      <c r="L915" s="129"/>
      <c r="M915" s="129"/>
      <c r="N915" s="129"/>
      <c r="O915" s="248">
        <f t="shared" si="173"/>
        <v>0</v>
      </c>
    </row>
    <row r="916" spans="2:15" s="3" customFormat="1" x14ac:dyDescent="0.35">
      <c r="B916" s="43" t="s">
        <v>479</v>
      </c>
      <c r="C916" s="1280">
        <v>0</v>
      </c>
      <c r="D916" s="129">
        <v>0</v>
      </c>
      <c r="E916" s="1280">
        <v>0</v>
      </c>
      <c r="F916" s="129">
        <v>0</v>
      </c>
      <c r="G916" s="129"/>
      <c r="H916" s="129"/>
      <c r="I916" s="129"/>
      <c r="J916" s="129"/>
      <c r="K916" s="129"/>
      <c r="L916" s="129"/>
      <c r="M916" s="129"/>
      <c r="N916" s="129"/>
      <c r="O916" s="248">
        <f t="shared" si="173"/>
        <v>0</v>
      </c>
    </row>
    <row r="917" spans="2:15" s="3" customFormat="1" x14ac:dyDescent="0.35">
      <c r="B917" s="899" t="s">
        <v>311</v>
      </c>
      <c r="C917" s="1280">
        <v>0</v>
      </c>
      <c r="D917" s="129">
        <v>0</v>
      </c>
      <c r="E917" s="1280">
        <v>0</v>
      </c>
      <c r="F917" s="129">
        <v>0</v>
      </c>
      <c r="G917" s="129"/>
      <c r="H917" s="129"/>
      <c r="I917" s="129"/>
      <c r="J917" s="129"/>
      <c r="K917" s="129"/>
      <c r="L917" s="129"/>
      <c r="M917" s="129"/>
      <c r="N917" s="129"/>
      <c r="O917" s="248">
        <f t="shared" si="173"/>
        <v>0</v>
      </c>
    </row>
    <row r="918" spans="2:15" s="3" customFormat="1" x14ac:dyDescent="0.35">
      <c r="B918" s="43" t="s">
        <v>310</v>
      </c>
      <c r="C918" s="1280">
        <v>0</v>
      </c>
      <c r="D918" s="129">
        <v>0</v>
      </c>
      <c r="E918" s="1280">
        <v>0</v>
      </c>
      <c r="F918" s="129">
        <v>0</v>
      </c>
      <c r="G918" s="129"/>
      <c r="H918" s="129"/>
      <c r="I918" s="129"/>
      <c r="J918" s="129"/>
      <c r="K918" s="129"/>
      <c r="L918" s="129"/>
      <c r="M918" s="129"/>
      <c r="N918" s="129"/>
      <c r="O918" s="248">
        <f t="shared" si="173"/>
        <v>0</v>
      </c>
    </row>
    <row r="919" spans="2:15" s="3" customFormat="1" x14ac:dyDescent="0.35">
      <c r="B919" s="43" t="s">
        <v>309</v>
      </c>
      <c r="C919" s="1280">
        <v>0</v>
      </c>
      <c r="D919" s="129">
        <v>0</v>
      </c>
      <c r="E919" s="1280">
        <v>0</v>
      </c>
      <c r="F919" s="129">
        <v>0</v>
      </c>
      <c r="G919" s="129"/>
      <c r="H919" s="129"/>
      <c r="I919" s="129"/>
      <c r="J919" s="129"/>
      <c r="K919" s="129"/>
      <c r="L919" s="129"/>
      <c r="M919" s="129"/>
      <c r="N919" s="129"/>
      <c r="O919" s="248">
        <f t="shared" si="173"/>
        <v>0</v>
      </c>
    </row>
    <row r="920" spans="2:15" s="3" customFormat="1" x14ac:dyDescent="0.35">
      <c r="B920" s="43" t="s">
        <v>480</v>
      </c>
      <c r="C920" s="1280">
        <v>0</v>
      </c>
      <c r="D920" s="129">
        <v>0</v>
      </c>
      <c r="E920" s="1280">
        <v>0</v>
      </c>
      <c r="F920" s="129">
        <v>0</v>
      </c>
      <c r="G920" s="129"/>
      <c r="H920" s="129"/>
      <c r="I920" s="129"/>
      <c r="J920" s="129"/>
      <c r="K920" s="129"/>
      <c r="L920" s="129"/>
      <c r="M920" s="129"/>
      <c r="N920" s="129"/>
      <c r="O920" s="248">
        <f t="shared" si="173"/>
        <v>0</v>
      </c>
    </row>
    <row r="921" spans="2:15" s="3" customFormat="1" x14ac:dyDescent="0.35">
      <c r="B921" s="43" t="s">
        <v>308</v>
      </c>
      <c r="C921" s="1280">
        <v>0</v>
      </c>
      <c r="D921" s="129">
        <v>0</v>
      </c>
      <c r="E921" s="1280">
        <v>0</v>
      </c>
      <c r="F921" s="129">
        <v>0</v>
      </c>
      <c r="G921" s="129"/>
      <c r="H921" s="129"/>
      <c r="I921" s="129"/>
      <c r="J921" s="129"/>
      <c r="K921" s="129"/>
      <c r="L921" s="129"/>
      <c r="M921" s="129"/>
      <c r="N921" s="129"/>
      <c r="O921" s="248">
        <f t="shared" si="173"/>
        <v>0</v>
      </c>
    </row>
    <row r="922" spans="2:15" s="3" customFormat="1" x14ac:dyDescent="0.35">
      <c r="B922" s="43" t="s">
        <v>265</v>
      </c>
      <c r="C922" s="1280">
        <v>0</v>
      </c>
      <c r="D922" s="129">
        <v>0</v>
      </c>
      <c r="E922" s="1280">
        <v>0</v>
      </c>
      <c r="F922" s="129">
        <v>0</v>
      </c>
      <c r="G922" s="129"/>
      <c r="H922" s="129"/>
      <c r="I922" s="129"/>
      <c r="J922" s="129"/>
      <c r="K922" s="129"/>
      <c r="L922" s="129"/>
      <c r="M922" s="129"/>
      <c r="N922" s="129"/>
      <c r="O922" s="248">
        <f t="shared" si="173"/>
        <v>0</v>
      </c>
    </row>
    <row r="923" spans="2:15" s="3" customFormat="1" x14ac:dyDescent="0.35">
      <c r="B923" s="43" t="s">
        <v>77</v>
      </c>
      <c r="C923" s="1280">
        <v>0</v>
      </c>
      <c r="D923" s="129">
        <v>0</v>
      </c>
      <c r="E923" s="1280">
        <v>0</v>
      </c>
      <c r="F923" s="129">
        <v>0</v>
      </c>
      <c r="G923" s="129"/>
      <c r="H923" s="129"/>
      <c r="I923" s="129"/>
      <c r="J923" s="129"/>
      <c r="K923" s="129"/>
      <c r="L923" s="129"/>
      <c r="M923" s="129"/>
      <c r="N923" s="129"/>
      <c r="O923" s="248">
        <f t="shared" si="173"/>
        <v>0</v>
      </c>
    </row>
    <row r="924" spans="2:15" s="3" customFormat="1" x14ac:dyDescent="0.35">
      <c r="B924" s="1296" t="s">
        <v>263</v>
      </c>
      <c r="C924" s="1280">
        <v>0</v>
      </c>
      <c r="D924" s="129">
        <v>0</v>
      </c>
      <c r="E924" s="1280">
        <v>0</v>
      </c>
      <c r="F924" s="129">
        <v>0</v>
      </c>
      <c r="G924" s="129"/>
      <c r="H924" s="129"/>
      <c r="I924" s="129"/>
      <c r="J924" s="129"/>
      <c r="K924" s="129"/>
      <c r="L924" s="129"/>
      <c r="M924" s="129"/>
      <c r="N924" s="129"/>
      <c r="O924" s="248">
        <f t="shared" si="173"/>
        <v>0</v>
      </c>
    </row>
    <row r="925" spans="2:15" s="3" customFormat="1" x14ac:dyDescent="0.35">
      <c r="B925" s="43" t="s">
        <v>115</v>
      </c>
      <c r="C925" s="1280">
        <v>0</v>
      </c>
      <c r="D925" s="129">
        <v>0</v>
      </c>
      <c r="E925" s="1280">
        <v>0</v>
      </c>
      <c r="F925" s="129">
        <v>0</v>
      </c>
      <c r="G925" s="129"/>
      <c r="H925" s="129"/>
      <c r="I925" s="129"/>
      <c r="J925" s="129"/>
      <c r="K925" s="129"/>
      <c r="L925" s="129"/>
      <c r="M925" s="129"/>
      <c r="N925" s="129"/>
      <c r="O925" s="248">
        <f t="shared" si="173"/>
        <v>0</v>
      </c>
    </row>
    <row r="926" spans="2:15" s="3" customFormat="1" x14ac:dyDescent="0.35">
      <c r="B926" s="1287" t="s">
        <v>91</v>
      </c>
      <c r="C926" s="246">
        <v>0</v>
      </c>
      <c r="D926" s="1280">
        <v>27.7</v>
      </c>
      <c r="E926" s="246">
        <v>0</v>
      </c>
      <c r="F926" s="129">
        <v>10.999000000000001</v>
      </c>
      <c r="G926" s="1280"/>
      <c r="H926" s="129"/>
      <c r="I926" s="129"/>
      <c r="J926" s="129"/>
      <c r="K926" s="129"/>
      <c r="L926" s="129"/>
      <c r="M926" s="129"/>
      <c r="N926" s="129"/>
      <c r="O926" s="248">
        <f t="shared" si="173"/>
        <v>38.698999999999998</v>
      </c>
    </row>
    <row r="927" spans="2:15" s="3" customFormat="1" x14ac:dyDescent="0.35">
      <c r="B927" s="43"/>
      <c r="C927" s="1297"/>
      <c r="D927" s="246"/>
      <c r="E927" s="1297"/>
      <c r="F927" s="246"/>
      <c r="G927" s="246"/>
      <c r="H927" s="246"/>
      <c r="I927" s="246"/>
      <c r="J927" s="246"/>
      <c r="K927" s="246"/>
      <c r="L927" s="246"/>
      <c r="M927" s="246"/>
      <c r="N927" s="246"/>
      <c r="O927" s="248">
        <f t="shared" si="173"/>
        <v>0</v>
      </c>
    </row>
    <row r="928" spans="2:15" s="3" customFormat="1" x14ac:dyDescent="0.35">
      <c r="B928" s="1288" t="s">
        <v>149</v>
      </c>
      <c r="C928" s="1289">
        <v>0</v>
      </c>
      <c r="D928" s="1289">
        <v>0</v>
      </c>
      <c r="E928" s="1289">
        <v>0</v>
      </c>
      <c r="F928" s="1289">
        <v>0</v>
      </c>
      <c r="G928" s="1289"/>
      <c r="H928" s="1289"/>
      <c r="I928" s="1289"/>
      <c r="J928" s="1289"/>
      <c r="K928" s="1289"/>
      <c r="L928" s="1289"/>
      <c r="M928" s="1289"/>
      <c r="N928" s="1289"/>
      <c r="O928" s="429">
        <f t="shared" si="173"/>
        <v>0</v>
      </c>
    </row>
    <row r="929" spans="2:15" s="3" customFormat="1" x14ac:dyDescent="0.35">
      <c r="B929" s="1288" t="s">
        <v>150</v>
      </c>
      <c r="C929" s="1289">
        <v>0</v>
      </c>
      <c r="D929" s="1289">
        <v>27.7</v>
      </c>
      <c r="E929" s="1289">
        <v>0</v>
      </c>
      <c r="F929" s="1289">
        <v>10.999000000000001</v>
      </c>
      <c r="G929" s="1289"/>
      <c r="H929" s="1289"/>
      <c r="I929" s="1289"/>
      <c r="J929" s="1289"/>
      <c r="K929" s="1289"/>
      <c r="L929" s="1289"/>
      <c r="M929" s="1289"/>
      <c r="N929" s="1289"/>
      <c r="O929" s="429">
        <f t="shared" si="173"/>
        <v>38.698999999999998</v>
      </c>
    </row>
    <row r="930" spans="2:15" s="3" customFormat="1" x14ac:dyDescent="0.35">
      <c r="B930" s="1288" t="s">
        <v>151</v>
      </c>
      <c r="C930" s="1289">
        <v>0</v>
      </c>
      <c r="D930" s="1289">
        <v>0</v>
      </c>
      <c r="E930" s="1289">
        <v>0</v>
      </c>
      <c r="F930" s="1289">
        <v>0</v>
      </c>
      <c r="G930" s="1289"/>
      <c r="H930" s="1289"/>
      <c r="I930" s="1289"/>
      <c r="J930" s="1289"/>
      <c r="K930" s="1289"/>
      <c r="L930" s="1289"/>
      <c r="M930" s="1289"/>
      <c r="N930" s="1289"/>
      <c r="O930" s="429">
        <f t="shared" si="173"/>
        <v>0</v>
      </c>
    </row>
    <row r="931" spans="2:15" s="3" customFormat="1" x14ac:dyDescent="0.35">
      <c r="B931" s="44"/>
      <c r="C931" s="256"/>
      <c r="D931" s="256"/>
      <c r="E931" s="256"/>
      <c r="F931" s="256"/>
      <c r="G931" s="256"/>
      <c r="H931" s="256"/>
      <c r="I931" s="256"/>
      <c r="J931" s="256"/>
      <c r="K931" s="256"/>
      <c r="L931" s="256"/>
      <c r="M931" s="256"/>
      <c r="N931" s="256"/>
      <c r="O931" s="248"/>
    </row>
    <row r="932" spans="2:15" s="3" customFormat="1" x14ac:dyDescent="0.35">
      <c r="B932" s="1283" t="s">
        <v>56</v>
      </c>
      <c r="C932" s="111">
        <f>SUM(C934:C935)</f>
        <v>0</v>
      </c>
      <c r="D932" s="111">
        <f>SUM(D934:D935)</f>
        <v>0</v>
      </c>
      <c r="E932" s="111">
        <f t="shared" ref="E932:M932" si="174">SUM(E934:E935)</f>
        <v>0</v>
      </c>
      <c r="F932" s="111">
        <f t="shared" si="174"/>
        <v>0</v>
      </c>
      <c r="G932" s="111">
        <f t="shared" si="174"/>
        <v>0</v>
      </c>
      <c r="H932" s="111">
        <f t="shared" si="174"/>
        <v>0</v>
      </c>
      <c r="I932" s="111">
        <f t="shared" si="174"/>
        <v>0</v>
      </c>
      <c r="J932" s="111">
        <f t="shared" si="174"/>
        <v>0</v>
      </c>
      <c r="K932" s="111">
        <f t="shared" si="174"/>
        <v>0</v>
      </c>
      <c r="L932" s="111">
        <f t="shared" si="174"/>
        <v>0</v>
      </c>
      <c r="M932" s="111">
        <f t="shared" si="174"/>
        <v>0</v>
      </c>
      <c r="N932" s="111">
        <f>SUM(N934:N935)</f>
        <v>0</v>
      </c>
      <c r="O932" s="112">
        <f>SUM(C932:N932)</f>
        <v>0</v>
      </c>
    </row>
    <row r="933" spans="2:15" s="3" customFormat="1" x14ac:dyDescent="0.35">
      <c r="B933" s="1283"/>
      <c r="C933" s="256"/>
      <c r="D933" s="111"/>
      <c r="E933" s="111"/>
      <c r="F933" s="111"/>
      <c r="G933" s="111"/>
      <c r="H933" s="111"/>
      <c r="I933" s="111"/>
      <c r="J933" s="111"/>
      <c r="K933" s="111"/>
      <c r="L933" s="111"/>
      <c r="M933" s="111"/>
      <c r="N933" s="111"/>
      <c r="O933" s="112"/>
    </row>
    <row r="934" spans="2:15" s="3" customFormat="1" x14ac:dyDescent="0.35">
      <c r="B934" s="43"/>
      <c r="C934" s="256"/>
      <c r="D934" s="256"/>
      <c r="E934" s="256"/>
      <c r="F934" s="256"/>
      <c r="G934" s="129"/>
      <c r="H934" s="129"/>
      <c r="I934" s="129"/>
      <c r="J934" s="129"/>
      <c r="K934" s="129"/>
      <c r="L934" s="129"/>
      <c r="M934" s="129"/>
      <c r="N934" s="129"/>
      <c r="O934" s="248">
        <f>SUM(C934:N934)</f>
        <v>0</v>
      </c>
    </row>
    <row r="935" spans="2:15" s="3" customFormat="1" x14ac:dyDescent="0.35">
      <c r="B935" s="1287" t="s">
        <v>91</v>
      </c>
      <c r="C935" s="1280">
        <v>0</v>
      </c>
      <c r="D935" s="1280">
        <v>0</v>
      </c>
      <c r="E935" s="1280">
        <v>0</v>
      </c>
      <c r="F935" s="1280">
        <v>0</v>
      </c>
      <c r="G935" s="1280"/>
      <c r="H935" s="256"/>
      <c r="I935" s="256"/>
      <c r="J935" s="256"/>
      <c r="K935" s="256"/>
      <c r="L935" s="256"/>
      <c r="M935" s="256"/>
      <c r="N935" s="256"/>
      <c r="O935" s="248">
        <f>SUM(C935:N935)</f>
        <v>0</v>
      </c>
    </row>
    <row r="936" spans="2:15" s="3" customFormat="1" x14ac:dyDescent="0.35">
      <c r="B936" s="43"/>
      <c r="C936" s="256"/>
      <c r="D936" s="256"/>
      <c r="E936" s="256"/>
      <c r="F936" s="256"/>
      <c r="G936" s="256"/>
      <c r="H936" s="256"/>
      <c r="I936" s="256"/>
      <c r="J936" s="256"/>
      <c r="K936" s="256"/>
      <c r="L936" s="256"/>
      <c r="M936" s="256"/>
      <c r="N936" s="256"/>
      <c r="O936" s="248"/>
    </row>
    <row r="937" spans="2:15" s="3" customFormat="1" x14ac:dyDescent="0.35">
      <c r="B937" s="1288" t="s">
        <v>149</v>
      </c>
      <c r="C937" s="1289">
        <v>0</v>
      </c>
      <c r="D937" s="1289">
        <v>0</v>
      </c>
      <c r="E937" s="1289">
        <v>0</v>
      </c>
      <c r="F937" s="1289">
        <v>0</v>
      </c>
      <c r="G937" s="1289"/>
      <c r="H937" s="1289"/>
      <c r="I937" s="1289"/>
      <c r="J937" s="1289"/>
      <c r="K937" s="1289"/>
      <c r="L937" s="1289"/>
      <c r="M937" s="1289"/>
      <c r="N937" s="1289"/>
      <c r="O937" s="429">
        <f>SUM(C937:N937)</f>
        <v>0</v>
      </c>
    </row>
    <row r="938" spans="2:15" s="3" customFormat="1" x14ac:dyDescent="0.35">
      <c r="B938" s="1288" t="s">
        <v>150</v>
      </c>
      <c r="C938" s="1289">
        <v>0</v>
      </c>
      <c r="D938" s="1289">
        <v>0</v>
      </c>
      <c r="E938" s="1289">
        <v>0</v>
      </c>
      <c r="F938" s="1289">
        <v>0</v>
      </c>
      <c r="G938" s="1289"/>
      <c r="H938" s="1289"/>
      <c r="I938" s="1289"/>
      <c r="J938" s="1289"/>
      <c r="K938" s="1289"/>
      <c r="L938" s="1289"/>
      <c r="M938" s="1289"/>
      <c r="N938" s="1289"/>
      <c r="O938" s="429">
        <f>SUM(C938:N938)</f>
        <v>0</v>
      </c>
    </row>
    <row r="939" spans="2:15" s="3" customFormat="1" x14ac:dyDescent="0.35">
      <c r="B939" s="1288" t="s">
        <v>151</v>
      </c>
      <c r="C939" s="1289">
        <v>0</v>
      </c>
      <c r="D939" s="1289">
        <v>0</v>
      </c>
      <c r="E939" s="1289">
        <v>0</v>
      </c>
      <c r="F939" s="1289">
        <v>0</v>
      </c>
      <c r="G939" s="1289"/>
      <c r="H939" s="1289"/>
      <c r="I939" s="1289"/>
      <c r="J939" s="1289"/>
      <c r="K939" s="1289"/>
      <c r="L939" s="1289"/>
      <c r="M939" s="1289"/>
      <c r="N939" s="1289"/>
      <c r="O939" s="429">
        <f>SUM(C939:N939)</f>
        <v>0</v>
      </c>
    </row>
    <row r="940" spans="2:15" s="3" customFormat="1" x14ac:dyDescent="0.35">
      <c r="B940" s="44"/>
      <c r="C940" s="256"/>
      <c r="D940" s="256"/>
      <c r="E940" s="256"/>
      <c r="F940" s="256"/>
      <c r="G940" s="256"/>
      <c r="H940" s="1298"/>
      <c r="I940" s="256"/>
      <c r="J940" s="256"/>
      <c r="K940" s="256"/>
      <c r="L940" s="256"/>
      <c r="M940" s="256"/>
      <c r="N940" s="256"/>
      <c r="O940" s="138"/>
    </row>
    <row r="941" spans="2:15" s="3" customFormat="1" x14ac:dyDescent="0.35">
      <c r="B941" s="432" t="s">
        <v>36</v>
      </c>
      <c r="C941" s="1156">
        <f>C904+C932</f>
        <v>0</v>
      </c>
      <c r="D941" s="1156">
        <f>D904+D932</f>
        <v>27.7</v>
      </c>
      <c r="E941" s="1156">
        <f>E904+E932</f>
        <v>0</v>
      </c>
      <c r="F941" s="1156">
        <f>F904+F932</f>
        <v>10.999000000000001</v>
      </c>
      <c r="G941" s="1156">
        <f t="shared" ref="G941:L941" si="175">G904+G932</f>
        <v>0</v>
      </c>
      <c r="H941" s="1156">
        <f t="shared" si="175"/>
        <v>0</v>
      </c>
      <c r="I941" s="1156">
        <f t="shared" si="175"/>
        <v>0</v>
      </c>
      <c r="J941" s="1156">
        <f t="shared" si="175"/>
        <v>0</v>
      </c>
      <c r="K941" s="1156">
        <f t="shared" si="175"/>
        <v>0</v>
      </c>
      <c r="L941" s="1156">
        <f t="shared" si="175"/>
        <v>0</v>
      </c>
      <c r="M941" s="1156">
        <f>M904+M932</f>
        <v>0</v>
      </c>
      <c r="N941" s="1156">
        <f>N904+N932</f>
        <v>0</v>
      </c>
      <c r="O941" s="1292">
        <f>SUM(C941:N941)</f>
        <v>38.698999999999998</v>
      </c>
    </row>
    <row r="942" spans="2:15" s="3" customFormat="1" x14ac:dyDescent="0.35">
      <c r="B942" s="260"/>
      <c r="C942" s="261"/>
      <c r="D942" s="261"/>
      <c r="E942" s="261"/>
      <c r="F942" s="261"/>
      <c r="G942" s="261"/>
      <c r="H942" s="261"/>
      <c r="I942" s="261"/>
      <c r="J942" s="261"/>
      <c r="K942" s="261"/>
      <c r="L942" s="261"/>
      <c r="M942" s="261"/>
      <c r="N942" s="261"/>
      <c r="O942" s="262"/>
    </row>
    <row r="943" spans="2:15" s="3" customFormat="1" x14ac:dyDescent="0.35">
      <c r="B943" s="1068" t="s">
        <v>163</v>
      </c>
      <c r="C943" s="1068"/>
      <c r="D943" s="1068"/>
      <c r="E943" s="1068"/>
      <c r="F943" s="1068"/>
      <c r="G943" s="1068"/>
      <c r="H943" s="1068"/>
      <c r="I943" s="1068"/>
      <c r="J943" s="1068"/>
      <c r="K943" s="1068"/>
      <c r="L943" s="1068"/>
      <c r="M943" s="1068"/>
      <c r="N943" s="1068"/>
      <c r="O943" s="1068"/>
    </row>
    <row r="944" spans="2:15" s="3" customFormat="1" x14ac:dyDescent="0.35">
      <c r="B944" s="173"/>
      <c r="C944" s="267"/>
      <c r="D944" s="267"/>
      <c r="E944" s="267"/>
      <c r="F944" s="267"/>
      <c r="G944" s="267"/>
      <c r="H944" s="267"/>
      <c r="I944" s="267"/>
      <c r="J944" s="267"/>
      <c r="K944" s="267"/>
      <c r="L944" s="267"/>
      <c r="M944" s="267"/>
      <c r="N944" s="267"/>
      <c r="O944" s="1171"/>
    </row>
    <row r="945" spans="2:15" s="3" customFormat="1" ht="15" customHeight="1" x14ac:dyDescent="0.35">
      <c r="B945" s="1074" t="s">
        <v>13</v>
      </c>
      <c r="C945" s="1112" t="s">
        <v>0</v>
      </c>
      <c r="D945" s="1112" t="s">
        <v>1</v>
      </c>
      <c r="E945" s="1112" t="s">
        <v>2</v>
      </c>
      <c r="F945" s="1112" t="s">
        <v>3</v>
      </c>
      <c r="G945" s="1112" t="s">
        <v>4</v>
      </c>
      <c r="H945" s="1112" t="s">
        <v>5</v>
      </c>
      <c r="I945" s="1112" t="s">
        <v>6</v>
      </c>
      <c r="J945" s="1112" t="s">
        <v>7</v>
      </c>
      <c r="K945" s="1112" t="s">
        <v>8</v>
      </c>
      <c r="L945" s="1112" t="s">
        <v>9</v>
      </c>
      <c r="M945" s="1112" t="s">
        <v>10</v>
      </c>
      <c r="N945" s="1112" t="s">
        <v>14</v>
      </c>
      <c r="O945" s="1077" t="s">
        <v>15</v>
      </c>
    </row>
    <row r="946" spans="2:15" s="3" customFormat="1" ht="15" customHeight="1" x14ac:dyDescent="0.35">
      <c r="B946" s="1080"/>
      <c r="C946" s="1299"/>
      <c r="D946" s="1145"/>
      <c r="E946" s="1145"/>
      <c r="F946" s="1145"/>
      <c r="G946" s="1145"/>
      <c r="H946" s="1145"/>
      <c r="I946" s="1145"/>
      <c r="J946" s="1145"/>
      <c r="K946" s="1145"/>
      <c r="L946" s="1145"/>
      <c r="M946" s="1145"/>
      <c r="N946" s="1145"/>
      <c r="O946" s="1088"/>
    </row>
    <row r="947" spans="2:15" s="3" customFormat="1" x14ac:dyDescent="0.35">
      <c r="B947" s="242"/>
      <c r="C947" s="1226"/>
      <c r="D947" s="1155"/>
      <c r="E947" s="1155"/>
      <c r="F947" s="1155"/>
      <c r="G947" s="1155"/>
      <c r="H947" s="1155"/>
      <c r="I947" s="1155"/>
      <c r="J947" s="1155"/>
      <c r="K947" s="1155"/>
      <c r="L947" s="1282"/>
      <c r="M947" s="1282"/>
      <c r="N947" s="1282"/>
      <c r="O947" s="243"/>
    </row>
    <row r="948" spans="2:15" s="3" customFormat="1" x14ac:dyDescent="0.35">
      <c r="B948" s="1294" t="s">
        <v>47</v>
      </c>
      <c r="C948" s="244">
        <f>SUM(C950:C970)</f>
        <v>4110.8719999999994</v>
      </c>
      <c r="D948" s="244">
        <f>SUM(D950:D970)</f>
        <v>11315.846999999998</v>
      </c>
      <c r="E948" s="244">
        <f t="shared" ref="E948:M948" si="176">SUM(E950:E970)</f>
        <v>2846.9659999999994</v>
      </c>
      <c r="F948" s="244">
        <f t="shared" si="176"/>
        <v>5263.3540000000012</v>
      </c>
      <c r="G948" s="244">
        <f t="shared" si="176"/>
        <v>0</v>
      </c>
      <c r="H948" s="244">
        <f t="shared" si="176"/>
        <v>0</v>
      </c>
      <c r="I948" s="244">
        <f t="shared" si="176"/>
        <v>0</v>
      </c>
      <c r="J948" s="244">
        <f t="shared" si="176"/>
        <v>0</v>
      </c>
      <c r="K948" s="244">
        <f t="shared" si="176"/>
        <v>0</v>
      </c>
      <c r="L948" s="244">
        <f t="shared" si="176"/>
        <v>0</v>
      </c>
      <c r="M948" s="244">
        <f t="shared" si="176"/>
        <v>0</v>
      </c>
      <c r="N948" s="244">
        <f>SUM(N950:N970)</f>
        <v>0</v>
      </c>
      <c r="O948" s="112">
        <f>SUM(C948:N948)</f>
        <v>23537.038999999997</v>
      </c>
    </row>
    <row r="949" spans="2:15" s="3" customFormat="1" x14ac:dyDescent="0.35">
      <c r="B949" s="1293"/>
      <c r="C949" s="244"/>
      <c r="D949" s="897"/>
      <c r="E949" s="897"/>
      <c r="F949" s="897"/>
      <c r="G949" s="897"/>
      <c r="H949" s="897"/>
      <c r="I949" s="897"/>
      <c r="J949" s="897"/>
      <c r="K949" s="897"/>
      <c r="L949" s="897"/>
      <c r="M949" s="897"/>
      <c r="N949" s="897"/>
      <c r="O949" s="136"/>
    </row>
    <row r="950" spans="2:15" s="3" customFormat="1" x14ac:dyDescent="0.35">
      <c r="B950" s="1287" t="s">
        <v>470</v>
      </c>
      <c r="C950" s="1280">
        <v>0</v>
      </c>
      <c r="D950" s="129">
        <v>0</v>
      </c>
      <c r="E950" s="129">
        <v>0</v>
      </c>
      <c r="F950" s="129">
        <v>0</v>
      </c>
      <c r="G950" s="129"/>
      <c r="H950" s="129"/>
      <c r="I950" s="129"/>
      <c r="J950" s="129"/>
      <c r="K950" s="129"/>
      <c r="L950" s="129"/>
      <c r="M950" s="129"/>
      <c r="N950" s="129"/>
      <c r="O950" s="248">
        <f t="shared" ref="O950:O974" si="177">SUM(C950:N950)</f>
        <v>0</v>
      </c>
    </row>
    <row r="951" spans="2:15" s="3" customFormat="1" x14ac:dyDescent="0.35">
      <c r="B951" s="1287" t="s">
        <v>267</v>
      </c>
      <c r="C951" s="1280">
        <v>1013.3139999999999</v>
      </c>
      <c r="D951" s="129">
        <v>927.30299999999988</v>
      </c>
      <c r="E951" s="129">
        <v>920.9079999999999</v>
      </c>
      <c r="F951" s="129">
        <v>1171.0679999999998</v>
      </c>
      <c r="G951" s="129"/>
      <c r="H951" s="129"/>
      <c r="I951" s="129"/>
      <c r="J951" s="129"/>
      <c r="K951" s="129"/>
      <c r="L951" s="129"/>
      <c r="M951" s="129"/>
      <c r="N951" s="129"/>
      <c r="O951" s="248">
        <f t="shared" si="177"/>
        <v>4032.5929999999994</v>
      </c>
    </row>
    <row r="952" spans="2:15" s="3" customFormat="1" x14ac:dyDescent="0.35">
      <c r="B952" s="1287" t="s">
        <v>85</v>
      </c>
      <c r="C952" s="1280">
        <v>0</v>
      </c>
      <c r="D952" s="129">
        <v>0</v>
      </c>
      <c r="E952" s="129">
        <v>0</v>
      </c>
      <c r="F952" s="129">
        <v>0</v>
      </c>
      <c r="G952" s="129"/>
      <c r="H952" s="129"/>
      <c r="I952" s="129"/>
      <c r="J952" s="129"/>
      <c r="K952" s="129"/>
      <c r="L952" s="129"/>
      <c r="M952" s="129"/>
      <c r="N952" s="129"/>
      <c r="O952" s="248">
        <f t="shared" si="177"/>
        <v>0</v>
      </c>
    </row>
    <row r="953" spans="2:15" s="3" customFormat="1" x14ac:dyDescent="0.35">
      <c r="B953" s="1287" t="s">
        <v>306</v>
      </c>
      <c r="C953" s="1280">
        <v>830.54799999999977</v>
      </c>
      <c r="D953" s="129">
        <v>233.55400000000003</v>
      </c>
      <c r="E953" s="129">
        <v>471.31400000000002</v>
      </c>
      <c r="F953" s="129">
        <v>647.84799999999996</v>
      </c>
      <c r="G953" s="129"/>
      <c r="H953" s="129"/>
      <c r="I953" s="129"/>
      <c r="J953" s="129"/>
      <c r="K953" s="129"/>
      <c r="L953" s="129"/>
      <c r="M953" s="129"/>
      <c r="N953" s="129"/>
      <c r="O953" s="248">
        <f t="shared" si="177"/>
        <v>2183.2640000000001</v>
      </c>
    </row>
    <row r="954" spans="2:15" s="3" customFormat="1" x14ac:dyDescent="0.35">
      <c r="B954" s="1287" t="s">
        <v>88</v>
      </c>
      <c r="C954" s="1280">
        <v>0</v>
      </c>
      <c r="D954" s="129">
        <v>168.5</v>
      </c>
      <c r="E954" s="129">
        <v>77.3</v>
      </c>
      <c r="F954" s="129">
        <v>225.2</v>
      </c>
      <c r="G954" s="129"/>
      <c r="H954" s="129"/>
      <c r="I954" s="129"/>
      <c r="J954" s="129"/>
      <c r="K954" s="129"/>
      <c r="L954" s="129"/>
      <c r="M954" s="129"/>
      <c r="N954" s="129"/>
      <c r="O954" s="248">
        <f t="shared" si="177"/>
        <v>471</v>
      </c>
    </row>
    <row r="955" spans="2:15" s="3" customFormat="1" x14ac:dyDescent="0.35">
      <c r="B955" s="1287" t="s">
        <v>83</v>
      </c>
      <c r="C955" s="1280">
        <v>50.39</v>
      </c>
      <c r="D955" s="129">
        <v>39.799999999999997</v>
      </c>
      <c r="E955" s="129">
        <v>0</v>
      </c>
      <c r="F955" s="129">
        <v>60.239999999999995</v>
      </c>
      <c r="G955" s="129"/>
      <c r="H955" s="129"/>
      <c r="I955" s="129"/>
      <c r="J955" s="129"/>
      <c r="K955" s="129"/>
      <c r="L955" s="129"/>
      <c r="M955" s="129"/>
      <c r="N955" s="129"/>
      <c r="O955" s="248">
        <f t="shared" si="177"/>
        <v>150.43</v>
      </c>
    </row>
    <row r="956" spans="2:15" s="3" customFormat="1" x14ac:dyDescent="0.35">
      <c r="B956" s="1287" t="s">
        <v>314</v>
      </c>
      <c r="C956" s="1280">
        <v>0</v>
      </c>
      <c r="D956" s="129">
        <v>1168.075</v>
      </c>
      <c r="E956" s="129">
        <v>0</v>
      </c>
      <c r="F956" s="129">
        <v>0</v>
      </c>
      <c r="G956" s="129"/>
      <c r="H956" s="129"/>
      <c r="I956" s="129"/>
      <c r="J956" s="129"/>
      <c r="K956" s="129"/>
      <c r="L956" s="129"/>
      <c r="M956" s="129"/>
      <c r="N956" s="129"/>
      <c r="O956" s="248">
        <f t="shared" si="177"/>
        <v>1168.075</v>
      </c>
    </row>
    <row r="957" spans="2:15" s="3" customFormat="1" x14ac:dyDescent="0.35">
      <c r="B957" s="1287" t="s">
        <v>74</v>
      </c>
      <c r="C957" s="1280">
        <v>1533.5540000000001</v>
      </c>
      <c r="D957" s="129">
        <v>6176.65</v>
      </c>
      <c r="E957" s="129">
        <v>0</v>
      </c>
      <c r="F957" s="129">
        <v>125.325</v>
      </c>
      <c r="G957" s="129"/>
      <c r="H957" s="129"/>
      <c r="I957" s="129"/>
      <c r="J957" s="129"/>
      <c r="K957" s="129"/>
      <c r="L957" s="129"/>
      <c r="M957" s="129"/>
      <c r="N957" s="129"/>
      <c r="O957" s="248">
        <f t="shared" si="177"/>
        <v>7835.5289999999995</v>
      </c>
    </row>
    <row r="958" spans="2:15" s="3" customFormat="1" x14ac:dyDescent="0.35">
      <c r="B958" s="1287" t="s">
        <v>222</v>
      </c>
      <c r="C958" s="1280">
        <v>0</v>
      </c>
      <c r="D958" s="129">
        <v>66.552000000000007</v>
      </c>
      <c r="E958" s="129">
        <v>0</v>
      </c>
      <c r="F958" s="129">
        <v>0</v>
      </c>
      <c r="G958" s="129"/>
      <c r="H958" s="129"/>
      <c r="I958" s="129"/>
      <c r="J958" s="129"/>
      <c r="K958" s="129"/>
      <c r="L958" s="129"/>
      <c r="M958" s="129"/>
      <c r="N958" s="129"/>
      <c r="O958" s="248">
        <f t="shared" si="177"/>
        <v>66.552000000000007</v>
      </c>
    </row>
    <row r="959" spans="2:15" s="3" customFormat="1" x14ac:dyDescent="0.35">
      <c r="B959" s="1287" t="s">
        <v>113</v>
      </c>
      <c r="C959" s="1280">
        <v>130.524</v>
      </c>
      <c r="D959" s="129">
        <v>0</v>
      </c>
      <c r="E959" s="129">
        <v>0</v>
      </c>
      <c r="F959" s="129">
        <v>130.387</v>
      </c>
      <c r="G959" s="129"/>
      <c r="H959" s="129"/>
      <c r="I959" s="129"/>
      <c r="J959" s="129"/>
      <c r="K959" s="129"/>
      <c r="L959" s="129"/>
      <c r="M959" s="129"/>
      <c r="N959" s="129"/>
      <c r="O959" s="248">
        <f t="shared" si="177"/>
        <v>260.911</v>
      </c>
    </row>
    <row r="960" spans="2:15" s="3" customFormat="1" ht="15" customHeight="1" x14ac:dyDescent="0.35">
      <c r="B960" s="1287" t="s">
        <v>116</v>
      </c>
      <c r="C960" s="1280">
        <v>177.06700000000001</v>
      </c>
      <c r="D960" s="129">
        <v>75.790999999999997</v>
      </c>
      <c r="E960" s="129">
        <v>132.61799999999999</v>
      </c>
      <c r="F960" s="129">
        <v>233.83200000000002</v>
      </c>
      <c r="G960" s="129"/>
      <c r="H960" s="129"/>
      <c r="I960" s="129"/>
      <c r="J960" s="129"/>
      <c r="K960" s="129"/>
      <c r="L960" s="129"/>
      <c r="M960" s="129"/>
      <c r="N960" s="129"/>
      <c r="O960" s="248">
        <f t="shared" si="177"/>
        <v>619.30799999999999</v>
      </c>
    </row>
    <row r="961" spans="2:15" s="3" customFormat="1" ht="15" customHeight="1" x14ac:dyDescent="0.35">
      <c r="B961" s="1287" t="s">
        <v>487</v>
      </c>
      <c r="C961" s="1280">
        <v>0</v>
      </c>
      <c r="D961" s="129">
        <v>0</v>
      </c>
      <c r="E961" s="129">
        <v>0</v>
      </c>
      <c r="F961" s="129">
        <v>0</v>
      </c>
      <c r="G961" s="129"/>
      <c r="H961" s="129"/>
      <c r="I961" s="129"/>
      <c r="J961" s="129"/>
      <c r="K961" s="129"/>
      <c r="L961" s="129"/>
      <c r="M961" s="129"/>
      <c r="N961" s="129"/>
      <c r="O961" s="248">
        <f t="shared" si="177"/>
        <v>0</v>
      </c>
    </row>
    <row r="962" spans="2:15" s="3" customFormat="1" x14ac:dyDescent="0.35">
      <c r="B962" s="1287" t="s">
        <v>307</v>
      </c>
      <c r="C962" s="1280">
        <v>0</v>
      </c>
      <c r="D962" s="129">
        <v>0</v>
      </c>
      <c r="E962" s="129">
        <v>0</v>
      </c>
      <c r="F962" s="129">
        <v>0</v>
      </c>
      <c r="G962" s="129"/>
      <c r="H962" s="129"/>
      <c r="I962" s="129"/>
      <c r="J962" s="129"/>
      <c r="K962" s="129"/>
      <c r="L962" s="129"/>
      <c r="M962" s="129"/>
      <c r="N962" s="129"/>
      <c r="O962" s="248">
        <f t="shared" si="177"/>
        <v>0</v>
      </c>
    </row>
    <row r="963" spans="2:15" s="3" customFormat="1" x14ac:dyDescent="0.35">
      <c r="B963" s="1287" t="s">
        <v>162</v>
      </c>
      <c r="C963" s="1280">
        <v>0</v>
      </c>
      <c r="D963" s="129">
        <v>39.200000000000003</v>
      </c>
      <c r="E963" s="129">
        <v>43.91</v>
      </c>
      <c r="F963" s="129">
        <v>0</v>
      </c>
      <c r="G963" s="129"/>
      <c r="H963" s="129"/>
      <c r="I963" s="129"/>
      <c r="J963" s="129"/>
      <c r="K963" s="129"/>
      <c r="L963" s="129"/>
      <c r="M963" s="129"/>
      <c r="N963" s="129"/>
      <c r="O963" s="248">
        <f t="shared" si="177"/>
        <v>83.11</v>
      </c>
    </row>
    <row r="964" spans="2:15" s="3" customFormat="1" x14ac:dyDescent="0.35">
      <c r="B964" s="1287" t="s">
        <v>396</v>
      </c>
      <c r="C964" s="1280">
        <v>105.55499999999999</v>
      </c>
      <c r="D964" s="129">
        <v>147.00299999999999</v>
      </c>
      <c r="E964" s="129">
        <v>0</v>
      </c>
      <c r="F964" s="129">
        <v>0</v>
      </c>
      <c r="G964" s="129"/>
      <c r="H964" s="129"/>
      <c r="I964" s="129"/>
      <c r="J964" s="129"/>
      <c r="K964" s="129"/>
      <c r="L964" s="129"/>
      <c r="M964" s="129"/>
      <c r="N964" s="129"/>
      <c r="O964" s="248">
        <f t="shared" si="177"/>
        <v>252.55799999999999</v>
      </c>
    </row>
    <row r="965" spans="2:15" s="3" customFormat="1" x14ac:dyDescent="0.35">
      <c r="B965" s="1287" t="s">
        <v>221</v>
      </c>
      <c r="C965" s="1280">
        <v>0</v>
      </c>
      <c r="D965" s="129">
        <v>0</v>
      </c>
      <c r="E965" s="129">
        <v>0</v>
      </c>
      <c r="F965" s="129">
        <v>0</v>
      </c>
      <c r="G965" s="129"/>
      <c r="H965" s="129"/>
      <c r="I965" s="129"/>
      <c r="J965" s="129"/>
      <c r="K965" s="129"/>
      <c r="L965" s="129"/>
      <c r="M965" s="129"/>
      <c r="N965" s="129"/>
      <c r="O965" s="248">
        <f t="shared" si="177"/>
        <v>0</v>
      </c>
    </row>
    <row r="966" spans="2:15" s="3" customFormat="1" x14ac:dyDescent="0.35">
      <c r="B966" s="1287" t="s">
        <v>81</v>
      </c>
      <c r="C966" s="1280">
        <v>0</v>
      </c>
      <c r="D966" s="129">
        <v>0</v>
      </c>
      <c r="E966" s="129">
        <v>0</v>
      </c>
      <c r="F966" s="129">
        <v>0</v>
      </c>
      <c r="G966" s="129"/>
      <c r="H966" s="129"/>
      <c r="I966" s="129"/>
      <c r="J966" s="129"/>
      <c r="K966" s="129"/>
      <c r="L966" s="129"/>
      <c r="M966" s="129"/>
      <c r="N966" s="129"/>
      <c r="O966" s="248">
        <f t="shared" si="177"/>
        <v>0</v>
      </c>
    </row>
    <row r="967" spans="2:15" s="3" customFormat="1" x14ac:dyDescent="0.35">
      <c r="B967" s="1287" t="s">
        <v>494</v>
      </c>
      <c r="C967" s="1280">
        <v>0</v>
      </c>
      <c r="D967" s="129">
        <v>0</v>
      </c>
      <c r="E967" s="129">
        <v>0</v>
      </c>
      <c r="F967" s="129">
        <v>0</v>
      </c>
      <c r="G967" s="129"/>
      <c r="H967" s="129"/>
      <c r="I967" s="129"/>
      <c r="J967" s="129"/>
      <c r="K967" s="129"/>
      <c r="L967" s="129"/>
      <c r="M967" s="129"/>
      <c r="N967" s="129"/>
      <c r="O967" s="248">
        <f t="shared" si="177"/>
        <v>0</v>
      </c>
    </row>
    <row r="968" spans="2:15" s="3" customFormat="1" x14ac:dyDescent="0.35">
      <c r="B968" s="1287" t="s">
        <v>155</v>
      </c>
      <c r="C968" s="1280">
        <v>5.48</v>
      </c>
      <c r="D968" s="129">
        <v>0</v>
      </c>
      <c r="E968" s="129">
        <v>23.9</v>
      </c>
      <c r="F968" s="129">
        <v>0</v>
      </c>
      <c r="G968" s="129"/>
      <c r="H968" s="129"/>
      <c r="I968" s="129"/>
      <c r="J968" s="129"/>
      <c r="K968" s="129"/>
      <c r="L968" s="129"/>
      <c r="M968" s="129"/>
      <c r="N968" s="129"/>
      <c r="O968" s="248">
        <f t="shared" si="177"/>
        <v>29.38</v>
      </c>
    </row>
    <row r="969" spans="2:15" s="3" customFormat="1" x14ac:dyDescent="0.35">
      <c r="B969" s="1287" t="s">
        <v>145</v>
      </c>
      <c r="C969" s="1280">
        <v>0</v>
      </c>
      <c r="D969" s="129">
        <v>0</v>
      </c>
      <c r="E969" s="129">
        <v>0</v>
      </c>
      <c r="F969" s="129">
        <v>177.65</v>
      </c>
      <c r="G969" s="129"/>
      <c r="H969" s="129"/>
      <c r="I969" s="129"/>
      <c r="J969" s="129"/>
      <c r="K969" s="129"/>
      <c r="L969" s="129"/>
      <c r="M969" s="129"/>
      <c r="N969" s="129"/>
      <c r="O969" s="248">
        <f t="shared" si="177"/>
        <v>177.65</v>
      </c>
    </row>
    <row r="970" spans="2:15" s="3" customFormat="1" x14ac:dyDescent="0.35">
      <c r="B970" s="1287" t="s">
        <v>91</v>
      </c>
      <c r="C970" s="1280">
        <v>264.44000000000005</v>
      </c>
      <c r="D970" s="129">
        <v>2273.4189999999981</v>
      </c>
      <c r="E970" s="129">
        <v>1177.0159999999994</v>
      </c>
      <c r="F970" s="129">
        <v>2491.8040000000015</v>
      </c>
      <c r="G970" s="129"/>
      <c r="H970" s="129"/>
      <c r="I970" s="129"/>
      <c r="J970" s="129"/>
      <c r="K970" s="129"/>
      <c r="L970" s="129"/>
      <c r="M970" s="129"/>
      <c r="N970" s="129"/>
      <c r="O970" s="248">
        <f t="shared" si="177"/>
        <v>6206.6789999999983</v>
      </c>
    </row>
    <row r="971" spans="2:15" s="3" customFormat="1" x14ac:dyDescent="0.35">
      <c r="B971" s="1287"/>
      <c r="C971" s="256"/>
      <c r="D971" s="256"/>
      <c r="E971" s="256"/>
      <c r="F971" s="256"/>
      <c r="G971" s="256"/>
      <c r="H971" s="256"/>
      <c r="I971" s="256"/>
      <c r="J971" s="256"/>
      <c r="K971" s="256"/>
      <c r="L971" s="256"/>
      <c r="M971" s="256"/>
      <c r="N971" s="256"/>
      <c r="O971" s="248">
        <f t="shared" si="177"/>
        <v>0</v>
      </c>
    </row>
    <row r="972" spans="2:15" s="3" customFormat="1" x14ac:dyDescent="0.35">
      <c r="B972" s="1288" t="s">
        <v>149</v>
      </c>
      <c r="C972" s="1289">
        <v>0</v>
      </c>
      <c r="D972" s="1289">
        <v>0</v>
      </c>
      <c r="E972" s="1289">
        <v>0</v>
      </c>
      <c r="F972" s="1289">
        <v>177.65</v>
      </c>
      <c r="G972" s="1289"/>
      <c r="H972" s="1289"/>
      <c r="I972" s="1289"/>
      <c r="J972" s="1289"/>
      <c r="K972" s="1289"/>
      <c r="L972" s="1289"/>
      <c r="M972" s="1289"/>
      <c r="N972" s="1289"/>
      <c r="O972" s="429">
        <f t="shared" si="177"/>
        <v>177.65</v>
      </c>
    </row>
    <row r="973" spans="2:15" s="3" customFormat="1" x14ac:dyDescent="0.35">
      <c r="B973" s="1288" t="s">
        <v>150</v>
      </c>
      <c r="C973" s="1289">
        <v>4110.8719999999994</v>
      </c>
      <c r="D973" s="1289">
        <v>11315.846999999998</v>
      </c>
      <c r="E973" s="1289">
        <v>2846.9660000000017</v>
      </c>
      <c r="F973" s="1289">
        <v>5085.7040000000006</v>
      </c>
      <c r="G973" s="1289"/>
      <c r="H973" s="1289"/>
      <c r="I973" s="1289"/>
      <c r="J973" s="1289"/>
      <c r="K973" s="1289"/>
      <c r="L973" s="1289"/>
      <c r="M973" s="1289"/>
      <c r="N973" s="1289"/>
      <c r="O973" s="429">
        <f t="shared" si="177"/>
        <v>23359.388999999999</v>
      </c>
    </row>
    <row r="974" spans="2:15" s="3" customFormat="1" x14ac:dyDescent="0.35">
      <c r="B974" s="1288" t="s">
        <v>151</v>
      </c>
      <c r="C974" s="1289">
        <v>0</v>
      </c>
      <c r="D974" s="1289">
        <v>0</v>
      </c>
      <c r="E974" s="1289">
        <v>0</v>
      </c>
      <c r="F974" s="1289">
        <v>0</v>
      </c>
      <c r="G974" s="1289"/>
      <c r="H974" s="1289"/>
      <c r="I974" s="1289"/>
      <c r="J974" s="1289"/>
      <c r="K974" s="1289"/>
      <c r="L974" s="1289"/>
      <c r="M974" s="1289"/>
      <c r="N974" s="1289"/>
      <c r="O974" s="429">
        <f t="shared" si="177"/>
        <v>0</v>
      </c>
    </row>
    <row r="975" spans="2:15" s="3" customFormat="1" x14ac:dyDescent="0.35">
      <c r="B975" s="1300"/>
      <c r="C975" s="256"/>
      <c r="D975" s="256"/>
      <c r="E975" s="256"/>
      <c r="F975" s="256"/>
      <c r="G975" s="256"/>
      <c r="H975" s="1301"/>
      <c r="I975" s="256"/>
      <c r="J975" s="256"/>
      <c r="K975" s="256"/>
      <c r="L975" s="256"/>
      <c r="M975" s="256"/>
      <c r="N975" s="256"/>
      <c r="O975" s="248"/>
    </row>
    <row r="976" spans="2:15" s="3" customFormat="1" x14ac:dyDescent="0.35">
      <c r="B976" s="1302" t="s">
        <v>56</v>
      </c>
      <c r="C976" s="111">
        <f>SUM(C978:C978)</f>
        <v>0</v>
      </c>
      <c r="D976" s="244">
        <f>SUM(D978:D978)</f>
        <v>0</v>
      </c>
      <c r="E976" s="244">
        <f t="shared" ref="E976:F976" si="178">SUM(E978:E978)</f>
        <v>0</v>
      </c>
      <c r="F976" s="244">
        <f t="shared" si="178"/>
        <v>0</v>
      </c>
      <c r="G976" s="244">
        <f>SUM(G978:G978)</f>
        <v>0</v>
      </c>
      <c r="H976" s="244">
        <f t="shared" ref="H976:M976" si="179">SUM(H978:H978)</f>
        <v>0</v>
      </c>
      <c r="I976" s="244">
        <f t="shared" si="179"/>
        <v>0</v>
      </c>
      <c r="J976" s="244">
        <f t="shared" si="179"/>
        <v>0</v>
      </c>
      <c r="K976" s="244">
        <f t="shared" si="179"/>
        <v>0</v>
      </c>
      <c r="L976" s="244">
        <f t="shared" si="179"/>
        <v>0</v>
      </c>
      <c r="M976" s="244">
        <f t="shared" si="179"/>
        <v>0</v>
      </c>
      <c r="N976" s="244">
        <f>SUM(N978:N978)</f>
        <v>0</v>
      </c>
      <c r="O976" s="112">
        <f>SUM(C976:N976)</f>
        <v>0</v>
      </c>
    </row>
    <row r="977" spans="2:15" s="3" customFormat="1" x14ac:dyDescent="0.35">
      <c r="B977" s="1302"/>
      <c r="C977" s="256"/>
      <c r="D977" s="111"/>
      <c r="E977" s="111"/>
      <c r="F977" s="111"/>
      <c r="G977" s="111"/>
      <c r="H977" s="111"/>
      <c r="I977" s="111"/>
      <c r="J977" s="111"/>
      <c r="K977" s="111"/>
      <c r="L977" s="111"/>
      <c r="M977" s="111"/>
      <c r="N977" s="111"/>
      <c r="O977" s="112"/>
    </row>
    <row r="978" spans="2:15" s="3" customFormat="1" x14ac:dyDescent="0.35">
      <c r="B978" s="1287" t="s">
        <v>91</v>
      </c>
      <c r="C978" s="1280">
        <v>0</v>
      </c>
      <c r="D978" s="1280">
        <v>0</v>
      </c>
      <c r="E978" s="1280">
        <v>0</v>
      </c>
      <c r="F978" s="1280">
        <v>0</v>
      </c>
      <c r="G978" s="1280"/>
      <c r="H978" s="1280"/>
      <c r="I978" s="1280"/>
      <c r="J978" s="1280"/>
      <c r="K978" s="1280"/>
      <c r="L978" s="1280"/>
      <c r="M978" s="1280"/>
      <c r="N978" s="1280"/>
      <c r="O978" s="138">
        <f>SUM(C978:N978)</f>
        <v>0</v>
      </c>
    </row>
    <row r="979" spans="2:15" s="3" customFormat="1" x14ac:dyDescent="0.35">
      <c r="B979" s="43"/>
      <c r="C979" s="256"/>
      <c r="D979" s="256"/>
      <c r="E979" s="256"/>
      <c r="F979" s="256"/>
      <c r="G979" s="129"/>
      <c r="H979" s="129"/>
      <c r="I979" s="129"/>
      <c r="J979" s="129"/>
      <c r="K979" s="129"/>
      <c r="L979" s="129"/>
      <c r="M979" s="129"/>
      <c r="N979" s="129"/>
      <c r="O979" s="138"/>
    </row>
    <row r="980" spans="2:15" s="3" customFormat="1" x14ac:dyDescent="0.35">
      <c r="B980" s="1288" t="s">
        <v>149</v>
      </c>
      <c r="C980" s="1289">
        <v>0</v>
      </c>
      <c r="D980" s="1289">
        <v>0</v>
      </c>
      <c r="E980" s="1289">
        <v>0</v>
      </c>
      <c r="F980" s="1289">
        <v>0</v>
      </c>
      <c r="G980" s="1289"/>
      <c r="H980" s="1289"/>
      <c r="I980" s="1289"/>
      <c r="J980" s="1289"/>
      <c r="K980" s="1289"/>
      <c r="L980" s="1289"/>
      <c r="M980" s="1289"/>
      <c r="N980" s="1289"/>
      <c r="O980" s="429">
        <f>SUM(C980:N980)</f>
        <v>0</v>
      </c>
    </row>
    <row r="981" spans="2:15" s="3" customFormat="1" x14ac:dyDescent="0.35">
      <c r="B981" s="1288" t="s">
        <v>150</v>
      </c>
      <c r="C981" s="1289">
        <v>0</v>
      </c>
      <c r="D981" s="1289">
        <v>0</v>
      </c>
      <c r="E981" s="1289">
        <v>0</v>
      </c>
      <c r="F981" s="1289">
        <v>0</v>
      </c>
      <c r="G981" s="1289"/>
      <c r="H981" s="1289"/>
      <c r="I981" s="1289"/>
      <c r="J981" s="1289"/>
      <c r="K981" s="1289"/>
      <c r="L981" s="1289"/>
      <c r="M981" s="1289"/>
      <c r="N981" s="1289"/>
      <c r="O981" s="429">
        <f>SUM(C981:N981)</f>
        <v>0</v>
      </c>
    </row>
    <row r="982" spans="2:15" s="3" customFormat="1" x14ac:dyDescent="0.35">
      <c r="B982" s="1288" t="s">
        <v>151</v>
      </c>
      <c r="C982" s="1289">
        <v>0</v>
      </c>
      <c r="D982" s="1289">
        <v>0</v>
      </c>
      <c r="E982" s="1289">
        <v>0</v>
      </c>
      <c r="F982" s="1289">
        <v>0</v>
      </c>
      <c r="G982" s="1289"/>
      <c r="H982" s="1289"/>
      <c r="I982" s="1289"/>
      <c r="J982" s="1289"/>
      <c r="K982" s="1289"/>
      <c r="L982" s="1289"/>
      <c r="M982" s="1289"/>
      <c r="N982" s="1289"/>
      <c r="O982" s="429">
        <f>SUM(C982:N982)</f>
        <v>0</v>
      </c>
    </row>
    <row r="983" spans="2:15" s="3" customFormat="1" x14ac:dyDescent="0.35">
      <c r="B983" s="263"/>
      <c r="C983" s="247"/>
      <c r="D983" s="264"/>
      <c r="E983" s="264"/>
      <c r="F983" s="264"/>
      <c r="G983" s="264"/>
      <c r="H983" s="264"/>
      <c r="I983" s="264"/>
      <c r="J983" s="264"/>
      <c r="K983" s="264"/>
      <c r="L983" s="264"/>
      <c r="M983" s="264"/>
      <c r="N983" s="264"/>
      <c r="O983" s="248"/>
    </row>
    <row r="984" spans="2:15" s="3" customFormat="1" x14ac:dyDescent="0.35">
      <c r="B984" s="432" t="s">
        <v>36</v>
      </c>
      <c r="C984" s="1156">
        <f>C976+C948</f>
        <v>4110.8719999999994</v>
      </c>
      <c r="D984" s="1156">
        <f>D976+D948</f>
        <v>11315.846999999998</v>
      </c>
      <c r="E984" s="1156">
        <f>E976+E948</f>
        <v>2846.9659999999994</v>
      </c>
      <c r="F984" s="1156">
        <f>F976+F948</f>
        <v>5263.3540000000012</v>
      </c>
      <c r="G984" s="1156">
        <f t="shared" ref="G984:L984" si="180">G976+G948</f>
        <v>0</v>
      </c>
      <c r="H984" s="1156">
        <f t="shared" si="180"/>
        <v>0</v>
      </c>
      <c r="I984" s="1156">
        <f t="shared" si="180"/>
        <v>0</v>
      </c>
      <c r="J984" s="1156">
        <f t="shared" si="180"/>
        <v>0</v>
      </c>
      <c r="K984" s="1156">
        <f t="shared" si="180"/>
        <v>0</v>
      </c>
      <c r="L984" s="1156">
        <f t="shared" si="180"/>
        <v>0</v>
      </c>
      <c r="M984" s="1156">
        <f>M976+M948</f>
        <v>0</v>
      </c>
      <c r="N984" s="1156">
        <f>N976+N948</f>
        <v>0</v>
      </c>
      <c r="O984" s="1292">
        <f>SUM(C984:N984)</f>
        <v>23537.038999999997</v>
      </c>
    </row>
    <row r="985" spans="2:15" s="3" customFormat="1" x14ac:dyDescent="0.35">
      <c r="B985" s="265"/>
      <c r="C985" s="266"/>
      <c r="D985" s="133"/>
      <c r="E985" s="133"/>
      <c r="F985" s="133"/>
      <c r="G985" s="133"/>
      <c r="H985" s="133"/>
      <c r="I985" s="133"/>
      <c r="J985" s="133"/>
      <c r="K985" s="133"/>
      <c r="L985" s="133"/>
      <c r="M985" s="133"/>
      <c r="N985" s="133"/>
      <c r="O985" s="134"/>
    </row>
    <row r="986" spans="2:15" s="3" customFormat="1" x14ac:dyDescent="0.35">
      <c r="B986" s="1068" t="s">
        <v>534</v>
      </c>
      <c r="C986" s="1068"/>
      <c r="D986" s="1068"/>
      <c r="E986" s="1068"/>
      <c r="F986" s="1068"/>
      <c r="G986" s="1068"/>
      <c r="H986" s="1068"/>
      <c r="I986" s="1068"/>
      <c r="J986" s="1068"/>
      <c r="K986" s="1068"/>
      <c r="L986" s="1068"/>
      <c r="M986" s="1068"/>
      <c r="N986" s="1068"/>
      <c r="O986" s="1068"/>
    </row>
    <row r="987" spans="2:15" s="3" customFormat="1" x14ac:dyDescent="0.35">
      <c r="B987" s="173"/>
      <c r="C987" s="267" t="s">
        <v>11</v>
      </c>
      <c r="D987" s="267"/>
      <c r="E987" s="267"/>
      <c r="F987" s="267"/>
      <c r="G987" s="267"/>
      <c r="H987" s="267"/>
      <c r="I987" s="267"/>
      <c r="J987" s="267"/>
      <c r="K987" s="267"/>
      <c r="L987" s="267"/>
      <c r="M987" s="267"/>
      <c r="N987" s="267"/>
      <c r="O987" s="1171"/>
    </row>
    <row r="988" spans="2:15" s="3" customFormat="1" ht="15" customHeight="1" x14ac:dyDescent="0.35">
      <c r="B988" s="1074" t="s">
        <v>13</v>
      </c>
      <c r="C988" s="1112" t="s">
        <v>0</v>
      </c>
      <c r="D988" s="1112" t="s">
        <v>1</v>
      </c>
      <c r="E988" s="1112" t="s">
        <v>2</v>
      </c>
      <c r="F988" s="1112" t="s">
        <v>3</v>
      </c>
      <c r="G988" s="1112" t="s">
        <v>4</v>
      </c>
      <c r="H988" s="1112" t="s">
        <v>5</v>
      </c>
      <c r="I988" s="1112" t="s">
        <v>6</v>
      </c>
      <c r="J988" s="1112" t="s">
        <v>7</v>
      </c>
      <c r="K988" s="1112" t="s">
        <v>8</v>
      </c>
      <c r="L988" s="1112" t="s">
        <v>9</v>
      </c>
      <c r="M988" s="1112" t="s">
        <v>10</v>
      </c>
      <c r="N988" s="1112" t="s">
        <v>14</v>
      </c>
      <c r="O988" s="1077" t="s">
        <v>15</v>
      </c>
    </row>
    <row r="989" spans="2:15" s="3" customFormat="1" ht="15" customHeight="1" x14ac:dyDescent="0.35">
      <c r="B989" s="1080"/>
      <c r="C989" s="1145"/>
      <c r="D989" s="1145"/>
      <c r="E989" s="1145"/>
      <c r="F989" s="1145"/>
      <c r="G989" s="1145"/>
      <c r="H989" s="1145"/>
      <c r="I989" s="1145"/>
      <c r="J989" s="1145"/>
      <c r="K989" s="1145"/>
      <c r="L989" s="1145"/>
      <c r="M989" s="1145"/>
      <c r="N989" s="1145"/>
      <c r="O989" s="1088"/>
    </row>
    <row r="990" spans="2:15" s="3" customFormat="1" x14ac:dyDescent="0.35">
      <c r="B990" s="1018"/>
      <c r="C990" s="1119"/>
      <c r="D990" s="1119"/>
      <c r="E990" s="1119"/>
      <c r="F990" s="1119"/>
      <c r="G990" s="1119"/>
      <c r="H990" s="1119"/>
      <c r="I990" s="1119"/>
      <c r="J990" s="1119"/>
      <c r="K990" s="1119"/>
      <c r="L990" s="1119"/>
      <c r="M990" s="1119"/>
      <c r="N990" s="1119"/>
      <c r="O990" s="1178"/>
    </row>
    <row r="991" spans="2:15" s="3" customFormat="1" x14ac:dyDescent="0.35">
      <c r="B991" s="1267" t="s">
        <v>47</v>
      </c>
      <c r="C991" s="244">
        <f>SUM(C993:C995)</f>
        <v>277107.158864</v>
      </c>
      <c r="D991" s="244">
        <f>SUM(D993:D995)</f>
        <v>346822.32599999936</v>
      </c>
      <c r="E991" s="244">
        <f t="shared" ref="E991:M991" si="181">SUM(E993:E995)</f>
        <v>346055.57900000038</v>
      </c>
      <c r="F991" s="244">
        <f t="shared" si="181"/>
        <v>339895.84100000001</v>
      </c>
      <c r="G991" s="244">
        <f t="shared" si="181"/>
        <v>0</v>
      </c>
      <c r="H991" s="244">
        <f t="shared" si="181"/>
        <v>0</v>
      </c>
      <c r="I991" s="244">
        <f t="shared" si="181"/>
        <v>0</v>
      </c>
      <c r="J991" s="244">
        <f t="shared" si="181"/>
        <v>0</v>
      </c>
      <c r="K991" s="244">
        <f t="shared" si="181"/>
        <v>0</v>
      </c>
      <c r="L991" s="244">
        <f t="shared" si="181"/>
        <v>0</v>
      </c>
      <c r="M991" s="244">
        <f t="shared" si="181"/>
        <v>0</v>
      </c>
      <c r="N991" s="244">
        <f>SUM(N993:N995)</f>
        <v>0</v>
      </c>
      <c r="O991" s="268">
        <f>SUM(C991:N991)</f>
        <v>1309880.9048639997</v>
      </c>
    </row>
    <row r="992" spans="2:15" s="3" customFormat="1" x14ac:dyDescent="0.35">
      <c r="B992" s="269"/>
      <c r="C992" s="131"/>
      <c r="D992" s="131"/>
      <c r="E992" s="131"/>
      <c r="F992" s="131"/>
      <c r="G992" s="131"/>
      <c r="H992" s="131"/>
      <c r="I992" s="131"/>
      <c r="J992" s="131"/>
      <c r="K992" s="131"/>
      <c r="L992" s="131"/>
      <c r="M992" s="131"/>
      <c r="N992" s="131"/>
      <c r="O992" s="270"/>
    </row>
    <row r="993" spans="2:15" s="3" customFormat="1" x14ac:dyDescent="0.35">
      <c r="B993" s="1269" t="s">
        <v>41</v>
      </c>
      <c r="C993" s="247">
        <f>+C629</f>
        <v>1942.1381999999996</v>
      </c>
      <c r="D993" s="247">
        <f>+D629</f>
        <v>1512.2029999999997</v>
      </c>
      <c r="E993" s="247">
        <f>+E629</f>
        <v>3842.851000000001</v>
      </c>
      <c r="F993" s="247">
        <f>+F629</f>
        <v>2784.3389999999995</v>
      </c>
      <c r="G993" s="247">
        <f t="shared" ref="G993:L993" si="182">+G629</f>
        <v>0</v>
      </c>
      <c r="H993" s="247">
        <f t="shared" si="182"/>
        <v>0</v>
      </c>
      <c r="I993" s="247">
        <f t="shared" si="182"/>
        <v>0</v>
      </c>
      <c r="J993" s="247">
        <f t="shared" si="182"/>
        <v>0</v>
      </c>
      <c r="K993" s="247">
        <f t="shared" si="182"/>
        <v>0</v>
      </c>
      <c r="L993" s="247">
        <f t="shared" si="182"/>
        <v>0</v>
      </c>
      <c r="M993" s="247">
        <f>+M629</f>
        <v>0</v>
      </c>
      <c r="N993" s="247">
        <f>+N629</f>
        <v>0</v>
      </c>
      <c r="O993" s="248">
        <f>SUM(C993:N993)</f>
        <v>10081.531199999999</v>
      </c>
    </row>
    <row r="994" spans="2:15" s="3" customFormat="1" x14ac:dyDescent="0.35">
      <c r="B994" s="1269" t="s">
        <v>42</v>
      </c>
      <c r="C994" s="247">
        <f>+C338</f>
        <v>270895.08866400004</v>
      </c>
      <c r="D994" s="247">
        <f>+D338</f>
        <v>342004.90599999938</v>
      </c>
      <c r="E994" s="247">
        <f>+E338</f>
        <v>338203.72100000037</v>
      </c>
      <c r="F994" s="247">
        <f>+F338</f>
        <v>334010.88400000002</v>
      </c>
      <c r="G994" s="247">
        <f t="shared" ref="G994:L994" si="183">+G338</f>
        <v>0</v>
      </c>
      <c r="H994" s="247">
        <f t="shared" si="183"/>
        <v>0</v>
      </c>
      <c r="I994" s="247">
        <f t="shared" si="183"/>
        <v>0</v>
      </c>
      <c r="J994" s="247">
        <f t="shared" si="183"/>
        <v>0</v>
      </c>
      <c r="K994" s="247">
        <f t="shared" si="183"/>
        <v>0</v>
      </c>
      <c r="L994" s="247">
        <f t="shared" si="183"/>
        <v>0</v>
      </c>
      <c r="M994" s="247">
        <f>+M338</f>
        <v>0</v>
      </c>
      <c r="N994" s="247">
        <f>+N338</f>
        <v>0</v>
      </c>
      <c r="O994" s="248">
        <f>SUM(C994:N994)</f>
        <v>1285114.5996639999</v>
      </c>
    </row>
    <row r="995" spans="2:15" s="3" customFormat="1" x14ac:dyDescent="0.35">
      <c r="B995" s="1269" t="s">
        <v>43</v>
      </c>
      <c r="C995" s="247">
        <f>SUM(C996:C997)</f>
        <v>4269.9319999999998</v>
      </c>
      <c r="D995" s="247">
        <f>+D996+D997</f>
        <v>3305.2169999999992</v>
      </c>
      <c r="E995" s="247">
        <f>+E996+E997</f>
        <v>4009.0069999999996</v>
      </c>
      <c r="F995" s="247">
        <f>+F996+F997</f>
        <v>3100.6179999999995</v>
      </c>
      <c r="G995" s="247">
        <f t="shared" ref="G995:L995" si="184">+G996+G997</f>
        <v>0</v>
      </c>
      <c r="H995" s="247">
        <f t="shared" si="184"/>
        <v>0</v>
      </c>
      <c r="I995" s="247">
        <f t="shared" si="184"/>
        <v>0</v>
      </c>
      <c r="J995" s="247">
        <f t="shared" si="184"/>
        <v>0</v>
      </c>
      <c r="K995" s="247">
        <f t="shared" si="184"/>
        <v>0</v>
      </c>
      <c r="L995" s="247">
        <f t="shared" si="184"/>
        <v>0</v>
      </c>
      <c r="M995" s="247">
        <f>+M996+M997</f>
        <v>0</v>
      </c>
      <c r="N995" s="247">
        <f>+N996+N997</f>
        <v>0</v>
      </c>
      <c r="O995" s="248">
        <f>SUM(C995:N995)</f>
        <v>14684.773999999998</v>
      </c>
    </row>
    <row r="996" spans="2:15" s="3" customFormat="1" x14ac:dyDescent="0.35">
      <c r="B996" s="113" t="s">
        <v>44</v>
      </c>
      <c r="C996" s="247">
        <f>+C306</f>
        <v>4269.9319999999998</v>
      </c>
      <c r="D996" s="247">
        <f>+D306</f>
        <v>3305.2169999999992</v>
      </c>
      <c r="E996" s="247">
        <f t="shared" ref="E996:L997" si="185">+E306</f>
        <v>4009.0069999999996</v>
      </c>
      <c r="F996" s="247">
        <f t="shared" si="185"/>
        <v>3100.6179999999995</v>
      </c>
      <c r="G996" s="247">
        <f t="shared" si="185"/>
        <v>0</v>
      </c>
      <c r="H996" s="247">
        <f t="shared" si="185"/>
        <v>0</v>
      </c>
      <c r="I996" s="247">
        <f t="shared" si="185"/>
        <v>0</v>
      </c>
      <c r="J996" s="247">
        <f t="shared" si="185"/>
        <v>0</v>
      </c>
      <c r="K996" s="247">
        <f t="shared" si="185"/>
        <v>0</v>
      </c>
      <c r="L996" s="247">
        <f t="shared" si="185"/>
        <v>0</v>
      </c>
      <c r="M996" s="247">
        <f>+M306</f>
        <v>0</v>
      </c>
      <c r="N996" s="247">
        <f>+N306</f>
        <v>0</v>
      </c>
      <c r="O996" s="248">
        <f>SUM(C996:N996)</f>
        <v>14684.773999999998</v>
      </c>
    </row>
    <row r="997" spans="2:15" s="3" customFormat="1" x14ac:dyDescent="0.35">
      <c r="B997" s="113" t="s">
        <v>45</v>
      </c>
      <c r="C997" s="247">
        <f>+C307</f>
        <v>0</v>
      </c>
      <c r="D997" s="247">
        <f>+D307</f>
        <v>0</v>
      </c>
      <c r="E997" s="247">
        <f t="shared" si="185"/>
        <v>0</v>
      </c>
      <c r="F997" s="247">
        <f t="shared" si="185"/>
        <v>0</v>
      </c>
      <c r="G997" s="247">
        <f t="shared" si="185"/>
        <v>0</v>
      </c>
      <c r="H997" s="247">
        <f t="shared" si="185"/>
        <v>0</v>
      </c>
      <c r="I997" s="247">
        <f t="shared" si="185"/>
        <v>0</v>
      </c>
      <c r="J997" s="247">
        <f t="shared" si="185"/>
        <v>0</v>
      </c>
      <c r="K997" s="247">
        <f t="shared" si="185"/>
        <v>0</v>
      </c>
      <c r="L997" s="247">
        <f t="shared" si="185"/>
        <v>0</v>
      </c>
      <c r="M997" s="247">
        <f>+M307</f>
        <v>0</v>
      </c>
      <c r="N997" s="247">
        <f>+N307</f>
        <v>0</v>
      </c>
      <c r="O997" s="248">
        <f>SUM(C997:N997)</f>
        <v>0</v>
      </c>
    </row>
    <row r="998" spans="2:15" s="3" customFormat="1" x14ac:dyDescent="0.35">
      <c r="B998" s="1269"/>
      <c r="C998" s="247"/>
      <c r="D998" s="29"/>
      <c r="E998" s="29"/>
      <c r="F998" s="29"/>
      <c r="G998" s="29"/>
      <c r="H998" s="29"/>
      <c r="I998" s="29"/>
      <c r="J998" s="29"/>
      <c r="K998" s="29"/>
      <c r="L998" s="29"/>
      <c r="M998" s="29"/>
      <c r="N998" s="29"/>
      <c r="O998" s="270"/>
    </row>
    <row r="999" spans="2:15" s="3" customFormat="1" x14ac:dyDescent="0.35">
      <c r="B999" s="1267" t="s">
        <v>56</v>
      </c>
      <c r="C999" s="244">
        <f>SUM(C1001:C1003)</f>
        <v>51866.59840000001</v>
      </c>
      <c r="D999" s="244">
        <f>SUM(D1001:D1003)</f>
        <v>54881.080559999995</v>
      </c>
      <c r="E999" s="244">
        <f t="shared" ref="E999:M999" si="186">SUM(E1001:E1003)</f>
        <v>55467.98700000003</v>
      </c>
      <c r="F999" s="244">
        <f t="shared" si="186"/>
        <v>15446.231000000007</v>
      </c>
      <c r="G999" s="244">
        <f t="shared" si="186"/>
        <v>0</v>
      </c>
      <c r="H999" s="244">
        <f t="shared" si="186"/>
        <v>0</v>
      </c>
      <c r="I999" s="244">
        <f t="shared" si="186"/>
        <v>0</v>
      </c>
      <c r="J999" s="244">
        <f t="shared" si="186"/>
        <v>0</v>
      </c>
      <c r="K999" s="244">
        <f t="shared" si="186"/>
        <v>0</v>
      </c>
      <c r="L999" s="244">
        <f t="shared" si="186"/>
        <v>0</v>
      </c>
      <c r="M999" s="244">
        <f t="shared" si="186"/>
        <v>0</v>
      </c>
      <c r="N999" s="244">
        <f>SUM(N1001:N1003)</f>
        <v>0</v>
      </c>
      <c r="O999" s="268">
        <f>SUM(C999:N999)</f>
        <v>177661.89696000004</v>
      </c>
    </row>
    <row r="1000" spans="2:15" s="3" customFormat="1" x14ac:dyDescent="0.35">
      <c r="B1000" s="1269"/>
      <c r="C1000" s="131"/>
      <c r="D1000" s="131"/>
      <c r="E1000" s="131"/>
      <c r="F1000" s="131"/>
      <c r="G1000" s="131"/>
      <c r="H1000" s="131"/>
      <c r="I1000" s="29"/>
      <c r="J1000" s="29"/>
      <c r="K1000" s="29"/>
      <c r="L1000" s="29"/>
      <c r="M1000" s="29"/>
      <c r="N1000" s="29"/>
      <c r="O1000" s="270"/>
    </row>
    <row r="1001" spans="2:15" s="3" customFormat="1" x14ac:dyDescent="0.35">
      <c r="B1001" s="1269" t="s">
        <v>41</v>
      </c>
      <c r="C1001" s="29">
        <f>+C638</f>
        <v>0</v>
      </c>
      <c r="D1001" s="29">
        <f>+D638</f>
        <v>0</v>
      </c>
      <c r="E1001" s="29">
        <f>+E638</f>
        <v>0</v>
      </c>
      <c r="F1001" s="29">
        <f>+F638</f>
        <v>0</v>
      </c>
      <c r="G1001" s="29">
        <f t="shared" ref="G1001:L1001" si="187">+G638</f>
        <v>0</v>
      </c>
      <c r="H1001" s="29">
        <f t="shared" si="187"/>
        <v>0</v>
      </c>
      <c r="I1001" s="29">
        <f t="shared" si="187"/>
        <v>0</v>
      </c>
      <c r="J1001" s="29">
        <f t="shared" si="187"/>
        <v>0</v>
      </c>
      <c r="K1001" s="29">
        <f t="shared" si="187"/>
        <v>0</v>
      </c>
      <c r="L1001" s="29">
        <f t="shared" si="187"/>
        <v>0</v>
      </c>
      <c r="M1001" s="29">
        <f>+M638</f>
        <v>0</v>
      </c>
      <c r="N1001" s="29">
        <f>+N638</f>
        <v>0</v>
      </c>
      <c r="O1001" s="248">
        <f>SUM(C1001:N1001)</f>
        <v>0</v>
      </c>
    </row>
    <row r="1002" spans="2:15" s="3" customFormat="1" x14ac:dyDescent="0.35">
      <c r="B1002" s="1269" t="s">
        <v>42</v>
      </c>
      <c r="C1002" s="29">
        <f>+C347</f>
        <v>51866.59840000001</v>
      </c>
      <c r="D1002" s="29">
        <f>+D347</f>
        <v>54881.080559999995</v>
      </c>
      <c r="E1002" s="29">
        <f>+E347</f>
        <v>55467.98700000003</v>
      </c>
      <c r="F1002" s="29">
        <f>+F347</f>
        <v>15446.231000000007</v>
      </c>
      <c r="G1002" s="29">
        <f t="shared" ref="G1002:L1002" si="188">+G347</f>
        <v>0</v>
      </c>
      <c r="H1002" s="29">
        <f t="shared" si="188"/>
        <v>0</v>
      </c>
      <c r="I1002" s="29">
        <f t="shared" si="188"/>
        <v>0</v>
      </c>
      <c r="J1002" s="29">
        <f t="shared" si="188"/>
        <v>0</v>
      </c>
      <c r="K1002" s="29">
        <f t="shared" si="188"/>
        <v>0</v>
      </c>
      <c r="L1002" s="29">
        <f t="shared" si="188"/>
        <v>0</v>
      </c>
      <c r="M1002" s="29">
        <f>+M347</f>
        <v>0</v>
      </c>
      <c r="N1002" s="29">
        <f>+N347</f>
        <v>0</v>
      </c>
      <c r="O1002" s="248">
        <f>SUM(C1002:N1002)</f>
        <v>177661.89696000004</v>
      </c>
    </row>
    <row r="1003" spans="2:15" s="3" customFormat="1" x14ac:dyDescent="0.35">
      <c r="B1003" s="1269" t="s">
        <v>43</v>
      </c>
      <c r="C1003" s="247">
        <f>SUM(C1004:C1005)</f>
        <v>0</v>
      </c>
      <c r="D1003" s="247">
        <f>+D1004+D1005</f>
        <v>0</v>
      </c>
      <c r="E1003" s="247">
        <f>+E1004+E1005</f>
        <v>0</v>
      </c>
      <c r="F1003" s="247">
        <f>+F1004+F1005</f>
        <v>0</v>
      </c>
      <c r="G1003" s="247">
        <f t="shared" ref="G1003:L1003" si="189">+G1004+G1005</f>
        <v>0</v>
      </c>
      <c r="H1003" s="247">
        <f t="shared" si="189"/>
        <v>0</v>
      </c>
      <c r="I1003" s="247">
        <f t="shared" si="189"/>
        <v>0</v>
      </c>
      <c r="J1003" s="247">
        <f t="shared" si="189"/>
        <v>0</v>
      </c>
      <c r="K1003" s="247">
        <f t="shared" si="189"/>
        <v>0</v>
      </c>
      <c r="L1003" s="247">
        <f t="shared" si="189"/>
        <v>0</v>
      </c>
      <c r="M1003" s="247">
        <f>+M1004+M1005</f>
        <v>0</v>
      </c>
      <c r="N1003" s="247">
        <f>+N1004+N1005</f>
        <v>0</v>
      </c>
      <c r="O1003" s="248">
        <f>SUM(C1003:N1003)</f>
        <v>0</v>
      </c>
    </row>
    <row r="1004" spans="2:15" s="3" customFormat="1" x14ac:dyDescent="0.35">
      <c r="B1004" s="113" t="s">
        <v>44</v>
      </c>
      <c r="C1004" s="29">
        <f>+C315</f>
        <v>0</v>
      </c>
      <c r="D1004" s="29">
        <f>+D315</f>
        <v>0</v>
      </c>
      <c r="E1004" s="29">
        <f t="shared" ref="E1004:L1005" si="190">+E315</f>
        <v>0</v>
      </c>
      <c r="F1004" s="29">
        <f t="shared" si="190"/>
        <v>0</v>
      </c>
      <c r="G1004" s="29">
        <f t="shared" si="190"/>
        <v>0</v>
      </c>
      <c r="H1004" s="29">
        <f t="shared" si="190"/>
        <v>0</v>
      </c>
      <c r="I1004" s="29">
        <f t="shared" si="190"/>
        <v>0</v>
      </c>
      <c r="J1004" s="29">
        <f t="shared" si="190"/>
        <v>0</v>
      </c>
      <c r="K1004" s="29">
        <f t="shared" si="190"/>
        <v>0</v>
      </c>
      <c r="L1004" s="29">
        <f t="shared" si="190"/>
        <v>0</v>
      </c>
      <c r="M1004" s="29">
        <f>+M315</f>
        <v>0</v>
      </c>
      <c r="N1004" s="29">
        <f>+N315</f>
        <v>0</v>
      </c>
      <c r="O1004" s="248">
        <f>SUM(C1004:N1004)</f>
        <v>0</v>
      </c>
    </row>
    <row r="1005" spans="2:15" s="3" customFormat="1" x14ac:dyDescent="0.35">
      <c r="B1005" s="113" t="s">
        <v>45</v>
      </c>
      <c r="C1005" s="29">
        <f>+C316</f>
        <v>0</v>
      </c>
      <c r="D1005" s="29">
        <f>+D316</f>
        <v>0</v>
      </c>
      <c r="E1005" s="29">
        <f t="shared" si="190"/>
        <v>0</v>
      </c>
      <c r="F1005" s="29">
        <f t="shared" si="190"/>
        <v>0</v>
      </c>
      <c r="G1005" s="29">
        <f t="shared" si="190"/>
        <v>0</v>
      </c>
      <c r="H1005" s="29">
        <f t="shared" si="190"/>
        <v>0</v>
      </c>
      <c r="I1005" s="29">
        <f t="shared" si="190"/>
        <v>0</v>
      </c>
      <c r="J1005" s="29">
        <f t="shared" si="190"/>
        <v>0</v>
      </c>
      <c r="K1005" s="29">
        <f t="shared" si="190"/>
        <v>0</v>
      </c>
      <c r="L1005" s="29">
        <f t="shared" si="190"/>
        <v>0</v>
      </c>
      <c r="M1005" s="29">
        <f>+M316</f>
        <v>0</v>
      </c>
      <c r="N1005" s="29">
        <f>+N316</f>
        <v>0</v>
      </c>
      <c r="O1005" s="248">
        <f>SUM(C1005:N1005)</f>
        <v>0</v>
      </c>
    </row>
    <row r="1006" spans="2:15" s="3" customFormat="1" x14ac:dyDescent="0.35">
      <c r="B1006" s="1269"/>
      <c r="C1006" s="29"/>
      <c r="D1006" s="29"/>
      <c r="E1006" s="29"/>
      <c r="F1006" s="29"/>
      <c r="G1006" s="29"/>
      <c r="H1006" s="29"/>
      <c r="I1006" s="29"/>
      <c r="J1006" s="29"/>
      <c r="K1006" s="29"/>
      <c r="L1006" s="29"/>
      <c r="M1006" s="29"/>
      <c r="N1006" s="29"/>
      <c r="O1006" s="270"/>
    </row>
    <row r="1007" spans="2:15" s="3" customFormat="1" x14ac:dyDescent="0.35">
      <c r="B1007" s="433" t="s">
        <v>36</v>
      </c>
      <c r="C1007" s="1303">
        <f>C999+C991</f>
        <v>328973.75726400001</v>
      </c>
      <c r="D1007" s="1303">
        <f>D999+D991</f>
        <v>401703.40655999933</v>
      </c>
      <c r="E1007" s="1303">
        <f>E999+E991</f>
        <v>401523.5660000004</v>
      </c>
      <c r="F1007" s="1303">
        <f>F999+F991</f>
        <v>355342.07200000004</v>
      </c>
      <c r="G1007" s="1303">
        <f t="shared" ref="G1007:L1007" si="191">G999+G991</f>
        <v>0</v>
      </c>
      <c r="H1007" s="1303">
        <f t="shared" si="191"/>
        <v>0</v>
      </c>
      <c r="I1007" s="1303">
        <f t="shared" si="191"/>
        <v>0</v>
      </c>
      <c r="J1007" s="1303">
        <f t="shared" si="191"/>
        <v>0</v>
      </c>
      <c r="K1007" s="1303">
        <f t="shared" si="191"/>
        <v>0</v>
      </c>
      <c r="L1007" s="1303">
        <f t="shared" si="191"/>
        <v>0</v>
      </c>
      <c r="M1007" s="1303">
        <f>M999+M991</f>
        <v>0</v>
      </c>
      <c r="N1007" s="1303">
        <f>N999+N991</f>
        <v>0</v>
      </c>
      <c r="O1007" s="1278">
        <f>SUM(C1007:N1007)</f>
        <v>1487542.8018239997</v>
      </c>
    </row>
    <row r="1008" spans="2:15" s="3" customFormat="1" x14ac:dyDescent="0.35">
      <c r="B1008" s="1304"/>
      <c r="C1008" s="244"/>
      <c r="D1008" s="244"/>
      <c r="E1008" s="244"/>
      <c r="F1008" s="244"/>
      <c r="G1008" s="244"/>
      <c r="H1008" s="244"/>
      <c r="I1008" s="244"/>
      <c r="J1008" s="244"/>
      <c r="K1008" s="244"/>
      <c r="L1008" s="244"/>
      <c r="M1008" s="244"/>
      <c r="N1008" s="244"/>
      <c r="O1008" s="248"/>
    </row>
    <row r="1009" spans="2:15" s="3" customFormat="1" x14ac:dyDescent="0.35">
      <c r="B1009" s="1269" t="s">
        <v>41</v>
      </c>
      <c r="C1009" s="247">
        <f>C993+C1001</f>
        <v>1942.1381999999996</v>
      </c>
      <c r="D1009" s="247">
        <f>D993+D1001</f>
        <v>1512.2029999999997</v>
      </c>
      <c r="E1009" s="247">
        <f t="shared" ref="E1009:L1010" si="192">E993+E1001</f>
        <v>3842.851000000001</v>
      </c>
      <c r="F1009" s="247">
        <f t="shared" si="192"/>
        <v>2784.3389999999995</v>
      </c>
      <c r="G1009" s="247">
        <f t="shared" si="192"/>
        <v>0</v>
      </c>
      <c r="H1009" s="247">
        <f t="shared" si="192"/>
        <v>0</v>
      </c>
      <c r="I1009" s="247">
        <f t="shared" si="192"/>
        <v>0</v>
      </c>
      <c r="J1009" s="247">
        <f t="shared" si="192"/>
        <v>0</v>
      </c>
      <c r="K1009" s="247">
        <f t="shared" si="192"/>
        <v>0</v>
      </c>
      <c r="L1009" s="247">
        <f t="shared" si="192"/>
        <v>0</v>
      </c>
      <c r="M1009" s="247">
        <f>M993+M1001</f>
        <v>0</v>
      </c>
      <c r="N1009" s="247">
        <f>N993+N1001</f>
        <v>0</v>
      </c>
      <c r="O1009" s="248">
        <f>SUM(C1009:N1009)</f>
        <v>10081.531199999999</v>
      </c>
    </row>
    <row r="1010" spans="2:15" s="3" customFormat="1" ht="15" customHeight="1" x14ac:dyDescent="0.35">
      <c r="B1010" s="1269" t="s">
        <v>42</v>
      </c>
      <c r="C1010" s="247">
        <f>C994+C1002</f>
        <v>322761.68706400006</v>
      </c>
      <c r="D1010" s="247">
        <f>D994+D1002</f>
        <v>396885.98655999935</v>
      </c>
      <c r="E1010" s="247">
        <f t="shared" si="192"/>
        <v>393671.70800000039</v>
      </c>
      <c r="F1010" s="247">
        <f t="shared" si="192"/>
        <v>349457.11500000005</v>
      </c>
      <c r="G1010" s="247">
        <f t="shared" si="192"/>
        <v>0</v>
      </c>
      <c r="H1010" s="247">
        <f t="shared" si="192"/>
        <v>0</v>
      </c>
      <c r="I1010" s="247">
        <f t="shared" si="192"/>
        <v>0</v>
      </c>
      <c r="J1010" s="247">
        <f t="shared" si="192"/>
        <v>0</v>
      </c>
      <c r="K1010" s="247">
        <f t="shared" si="192"/>
        <v>0</v>
      </c>
      <c r="L1010" s="247">
        <f t="shared" si="192"/>
        <v>0</v>
      </c>
      <c r="M1010" s="247">
        <f>M994+M1002</f>
        <v>0</v>
      </c>
      <c r="N1010" s="247">
        <f>N994+N1002</f>
        <v>0</v>
      </c>
      <c r="O1010" s="248">
        <f>SUM(C1010:N1010)</f>
        <v>1462776.4966239997</v>
      </c>
    </row>
    <row r="1011" spans="2:15" s="3" customFormat="1" ht="15" customHeight="1" x14ac:dyDescent="0.35">
      <c r="B1011" s="1269" t="s">
        <v>43</v>
      </c>
      <c r="C1011" s="247">
        <f>C995+C1003</f>
        <v>4269.9319999999998</v>
      </c>
      <c r="D1011" s="247">
        <f>+D1012+D1013</f>
        <v>3305.2169999999992</v>
      </c>
      <c r="E1011" s="247">
        <f>+E1012+E1013</f>
        <v>4009.0069999999996</v>
      </c>
      <c r="F1011" s="247">
        <f>+F1012+F1013</f>
        <v>3100.6179999999995</v>
      </c>
      <c r="G1011" s="247">
        <f t="shared" ref="G1011:L1011" si="193">+G1012+G1013</f>
        <v>0</v>
      </c>
      <c r="H1011" s="247">
        <f t="shared" si="193"/>
        <v>0</v>
      </c>
      <c r="I1011" s="247">
        <f t="shared" si="193"/>
        <v>0</v>
      </c>
      <c r="J1011" s="247">
        <f t="shared" si="193"/>
        <v>0</v>
      </c>
      <c r="K1011" s="247">
        <f t="shared" si="193"/>
        <v>0</v>
      </c>
      <c r="L1011" s="247">
        <f t="shared" si="193"/>
        <v>0</v>
      </c>
      <c r="M1011" s="247">
        <f>+M1012+M1013</f>
        <v>0</v>
      </c>
      <c r="N1011" s="247">
        <f>+N1012+N1013</f>
        <v>0</v>
      </c>
      <c r="O1011" s="248">
        <f>SUM(C1011:N1011)</f>
        <v>14684.773999999998</v>
      </c>
    </row>
    <row r="1012" spans="2:15" s="3" customFormat="1" x14ac:dyDescent="0.35">
      <c r="B1012" s="113" t="s">
        <v>44</v>
      </c>
      <c r="C1012" s="247">
        <f>C996+C1004</f>
        <v>4269.9319999999998</v>
      </c>
      <c r="D1012" s="29">
        <f>+D996+D1004</f>
        <v>3305.2169999999992</v>
      </c>
      <c r="E1012" s="29">
        <f t="shared" ref="E1012:L1013" si="194">+E996+E1004</f>
        <v>4009.0069999999996</v>
      </c>
      <c r="F1012" s="29">
        <f t="shared" si="194"/>
        <v>3100.6179999999995</v>
      </c>
      <c r="G1012" s="29">
        <f t="shared" si="194"/>
        <v>0</v>
      </c>
      <c r="H1012" s="29">
        <f t="shared" si="194"/>
        <v>0</v>
      </c>
      <c r="I1012" s="29">
        <f t="shared" si="194"/>
        <v>0</v>
      </c>
      <c r="J1012" s="29">
        <f t="shared" si="194"/>
        <v>0</v>
      </c>
      <c r="K1012" s="29">
        <f t="shared" si="194"/>
        <v>0</v>
      </c>
      <c r="L1012" s="29">
        <f t="shared" si="194"/>
        <v>0</v>
      </c>
      <c r="M1012" s="29">
        <f>+M996+M1004</f>
        <v>0</v>
      </c>
      <c r="N1012" s="29">
        <f>+N996+N1004</f>
        <v>0</v>
      </c>
      <c r="O1012" s="248">
        <f>SUM(C1012:N1012)</f>
        <v>14684.773999999998</v>
      </c>
    </row>
    <row r="1013" spans="2:15" s="3" customFormat="1" x14ac:dyDescent="0.35">
      <c r="B1013" s="113" t="s">
        <v>45</v>
      </c>
      <c r="C1013" s="247">
        <f>C997+C1005</f>
        <v>0</v>
      </c>
      <c r="D1013" s="29">
        <f>+D997+D1005</f>
        <v>0</v>
      </c>
      <c r="E1013" s="29">
        <f t="shared" si="194"/>
        <v>0</v>
      </c>
      <c r="F1013" s="29">
        <f t="shared" si="194"/>
        <v>0</v>
      </c>
      <c r="G1013" s="29">
        <f t="shared" si="194"/>
        <v>0</v>
      </c>
      <c r="H1013" s="29">
        <f t="shared" si="194"/>
        <v>0</v>
      </c>
      <c r="I1013" s="29">
        <f t="shared" si="194"/>
        <v>0</v>
      </c>
      <c r="J1013" s="29">
        <f t="shared" si="194"/>
        <v>0</v>
      </c>
      <c r="K1013" s="29">
        <f t="shared" si="194"/>
        <v>0</v>
      </c>
      <c r="L1013" s="29">
        <f t="shared" si="194"/>
        <v>0</v>
      </c>
      <c r="M1013" s="29">
        <f>+M997+M1005</f>
        <v>0</v>
      </c>
      <c r="N1013" s="29">
        <f>+N997+N1005</f>
        <v>0</v>
      </c>
      <c r="O1013" s="248">
        <f>SUM(C1013:N1013)</f>
        <v>0</v>
      </c>
    </row>
    <row r="1014" spans="2:15" s="3" customFormat="1" x14ac:dyDescent="0.35">
      <c r="B1014" s="115"/>
      <c r="C1014" s="116"/>
      <c r="D1014" s="116"/>
      <c r="E1014" s="116"/>
      <c r="F1014" s="116"/>
      <c r="G1014" s="116"/>
      <c r="H1014" s="116"/>
      <c r="I1014" s="116"/>
      <c r="J1014" s="116"/>
      <c r="K1014" s="116"/>
      <c r="L1014" s="116"/>
      <c r="M1014" s="116"/>
      <c r="N1014" s="116"/>
      <c r="O1014" s="272"/>
    </row>
    <row r="1015" spans="2:15" s="3" customFormat="1" x14ac:dyDescent="0.35">
      <c r="B1015" s="117"/>
      <c r="C1015" s="118"/>
      <c r="D1015" s="118"/>
      <c r="E1015" s="118"/>
      <c r="F1015" s="118"/>
      <c r="G1015" s="118"/>
      <c r="H1015" s="118"/>
      <c r="I1015" s="118"/>
      <c r="J1015" s="118"/>
      <c r="K1015" s="118"/>
      <c r="L1015" s="118"/>
      <c r="M1015" s="118"/>
      <c r="N1015" s="118"/>
      <c r="O1015" s="273"/>
    </row>
    <row r="1016" spans="2:15" s="3" customFormat="1" x14ac:dyDescent="0.35">
      <c r="B1016" s="1075" t="s">
        <v>166</v>
      </c>
      <c r="C1016" s="1075"/>
      <c r="D1016" s="1075"/>
      <c r="E1016" s="1075"/>
      <c r="F1016" s="1075"/>
      <c r="G1016" s="1075"/>
      <c r="H1016" s="1075"/>
      <c r="I1016" s="1075"/>
      <c r="J1016" s="1075"/>
      <c r="K1016" s="1075"/>
      <c r="L1016" s="1075"/>
      <c r="M1016" s="1075"/>
      <c r="N1016" s="1075"/>
      <c r="O1016" s="1075"/>
    </row>
    <row r="1017" spans="2:15" s="3" customFormat="1" x14ac:dyDescent="0.35">
      <c r="B1017" s="105"/>
      <c r="C1017" s="106"/>
      <c r="D1017" s="106"/>
      <c r="E1017" s="106"/>
      <c r="F1017" s="106"/>
      <c r="G1017" s="106"/>
      <c r="H1017" s="106"/>
      <c r="I1017" s="106"/>
      <c r="J1017" s="106"/>
      <c r="K1017" s="106"/>
      <c r="L1017" s="106"/>
      <c r="M1017" s="106"/>
      <c r="N1017" s="106"/>
      <c r="O1017" s="11"/>
    </row>
    <row r="1018" spans="2:15" s="3" customFormat="1" x14ac:dyDescent="0.35">
      <c r="B1018" s="1068" t="s">
        <v>535</v>
      </c>
      <c r="C1018" s="1068"/>
      <c r="D1018" s="1068"/>
      <c r="E1018" s="1068"/>
      <c r="F1018" s="1068"/>
      <c r="G1018" s="1068"/>
      <c r="H1018" s="1068"/>
      <c r="I1018" s="1068"/>
      <c r="J1018" s="1068"/>
      <c r="K1018" s="1068"/>
      <c r="L1018" s="1068"/>
      <c r="M1018" s="1068"/>
      <c r="N1018" s="1068"/>
      <c r="O1018" s="1068"/>
    </row>
    <row r="1019" spans="2:15" s="3" customFormat="1" x14ac:dyDescent="0.35">
      <c r="B1019" s="1020"/>
      <c r="C1019" s="274"/>
      <c r="D1019" s="274"/>
      <c r="E1019" s="274"/>
      <c r="F1019" s="274"/>
      <c r="G1019" s="274"/>
      <c r="H1019" s="274"/>
      <c r="I1019" s="274"/>
      <c r="J1019" s="274"/>
      <c r="K1019" s="274"/>
      <c r="L1019" s="274"/>
      <c r="M1019" s="274"/>
      <c r="N1019" s="1305"/>
      <c r="O1019" s="11"/>
    </row>
    <row r="1020" spans="2:15" s="3" customFormat="1" ht="15" customHeight="1" x14ac:dyDescent="0.35">
      <c r="B1020" s="1074" t="s">
        <v>13</v>
      </c>
      <c r="C1020" s="1112" t="s">
        <v>0</v>
      </c>
      <c r="D1020" s="1112" t="s">
        <v>1</v>
      </c>
      <c r="E1020" s="1112" t="s">
        <v>2</v>
      </c>
      <c r="F1020" s="1112" t="s">
        <v>3</v>
      </c>
      <c r="G1020" s="1112" t="s">
        <v>4</v>
      </c>
      <c r="H1020" s="1112" t="s">
        <v>5</v>
      </c>
      <c r="I1020" s="1112" t="s">
        <v>6</v>
      </c>
      <c r="J1020" s="1112" t="s">
        <v>7</v>
      </c>
      <c r="K1020" s="1112" t="s">
        <v>8</v>
      </c>
      <c r="L1020" s="1112" t="s">
        <v>9</v>
      </c>
      <c r="M1020" s="1112" t="s">
        <v>10</v>
      </c>
      <c r="N1020" s="1112" t="s">
        <v>14</v>
      </c>
      <c r="O1020" s="1077" t="s">
        <v>15</v>
      </c>
    </row>
    <row r="1021" spans="2:15" s="3" customFormat="1" ht="15" customHeight="1" x14ac:dyDescent="0.35">
      <c r="B1021" s="1080"/>
      <c r="C1021" s="1145"/>
      <c r="D1021" s="1145"/>
      <c r="E1021" s="1145"/>
      <c r="F1021" s="1145"/>
      <c r="G1021" s="1145"/>
      <c r="H1021" s="1145"/>
      <c r="I1021" s="1145"/>
      <c r="J1021" s="1145"/>
      <c r="K1021" s="1145"/>
      <c r="L1021" s="1145"/>
      <c r="M1021" s="1145"/>
      <c r="N1021" s="1145"/>
      <c r="O1021" s="1088"/>
    </row>
    <row r="1022" spans="2:15" s="3" customFormat="1" x14ac:dyDescent="0.35">
      <c r="B1022" s="1018"/>
      <c r="C1022" s="1119"/>
      <c r="D1022" s="1119"/>
      <c r="E1022" s="1119"/>
      <c r="F1022" s="1119"/>
      <c r="G1022" s="1119"/>
      <c r="H1022" s="1119"/>
      <c r="I1022" s="1119"/>
      <c r="J1022" s="1119"/>
      <c r="K1022" s="1119"/>
      <c r="L1022" s="1119"/>
      <c r="M1022" s="1119"/>
      <c r="N1022" s="1119"/>
      <c r="O1022" s="1178"/>
    </row>
    <row r="1023" spans="2:15" s="3" customFormat="1" x14ac:dyDescent="0.35">
      <c r="B1023" s="1306" t="s">
        <v>47</v>
      </c>
      <c r="C1023" s="162">
        <f>+C1025+C1031+C1033</f>
        <v>2795698.9846400041</v>
      </c>
      <c r="D1023" s="162">
        <f>+D1025+D1031+D1033</f>
        <v>2687689.4707389991</v>
      </c>
      <c r="E1023" s="162">
        <f>+E1025+E1031+E1033</f>
        <v>3163895.8866400006</v>
      </c>
      <c r="F1023" s="162">
        <f>+F1025+F1031+F1033</f>
        <v>3038562.9621999972</v>
      </c>
      <c r="G1023" s="162">
        <f t="shared" ref="G1023:L1023" si="195">+G1025+G1031+G1033</f>
        <v>0</v>
      </c>
      <c r="H1023" s="162">
        <f t="shared" si="195"/>
        <v>0</v>
      </c>
      <c r="I1023" s="162">
        <f t="shared" si="195"/>
        <v>0</v>
      </c>
      <c r="J1023" s="162">
        <f t="shared" si="195"/>
        <v>0</v>
      </c>
      <c r="K1023" s="162">
        <f t="shared" si="195"/>
        <v>0</v>
      </c>
      <c r="L1023" s="162">
        <f t="shared" si="195"/>
        <v>0</v>
      </c>
      <c r="M1023" s="162">
        <f>+M1025+M1031+M1033</f>
        <v>0</v>
      </c>
      <c r="N1023" s="162">
        <f>+N1025+N1031+N1033</f>
        <v>0</v>
      </c>
      <c r="O1023" s="163">
        <f>SUM(C1023:N1023)</f>
        <v>11685847.304219002</v>
      </c>
    </row>
    <row r="1024" spans="2:15" s="3" customFormat="1" x14ac:dyDescent="0.35">
      <c r="B1024" s="1306"/>
      <c r="C1024" s="162"/>
      <c r="D1024" s="162"/>
      <c r="E1024" s="162"/>
      <c r="F1024" s="162"/>
      <c r="G1024" s="162"/>
      <c r="H1024" s="162"/>
      <c r="I1024" s="162"/>
      <c r="J1024" s="162"/>
      <c r="K1024" s="162"/>
      <c r="L1024" s="162"/>
      <c r="M1024" s="162"/>
      <c r="N1024" s="162"/>
      <c r="O1024" s="163"/>
    </row>
    <row r="1025" spans="2:15" s="3" customFormat="1" x14ac:dyDescent="0.35">
      <c r="B1025" s="1307" t="s">
        <v>167</v>
      </c>
      <c r="C1025" s="275">
        <f>SUM(C1027:C1029)</f>
        <v>2104546.5357760051</v>
      </c>
      <c r="D1025" s="275">
        <f>SUM(D1027:D1029)</f>
        <v>1938015.9147389997</v>
      </c>
      <c r="E1025" s="275">
        <f t="shared" ref="E1025:M1025" si="196">SUM(E1027:E1029)</f>
        <v>2338644.4846400009</v>
      </c>
      <c r="F1025" s="275">
        <f t="shared" si="196"/>
        <v>2214435.3629999971</v>
      </c>
      <c r="G1025" s="275">
        <f t="shared" si="196"/>
        <v>0</v>
      </c>
      <c r="H1025" s="275">
        <f t="shared" si="196"/>
        <v>0</v>
      </c>
      <c r="I1025" s="275">
        <f t="shared" si="196"/>
        <v>0</v>
      </c>
      <c r="J1025" s="275">
        <f t="shared" si="196"/>
        <v>0</v>
      </c>
      <c r="K1025" s="275">
        <f t="shared" si="196"/>
        <v>0</v>
      </c>
      <c r="L1025" s="275">
        <f t="shared" si="196"/>
        <v>0</v>
      </c>
      <c r="M1025" s="275">
        <f t="shared" si="196"/>
        <v>0</v>
      </c>
      <c r="N1025" s="275">
        <f>SUM(N1027:N1029)</f>
        <v>0</v>
      </c>
      <c r="O1025" s="276">
        <f>SUM(C1025:N1025)</f>
        <v>8595642.2981550023</v>
      </c>
    </row>
    <row r="1026" spans="2:15" s="3" customFormat="1" x14ac:dyDescent="0.35">
      <c r="B1026" s="1307"/>
      <c r="C1026" s="275"/>
      <c r="D1026" s="275"/>
      <c r="E1026" s="275"/>
      <c r="F1026" s="275"/>
      <c r="G1026" s="275"/>
      <c r="H1026" s="275"/>
      <c r="I1026" s="275"/>
      <c r="J1026" s="275"/>
      <c r="K1026" s="275"/>
      <c r="L1026" s="275"/>
      <c r="M1026" s="275"/>
      <c r="N1026" s="275"/>
      <c r="O1026" s="276"/>
    </row>
    <row r="1027" spans="2:15" s="3" customFormat="1" x14ac:dyDescent="0.35">
      <c r="B1027" s="1275" t="s">
        <v>168</v>
      </c>
      <c r="C1027" s="167">
        <f t="shared" ref="C1027:M1029" si="197">+C704</f>
        <v>618417.55604100053</v>
      </c>
      <c r="D1027" s="167">
        <f t="shared" si="197"/>
        <v>536725.43083999993</v>
      </c>
      <c r="E1027" s="167">
        <f t="shared" si="197"/>
        <v>561818.17999999993</v>
      </c>
      <c r="F1027" s="167">
        <f t="shared" si="197"/>
        <v>688145.89799999993</v>
      </c>
      <c r="G1027" s="167">
        <f t="shared" si="197"/>
        <v>0</v>
      </c>
      <c r="H1027" s="167">
        <f t="shared" si="197"/>
        <v>0</v>
      </c>
      <c r="I1027" s="167">
        <f t="shared" si="197"/>
        <v>0</v>
      </c>
      <c r="J1027" s="167">
        <f t="shared" si="197"/>
        <v>0</v>
      </c>
      <c r="K1027" s="167">
        <f t="shared" si="197"/>
        <v>0</v>
      </c>
      <c r="L1027" s="167">
        <f t="shared" si="197"/>
        <v>0</v>
      </c>
      <c r="M1027" s="167">
        <f t="shared" si="197"/>
        <v>0</v>
      </c>
      <c r="N1027" s="167">
        <f>+N704</f>
        <v>0</v>
      </c>
      <c r="O1027" s="277">
        <f>SUM(C1027:N1027)</f>
        <v>2405107.0648810002</v>
      </c>
    </row>
    <row r="1028" spans="2:15" s="3" customFormat="1" x14ac:dyDescent="0.35">
      <c r="B1028" s="1275" t="s">
        <v>169</v>
      </c>
      <c r="C1028" s="167">
        <f t="shared" si="197"/>
        <v>1398594.9867350047</v>
      </c>
      <c r="D1028" s="167">
        <f t="shared" si="197"/>
        <v>1313432.5063989998</v>
      </c>
      <c r="E1028" s="167">
        <f t="shared" si="197"/>
        <v>1672035.0976400012</v>
      </c>
      <c r="F1028" s="167">
        <f t="shared" si="197"/>
        <v>1460682.7279899972</v>
      </c>
      <c r="G1028" s="167">
        <f t="shared" si="197"/>
        <v>0</v>
      </c>
      <c r="H1028" s="167">
        <f t="shared" si="197"/>
        <v>0</v>
      </c>
      <c r="I1028" s="167">
        <f t="shared" si="197"/>
        <v>0</v>
      </c>
      <c r="J1028" s="167">
        <f t="shared" si="197"/>
        <v>0</v>
      </c>
      <c r="K1028" s="167">
        <f t="shared" si="197"/>
        <v>0</v>
      </c>
      <c r="L1028" s="167">
        <f t="shared" si="197"/>
        <v>0</v>
      </c>
      <c r="M1028" s="167">
        <f t="shared" si="197"/>
        <v>0</v>
      </c>
      <c r="N1028" s="167">
        <f>+N705</f>
        <v>0</v>
      </c>
      <c r="O1028" s="277">
        <f>SUM(C1028:N1028)</f>
        <v>5844745.318764003</v>
      </c>
    </row>
    <row r="1029" spans="2:15" s="3" customFormat="1" x14ac:dyDescent="0.35">
      <c r="B1029" s="1275" t="s">
        <v>170</v>
      </c>
      <c r="C1029" s="167">
        <f t="shared" si="197"/>
        <v>87533.993000000017</v>
      </c>
      <c r="D1029" s="167">
        <f t="shared" si="197"/>
        <v>87857.977500000008</v>
      </c>
      <c r="E1029" s="167">
        <f t="shared" si="197"/>
        <v>104791.20700000002</v>
      </c>
      <c r="F1029" s="167">
        <f t="shared" si="197"/>
        <v>65606.737010000012</v>
      </c>
      <c r="G1029" s="167">
        <f t="shared" si="197"/>
        <v>0</v>
      </c>
      <c r="H1029" s="167">
        <f t="shared" si="197"/>
        <v>0</v>
      </c>
      <c r="I1029" s="167">
        <f t="shared" si="197"/>
        <v>0</v>
      </c>
      <c r="J1029" s="167">
        <f t="shared" si="197"/>
        <v>0</v>
      </c>
      <c r="K1029" s="167">
        <f t="shared" si="197"/>
        <v>0</v>
      </c>
      <c r="L1029" s="167">
        <f t="shared" si="197"/>
        <v>0</v>
      </c>
      <c r="M1029" s="167">
        <f t="shared" si="197"/>
        <v>0</v>
      </c>
      <c r="N1029" s="167">
        <f>+N706</f>
        <v>0</v>
      </c>
      <c r="O1029" s="277">
        <f>SUM(C1029:N1029)</f>
        <v>345789.91451000003</v>
      </c>
    </row>
    <row r="1030" spans="2:15" s="3" customFormat="1" x14ac:dyDescent="0.35">
      <c r="B1030" s="1307"/>
      <c r="C1030" s="275"/>
      <c r="D1030" s="275"/>
      <c r="E1030" s="275"/>
      <c r="F1030" s="275"/>
      <c r="G1030" s="275"/>
      <c r="H1030" s="275"/>
      <c r="I1030" s="275"/>
      <c r="J1030" s="275"/>
      <c r="K1030" s="275"/>
      <c r="L1030" s="275"/>
      <c r="M1030" s="275"/>
      <c r="N1030" s="275"/>
      <c r="O1030" s="270"/>
    </row>
    <row r="1031" spans="2:15" s="3" customFormat="1" x14ac:dyDescent="0.35">
      <c r="B1031" s="1307" t="s">
        <v>171</v>
      </c>
      <c r="C1031" s="275">
        <f>+C731</f>
        <v>414045.28999999899</v>
      </c>
      <c r="D1031" s="275">
        <f>+D731</f>
        <v>402851.22999999986</v>
      </c>
      <c r="E1031" s="275">
        <f>+E731</f>
        <v>479195.82299999933</v>
      </c>
      <c r="F1031" s="275">
        <f>+F731</f>
        <v>484231.7582000001</v>
      </c>
      <c r="G1031" s="275">
        <f t="shared" ref="G1031:L1031" si="198">+G731</f>
        <v>0</v>
      </c>
      <c r="H1031" s="275">
        <f t="shared" si="198"/>
        <v>0</v>
      </c>
      <c r="I1031" s="275">
        <f t="shared" si="198"/>
        <v>0</v>
      </c>
      <c r="J1031" s="275">
        <f t="shared" si="198"/>
        <v>0</v>
      </c>
      <c r="K1031" s="275">
        <f t="shared" si="198"/>
        <v>0</v>
      </c>
      <c r="L1031" s="275">
        <f t="shared" si="198"/>
        <v>0</v>
      </c>
      <c r="M1031" s="275">
        <f>+M731</f>
        <v>0</v>
      </c>
      <c r="N1031" s="275">
        <f>+N731</f>
        <v>0</v>
      </c>
      <c r="O1031" s="276">
        <f>SUM(C1031:N1031)</f>
        <v>1780324.1011999983</v>
      </c>
    </row>
    <row r="1032" spans="2:15" s="3" customFormat="1" x14ac:dyDescent="0.35">
      <c r="B1032" s="1307"/>
      <c r="C1032" s="139"/>
      <c r="D1032" s="275"/>
      <c r="E1032" s="275"/>
      <c r="F1032" s="275"/>
      <c r="G1032" s="275"/>
      <c r="H1032" s="275"/>
      <c r="I1032" s="275"/>
      <c r="J1032" s="275"/>
      <c r="K1032" s="275"/>
      <c r="L1032" s="275"/>
      <c r="M1032" s="275"/>
      <c r="N1032" s="275"/>
      <c r="O1032" s="276"/>
    </row>
    <row r="1033" spans="2:15" s="3" customFormat="1" x14ac:dyDescent="0.35">
      <c r="B1033" s="1307" t="s">
        <v>172</v>
      </c>
      <c r="C1033" s="275">
        <f>SUM(C1035:C1037)</f>
        <v>277107.158864</v>
      </c>
      <c r="D1033" s="275">
        <f>SUM(D1035:D1037)</f>
        <v>346822.32599999936</v>
      </c>
      <c r="E1033" s="275">
        <f t="shared" ref="E1033:M1033" si="199">SUM(E1035:E1037)</f>
        <v>346055.57900000038</v>
      </c>
      <c r="F1033" s="275">
        <f t="shared" si="199"/>
        <v>339895.84100000001</v>
      </c>
      <c r="G1033" s="275">
        <f t="shared" si="199"/>
        <v>0</v>
      </c>
      <c r="H1033" s="275">
        <f t="shared" si="199"/>
        <v>0</v>
      </c>
      <c r="I1033" s="275">
        <f t="shared" si="199"/>
        <v>0</v>
      </c>
      <c r="J1033" s="275">
        <f t="shared" si="199"/>
        <v>0</v>
      </c>
      <c r="K1033" s="275">
        <f t="shared" si="199"/>
        <v>0</v>
      </c>
      <c r="L1033" s="275">
        <f t="shared" si="199"/>
        <v>0</v>
      </c>
      <c r="M1033" s="275">
        <f t="shared" si="199"/>
        <v>0</v>
      </c>
      <c r="N1033" s="275">
        <f>SUM(N1035:N1037)</f>
        <v>0</v>
      </c>
      <c r="O1033" s="276">
        <f>SUM(C1033:N1033)</f>
        <v>1309880.9048639997</v>
      </c>
    </row>
    <row r="1034" spans="2:15" s="3" customFormat="1" x14ac:dyDescent="0.35">
      <c r="B1034" s="1307"/>
      <c r="C1034" s="275"/>
      <c r="D1034" s="275"/>
      <c r="E1034" s="275"/>
      <c r="F1034" s="275"/>
      <c r="G1034" s="275"/>
      <c r="H1034" s="275"/>
      <c r="I1034" s="275"/>
      <c r="J1034" s="275"/>
      <c r="K1034" s="275"/>
      <c r="L1034" s="275"/>
      <c r="M1034" s="275"/>
      <c r="N1034" s="275"/>
      <c r="O1034" s="276"/>
    </row>
    <row r="1035" spans="2:15" s="3" customFormat="1" x14ac:dyDescent="0.35">
      <c r="B1035" s="1275" t="s">
        <v>168</v>
      </c>
      <c r="C1035" s="278">
        <f t="shared" ref="C1035:M1037" si="200">+C993</f>
        <v>1942.1381999999996</v>
      </c>
      <c r="D1035" s="167">
        <f t="shared" si="200"/>
        <v>1512.2029999999997</v>
      </c>
      <c r="E1035" s="167">
        <f t="shared" si="200"/>
        <v>3842.851000000001</v>
      </c>
      <c r="F1035" s="167">
        <f t="shared" si="200"/>
        <v>2784.3389999999995</v>
      </c>
      <c r="G1035" s="167">
        <f t="shared" si="200"/>
        <v>0</v>
      </c>
      <c r="H1035" s="167">
        <f t="shared" si="200"/>
        <v>0</v>
      </c>
      <c r="I1035" s="167">
        <f t="shared" si="200"/>
        <v>0</v>
      </c>
      <c r="J1035" s="167">
        <f t="shared" si="200"/>
        <v>0</v>
      </c>
      <c r="K1035" s="167">
        <f t="shared" si="200"/>
        <v>0</v>
      </c>
      <c r="L1035" s="167">
        <f t="shared" si="200"/>
        <v>0</v>
      </c>
      <c r="M1035" s="167">
        <f t="shared" si="200"/>
        <v>0</v>
      </c>
      <c r="N1035" s="167">
        <f>+N993</f>
        <v>0</v>
      </c>
      <c r="O1035" s="277">
        <f>SUM(C1035:N1035)</f>
        <v>10081.531199999999</v>
      </c>
    </row>
    <row r="1036" spans="2:15" s="3" customFormat="1" x14ac:dyDescent="0.35">
      <c r="B1036" s="1275" t="s">
        <v>169</v>
      </c>
      <c r="C1036" s="278">
        <f t="shared" si="200"/>
        <v>270895.08866400004</v>
      </c>
      <c r="D1036" s="167">
        <f t="shared" si="200"/>
        <v>342004.90599999938</v>
      </c>
      <c r="E1036" s="167">
        <f t="shared" si="200"/>
        <v>338203.72100000037</v>
      </c>
      <c r="F1036" s="167">
        <f t="shared" si="200"/>
        <v>334010.88400000002</v>
      </c>
      <c r="G1036" s="167">
        <f t="shared" si="200"/>
        <v>0</v>
      </c>
      <c r="H1036" s="167">
        <f t="shared" si="200"/>
        <v>0</v>
      </c>
      <c r="I1036" s="167">
        <f t="shared" si="200"/>
        <v>0</v>
      </c>
      <c r="J1036" s="167">
        <f t="shared" si="200"/>
        <v>0</v>
      </c>
      <c r="K1036" s="167">
        <f t="shared" si="200"/>
        <v>0</v>
      </c>
      <c r="L1036" s="167">
        <f t="shared" si="200"/>
        <v>0</v>
      </c>
      <c r="M1036" s="167">
        <f t="shared" si="200"/>
        <v>0</v>
      </c>
      <c r="N1036" s="167">
        <f>+N994</f>
        <v>0</v>
      </c>
      <c r="O1036" s="277">
        <f>SUM(C1036:N1036)</f>
        <v>1285114.5996639999</v>
      </c>
    </row>
    <row r="1037" spans="2:15" s="3" customFormat="1" x14ac:dyDescent="0.35">
      <c r="B1037" s="1275" t="s">
        <v>170</v>
      </c>
      <c r="C1037" s="278">
        <f t="shared" si="200"/>
        <v>4269.9319999999998</v>
      </c>
      <c r="D1037" s="167">
        <f t="shared" si="200"/>
        <v>3305.2169999999992</v>
      </c>
      <c r="E1037" s="167">
        <f t="shared" si="200"/>
        <v>4009.0069999999996</v>
      </c>
      <c r="F1037" s="167">
        <f t="shared" si="200"/>
        <v>3100.6179999999995</v>
      </c>
      <c r="G1037" s="167">
        <f t="shared" si="200"/>
        <v>0</v>
      </c>
      <c r="H1037" s="167">
        <f t="shared" si="200"/>
        <v>0</v>
      </c>
      <c r="I1037" s="167">
        <f t="shared" si="200"/>
        <v>0</v>
      </c>
      <c r="J1037" s="167">
        <f t="shared" si="200"/>
        <v>0</v>
      </c>
      <c r="K1037" s="167">
        <f t="shared" si="200"/>
        <v>0</v>
      </c>
      <c r="L1037" s="167">
        <f t="shared" si="200"/>
        <v>0</v>
      </c>
      <c r="M1037" s="167">
        <f t="shared" si="200"/>
        <v>0</v>
      </c>
      <c r="N1037" s="167">
        <f>+N995</f>
        <v>0</v>
      </c>
      <c r="O1037" s="277">
        <f>SUM(C1037:N1037)</f>
        <v>14684.773999999998</v>
      </c>
    </row>
    <row r="1038" spans="2:15" s="3" customFormat="1" x14ac:dyDescent="0.35">
      <c r="B1038" s="1304"/>
      <c r="C1038" s="169"/>
      <c r="D1038" s="169"/>
      <c r="E1038" s="169"/>
      <c r="F1038" s="169"/>
      <c r="G1038" s="169"/>
      <c r="H1038" s="169"/>
      <c r="I1038" s="169"/>
      <c r="J1038" s="169"/>
      <c r="K1038" s="169"/>
      <c r="L1038" s="169"/>
      <c r="M1038" s="169"/>
      <c r="N1038" s="169"/>
      <c r="O1038" s="270"/>
    </row>
    <row r="1039" spans="2:15" s="3" customFormat="1" x14ac:dyDescent="0.35">
      <c r="B1039" s="1307" t="s">
        <v>173</v>
      </c>
      <c r="C1039" s="275">
        <f>SUM(C1040:C1042)</f>
        <v>272996.28686400014</v>
      </c>
      <c r="D1039" s="275">
        <f>SUM(D1040:D1042)</f>
        <v>335506.47899999935</v>
      </c>
      <c r="E1039" s="275">
        <f t="shared" ref="E1039:M1039" si="201">SUM(E1040:E1042)</f>
        <v>343208.61300000024</v>
      </c>
      <c r="F1039" s="275">
        <f t="shared" si="201"/>
        <v>334632.48700000008</v>
      </c>
      <c r="G1039" s="275">
        <f t="shared" si="201"/>
        <v>0</v>
      </c>
      <c r="H1039" s="275">
        <f t="shared" si="201"/>
        <v>0</v>
      </c>
      <c r="I1039" s="275">
        <f t="shared" si="201"/>
        <v>0</v>
      </c>
      <c r="J1039" s="275">
        <f t="shared" si="201"/>
        <v>0</v>
      </c>
      <c r="K1039" s="275">
        <f t="shared" si="201"/>
        <v>0</v>
      </c>
      <c r="L1039" s="275">
        <f t="shared" si="201"/>
        <v>0</v>
      </c>
      <c r="M1039" s="275">
        <f t="shared" si="201"/>
        <v>0</v>
      </c>
      <c r="N1039" s="275">
        <f>SUM(N1040:N1042)</f>
        <v>0</v>
      </c>
      <c r="O1039" s="276">
        <f>SUM(C1039:N1039)</f>
        <v>1286343.8658639998</v>
      </c>
    </row>
    <row r="1040" spans="2:15" s="3" customFormat="1" x14ac:dyDescent="0.35">
      <c r="B1040" s="1275" t="s">
        <v>62</v>
      </c>
      <c r="C1040" s="278">
        <f t="shared" ref="C1040:M1043" si="202">+C751</f>
        <v>114656.55878400002</v>
      </c>
      <c r="D1040" s="167">
        <f t="shared" si="202"/>
        <v>194139.88599999953</v>
      </c>
      <c r="E1040" s="167">
        <f t="shared" si="202"/>
        <v>216448.23200000028</v>
      </c>
      <c r="F1040" s="167">
        <f t="shared" si="202"/>
        <v>203374.92600000004</v>
      </c>
      <c r="G1040" s="167">
        <f t="shared" si="202"/>
        <v>0</v>
      </c>
      <c r="H1040" s="167">
        <f t="shared" si="202"/>
        <v>0</v>
      </c>
      <c r="I1040" s="167">
        <f t="shared" si="202"/>
        <v>0</v>
      </c>
      <c r="J1040" s="167">
        <f t="shared" si="202"/>
        <v>0</v>
      </c>
      <c r="K1040" s="167">
        <f t="shared" si="202"/>
        <v>0</v>
      </c>
      <c r="L1040" s="167">
        <f t="shared" si="202"/>
        <v>0</v>
      </c>
      <c r="M1040" s="167">
        <f t="shared" si="202"/>
        <v>0</v>
      </c>
      <c r="N1040" s="167">
        <f>+N751</f>
        <v>0</v>
      </c>
      <c r="O1040" s="277">
        <f>SUM(C1040:N1040)</f>
        <v>728619.60278399987</v>
      </c>
    </row>
    <row r="1041" spans="2:20" s="3" customFormat="1" x14ac:dyDescent="0.35">
      <c r="B1041" s="1275" t="s">
        <v>63</v>
      </c>
      <c r="C1041" s="278">
        <f t="shared" si="202"/>
        <v>158339.72808000009</v>
      </c>
      <c r="D1041" s="167">
        <f t="shared" si="202"/>
        <v>141338.89299999981</v>
      </c>
      <c r="E1041" s="167">
        <f t="shared" si="202"/>
        <v>126760.38099999994</v>
      </c>
      <c r="F1041" s="167">
        <f t="shared" si="202"/>
        <v>131246.56200000003</v>
      </c>
      <c r="G1041" s="167">
        <f t="shared" si="202"/>
        <v>0</v>
      </c>
      <c r="H1041" s="167">
        <f t="shared" si="202"/>
        <v>0</v>
      </c>
      <c r="I1041" s="167">
        <f t="shared" si="202"/>
        <v>0</v>
      </c>
      <c r="J1041" s="167">
        <f t="shared" si="202"/>
        <v>0</v>
      </c>
      <c r="K1041" s="167">
        <f t="shared" si="202"/>
        <v>0</v>
      </c>
      <c r="L1041" s="167">
        <f t="shared" si="202"/>
        <v>0</v>
      </c>
      <c r="M1041" s="167">
        <f t="shared" si="202"/>
        <v>0</v>
      </c>
      <c r="N1041" s="167">
        <f>+N752</f>
        <v>0</v>
      </c>
      <c r="O1041" s="277">
        <f>SUM(C1041:N1041)</f>
        <v>557685.56407999992</v>
      </c>
    </row>
    <row r="1042" spans="2:20" s="3" customFormat="1" x14ac:dyDescent="0.35">
      <c r="B1042" s="1275" t="s">
        <v>64</v>
      </c>
      <c r="C1042" s="278">
        <f t="shared" si="202"/>
        <v>0</v>
      </c>
      <c r="D1042" s="167">
        <f t="shared" si="202"/>
        <v>27.7</v>
      </c>
      <c r="E1042" s="167">
        <f t="shared" si="202"/>
        <v>0</v>
      </c>
      <c r="F1042" s="167">
        <f t="shared" si="202"/>
        <v>10.999000000000001</v>
      </c>
      <c r="G1042" s="167">
        <f t="shared" si="202"/>
        <v>0</v>
      </c>
      <c r="H1042" s="167">
        <f t="shared" si="202"/>
        <v>0</v>
      </c>
      <c r="I1042" s="167">
        <f t="shared" si="202"/>
        <v>0</v>
      </c>
      <c r="J1042" s="167">
        <f t="shared" si="202"/>
        <v>0</v>
      </c>
      <c r="K1042" s="167">
        <f t="shared" si="202"/>
        <v>0</v>
      </c>
      <c r="L1042" s="167">
        <f t="shared" si="202"/>
        <v>0</v>
      </c>
      <c r="M1042" s="167">
        <f t="shared" si="202"/>
        <v>0</v>
      </c>
      <c r="N1042" s="167">
        <f>+N753</f>
        <v>0</v>
      </c>
      <c r="O1042" s="277">
        <f>SUM(C1042:N1042)</f>
        <v>38.698999999999998</v>
      </c>
    </row>
    <row r="1043" spans="2:20" s="3" customFormat="1" x14ac:dyDescent="0.35">
      <c r="B1043" s="1308" t="s">
        <v>174</v>
      </c>
      <c r="C1043" s="278">
        <f t="shared" si="202"/>
        <v>4110.8719999999994</v>
      </c>
      <c r="D1043" s="279">
        <f t="shared" si="202"/>
        <v>11315.846999999998</v>
      </c>
      <c r="E1043" s="279">
        <f t="shared" si="202"/>
        <v>2846.9660000000017</v>
      </c>
      <c r="F1043" s="279">
        <f t="shared" si="202"/>
        <v>5263.3540000000039</v>
      </c>
      <c r="G1043" s="279">
        <f t="shared" si="202"/>
        <v>0</v>
      </c>
      <c r="H1043" s="279">
        <f t="shared" si="202"/>
        <v>0</v>
      </c>
      <c r="I1043" s="279">
        <f t="shared" si="202"/>
        <v>0</v>
      </c>
      <c r="J1043" s="279">
        <f t="shared" si="202"/>
        <v>0</v>
      </c>
      <c r="K1043" s="279">
        <f t="shared" si="202"/>
        <v>0</v>
      </c>
      <c r="L1043" s="279">
        <f t="shared" si="202"/>
        <v>0</v>
      </c>
      <c r="M1043" s="279">
        <f t="shared" si="202"/>
        <v>0</v>
      </c>
      <c r="N1043" s="279">
        <f>+N754</f>
        <v>0</v>
      </c>
      <c r="O1043" s="280">
        <f>SUM(C1043:N1043)</f>
        <v>23537.039000000001</v>
      </c>
    </row>
    <row r="1044" spans="2:20" s="3" customFormat="1" x14ac:dyDescent="0.35">
      <c r="B1044" s="1309"/>
      <c r="C1044" s="139"/>
      <c r="D1044" s="847"/>
      <c r="E1044" s="847"/>
      <c r="F1044" s="847"/>
      <c r="G1044" s="847"/>
      <c r="H1044" s="847"/>
      <c r="I1044" s="847"/>
      <c r="J1044" s="847"/>
      <c r="K1044" s="847"/>
      <c r="L1044" s="847"/>
      <c r="M1044" s="847"/>
      <c r="N1044" s="847"/>
      <c r="O1044" s="270"/>
    </row>
    <row r="1045" spans="2:20" s="3" customFormat="1" x14ac:dyDescent="0.35">
      <c r="B1045" s="1306" t="s">
        <v>56</v>
      </c>
      <c r="C1045" s="162">
        <f>+C1047+C1053+C1055</f>
        <v>1335029.9043999969</v>
      </c>
      <c r="D1045" s="162">
        <f>+D1047+D1053+D1055</f>
        <v>1190650.1340499993</v>
      </c>
      <c r="E1045" s="162">
        <f>+E1047+E1053+E1055</f>
        <v>1098876.6179999998</v>
      </c>
      <c r="F1045" s="162">
        <f>+F1047+F1053+F1055</f>
        <v>1221261.916</v>
      </c>
      <c r="G1045" s="162">
        <f t="shared" ref="G1045:L1045" si="203">+G1047+G1053+G1055</f>
        <v>0</v>
      </c>
      <c r="H1045" s="162">
        <f t="shared" si="203"/>
        <v>0</v>
      </c>
      <c r="I1045" s="162">
        <f t="shared" si="203"/>
        <v>0</v>
      </c>
      <c r="J1045" s="162">
        <f t="shared" si="203"/>
        <v>0</v>
      </c>
      <c r="K1045" s="162">
        <f t="shared" si="203"/>
        <v>0</v>
      </c>
      <c r="L1045" s="162">
        <f t="shared" si="203"/>
        <v>0</v>
      </c>
      <c r="M1045" s="162">
        <f>+M1047+M1053+M1055</f>
        <v>0</v>
      </c>
      <c r="N1045" s="162">
        <f>+N1047+N1053+N1055</f>
        <v>0</v>
      </c>
      <c r="O1045" s="163">
        <f>SUM(C1045:N1045)</f>
        <v>4845818.5724499961</v>
      </c>
    </row>
    <row r="1046" spans="2:20" s="3" customFormat="1" x14ac:dyDescent="0.35">
      <c r="B1046" s="1306"/>
      <c r="C1046" s="162"/>
      <c r="D1046" s="162"/>
      <c r="E1046" s="162"/>
      <c r="F1046" s="162"/>
      <c r="G1046" s="162"/>
      <c r="H1046" s="162"/>
      <c r="I1046" s="162"/>
      <c r="J1046" s="162"/>
      <c r="K1046" s="162"/>
      <c r="L1046" s="162"/>
      <c r="M1046" s="162"/>
      <c r="N1046" s="162"/>
      <c r="O1046" s="163"/>
    </row>
    <row r="1047" spans="2:20" s="3" customFormat="1" x14ac:dyDescent="0.35">
      <c r="B1047" s="1307" t="s">
        <v>167</v>
      </c>
      <c r="C1047" s="275">
        <f>SUM(C1049:C1051)</f>
        <v>905764.5579999967</v>
      </c>
      <c r="D1047" s="275">
        <f>SUM(D1049:D1051)</f>
        <v>742501.53548999934</v>
      </c>
      <c r="E1047" s="275">
        <f t="shared" ref="E1047:M1047" si="204">SUM(E1049:E1051)</f>
        <v>643479.94999999995</v>
      </c>
      <c r="F1047" s="275">
        <f t="shared" si="204"/>
        <v>778269.12199999997</v>
      </c>
      <c r="G1047" s="275">
        <f t="shared" si="204"/>
        <v>0</v>
      </c>
      <c r="H1047" s="275">
        <f t="shared" si="204"/>
        <v>0</v>
      </c>
      <c r="I1047" s="275">
        <f t="shared" si="204"/>
        <v>0</v>
      </c>
      <c r="J1047" s="275">
        <f t="shared" si="204"/>
        <v>0</v>
      </c>
      <c r="K1047" s="275">
        <f t="shared" si="204"/>
        <v>0</v>
      </c>
      <c r="L1047" s="275">
        <f t="shared" si="204"/>
        <v>0</v>
      </c>
      <c r="M1047" s="275">
        <f t="shared" si="204"/>
        <v>0</v>
      </c>
      <c r="N1047" s="275">
        <f>SUM(N1049:N1051)</f>
        <v>0</v>
      </c>
      <c r="O1047" s="276">
        <f>SUM(C1047:N1047)</f>
        <v>3070015.1654899963</v>
      </c>
    </row>
    <row r="1048" spans="2:20" s="3" customFormat="1" x14ac:dyDescent="0.35">
      <c r="B1048" s="1307"/>
      <c r="C1048" s="275"/>
      <c r="D1048" s="275"/>
      <c r="E1048" s="275"/>
      <c r="F1048" s="275"/>
      <c r="G1048" s="275"/>
      <c r="H1048" s="275"/>
      <c r="I1048" s="275"/>
      <c r="J1048" s="275"/>
      <c r="K1048" s="275"/>
      <c r="L1048" s="275"/>
      <c r="M1048" s="275"/>
      <c r="N1048" s="275"/>
      <c r="O1048" s="276"/>
    </row>
    <row r="1049" spans="2:20" s="3" customFormat="1" x14ac:dyDescent="0.35">
      <c r="B1049" s="1275" t="s">
        <v>168</v>
      </c>
      <c r="C1049" s="278">
        <f t="shared" ref="C1049:M1051" si="205">+C712</f>
        <v>448697.95699999999</v>
      </c>
      <c r="D1049" s="167">
        <f t="shared" si="205"/>
        <v>284029.36499999993</v>
      </c>
      <c r="E1049" s="167">
        <f t="shared" si="205"/>
        <v>232469.65800000002</v>
      </c>
      <c r="F1049" s="167">
        <f t="shared" si="205"/>
        <v>290201.364</v>
      </c>
      <c r="G1049" s="167">
        <f t="shared" si="205"/>
        <v>0</v>
      </c>
      <c r="H1049" s="167">
        <f t="shared" si="205"/>
        <v>0</v>
      </c>
      <c r="I1049" s="167">
        <f t="shared" si="205"/>
        <v>0</v>
      </c>
      <c r="J1049" s="167">
        <f t="shared" si="205"/>
        <v>0</v>
      </c>
      <c r="K1049" s="167">
        <f t="shared" si="205"/>
        <v>0</v>
      </c>
      <c r="L1049" s="167">
        <f t="shared" si="205"/>
        <v>0</v>
      </c>
      <c r="M1049" s="167">
        <f t="shared" si="205"/>
        <v>0</v>
      </c>
      <c r="N1049" s="167">
        <f>+N712</f>
        <v>0</v>
      </c>
      <c r="O1049" s="277">
        <f>SUM(C1049:N1049)</f>
        <v>1255398.344</v>
      </c>
    </row>
    <row r="1050" spans="2:20" s="3" customFormat="1" x14ac:dyDescent="0.35">
      <c r="B1050" s="1275" t="s">
        <v>169</v>
      </c>
      <c r="C1050" s="278">
        <f t="shared" si="205"/>
        <v>456783.18499999668</v>
      </c>
      <c r="D1050" s="167">
        <f t="shared" si="205"/>
        <v>457866.33048999938</v>
      </c>
      <c r="E1050" s="167">
        <f t="shared" si="205"/>
        <v>408471.12899999984</v>
      </c>
      <c r="F1050" s="167">
        <f t="shared" si="205"/>
        <v>486945.78199999989</v>
      </c>
      <c r="G1050" s="167">
        <f t="shared" si="205"/>
        <v>0</v>
      </c>
      <c r="H1050" s="167">
        <f t="shared" si="205"/>
        <v>0</v>
      </c>
      <c r="I1050" s="167">
        <f t="shared" si="205"/>
        <v>0</v>
      </c>
      <c r="J1050" s="167">
        <f t="shared" si="205"/>
        <v>0</v>
      </c>
      <c r="K1050" s="167">
        <f t="shared" si="205"/>
        <v>0</v>
      </c>
      <c r="L1050" s="167">
        <f t="shared" si="205"/>
        <v>0</v>
      </c>
      <c r="M1050" s="167">
        <f t="shared" si="205"/>
        <v>0</v>
      </c>
      <c r="N1050" s="167">
        <f>+N713</f>
        <v>0</v>
      </c>
      <c r="O1050" s="277">
        <f>SUM(C1050:N1050)</f>
        <v>1810066.4264899958</v>
      </c>
    </row>
    <row r="1051" spans="2:20" s="3" customFormat="1" x14ac:dyDescent="0.35">
      <c r="B1051" s="1275" t="s">
        <v>170</v>
      </c>
      <c r="C1051" s="278">
        <f t="shared" si="205"/>
        <v>283.416</v>
      </c>
      <c r="D1051" s="167">
        <f t="shared" si="205"/>
        <v>605.84</v>
      </c>
      <c r="E1051" s="167">
        <f t="shared" si="205"/>
        <v>2539.1630000000009</v>
      </c>
      <c r="F1051" s="167">
        <f t="shared" si="205"/>
        <v>1121.9759999999999</v>
      </c>
      <c r="G1051" s="167">
        <f t="shared" si="205"/>
        <v>0</v>
      </c>
      <c r="H1051" s="167">
        <f t="shared" si="205"/>
        <v>0</v>
      </c>
      <c r="I1051" s="167">
        <f t="shared" si="205"/>
        <v>0</v>
      </c>
      <c r="J1051" s="167">
        <f t="shared" si="205"/>
        <v>0</v>
      </c>
      <c r="K1051" s="167">
        <f t="shared" si="205"/>
        <v>0</v>
      </c>
      <c r="L1051" s="167">
        <f t="shared" si="205"/>
        <v>0</v>
      </c>
      <c r="M1051" s="167">
        <f t="shared" si="205"/>
        <v>0</v>
      </c>
      <c r="N1051" s="167">
        <f>+N714</f>
        <v>0</v>
      </c>
      <c r="O1051" s="277">
        <f>SUM(C1051:N1051)</f>
        <v>4550.3950000000004</v>
      </c>
    </row>
    <row r="1052" spans="2:20" s="3" customFormat="1" ht="22.5" customHeight="1" x14ac:dyDescent="0.35">
      <c r="B1052" s="1307"/>
      <c r="C1052" s="275"/>
      <c r="D1052" s="275"/>
      <c r="E1052" s="275"/>
      <c r="F1052" s="275"/>
      <c r="G1052" s="275"/>
      <c r="H1052" s="275"/>
      <c r="I1052" s="275"/>
      <c r="J1052" s="275"/>
      <c r="K1052" s="275"/>
      <c r="L1052" s="275"/>
      <c r="M1052" s="275"/>
      <c r="N1052" s="275"/>
      <c r="O1052" s="276"/>
    </row>
    <row r="1053" spans="2:20" s="3" customFormat="1" x14ac:dyDescent="0.35">
      <c r="B1053" s="1307" t="s">
        <v>171</v>
      </c>
      <c r="C1053" s="275">
        <f>+C735</f>
        <v>377398.74800000008</v>
      </c>
      <c r="D1053" s="275">
        <f>+D735</f>
        <v>393267.51799999992</v>
      </c>
      <c r="E1053" s="275">
        <f>+E735</f>
        <v>399928.68099999992</v>
      </c>
      <c r="F1053" s="275">
        <f>+F735</f>
        <v>427546.56300000014</v>
      </c>
      <c r="G1053" s="275">
        <f t="shared" ref="G1053:L1053" si="206">+G735</f>
        <v>0</v>
      </c>
      <c r="H1053" s="275">
        <f t="shared" si="206"/>
        <v>0</v>
      </c>
      <c r="I1053" s="275">
        <f t="shared" si="206"/>
        <v>0</v>
      </c>
      <c r="J1053" s="275">
        <f t="shared" si="206"/>
        <v>0</v>
      </c>
      <c r="K1053" s="275">
        <f t="shared" si="206"/>
        <v>0</v>
      </c>
      <c r="L1053" s="275">
        <f t="shared" si="206"/>
        <v>0</v>
      </c>
      <c r="M1053" s="275">
        <f>+M735</f>
        <v>0</v>
      </c>
      <c r="N1053" s="275">
        <f>+N735</f>
        <v>0</v>
      </c>
      <c r="O1053" s="276">
        <f>SUM(C1053:N1053)</f>
        <v>1598141.51</v>
      </c>
    </row>
    <row r="1054" spans="2:20" ht="15" customHeight="1" x14ac:dyDescent="0.35">
      <c r="B1054" s="1307"/>
      <c r="C1054" s="275"/>
      <c r="D1054" s="275"/>
      <c r="E1054" s="275"/>
      <c r="F1054" s="275"/>
      <c r="G1054" s="275"/>
      <c r="H1054" s="275"/>
      <c r="I1054" s="275"/>
      <c r="J1054" s="275"/>
      <c r="K1054" s="275"/>
      <c r="L1054" s="275"/>
      <c r="M1054" s="275"/>
      <c r="N1054" s="275"/>
      <c r="O1054" s="270"/>
      <c r="P1054" s="3"/>
      <c r="Q1054" s="3"/>
      <c r="R1054" s="3"/>
      <c r="S1054" s="3"/>
      <c r="T1054" s="3"/>
    </row>
    <row r="1055" spans="2:20" ht="28.5" customHeight="1" x14ac:dyDescent="0.35">
      <c r="B1055" s="1307" t="s">
        <v>172</v>
      </c>
      <c r="C1055" s="275">
        <f>SUM(C1057:C1059)</f>
        <v>51866.59840000001</v>
      </c>
      <c r="D1055" s="275">
        <f>SUM(D1057:D1059)</f>
        <v>54881.080559999995</v>
      </c>
      <c r="E1055" s="275">
        <f t="shared" ref="E1055:M1055" si="207">SUM(E1057:E1059)</f>
        <v>55467.98700000003</v>
      </c>
      <c r="F1055" s="275">
        <f t="shared" si="207"/>
        <v>15446.231000000007</v>
      </c>
      <c r="G1055" s="275">
        <f t="shared" si="207"/>
        <v>0</v>
      </c>
      <c r="H1055" s="275">
        <f t="shared" si="207"/>
        <v>0</v>
      </c>
      <c r="I1055" s="275">
        <f t="shared" si="207"/>
        <v>0</v>
      </c>
      <c r="J1055" s="275">
        <f t="shared" si="207"/>
        <v>0</v>
      </c>
      <c r="K1055" s="275">
        <f t="shared" si="207"/>
        <v>0</v>
      </c>
      <c r="L1055" s="275">
        <f t="shared" si="207"/>
        <v>0</v>
      </c>
      <c r="M1055" s="275">
        <f t="shared" si="207"/>
        <v>0</v>
      </c>
      <c r="N1055" s="275">
        <f>SUM(N1057:N1059)</f>
        <v>0</v>
      </c>
      <c r="O1055" s="276">
        <f>SUM(C1055:N1055)</f>
        <v>177661.89696000004</v>
      </c>
    </row>
    <row r="1056" spans="2:20" s="3" customFormat="1" ht="15" customHeight="1" x14ac:dyDescent="0.35">
      <c r="B1056" s="1307"/>
      <c r="C1056" s="275"/>
      <c r="D1056" s="275"/>
      <c r="E1056" s="275"/>
      <c r="F1056" s="275"/>
      <c r="G1056" s="275"/>
      <c r="H1056" s="275"/>
      <c r="I1056" s="275"/>
      <c r="J1056" s="275"/>
      <c r="K1056" s="275"/>
      <c r="L1056" s="275"/>
      <c r="M1056" s="275"/>
      <c r="N1056" s="275"/>
      <c r="O1056" s="276"/>
      <c r="P1056" s="324"/>
      <c r="Q1056" s="324"/>
      <c r="R1056" s="324"/>
      <c r="S1056" s="324"/>
      <c r="T1056" s="324"/>
    </row>
    <row r="1057" spans="1:32" s="3" customFormat="1" x14ac:dyDescent="0.35">
      <c r="B1057" s="1275" t="s">
        <v>168</v>
      </c>
      <c r="C1057" s="278">
        <f t="shared" ref="C1057:M1059" si="208">+C1001</f>
        <v>0</v>
      </c>
      <c r="D1057" s="167">
        <f t="shared" si="208"/>
        <v>0</v>
      </c>
      <c r="E1057" s="167">
        <f t="shared" si="208"/>
        <v>0</v>
      </c>
      <c r="F1057" s="167">
        <f t="shared" si="208"/>
        <v>0</v>
      </c>
      <c r="G1057" s="167">
        <f t="shared" si="208"/>
        <v>0</v>
      </c>
      <c r="H1057" s="167">
        <f t="shared" si="208"/>
        <v>0</v>
      </c>
      <c r="I1057" s="167">
        <f t="shared" si="208"/>
        <v>0</v>
      </c>
      <c r="J1057" s="167">
        <f t="shared" si="208"/>
        <v>0</v>
      </c>
      <c r="K1057" s="167">
        <f t="shared" si="208"/>
        <v>0</v>
      </c>
      <c r="L1057" s="167">
        <f t="shared" si="208"/>
        <v>0</v>
      </c>
      <c r="M1057" s="167">
        <f t="shared" si="208"/>
        <v>0</v>
      </c>
      <c r="N1057" s="167">
        <f>+N1001</f>
        <v>0</v>
      </c>
      <c r="O1057" s="277">
        <f>SUM(C1057:N1057)</f>
        <v>0</v>
      </c>
    </row>
    <row r="1058" spans="1:32" s="3" customFormat="1" x14ac:dyDescent="0.35">
      <c r="B1058" s="1275" t="s">
        <v>169</v>
      </c>
      <c r="C1058" s="278">
        <f t="shared" si="208"/>
        <v>51866.59840000001</v>
      </c>
      <c r="D1058" s="167">
        <f t="shared" si="208"/>
        <v>54881.080559999995</v>
      </c>
      <c r="E1058" s="167">
        <f t="shared" si="208"/>
        <v>55467.98700000003</v>
      </c>
      <c r="F1058" s="167">
        <f t="shared" si="208"/>
        <v>15446.231000000007</v>
      </c>
      <c r="G1058" s="167">
        <f t="shared" si="208"/>
        <v>0</v>
      </c>
      <c r="H1058" s="167">
        <f t="shared" si="208"/>
        <v>0</v>
      </c>
      <c r="I1058" s="167">
        <f t="shared" si="208"/>
        <v>0</v>
      </c>
      <c r="J1058" s="167">
        <f t="shared" si="208"/>
        <v>0</v>
      </c>
      <c r="K1058" s="167">
        <f t="shared" si="208"/>
        <v>0</v>
      </c>
      <c r="L1058" s="167">
        <f t="shared" si="208"/>
        <v>0</v>
      </c>
      <c r="M1058" s="167">
        <f t="shared" si="208"/>
        <v>0</v>
      </c>
      <c r="N1058" s="167">
        <f>+N1002</f>
        <v>0</v>
      </c>
      <c r="O1058" s="277">
        <f>SUM(C1058:N1058)</f>
        <v>177661.89696000004</v>
      </c>
    </row>
    <row r="1059" spans="1:32" s="3" customFormat="1" x14ac:dyDescent="0.35">
      <c r="B1059" s="1275" t="s">
        <v>170</v>
      </c>
      <c r="C1059" s="278">
        <f t="shared" si="208"/>
        <v>0</v>
      </c>
      <c r="D1059" s="167">
        <f t="shared" si="208"/>
        <v>0</v>
      </c>
      <c r="E1059" s="167">
        <f t="shared" si="208"/>
        <v>0</v>
      </c>
      <c r="F1059" s="167">
        <f t="shared" si="208"/>
        <v>0</v>
      </c>
      <c r="G1059" s="167">
        <f t="shared" si="208"/>
        <v>0</v>
      </c>
      <c r="H1059" s="167">
        <f t="shared" si="208"/>
        <v>0</v>
      </c>
      <c r="I1059" s="167">
        <f t="shared" si="208"/>
        <v>0</v>
      </c>
      <c r="J1059" s="167">
        <f t="shared" si="208"/>
        <v>0</v>
      </c>
      <c r="K1059" s="167">
        <f t="shared" si="208"/>
        <v>0</v>
      </c>
      <c r="L1059" s="167">
        <f t="shared" si="208"/>
        <v>0</v>
      </c>
      <c r="M1059" s="167">
        <f t="shared" si="208"/>
        <v>0</v>
      </c>
      <c r="N1059" s="167">
        <f>+N1003</f>
        <v>0</v>
      </c>
      <c r="O1059" s="277">
        <f>SUM(C1059:N1059)</f>
        <v>0</v>
      </c>
    </row>
    <row r="1060" spans="1:32" s="3" customFormat="1" x14ac:dyDescent="0.35">
      <c r="B1060" s="1304"/>
      <c r="C1060" s="275"/>
      <c r="D1060" s="275"/>
      <c r="E1060" s="275"/>
      <c r="F1060" s="275"/>
      <c r="G1060" s="275"/>
      <c r="H1060" s="275"/>
      <c r="I1060" s="275"/>
      <c r="J1060" s="275"/>
      <c r="K1060" s="275"/>
      <c r="L1060" s="275"/>
      <c r="M1060" s="275"/>
      <c r="N1060" s="275"/>
      <c r="O1060" s="270"/>
    </row>
    <row r="1061" spans="1:32" s="3" customFormat="1" x14ac:dyDescent="0.35">
      <c r="B1061" s="1307" t="s">
        <v>173</v>
      </c>
      <c r="C1061" s="279">
        <f>SUM(C1062:C1064)</f>
        <v>51866.59840000001</v>
      </c>
      <c r="D1061" s="279">
        <f>SUM(D1062:D1064)</f>
        <v>54881.080559999995</v>
      </c>
      <c r="E1061" s="279">
        <f t="shared" ref="E1061:M1061" si="209">SUM(E1062:E1064)</f>
        <v>55467.98700000003</v>
      </c>
      <c r="F1061" s="279">
        <f t="shared" si="209"/>
        <v>15446.231000000007</v>
      </c>
      <c r="G1061" s="279">
        <f t="shared" si="209"/>
        <v>0</v>
      </c>
      <c r="H1061" s="279">
        <f t="shared" si="209"/>
        <v>0</v>
      </c>
      <c r="I1061" s="279">
        <f t="shared" si="209"/>
        <v>0</v>
      </c>
      <c r="J1061" s="279">
        <f t="shared" si="209"/>
        <v>0</v>
      </c>
      <c r="K1061" s="279">
        <f t="shared" si="209"/>
        <v>0</v>
      </c>
      <c r="L1061" s="279">
        <f t="shared" si="209"/>
        <v>0</v>
      </c>
      <c r="M1061" s="279">
        <f t="shared" si="209"/>
        <v>0</v>
      </c>
      <c r="N1061" s="279">
        <f>SUM(N1062:N1064)</f>
        <v>0</v>
      </c>
      <c r="O1061" s="281">
        <f>SUM(C1061:N1061)</f>
        <v>177661.89696000004</v>
      </c>
    </row>
    <row r="1062" spans="1:32" s="3" customFormat="1" x14ac:dyDescent="0.35">
      <c r="B1062" s="1275" t="s">
        <v>62</v>
      </c>
      <c r="C1062" s="278">
        <f t="shared" ref="C1062:M1065" si="210">+C758</f>
        <v>3503.0304000000006</v>
      </c>
      <c r="D1062" s="167">
        <f t="shared" si="210"/>
        <v>5884.6815599999991</v>
      </c>
      <c r="E1062" s="167">
        <f t="shared" si="210"/>
        <v>9531.8559999999998</v>
      </c>
      <c r="F1062" s="167">
        <f t="shared" si="210"/>
        <v>13050.387000000006</v>
      </c>
      <c r="G1062" s="167">
        <f t="shared" si="210"/>
        <v>0</v>
      </c>
      <c r="H1062" s="167">
        <f t="shared" si="210"/>
        <v>0</v>
      </c>
      <c r="I1062" s="167">
        <f t="shared" si="210"/>
        <v>0</v>
      </c>
      <c r="J1062" s="167">
        <f t="shared" si="210"/>
        <v>0</v>
      </c>
      <c r="K1062" s="167">
        <f t="shared" si="210"/>
        <v>0</v>
      </c>
      <c r="L1062" s="167">
        <f t="shared" si="210"/>
        <v>0</v>
      </c>
      <c r="M1062" s="167">
        <f t="shared" si="210"/>
        <v>0</v>
      </c>
      <c r="N1062" s="167">
        <f>+N758</f>
        <v>0</v>
      </c>
      <c r="O1062" s="277">
        <f>SUM(C1062:N1062)</f>
        <v>31969.954960000006</v>
      </c>
    </row>
    <row r="1063" spans="1:32" s="3" customFormat="1" x14ac:dyDescent="0.35">
      <c r="B1063" s="1275" t="s">
        <v>63</v>
      </c>
      <c r="C1063" s="278">
        <f t="shared" si="210"/>
        <v>48363.568000000007</v>
      </c>
      <c r="D1063" s="167">
        <f t="shared" si="210"/>
        <v>48996.398999999998</v>
      </c>
      <c r="E1063" s="167">
        <f t="shared" si="210"/>
        <v>45936.13100000003</v>
      </c>
      <c r="F1063" s="167">
        <f t="shared" si="210"/>
        <v>2395.8440000000001</v>
      </c>
      <c r="G1063" s="167">
        <f t="shared" si="210"/>
        <v>0</v>
      </c>
      <c r="H1063" s="167">
        <f t="shared" si="210"/>
        <v>0</v>
      </c>
      <c r="I1063" s="167">
        <f t="shared" si="210"/>
        <v>0</v>
      </c>
      <c r="J1063" s="167">
        <f t="shared" si="210"/>
        <v>0</v>
      </c>
      <c r="K1063" s="167">
        <f t="shared" si="210"/>
        <v>0</v>
      </c>
      <c r="L1063" s="167">
        <f t="shared" si="210"/>
        <v>0</v>
      </c>
      <c r="M1063" s="167">
        <f t="shared" si="210"/>
        <v>0</v>
      </c>
      <c r="N1063" s="167">
        <f>+N759</f>
        <v>0</v>
      </c>
      <c r="O1063" s="277">
        <f>SUM(C1063:N1063)</f>
        <v>145691.94200000004</v>
      </c>
    </row>
    <row r="1064" spans="1:32" s="3" customFormat="1" x14ac:dyDescent="0.35">
      <c r="B1064" s="1275" t="s">
        <v>64</v>
      </c>
      <c r="C1064" s="278">
        <f t="shared" si="210"/>
        <v>0</v>
      </c>
      <c r="D1064" s="167">
        <f t="shared" si="210"/>
        <v>0</v>
      </c>
      <c r="E1064" s="167">
        <f t="shared" si="210"/>
        <v>0</v>
      </c>
      <c r="F1064" s="167">
        <f t="shared" si="210"/>
        <v>0</v>
      </c>
      <c r="G1064" s="167">
        <f t="shared" si="210"/>
        <v>0</v>
      </c>
      <c r="H1064" s="167">
        <f t="shared" si="210"/>
        <v>0</v>
      </c>
      <c r="I1064" s="167">
        <f t="shared" si="210"/>
        <v>0</v>
      </c>
      <c r="J1064" s="167">
        <f t="shared" si="210"/>
        <v>0</v>
      </c>
      <c r="K1064" s="167">
        <f t="shared" si="210"/>
        <v>0</v>
      </c>
      <c r="L1064" s="167">
        <f t="shared" si="210"/>
        <v>0</v>
      </c>
      <c r="M1064" s="167">
        <f t="shared" si="210"/>
        <v>0</v>
      </c>
      <c r="N1064" s="167">
        <f>+N760</f>
        <v>0</v>
      </c>
      <c r="O1064" s="277">
        <f>SUM(C1064:N1064)</f>
        <v>0</v>
      </c>
    </row>
    <row r="1065" spans="1:32" s="3" customFormat="1" x14ac:dyDescent="0.35">
      <c r="B1065" s="1308" t="s">
        <v>174</v>
      </c>
      <c r="C1065" s="279">
        <f t="shared" si="210"/>
        <v>0</v>
      </c>
      <c r="D1065" s="279">
        <f t="shared" si="210"/>
        <v>0</v>
      </c>
      <c r="E1065" s="279">
        <f t="shared" si="210"/>
        <v>0</v>
      </c>
      <c r="F1065" s="279">
        <f t="shared" si="210"/>
        <v>0</v>
      </c>
      <c r="G1065" s="279">
        <f t="shared" si="210"/>
        <v>0</v>
      </c>
      <c r="H1065" s="279">
        <f t="shared" si="210"/>
        <v>0</v>
      </c>
      <c r="I1065" s="279">
        <f t="shared" si="210"/>
        <v>0</v>
      </c>
      <c r="J1065" s="279">
        <f t="shared" si="210"/>
        <v>0</v>
      </c>
      <c r="K1065" s="279">
        <f t="shared" si="210"/>
        <v>0</v>
      </c>
      <c r="L1065" s="279">
        <f t="shared" si="210"/>
        <v>0</v>
      </c>
      <c r="M1065" s="279">
        <f t="shared" si="210"/>
        <v>0</v>
      </c>
      <c r="N1065" s="279">
        <f>+N761</f>
        <v>0</v>
      </c>
      <c r="O1065" s="280">
        <f>SUM(C1065:N1065)</f>
        <v>0</v>
      </c>
    </row>
    <row r="1066" spans="1:32" s="3" customFormat="1" x14ac:dyDescent="0.35">
      <c r="B1066" s="1308"/>
      <c r="C1066" s="279"/>
      <c r="D1066" s="279"/>
      <c r="E1066" s="279"/>
      <c r="F1066" s="279"/>
      <c r="G1066" s="279"/>
      <c r="H1066" s="279"/>
      <c r="I1066" s="279"/>
      <c r="J1066" s="279"/>
      <c r="K1066" s="279"/>
      <c r="L1066" s="279"/>
      <c r="M1066" s="279"/>
      <c r="N1066" s="279"/>
      <c r="O1066" s="270"/>
    </row>
    <row r="1067" spans="1:32" s="3" customFormat="1" x14ac:dyDescent="0.35">
      <c r="B1067" s="431" t="s">
        <v>175</v>
      </c>
      <c r="C1067" s="1270">
        <f>C1023+C1045</f>
        <v>4130728.8890400007</v>
      </c>
      <c r="D1067" s="1270">
        <f>D1023+D1045</f>
        <v>3878339.6047889981</v>
      </c>
      <c r="E1067" s="1270">
        <f>E1023+E1045</f>
        <v>4262772.5046399999</v>
      </c>
      <c r="F1067" s="1270">
        <f>F1023+F1045</f>
        <v>4259824.8781999974</v>
      </c>
      <c r="G1067" s="1270">
        <f t="shared" ref="G1067:L1067" si="211">G1023+G1045</f>
        <v>0</v>
      </c>
      <c r="H1067" s="1270">
        <f t="shared" si="211"/>
        <v>0</v>
      </c>
      <c r="I1067" s="1270">
        <f t="shared" si="211"/>
        <v>0</v>
      </c>
      <c r="J1067" s="1270">
        <f t="shared" si="211"/>
        <v>0</v>
      </c>
      <c r="K1067" s="1270">
        <f t="shared" si="211"/>
        <v>0</v>
      </c>
      <c r="L1067" s="1270">
        <f t="shared" si="211"/>
        <v>0</v>
      </c>
      <c r="M1067" s="1270">
        <f>M1023+M1045</f>
        <v>0</v>
      </c>
      <c r="N1067" s="1270">
        <f>N1023+N1045</f>
        <v>0</v>
      </c>
      <c r="O1067" s="1271">
        <f>SUM(C1067:N1067)</f>
        <v>16531665.876668997</v>
      </c>
    </row>
    <row r="1068" spans="1:32" s="3" customFormat="1" x14ac:dyDescent="0.35">
      <c r="B1068" s="1310"/>
      <c r="C1068" s="282"/>
      <c r="D1068" s="282"/>
      <c r="E1068" s="282"/>
      <c r="F1068" s="282"/>
      <c r="G1068" s="282"/>
      <c r="H1068" s="282"/>
      <c r="I1068" s="282"/>
      <c r="J1068" s="282"/>
      <c r="K1068" s="282"/>
      <c r="L1068" s="282"/>
      <c r="M1068" s="282"/>
      <c r="N1068" s="282"/>
      <c r="O1068" s="270"/>
      <c r="T1068" s="735" t="s">
        <v>452</v>
      </c>
      <c r="U1068" s="704" t="s">
        <v>404</v>
      </c>
      <c r="V1068" s="704" t="s">
        <v>405</v>
      </c>
      <c r="W1068" s="704" t="s">
        <v>406</v>
      </c>
      <c r="X1068" s="704" t="s">
        <v>407</v>
      </c>
      <c r="Y1068" s="704" t="s">
        <v>408</v>
      </c>
      <c r="Z1068" s="704" t="s">
        <v>409</v>
      </c>
      <c r="AA1068" s="704" t="s">
        <v>410</v>
      </c>
      <c r="AB1068" s="704" t="s">
        <v>411</v>
      </c>
      <c r="AC1068" s="704" t="s">
        <v>412</v>
      </c>
      <c r="AD1068" s="704" t="s">
        <v>413</v>
      </c>
      <c r="AE1068" s="704" t="s">
        <v>414</v>
      </c>
      <c r="AF1068" s="704" t="s">
        <v>415</v>
      </c>
    </row>
    <row r="1069" spans="1:32" s="3" customFormat="1" ht="18.5" x14ac:dyDescent="0.45">
      <c r="A1069" s="359"/>
      <c r="B1069" s="1307" t="s">
        <v>167</v>
      </c>
      <c r="C1069" s="275">
        <f>C1025+C1047</f>
        <v>3010311.0937760016</v>
      </c>
      <c r="D1069" s="275">
        <f>D1025+D1047</f>
        <v>2680517.4502289989</v>
      </c>
      <c r="E1069" s="275">
        <f>E1025+E1047</f>
        <v>2982124.4346400006</v>
      </c>
      <c r="F1069" s="275">
        <f>F1025+F1047</f>
        <v>2992704.4849999971</v>
      </c>
      <c r="G1069" s="275">
        <f t="shared" ref="G1069:L1069" si="212">G1025+G1047</f>
        <v>0</v>
      </c>
      <c r="H1069" s="275">
        <f t="shared" si="212"/>
        <v>0</v>
      </c>
      <c r="I1069" s="275">
        <f t="shared" si="212"/>
        <v>0</v>
      </c>
      <c r="J1069" s="275">
        <f t="shared" si="212"/>
        <v>0</v>
      </c>
      <c r="K1069" s="275">
        <f t="shared" si="212"/>
        <v>0</v>
      </c>
      <c r="L1069" s="275">
        <f t="shared" si="212"/>
        <v>0</v>
      </c>
      <c r="M1069" s="275">
        <f>M1025+M1047</f>
        <v>0</v>
      </c>
      <c r="N1069" s="275">
        <f>N1025+N1047</f>
        <v>0</v>
      </c>
      <c r="O1069" s="276">
        <f>SUM(C1069:N1069)</f>
        <v>11665657.463644998</v>
      </c>
      <c r="P1069" s="28">
        <f>O1069/$O$1067</f>
        <v>0.70565528910844033</v>
      </c>
      <c r="T1069" s="736" t="s">
        <v>442</v>
      </c>
      <c r="U1069" s="25">
        <f>$P1069*U$74</f>
        <v>0</v>
      </c>
      <c r="V1069" s="25">
        <f t="shared" ref="V1069:Z1069" si="213">$P1069*V$74</f>
        <v>2523010.6441689185</v>
      </c>
      <c r="W1069" s="25">
        <f t="shared" si="213"/>
        <v>3008048.3101903773</v>
      </c>
      <c r="X1069" s="25">
        <f t="shared" si="213"/>
        <v>2811089.351812257</v>
      </c>
      <c r="Y1069" s="25">
        <f>$P1069*Y$74</f>
        <v>2704573.0862078038</v>
      </c>
      <c r="Z1069" s="25">
        <f>$P1069*Z$74</f>
        <v>2499624.3835713114</v>
      </c>
      <c r="AA1069" s="25">
        <f>$P1069*AA$74</f>
        <v>2902847.8119077892</v>
      </c>
      <c r="AB1069" s="25">
        <f t="shared" ref="AA1069:AF1069" si="214">$P1069*AB$74</f>
        <v>0</v>
      </c>
      <c r="AC1069" s="25">
        <f t="shared" si="214"/>
        <v>0</v>
      </c>
      <c r="AD1069" s="25">
        <f t="shared" si="214"/>
        <v>0</v>
      </c>
      <c r="AE1069" s="25">
        <f t="shared" si="214"/>
        <v>0</v>
      </c>
      <c r="AF1069" s="25">
        <f t="shared" si="214"/>
        <v>0</v>
      </c>
    </row>
    <row r="1070" spans="1:32" s="3" customFormat="1" x14ac:dyDescent="0.35">
      <c r="A1070" s="359"/>
      <c r="B1070" s="1307"/>
      <c r="C1070" s="275"/>
      <c r="D1070" s="275"/>
      <c r="E1070" s="275"/>
      <c r="F1070" s="275"/>
      <c r="G1070" s="275"/>
      <c r="H1070" s="275"/>
      <c r="I1070" s="275"/>
      <c r="J1070" s="275"/>
      <c r="K1070" s="275"/>
      <c r="L1070" s="275"/>
      <c r="M1070" s="275"/>
      <c r="N1070" s="275"/>
      <c r="O1070" s="276"/>
      <c r="P1070" s="325"/>
    </row>
    <row r="1071" spans="1:32" x14ac:dyDescent="0.35">
      <c r="B1071" s="1275" t="s">
        <v>168</v>
      </c>
      <c r="C1071" s="167">
        <f t="shared" ref="C1071:M1073" si="215">C1027+C1049</f>
        <v>1067115.5130410006</v>
      </c>
      <c r="D1071" s="167">
        <f t="shared" si="215"/>
        <v>820754.7958399998</v>
      </c>
      <c r="E1071" s="167">
        <f t="shared" si="215"/>
        <v>794287.83799999999</v>
      </c>
      <c r="F1071" s="167">
        <f t="shared" si="215"/>
        <v>978347.26199999987</v>
      </c>
      <c r="G1071" s="167">
        <f t="shared" si="215"/>
        <v>0</v>
      </c>
      <c r="H1071" s="167">
        <f t="shared" si="215"/>
        <v>0</v>
      </c>
      <c r="I1071" s="167">
        <f t="shared" si="215"/>
        <v>0</v>
      </c>
      <c r="J1071" s="167">
        <f t="shared" si="215"/>
        <v>0</v>
      </c>
      <c r="K1071" s="167">
        <f t="shared" si="215"/>
        <v>0</v>
      </c>
      <c r="L1071" s="167">
        <f t="shared" si="215"/>
        <v>0</v>
      </c>
      <c r="M1071" s="167">
        <f t="shared" si="215"/>
        <v>0</v>
      </c>
      <c r="N1071" s="167">
        <f>N1027+N1049</f>
        <v>0</v>
      </c>
      <c r="O1071" s="277">
        <f>SUM(C1071:N1071)</f>
        <v>3660505.4088810002</v>
      </c>
      <c r="Q1071" s="3"/>
      <c r="R1071" s="3"/>
      <c r="S1071" s="3"/>
      <c r="T1071" s="3"/>
    </row>
    <row r="1072" spans="1:32" s="3" customFormat="1" x14ac:dyDescent="0.35">
      <c r="B1072" s="1275" t="s">
        <v>169</v>
      </c>
      <c r="C1072" s="167">
        <f t="shared" si="215"/>
        <v>1855378.1717350013</v>
      </c>
      <c r="D1072" s="167">
        <f t="shared" si="215"/>
        <v>1771298.8368889992</v>
      </c>
      <c r="E1072" s="167">
        <f t="shared" si="215"/>
        <v>2080506.2266400009</v>
      </c>
      <c r="F1072" s="167">
        <f t="shared" si="215"/>
        <v>1947628.5099899971</v>
      </c>
      <c r="G1072" s="167">
        <f t="shared" si="215"/>
        <v>0</v>
      </c>
      <c r="H1072" s="167">
        <f t="shared" si="215"/>
        <v>0</v>
      </c>
      <c r="I1072" s="167">
        <f t="shared" si="215"/>
        <v>0</v>
      </c>
      <c r="J1072" s="167">
        <f t="shared" si="215"/>
        <v>0</v>
      </c>
      <c r="K1072" s="167">
        <f t="shared" si="215"/>
        <v>0</v>
      </c>
      <c r="L1072" s="167">
        <f t="shared" si="215"/>
        <v>0</v>
      </c>
      <c r="M1072" s="167">
        <f t="shared" si="215"/>
        <v>0</v>
      </c>
      <c r="N1072" s="167">
        <f>N1028+N1050</f>
        <v>0</v>
      </c>
      <c r="O1072" s="277">
        <f>SUM(C1072:N1072)</f>
        <v>7654811.7452539988</v>
      </c>
      <c r="P1072" s="324"/>
      <c r="Q1072" s="324"/>
      <c r="R1072" s="324"/>
      <c r="S1072" s="324"/>
      <c r="T1072" s="324"/>
    </row>
    <row r="1073" spans="1:32" s="3" customFormat="1" x14ac:dyDescent="0.35">
      <c r="B1073" s="1275" t="s">
        <v>170</v>
      </c>
      <c r="C1073" s="167">
        <f t="shared" si="215"/>
        <v>87817.409000000014</v>
      </c>
      <c r="D1073" s="167">
        <f t="shared" si="215"/>
        <v>88463.817500000005</v>
      </c>
      <c r="E1073" s="167">
        <f t="shared" si="215"/>
        <v>107330.37000000002</v>
      </c>
      <c r="F1073" s="167">
        <f t="shared" si="215"/>
        <v>66728.713010000007</v>
      </c>
      <c r="G1073" s="167">
        <f t="shared" si="215"/>
        <v>0</v>
      </c>
      <c r="H1073" s="167">
        <f t="shared" si="215"/>
        <v>0</v>
      </c>
      <c r="I1073" s="167">
        <f t="shared" si="215"/>
        <v>0</v>
      </c>
      <c r="J1073" s="167">
        <f t="shared" si="215"/>
        <v>0</v>
      </c>
      <c r="K1073" s="167">
        <f t="shared" si="215"/>
        <v>0</v>
      </c>
      <c r="L1073" s="167">
        <f t="shared" si="215"/>
        <v>0</v>
      </c>
      <c r="M1073" s="167">
        <f t="shared" si="215"/>
        <v>0</v>
      </c>
      <c r="N1073" s="167">
        <f>N1029+N1051</f>
        <v>0</v>
      </c>
      <c r="O1073" s="277">
        <f>SUM(C1073:N1073)</f>
        <v>350340.30951000005</v>
      </c>
      <c r="P1073" s="2"/>
      <c r="T1073" s="324"/>
      <c r="U1073" s="324"/>
      <c r="V1073" s="324"/>
      <c r="W1073" s="324"/>
      <c r="X1073" s="324"/>
      <c r="Y1073" s="324"/>
      <c r="Z1073" s="324"/>
      <c r="AA1073" s="324"/>
      <c r="AB1073" s="324"/>
      <c r="AC1073" s="324"/>
      <c r="AD1073" s="324"/>
      <c r="AE1073" s="324"/>
      <c r="AF1073" s="324"/>
    </row>
    <row r="1074" spans="1:32" s="3" customFormat="1" x14ac:dyDescent="0.35">
      <c r="B1074" s="1307"/>
      <c r="C1074" s="275"/>
      <c r="D1074" s="275"/>
      <c r="E1074" s="275"/>
      <c r="F1074" s="275"/>
      <c r="G1074" s="275"/>
      <c r="H1074" s="275"/>
      <c r="I1074" s="275"/>
      <c r="J1074" s="275"/>
      <c r="K1074" s="275"/>
      <c r="L1074" s="275"/>
      <c r="M1074" s="275"/>
      <c r="N1074" s="275"/>
      <c r="O1074" s="270"/>
      <c r="P1074" s="2"/>
      <c r="T1074" s="324"/>
      <c r="U1074" s="324"/>
      <c r="V1074" s="324"/>
      <c r="W1074" s="324"/>
      <c r="X1074" s="324"/>
      <c r="Y1074" s="324"/>
      <c r="Z1074" s="324"/>
      <c r="AA1074" s="324"/>
      <c r="AB1074" s="324"/>
      <c r="AC1074" s="324"/>
      <c r="AD1074" s="324"/>
      <c r="AE1074" s="324"/>
      <c r="AF1074" s="324"/>
    </row>
    <row r="1075" spans="1:32" s="3" customFormat="1" ht="18.5" x14ac:dyDescent="0.45">
      <c r="A1075" s="359"/>
      <c r="B1075" s="1307" t="s">
        <v>171</v>
      </c>
      <c r="C1075" s="275">
        <f>C1031+C1053</f>
        <v>791444.03799999901</v>
      </c>
      <c r="D1075" s="275">
        <f>D1031+D1053</f>
        <v>796118.74799999979</v>
      </c>
      <c r="E1075" s="275">
        <f>E1031+E1053</f>
        <v>879124.50399999926</v>
      </c>
      <c r="F1075" s="275">
        <f>F1031+F1053</f>
        <v>911778.32120000024</v>
      </c>
      <c r="G1075" s="275">
        <f t="shared" ref="G1075:L1075" si="216">G1031+G1053</f>
        <v>0</v>
      </c>
      <c r="H1075" s="275">
        <f t="shared" si="216"/>
        <v>0</v>
      </c>
      <c r="I1075" s="275">
        <f t="shared" si="216"/>
        <v>0</v>
      </c>
      <c r="J1075" s="275">
        <f t="shared" si="216"/>
        <v>0</v>
      </c>
      <c r="K1075" s="275">
        <f t="shared" si="216"/>
        <v>0</v>
      </c>
      <c r="L1075" s="275">
        <f t="shared" si="216"/>
        <v>0</v>
      </c>
      <c r="M1075" s="275">
        <f>M1031+M1053</f>
        <v>0</v>
      </c>
      <c r="N1075" s="275">
        <f>N1031+N1053</f>
        <v>0</v>
      </c>
      <c r="O1075" s="283">
        <f>SUM(C1075:N1075)</f>
        <v>3378465.6111999983</v>
      </c>
      <c r="P1075" s="28">
        <f>O1075/$O$1067</f>
        <v>0.2043632889996887</v>
      </c>
      <c r="T1075" s="736" t="s">
        <v>443</v>
      </c>
      <c r="U1075" s="25">
        <f>$P1075*U$74</f>
        <v>0</v>
      </c>
      <c r="V1075" s="25">
        <f t="shared" ref="V1075:Z1075" si="217">$P1075*V$74</f>
        <v>730683.60909620824</v>
      </c>
      <c r="W1075" s="25">
        <f t="shared" si="217"/>
        <v>871154.30951725354</v>
      </c>
      <c r="X1075" s="25">
        <f t="shared" si="217"/>
        <v>814113.45521718764</v>
      </c>
      <c r="Y1075" s="25">
        <f t="shared" si="217"/>
        <v>783265.51188441226</v>
      </c>
      <c r="Z1075" s="25">
        <f t="shared" si="217"/>
        <v>723910.76517808333</v>
      </c>
      <c r="AA1075" s="25">
        <f t="shared" ref="AA1075:AF1075" si="218">$P1075*AA$74</f>
        <v>840687.42268841842</v>
      </c>
      <c r="AB1075" s="25">
        <f t="shared" si="218"/>
        <v>0</v>
      </c>
      <c r="AC1075" s="25">
        <f t="shared" si="218"/>
        <v>0</v>
      </c>
      <c r="AD1075" s="25">
        <f>$P1075*AD$74</f>
        <v>0</v>
      </c>
      <c r="AE1075" s="25">
        <f t="shared" si="218"/>
        <v>0</v>
      </c>
      <c r="AF1075" s="25">
        <f t="shared" si="218"/>
        <v>0</v>
      </c>
    </row>
    <row r="1076" spans="1:32" s="3" customFormat="1" x14ac:dyDescent="0.35">
      <c r="A1076" s="359"/>
      <c r="B1076" s="1307"/>
      <c r="C1076" s="275"/>
      <c r="D1076" s="275"/>
      <c r="E1076" s="275"/>
      <c r="F1076" s="275"/>
      <c r="G1076" s="275"/>
      <c r="H1076" s="275"/>
      <c r="I1076" s="275"/>
      <c r="J1076" s="275"/>
      <c r="K1076" s="275"/>
      <c r="L1076" s="275"/>
      <c r="M1076" s="275"/>
      <c r="N1076" s="275"/>
      <c r="O1076" s="834"/>
      <c r="P1076" s="324"/>
    </row>
    <row r="1077" spans="1:32" s="3" customFormat="1" ht="18.5" x14ac:dyDescent="0.45">
      <c r="B1077" s="1307" t="s">
        <v>172</v>
      </c>
      <c r="C1077" s="275">
        <f>C1033+C1055</f>
        <v>328973.75726400001</v>
      </c>
      <c r="D1077" s="275">
        <f>D1033+D1055</f>
        <v>401703.40655999933</v>
      </c>
      <c r="E1077" s="275">
        <f>E1033+E1055</f>
        <v>401523.5660000004</v>
      </c>
      <c r="F1077" s="275">
        <f>F1033+F1055</f>
        <v>355342.07200000004</v>
      </c>
      <c r="G1077" s="275">
        <f t="shared" ref="G1077:L1077" si="219">G1033+G1055</f>
        <v>0</v>
      </c>
      <c r="H1077" s="275">
        <f t="shared" si="219"/>
        <v>0</v>
      </c>
      <c r="I1077" s="275">
        <f t="shared" si="219"/>
        <v>0</v>
      </c>
      <c r="J1077" s="275">
        <f t="shared" si="219"/>
        <v>0</v>
      </c>
      <c r="K1077" s="275">
        <f t="shared" si="219"/>
        <v>0</v>
      </c>
      <c r="L1077" s="275">
        <f t="shared" si="219"/>
        <v>0</v>
      </c>
      <c r="M1077" s="275">
        <f>M1033+M1055</f>
        <v>0</v>
      </c>
      <c r="N1077" s="275">
        <f>N1033+N1055</f>
        <v>0</v>
      </c>
      <c r="O1077" s="276">
        <f>SUM(C1077:N1077)</f>
        <v>1487542.8018239997</v>
      </c>
      <c r="P1077" s="28">
        <f>O1077/$O$1067</f>
        <v>8.9981421891870958E-2</v>
      </c>
      <c r="T1077" s="736" t="s">
        <v>444</v>
      </c>
      <c r="U1077" s="25">
        <f>$P1077*U$74</f>
        <v>0</v>
      </c>
      <c r="V1077" s="25">
        <f t="shared" ref="V1077:Z1077" si="220">$P1077*V$74</f>
        <v>321720.94323487324</v>
      </c>
      <c r="W1077" s="25">
        <f t="shared" si="220"/>
        <v>383570.37529236934</v>
      </c>
      <c r="X1077" s="25">
        <f t="shared" si="220"/>
        <v>358455.21297055529</v>
      </c>
      <c r="Y1077" s="25">
        <f t="shared" si="220"/>
        <v>344872.82340778399</v>
      </c>
      <c r="Z1077" s="25">
        <f t="shared" si="220"/>
        <v>318738.85125060531</v>
      </c>
      <c r="AA1077" s="25">
        <f t="shared" ref="AA1077:AF1077" si="221">$P1077*AA$74</f>
        <v>370155.76540379255</v>
      </c>
      <c r="AB1077" s="25">
        <f t="shared" si="221"/>
        <v>0</v>
      </c>
      <c r="AC1077" s="25">
        <f t="shared" si="221"/>
        <v>0</v>
      </c>
      <c r="AD1077" s="25">
        <f t="shared" si="221"/>
        <v>0</v>
      </c>
      <c r="AE1077" s="25">
        <f t="shared" si="221"/>
        <v>0</v>
      </c>
      <c r="AF1077" s="25">
        <f t="shared" si="221"/>
        <v>0</v>
      </c>
    </row>
    <row r="1078" spans="1:32" s="3" customFormat="1" x14ac:dyDescent="0.35">
      <c r="B1078" s="1307"/>
      <c r="C1078" s="275"/>
      <c r="D1078" s="275"/>
      <c r="E1078" s="275"/>
      <c r="F1078" s="275"/>
      <c r="G1078" s="275"/>
      <c r="H1078" s="275"/>
      <c r="I1078" s="275"/>
      <c r="J1078" s="275"/>
      <c r="K1078" s="275"/>
      <c r="L1078" s="275"/>
      <c r="M1078" s="275"/>
      <c r="N1078" s="275"/>
      <c r="O1078" s="276"/>
    </row>
    <row r="1079" spans="1:32" s="3" customFormat="1" x14ac:dyDescent="0.35">
      <c r="B1079" s="1275" t="s">
        <v>168</v>
      </c>
      <c r="C1079" s="167">
        <f t="shared" ref="C1079:M1081" si="222">C1035+C1057</f>
        <v>1942.1381999999996</v>
      </c>
      <c r="D1079" s="167">
        <f t="shared" si="222"/>
        <v>1512.2029999999997</v>
      </c>
      <c r="E1079" s="167">
        <f t="shared" si="222"/>
        <v>3842.851000000001</v>
      </c>
      <c r="F1079" s="167">
        <f t="shared" si="222"/>
        <v>2784.3389999999995</v>
      </c>
      <c r="G1079" s="167">
        <f t="shared" si="222"/>
        <v>0</v>
      </c>
      <c r="H1079" s="167">
        <f t="shared" si="222"/>
        <v>0</v>
      </c>
      <c r="I1079" s="167">
        <f t="shared" si="222"/>
        <v>0</v>
      </c>
      <c r="J1079" s="167">
        <f t="shared" si="222"/>
        <v>0</v>
      </c>
      <c r="K1079" s="167">
        <f t="shared" si="222"/>
        <v>0</v>
      </c>
      <c r="L1079" s="167">
        <f t="shared" si="222"/>
        <v>0</v>
      </c>
      <c r="M1079" s="167">
        <f t="shared" si="222"/>
        <v>0</v>
      </c>
      <c r="N1079" s="167">
        <f>N1035+N1057</f>
        <v>0</v>
      </c>
      <c r="O1079" s="277">
        <f>SUM(C1079:N1079)</f>
        <v>10081.531199999999</v>
      </c>
    </row>
    <row r="1080" spans="1:32" s="3" customFormat="1" x14ac:dyDescent="0.35">
      <c r="B1080" s="1275" t="s">
        <v>169</v>
      </c>
      <c r="C1080" s="167">
        <f t="shared" si="222"/>
        <v>322761.68706400006</v>
      </c>
      <c r="D1080" s="167">
        <f t="shared" si="222"/>
        <v>396885.98655999935</v>
      </c>
      <c r="E1080" s="167">
        <f t="shared" si="222"/>
        <v>393671.70800000039</v>
      </c>
      <c r="F1080" s="167">
        <f t="shared" si="222"/>
        <v>349457.11500000005</v>
      </c>
      <c r="G1080" s="167">
        <f t="shared" si="222"/>
        <v>0</v>
      </c>
      <c r="H1080" s="167">
        <f t="shared" si="222"/>
        <v>0</v>
      </c>
      <c r="I1080" s="167">
        <f t="shared" si="222"/>
        <v>0</v>
      </c>
      <c r="J1080" s="167">
        <f t="shared" si="222"/>
        <v>0</v>
      </c>
      <c r="K1080" s="167">
        <f t="shared" si="222"/>
        <v>0</v>
      </c>
      <c r="L1080" s="167">
        <f t="shared" si="222"/>
        <v>0</v>
      </c>
      <c r="M1080" s="167">
        <f t="shared" si="222"/>
        <v>0</v>
      </c>
      <c r="N1080" s="167">
        <f>N1036+N1058</f>
        <v>0</v>
      </c>
      <c r="O1080" s="277">
        <f>SUM(C1080:N1080)</f>
        <v>1462776.4966239997</v>
      </c>
    </row>
    <row r="1081" spans="1:32" s="3" customFormat="1" x14ac:dyDescent="0.35">
      <c r="B1081" s="1275" t="s">
        <v>170</v>
      </c>
      <c r="C1081" s="167">
        <f t="shared" si="222"/>
        <v>4269.9319999999998</v>
      </c>
      <c r="D1081" s="167">
        <f t="shared" si="222"/>
        <v>3305.2169999999992</v>
      </c>
      <c r="E1081" s="167">
        <f t="shared" si="222"/>
        <v>4009.0069999999996</v>
      </c>
      <c r="F1081" s="167">
        <f t="shared" si="222"/>
        <v>3100.6179999999995</v>
      </c>
      <c r="G1081" s="167">
        <f t="shared" si="222"/>
        <v>0</v>
      </c>
      <c r="H1081" s="167">
        <f t="shared" si="222"/>
        <v>0</v>
      </c>
      <c r="I1081" s="167">
        <f t="shared" si="222"/>
        <v>0</v>
      </c>
      <c r="J1081" s="167">
        <f t="shared" si="222"/>
        <v>0</v>
      </c>
      <c r="K1081" s="167">
        <f t="shared" si="222"/>
        <v>0</v>
      </c>
      <c r="L1081" s="167">
        <f t="shared" si="222"/>
        <v>0</v>
      </c>
      <c r="M1081" s="167">
        <f t="shared" si="222"/>
        <v>0</v>
      </c>
      <c r="N1081" s="167">
        <f>N1037+N1059</f>
        <v>0</v>
      </c>
      <c r="O1081" s="277">
        <f>SUM(C1081:N1081)</f>
        <v>14684.773999999998</v>
      </c>
    </row>
    <row r="1082" spans="1:32" s="3" customFormat="1" x14ac:dyDescent="0.35">
      <c r="B1082" s="1304"/>
      <c r="C1082" s="275"/>
      <c r="D1082" s="275"/>
      <c r="E1082" s="275"/>
      <c r="F1082" s="275"/>
      <c r="G1082" s="275"/>
      <c r="H1082" s="275"/>
      <c r="I1082" s="275"/>
      <c r="J1082" s="275"/>
      <c r="K1082" s="275"/>
      <c r="L1082" s="275"/>
      <c r="M1082" s="275"/>
      <c r="N1082" s="275"/>
      <c r="O1082" s="270"/>
    </row>
    <row r="1083" spans="1:32" s="3" customFormat="1" x14ac:dyDescent="0.35">
      <c r="B1083" s="1307" t="s">
        <v>173</v>
      </c>
      <c r="C1083" s="279">
        <f t="shared" ref="C1083:M1087" si="223">C1039+C1061</f>
        <v>324862.88526400016</v>
      </c>
      <c r="D1083" s="279">
        <f t="shared" si="223"/>
        <v>390387.55955999932</v>
      </c>
      <c r="E1083" s="279">
        <f t="shared" si="223"/>
        <v>398676.60000000027</v>
      </c>
      <c r="F1083" s="279">
        <f t="shared" si="223"/>
        <v>350078.71800000011</v>
      </c>
      <c r="G1083" s="279">
        <f t="shared" si="223"/>
        <v>0</v>
      </c>
      <c r="H1083" s="279">
        <f t="shared" si="223"/>
        <v>0</v>
      </c>
      <c r="I1083" s="279">
        <f t="shared" si="223"/>
        <v>0</v>
      </c>
      <c r="J1083" s="279">
        <f t="shared" si="223"/>
        <v>0</v>
      </c>
      <c r="K1083" s="279">
        <f t="shared" si="223"/>
        <v>0</v>
      </c>
      <c r="L1083" s="279">
        <f t="shared" si="223"/>
        <v>0</v>
      </c>
      <c r="M1083" s="279">
        <f t="shared" si="223"/>
        <v>0</v>
      </c>
      <c r="N1083" s="279">
        <f>N1039+N1061</f>
        <v>0</v>
      </c>
      <c r="O1083" s="281">
        <f>SUM(C1083:N1083)</f>
        <v>1464005.7628239999</v>
      </c>
    </row>
    <row r="1084" spans="1:32" s="3" customFormat="1" x14ac:dyDescent="0.35">
      <c r="B1084" s="1275" t="s">
        <v>62</v>
      </c>
      <c r="C1084" s="167">
        <f t="shared" si="223"/>
        <v>118159.58918400003</v>
      </c>
      <c r="D1084" s="167">
        <f t="shared" si="223"/>
        <v>200024.56755999953</v>
      </c>
      <c r="E1084" s="167">
        <f t="shared" si="223"/>
        <v>225980.08800000028</v>
      </c>
      <c r="F1084" s="167">
        <f t="shared" si="223"/>
        <v>216425.31300000005</v>
      </c>
      <c r="G1084" s="167">
        <f t="shared" si="223"/>
        <v>0</v>
      </c>
      <c r="H1084" s="167">
        <f t="shared" si="223"/>
        <v>0</v>
      </c>
      <c r="I1084" s="167">
        <f t="shared" si="223"/>
        <v>0</v>
      </c>
      <c r="J1084" s="167">
        <f t="shared" si="223"/>
        <v>0</v>
      </c>
      <c r="K1084" s="167">
        <f t="shared" si="223"/>
        <v>0</v>
      </c>
      <c r="L1084" s="167">
        <f t="shared" si="223"/>
        <v>0</v>
      </c>
      <c r="M1084" s="167">
        <f t="shared" si="223"/>
        <v>0</v>
      </c>
      <c r="N1084" s="167">
        <f>N1040+N1062</f>
        <v>0</v>
      </c>
      <c r="O1084" s="277">
        <f>SUM(C1084:N1084)</f>
        <v>760589.55774399987</v>
      </c>
    </row>
    <row r="1085" spans="1:32" s="3" customFormat="1" ht="22.5" customHeight="1" x14ac:dyDescent="0.35">
      <c r="B1085" s="1275" t="s">
        <v>63</v>
      </c>
      <c r="C1085" s="167">
        <f t="shared" si="223"/>
        <v>206703.29608000009</v>
      </c>
      <c r="D1085" s="167">
        <f t="shared" si="223"/>
        <v>190335.29199999981</v>
      </c>
      <c r="E1085" s="167">
        <f t="shared" si="223"/>
        <v>172696.51199999996</v>
      </c>
      <c r="F1085" s="167">
        <f t="shared" si="223"/>
        <v>133642.40600000005</v>
      </c>
      <c r="G1085" s="167">
        <f t="shared" si="223"/>
        <v>0</v>
      </c>
      <c r="H1085" s="167">
        <f t="shared" si="223"/>
        <v>0</v>
      </c>
      <c r="I1085" s="167">
        <f t="shared" si="223"/>
        <v>0</v>
      </c>
      <c r="J1085" s="167">
        <f t="shared" si="223"/>
        <v>0</v>
      </c>
      <c r="K1085" s="167">
        <f t="shared" si="223"/>
        <v>0</v>
      </c>
      <c r="L1085" s="167">
        <f t="shared" si="223"/>
        <v>0</v>
      </c>
      <c r="M1085" s="167">
        <f t="shared" si="223"/>
        <v>0</v>
      </c>
      <c r="N1085" s="167">
        <f>N1041+N1063</f>
        <v>0</v>
      </c>
      <c r="O1085" s="277">
        <f>SUM(C1085:N1085)</f>
        <v>703377.50607999996</v>
      </c>
    </row>
    <row r="1086" spans="1:32" s="3" customFormat="1" x14ac:dyDescent="0.35">
      <c r="B1086" s="1275" t="s">
        <v>64</v>
      </c>
      <c r="C1086" s="167">
        <f t="shared" si="223"/>
        <v>0</v>
      </c>
      <c r="D1086" s="167">
        <f t="shared" si="223"/>
        <v>27.7</v>
      </c>
      <c r="E1086" s="167">
        <f t="shared" si="223"/>
        <v>0</v>
      </c>
      <c r="F1086" s="167">
        <f t="shared" si="223"/>
        <v>10.999000000000001</v>
      </c>
      <c r="G1086" s="167">
        <f t="shared" si="223"/>
        <v>0</v>
      </c>
      <c r="H1086" s="167">
        <f t="shared" si="223"/>
        <v>0</v>
      </c>
      <c r="I1086" s="167">
        <f t="shared" si="223"/>
        <v>0</v>
      </c>
      <c r="J1086" s="167">
        <f t="shared" si="223"/>
        <v>0</v>
      </c>
      <c r="K1086" s="167">
        <f t="shared" si="223"/>
        <v>0</v>
      </c>
      <c r="L1086" s="167">
        <f t="shared" si="223"/>
        <v>0</v>
      </c>
      <c r="M1086" s="167">
        <f t="shared" si="223"/>
        <v>0</v>
      </c>
      <c r="N1086" s="167">
        <f>N1042+N1064</f>
        <v>0</v>
      </c>
      <c r="O1086" s="277">
        <f>SUM(C1086:N1086)</f>
        <v>38.698999999999998</v>
      </c>
    </row>
    <row r="1087" spans="1:32" x14ac:dyDescent="0.35">
      <c r="B1087" s="1311" t="s">
        <v>174</v>
      </c>
      <c r="C1087" s="285">
        <f t="shared" si="223"/>
        <v>4110.8719999999994</v>
      </c>
      <c r="D1087" s="285">
        <f t="shared" si="223"/>
        <v>11315.846999999998</v>
      </c>
      <c r="E1087" s="285">
        <f t="shared" si="223"/>
        <v>2846.9660000000017</v>
      </c>
      <c r="F1087" s="285">
        <f t="shared" si="223"/>
        <v>5263.3540000000039</v>
      </c>
      <c r="G1087" s="285">
        <f t="shared" si="223"/>
        <v>0</v>
      </c>
      <c r="H1087" s="285">
        <f t="shared" si="223"/>
        <v>0</v>
      </c>
      <c r="I1087" s="285">
        <f t="shared" si="223"/>
        <v>0</v>
      </c>
      <c r="J1087" s="285">
        <f t="shared" si="223"/>
        <v>0</v>
      </c>
      <c r="K1087" s="285">
        <f t="shared" si="223"/>
        <v>0</v>
      </c>
      <c r="L1087" s="285">
        <f t="shared" si="223"/>
        <v>0</v>
      </c>
      <c r="M1087" s="285">
        <f t="shared" si="223"/>
        <v>0</v>
      </c>
      <c r="N1087" s="285">
        <f>N1043+N1065</f>
        <v>0</v>
      </c>
      <c r="O1087" s="286">
        <f>SUM(C1087:N1087)</f>
        <v>23537.039000000001</v>
      </c>
      <c r="P1087" s="3"/>
      <c r="Q1087" s="3"/>
      <c r="R1087" s="3"/>
      <c r="S1087" s="3"/>
      <c r="T1087" s="3"/>
    </row>
    <row r="1088" spans="1:32" s="3" customFormat="1" x14ac:dyDescent="0.35">
      <c r="B1088" s="6"/>
      <c r="C1088" s="287"/>
      <c r="D1088" s="287"/>
      <c r="E1088" s="287"/>
      <c r="F1088" s="287"/>
      <c r="G1088" s="287"/>
      <c r="H1088" s="287"/>
      <c r="I1088" s="287"/>
      <c r="J1088" s="287"/>
      <c r="K1088" s="287"/>
      <c r="L1088" s="287"/>
      <c r="M1088" s="287"/>
      <c r="N1088" s="287"/>
      <c r="O1088" s="1312"/>
      <c r="P1088" s="324"/>
      <c r="Q1088" s="324"/>
      <c r="R1088" s="324"/>
      <c r="S1088" s="324"/>
      <c r="T1088" s="324"/>
    </row>
    <row r="1089" spans="1:34" s="3" customFormat="1" x14ac:dyDescent="0.35">
      <c r="B1089" s="1068" t="s">
        <v>176</v>
      </c>
      <c r="C1089" s="1068"/>
      <c r="D1089" s="1068"/>
      <c r="E1089" s="1068"/>
      <c r="F1089" s="1068"/>
      <c r="G1089" s="1068"/>
      <c r="H1089" s="1068"/>
      <c r="I1089" s="1068"/>
      <c r="J1089" s="1068"/>
      <c r="K1089" s="1068"/>
      <c r="L1089" s="1068"/>
      <c r="M1089" s="1068"/>
      <c r="N1089" s="1068"/>
      <c r="O1089" s="1068"/>
    </row>
    <row r="1090" spans="1:34" s="3" customFormat="1" x14ac:dyDescent="0.35">
      <c r="B1090" s="105"/>
      <c r="C1090" s="288"/>
      <c r="D1090" s="288"/>
      <c r="E1090" s="288"/>
      <c r="F1090" s="288"/>
      <c r="G1090" s="288"/>
      <c r="H1090" s="288"/>
      <c r="I1090" s="288"/>
      <c r="J1090" s="288"/>
      <c r="K1090" s="288" t="s">
        <v>11</v>
      </c>
      <c r="L1090" s="288"/>
      <c r="M1090" s="288"/>
      <c r="N1090" s="288"/>
      <c r="O1090" s="1313"/>
    </row>
    <row r="1091" spans="1:34" s="3" customFormat="1" x14ac:dyDescent="0.35">
      <c r="B1091" s="1068" t="s">
        <v>536</v>
      </c>
      <c r="C1091" s="1068"/>
      <c r="D1091" s="1068"/>
      <c r="E1091" s="1068"/>
      <c r="F1091" s="1068"/>
      <c r="G1091" s="1068"/>
      <c r="H1091" s="1068"/>
      <c r="I1091" s="1068"/>
      <c r="J1091" s="1068"/>
      <c r="K1091" s="1068"/>
      <c r="L1091" s="1068"/>
      <c r="M1091" s="1068"/>
      <c r="N1091" s="1068"/>
      <c r="O1091" s="1068"/>
    </row>
    <row r="1092" spans="1:34" s="3" customFormat="1" x14ac:dyDescent="0.35">
      <c r="B1092" s="8"/>
      <c r="C1092" s="106"/>
      <c r="D1092" s="290"/>
      <c r="E1092" s="290"/>
      <c r="F1092" s="290"/>
      <c r="G1092" s="290"/>
      <c r="H1092" s="290"/>
      <c r="I1092" s="290"/>
      <c r="J1092" s="290"/>
      <c r="K1092" s="290"/>
      <c r="L1092" s="290"/>
      <c r="M1092" s="290"/>
      <c r="N1092" s="290"/>
      <c r="O1092" s="290"/>
    </row>
    <row r="1093" spans="1:34" s="3" customFormat="1" ht="15" customHeight="1" x14ac:dyDescent="0.35">
      <c r="B1093" s="1074" t="s">
        <v>13</v>
      </c>
      <c r="C1093" s="1112" t="s">
        <v>0</v>
      </c>
      <c r="D1093" s="1136" t="s">
        <v>1</v>
      </c>
      <c r="E1093" s="1136" t="s">
        <v>2</v>
      </c>
      <c r="F1093" s="1136" t="s">
        <v>3</v>
      </c>
      <c r="G1093" s="1136" t="s">
        <v>4</v>
      </c>
      <c r="H1093" s="1136" t="s">
        <v>5</v>
      </c>
      <c r="I1093" s="1136" t="s">
        <v>6</v>
      </c>
      <c r="J1093" s="1136" t="s">
        <v>7</v>
      </c>
      <c r="K1093" s="1136" t="s">
        <v>8</v>
      </c>
      <c r="L1093" s="1136" t="s">
        <v>9</v>
      </c>
      <c r="M1093" s="1136" t="s">
        <v>10</v>
      </c>
      <c r="N1093" s="1136" t="s">
        <v>14</v>
      </c>
      <c r="O1093" s="1077" t="s">
        <v>15</v>
      </c>
    </row>
    <row r="1094" spans="1:34" s="3" customFormat="1" ht="15" customHeight="1" x14ac:dyDescent="0.35">
      <c r="B1094" s="1080"/>
      <c r="C1094" s="1145"/>
      <c r="D1094" s="1153"/>
      <c r="E1094" s="1153"/>
      <c r="F1094" s="1153"/>
      <c r="G1094" s="1153"/>
      <c r="H1094" s="1153"/>
      <c r="I1094" s="1153"/>
      <c r="J1094" s="1153"/>
      <c r="K1094" s="1153"/>
      <c r="L1094" s="1153"/>
      <c r="M1094" s="1153"/>
      <c r="N1094" s="1153"/>
      <c r="O1094" s="1088"/>
    </row>
    <row r="1095" spans="1:34" s="3" customFormat="1" x14ac:dyDescent="0.35">
      <c r="B1095" s="1018"/>
      <c r="C1095" s="1314"/>
      <c r="D1095" s="1315"/>
      <c r="E1095" s="1315"/>
      <c r="F1095" s="1316"/>
      <c r="G1095" s="1316"/>
      <c r="H1095" s="1316"/>
      <c r="I1095" s="1316"/>
      <c r="J1095" s="1316"/>
      <c r="K1095" s="1316"/>
      <c r="L1095" s="1316"/>
      <c r="M1095" s="1316"/>
      <c r="N1095" s="1316"/>
      <c r="O1095" s="1317"/>
      <c r="U1095" s="756">
        <f>+C1108/(C1069+C1077)</f>
        <v>0.29921826591966533</v>
      </c>
      <c r="V1095" s="756">
        <f t="shared" ref="V1095:AF1095" si="224">+D1108/(D1069+D1077)</f>
        <v>0.28689160166485017</v>
      </c>
      <c r="W1095" s="756">
        <f t="shared" si="224"/>
        <v>0.30927153871858654</v>
      </c>
      <c r="X1095" s="756">
        <f t="shared" si="224"/>
        <v>0.2987699662982915</v>
      </c>
      <c r="Y1095" s="756" t="e">
        <f t="shared" si="224"/>
        <v>#DIV/0!</v>
      </c>
      <c r="Z1095" s="756" t="e">
        <f t="shared" si="224"/>
        <v>#DIV/0!</v>
      </c>
      <c r="AA1095" s="756" t="e">
        <f t="shared" si="224"/>
        <v>#DIV/0!</v>
      </c>
      <c r="AB1095" s="756" t="e">
        <f t="shared" si="224"/>
        <v>#DIV/0!</v>
      </c>
      <c r="AC1095" s="756" t="e">
        <f t="shared" si="224"/>
        <v>#DIV/0!</v>
      </c>
      <c r="AD1095" s="756" t="e">
        <f t="shared" si="224"/>
        <v>#DIV/0!</v>
      </c>
      <c r="AE1095" s="756" t="e">
        <f t="shared" si="224"/>
        <v>#DIV/0!</v>
      </c>
      <c r="AF1095" s="756" t="e">
        <f t="shared" si="224"/>
        <v>#DIV/0!</v>
      </c>
    </row>
    <row r="1096" spans="1:34" s="3" customFormat="1" x14ac:dyDescent="0.35">
      <c r="B1096" s="291" t="s">
        <v>216</v>
      </c>
      <c r="C1096" s="292">
        <f>SUM(C1098:C1099)</f>
        <v>1095254.5291399995</v>
      </c>
      <c r="D1096" s="292">
        <f>SUM(D1098:D1099)</f>
        <v>1005506.436239003</v>
      </c>
      <c r="E1096" s="292">
        <f t="shared" ref="E1096:M1096" si="225">SUM(E1098:E1099)</f>
        <v>1191935.7486400015</v>
      </c>
      <c r="F1096" s="292">
        <f t="shared" si="225"/>
        <v>1133289.9131999998</v>
      </c>
      <c r="G1096" s="292">
        <f t="shared" si="225"/>
        <v>0</v>
      </c>
      <c r="H1096" s="292">
        <f t="shared" si="225"/>
        <v>0</v>
      </c>
      <c r="I1096" s="292">
        <f t="shared" si="225"/>
        <v>0</v>
      </c>
      <c r="J1096" s="292">
        <f t="shared" si="225"/>
        <v>0</v>
      </c>
      <c r="K1096" s="292">
        <f t="shared" si="225"/>
        <v>0</v>
      </c>
      <c r="L1096" s="292">
        <f t="shared" si="225"/>
        <v>0</v>
      </c>
      <c r="M1096" s="292">
        <f t="shared" si="225"/>
        <v>0</v>
      </c>
      <c r="N1096" s="292">
        <f>SUM(N1098:N1099)</f>
        <v>0</v>
      </c>
      <c r="O1096" s="293">
        <f>SUM(C1096:N1096)</f>
        <v>4425986.6272190046</v>
      </c>
      <c r="U1096" s="704" t="s">
        <v>404</v>
      </c>
      <c r="V1096" s="704" t="s">
        <v>405</v>
      </c>
      <c r="W1096" s="704" t="s">
        <v>406</v>
      </c>
      <c r="X1096" s="704" t="s">
        <v>407</v>
      </c>
      <c r="Y1096" s="704" t="s">
        <v>408</v>
      </c>
      <c r="Z1096" s="704" t="s">
        <v>409</v>
      </c>
      <c r="AA1096" s="704" t="s">
        <v>410</v>
      </c>
      <c r="AB1096" s="704" t="s">
        <v>411</v>
      </c>
      <c r="AC1096" s="704" t="s">
        <v>412</v>
      </c>
      <c r="AD1096" s="704" t="s">
        <v>413</v>
      </c>
      <c r="AE1096" s="704" t="s">
        <v>414</v>
      </c>
      <c r="AF1096" s="704" t="s">
        <v>415</v>
      </c>
      <c r="AG1096" s="704"/>
      <c r="AH1096" s="704"/>
    </row>
    <row r="1097" spans="1:34" x14ac:dyDescent="0.35">
      <c r="B1097" s="127"/>
      <c r="C1097" s="128"/>
      <c r="D1097" s="128"/>
      <c r="E1097" s="128"/>
      <c r="F1097" s="128"/>
      <c r="G1097" s="128"/>
      <c r="H1097" s="128"/>
      <c r="I1097" s="128"/>
      <c r="J1097" s="128"/>
      <c r="K1097" s="128"/>
      <c r="L1097" s="128"/>
      <c r="M1097" s="128"/>
      <c r="N1097" s="128"/>
      <c r="O1097" s="126"/>
      <c r="P1097" s="3"/>
      <c r="Q1097" s="3"/>
      <c r="R1097" s="3"/>
      <c r="S1097" s="3"/>
      <c r="T1097" s="324" t="s">
        <v>403</v>
      </c>
      <c r="U1097" s="703">
        <f>C1106/C1316</f>
        <v>14.809598084964787</v>
      </c>
      <c r="V1097" s="703">
        <f t="shared" ref="V1097:AF1097" si="226">D1106/D1316</f>
        <v>14.735177150001347</v>
      </c>
      <c r="W1097" s="703">
        <f t="shared" si="226"/>
        <v>14.866018634023826</v>
      </c>
      <c r="X1097" s="703">
        <f t="shared" si="226"/>
        <v>14.903757159700481</v>
      </c>
      <c r="Y1097" s="703" t="e">
        <f t="shared" si="226"/>
        <v>#DIV/0!</v>
      </c>
      <c r="Z1097" s="703" t="e">
        <f t="shared" si="226"/>
        <v>#DIV/0!</v>
      </c>
      <c r="AA1097" s="703" t="e">
        <f t="shared" si="226"/>
        <v>#DIV/0!</v>
      </c>
      <c r="AB1097" s="703" t="e">
        <f t="shared" si="226"/>
        <v>#DIV/0!</v>
      </c>
      <c r="AC1097" s="703" t="e">
        <f t="shared" si="226"/>
        <v>#DIV/0!</v>
      </c>
      <c r="AD1097" s="703" t="e">
        <f t="shared" si="226"/>
        <v>#DIV/0!</v>
      </c>
      <c r="AE1097" s="703" t="e">
        <f t="shared" si="226"/>
        <v>#DIV/0!</v>
      </c>
      <c r="AF1097" s="703" t="e">
        <f t="shared" si="226"/>
        <v>#DIV/0!</v>
      </c>
      <c r="AG1097" s="703"/>
      <c r="AH1097" s="703"/>
    </row>
    <row r="1098" spans="1:34" ht="15" customHeight="1" x14ac:dyDescent="0.35">
      <c r="B1098" s="1309" t="s">
        <v>177</v>
      </c>
      <c r="C1098" s="1280">
        <v>686614.3261400006</v>
      </c>
      <c r="D1098" s="1280">
        <v>609934.83223900304</v>
      </c>
      <c r="E1098" s="1280">
        <v>717535.98664000223</v>
      </c>
      <c r="F1098" s="1280">
        <v>651337.93099999975</v>
      </c>
      <c r="G1098" s="1280"/>
      <c r="H1098" s="1280"/>
      <c r="I1098" s="1280"/>
      <c r="J1098" s="1280"/>
      <c r="K1098" s="1280"/>
      <c r="L1098" s="1280"/>
      <c r="M1098" s="1280"/>
      <c r="N1098" s="1280"/>
      <c r="O1098" s="294">
        <f>SUM(C1098:N1098)</f>
        <v>2665423.0760190058</v>
      </c>
      <c r="Q1098" s="327"/>
      <c r="R1098" s="327"/>
      <c r="S1098" s="334"/>
      <c r="T1098" s="324" t="s">
        <v>451</v>
      </c>
      <c r="U1098" s="783">
        <f>C1109/C1318</f>
        <v>16.299276951634077</v>
      </c>
      <c r="V1098" s="783">
        <f t="shared" ref="V1098:AF1098" si="227">D1109/D1318</f>
        <v>15.535046882427503</v>
      </c>
      <c r="W1098" s="783">
        <f t="shared" si="227"/>
        <v>15.880041781358791</v>
      </c>
      <c r="X1098" s="783">
        <f t="shared" si="227"/>
        <v>16.082628017561877</v>
      </c>
      <c r="Y1098" s="783" t="e">
        <f t="shared" si="227"/>
        <v>#DIV/0!</v>
      </c>
      <c r="Z1098" s="783" t="e">
        <f t="shared" si="227"/>
        <v>#DIV/0!</v>
      </c>
      <c r="AA1098" s="783" t="e">
        <f t="shared" si="227"/>
        <v>#DIV/0!</v>
      </c>
      <c r="AB1098" s="783" t="e">
        <f t="shared" si="227"/>
        <v>#DIV/0!</v>
      </c>
      <c r="AC1098" s="783" t="e">
        <f t="shared" si="227"/>
        <v>#DIV/0!</v>
      </c>
      <c r="AD1098" s="783" t="e">
        <f t="shared" si="227"/>
        <v>#DIV/0!</v>
      </c>
      <c r="AE1098" s="783" t="e">
        <f>M1109/M1318</f>
        <v>#DIV/0!</v>
      </c>
      <c r="AF1098" s="783" t="e">
        <f t="shared" si="227"/>
        <v>#DIV/0!</v>
      </c>
    </row>
    <row r="1099" spans="1:34" ht="15" customHeight="1" x14ac:dyDescent="0.35">
      <c r="B1099" s="1309" t="s">
        <v>178</v>
      </c>
      <c r="C1099" s="1280">
        <v>408640.20299999899</v>
      </c>
      <c r="D1099" s="1280">
        <v>395571.60399999988</v>
      </c>
      <c r="E1099" s="1280">
        <v>474399.76199999935</v>
      </c>
      <c r="F1099" s="1280">
        <v>481951.98220000009</v>
      </c>
      <c r="G1099" s="1280"/>
      <c r="H1099" s="1280"/>
      <c r="I1099" s="1280"/>
      <c r="J1099" s="1280"/>
      <c r="K1099" s="1280"/>
      <c r="L1099" s="1280"/>
      <c r="M1099" s="1280"/>
      <c r="N1099" s="1280"/>
      <c r="O1099" s="294">
        <f>SUM(C1099:N1099)</f>
        <v>1760563.5511999982</v>
      </c>
      <c r="P1099" s="327"/>
      <c r="Q1099" s="327"/>
      <c r="R1099" s="327"/>
      <c r="S1099" s="334"/>
      <c r="T1099" s="334"/>
      <c r="U1099" s="334"/>
      <c r="V1099" s="334"/>
      <c r="W1099" s="334"/>
      <c r="X1099" s="334"/>
      <c r="Y1099" s="334"/>
      <c r="Z1099" s="334"/>
    </row>
    <row r="1100" spans="1:34" ht="15" customHeight="1" x14ac:dyDescent="0.35">
      <c r="B1100" s="130"/>
      <c r="C1100" s="169"/>
      <c r="D1100" s="169"/>
      <c r="E1100" s="169"/>
      <c r="F1100" s="169"/>
      <c r="G1100" s="169"/>
      <c r="H1100" s="169"/>
      <c r="I1100" s="169"/>
      <c r="J1100" s="169"/>
      <c r="K1100" s="169"/>
      <c r="L1100" s="169"/>
      <c r="M1100" s="169"/>
      <c r="N1100" s="169"/>
      <c r="O1100" s="131"/>
      <c r="P1100" s="327"/>
      <c r="Q1100" s="327"/>
      <c r="R1100" s="330"/>
      <c r="S1100" s="334"/>
      <c r="T1100" s="334"/>
      <c r="U1100" s="334"/>
      <c r="V1100" s="334"/>
      <c r="W1100" s="334"/>
      <c r="X1100" s="334"/>
      <c r="Y1100" s="334"/>
      <c r="Z1100" s="334"/>
    </row>
    <row r="1101" spans="1:34" x14ac:dyDescent="0.35">
      <c r="B1101" s="291" t="s">
        <v>217</v>
      </c>
      <c r="C1101" s="292">
        <f>SUM(C1103:C1104)</f>
        <v>685421.92539999669</v>
      </c>
      <c r="D1101" s="292">
        <f>SUM(D1103:D1104)</f>
        <v>663090.28904999956</v>
      </c>
      <c r="E1101" s="292">
        <f t="shared" ref="E1101:M1101" si="228">SUM(E1103:E1104)</f>
        <v>725661.72699999972</v>
      </c>
      <c r="F1101" s="292">
        <f t="shared" si="228"/>
        <v>775449.17000000039</v>
      </c>
      <c r="G1101" s="292">
        <f t="shared" si="228"/>
        <v>0</v>
      </c>
      <c r="H1101" s="292">
        <f t="shared" si="228"/>
        <v>0</v>
      </c>
      <c r="I1101" s="292">
        <f t="shared" si="228"/>
        <v>0</v>
      </c>
      <c r="J1101" s="292">
        <f t="shared" si="228"/>
        <v>0</v>
      </c>
      <c r="K1101" s="292">
        <f t="shared" si="228"/>
        <v>0</v>
      </c>
      <c r="L1101" s="292">
        <f t="shared" si="228"/>
        <v>0</v>
      </c>
      <c r="M1101" s="292">
        <f t="shared" si="228"/>
        <v>0</v>
      </c>
      <c r="N1101" s="292">
        <f>SUM(N1103:N1104)</f>
        <v>0</v>
      </c>
      <c r="O1101" s="293">
        <f>SUM(C1101:N1101)</f>
        <v>2849623.111449996</v>
      </c>
      <c r="P1101" s="355"/>
      <c r="Q1101" s="713"/>
      <c r="R1101" s="714"/>
      <c r="S1101" s="336"/>
      <c r="T1101" s="336"/>
      <c r="U1101" s="336"/>
      <c r="V1101" s="336"/>
      <c r="W1101" s="336"/>
      <c r="X1101" s="336"/>
      <c r="Y1101" s="336"/>
      <c r="Z1101" s="336"/>
    </row>
    <row r="1102" spans="1:34" x14ac:dyDescent="0.35">
      <c r="A1102" s="359"/>
      <c r="B1102" s="127"/>
      <c r="C1102" s="128"/>
      <c r="D1102" s="128"/>
      <c r="E1102" s="128"/>
      <c r="F1102" s="128"/>
      <c r="G1102" s="128"/>
      <c r="H1102" s="128"/>
      <c r="I1102" s="128"/>
      <c r="J1102" s="128"/>
      <c r="K1102" s="128"/>
      <c r="L1102" s="128"/>
      <c r="M1102" s="128"/>
      <c r="N1102" s="128"/>
      <c r="O1102" s="126"/>
      <c r="P1102" s="47"/>
      <c r="R1102" s="330"/>
      <c r="S1102" s="335"/>
      <c r="T1102" s="335"/>
      <c r="U1102" s="335"/>
      <c r="V1102" s="335"/>
      <c r="W1102" s="335"/>
      <c r="X1102" s="335"/>
      <c r="Y1102" s="335"/>
      <c r="Z1102" s="335"/>
    </row>
    <row r="1103" spans="1:34" x14ac:dyDescent="0.35">
      <c r="B1103" s="1309" t="s">
        <v>177</v>
      </c>
      <c r="C1103" s="1280">
        <v>312560.69639999664</v>
      </c>
      <c r="D1103" s="1280">
        <v>274328.44604999956</v>
      </c>
      <c r="E1103" s="1280">
        <v>328930.03699999984</v>
      </c>
      <c r="F1103" s="1280">
        <v>348957.82600000018</v>
      </c>
      <c r="G1103" s="1280"/>
      <c r="H1103" s="1280"/>
      <c r="I1103" s="1280"/>
      <c r="J1103" s="1280"/>
      <c r="K1103" s="1280"/>
      <c r="L1103" s="1280"/>
      <c r="M1103" s="1280"/>
      <c r="N1103" s="1280"/>
      <c r="O1103" s="294">
        <f>SUM(C1103:N1103)</f>
        <v>1264777.0054499961</v>
      </c>
      <c r="Q1103" s="41"/>
      <c r="R1103" s="330"/>
      <c r="S1103" s="41"/>
      <c r="T1103" s="41"/>
    </row>
    <row r="1104" spans="1:34" x14ac:dyDescent="0.35">
      <c r="B1104" s="1309" t="s">
        <v>178</v>
      </c>
      <c r="C1104" s="1280">
        <v>372861.22900000005</v>
      </c>
      <c r="D1104" s="1280">
        <v>388761.84299999994</v>
      </c>
      <c r="E1104" s="1280">
        <v>396731.68999999989</v>
      </c>
      <c r="F1104" s="1280">
        <v>426491.34400000022</v>
      </c>
      <c r="G1104" s="1280"/>
      <c r="H1104" s="1280"/>
      <c r="I1104" s="1280"/>
      <c r="J1104" s="1280"/>
      <c r="K1104" s="1280"/>
      <c r="L1104" s="1280"/>
      <c r="M1104" s="1280"/>
      <c r="N1104" s="1280"/>
      <c r="O1104" s="294">
        <f>SUM(C1104:N1104)</f>
        <v>1584846.1060000001</v>
      </c>
      <c r="P1104" s="41"/>
      <c r="Q1104" s="41"/>
      <c r="R1104" s="41"/>
      <c r="S1104" s="331"/>
      <c r="T1104" s="331"/>
      <c r="U1104" s="704" t="s">
        <v>404</v>
      </c>
      <c r="V1104" s="704" t="s">
        <v>405</v>
      </c>
      <c r="W1104" s="704" t="s">
        <v>406</v>
      </c>
      <c r="X1104" s="704" t="s">
        <v>407</v>
      </c>
      <c r="Y1104" s="704" t="s">
        <v>408</v>
      </c>
      <c r="Z1104" s="704" t="s">
        <v>409</v>
      </c>
      <c r="AA1104" s="704" t="s">
        <v>410</v>
      </c>
      <c r="AB1104" s="704" t="s">
        <v>411</v>
      </c>
      <c r="AC1104" s="704" t="s">
        <v>412</v>
      </c>
      <c r="AD1104" s="704" t="s">
        <v>413</v>
      </c>
      <c r="AE1104" s="704" t="s">
        <v>414</v>
      </c>
      <c r="AF1104" s="704" t="s">
        <v>415</v>
      </c>
    </row>
    <row r="1105" spans="1:32" s="42" customFormat="1" ht="18.5" x14ac:dyDescent="0.45">
      <c r="B1105" s="130"/>
      <c r="C1105" s="169"/>
      <c r="D1105" s="169"/>
      <c r="E1105" s="169"/>
      <c r="F1105" s="169"/>
      <c r="G1105" s="169"/>
      <c r="H1105" s="169"/>
      <c r="I1105" s="169"/>
      <c r="J1105" s="169"/>
      <c r="K1105" s="169"/>
      <c r="L1105" s="169"/>
      <c r="M1105" s="169"/>
      <c r="N1105" s="169"/>
      <c r="O1105" s="131"/>
      <c r="P1105" s="41"/>
      <c r="Q1105" s="324"/>
      <c r="R1105" s="324"/>
      <c r="S1105" s="25"/>
      <c r="T1105" s="700" t="s">
        <v>402</v>
      </c>
      <c r="U1105" s="25"/>
      <c r="V1105" s="25"/>
      <c r="W1105" s="25"/>
      <c r="X1105" s="25">
        <f>'CALC. PREV'!E22</f>
        <v>0</v>
      </c>
      <c r="Y1105" s="25">
        <f>'CALC. PREV'!F22</f>
        <v>0</v>
      </c>
      <c r="Z1105" s="25">
        <f>'CALC. PREV'!G22</f>
        <v>0</v>
      </c>
      <c r="AA1105" s="25">
        <f>'CALC. PREV'!H22</f>
        <v>4306220.8850025013</v>
      </c>
      <c r="AB1105" s="25">
        <f>'CALC. PREV'!I22</f>
        <v>4449964.0030897688</v>
      </c>
      <c r="AC1105" s="25">
        <f>'CALC. PREV'!J22</f>
        <v>4005135.9259005389</v>
      </c>
      <c r="AD1105" s="25">
        <f>'CALC. PREV'!K22</f>
        <v>3942998.3647693717</v>
      </c>
      <c r="AE1105" s="25">
        <f>'CALC. PREV'!L22</f>
        <v>3842866.3961112681</v>
      </c>
      <c r="AF1105" s="25">
        <f>'CALC. PREV'!M22</f>
        <v>4550970.2641052734</v>
      </c>
    </row>
    <row r="1106" spans="1:32" x14ac:dyDescent="0.35">
      <c r="A1106" s="359"/>
      <c r="B1106" s="431" t="s">
        <v>179</v>
      </c>
      <c r="C1106" s="1318">
        <f>C1101+C1096</f>
        <v>1780676.4545399961</v>
      </c>
      <c r="D1106" s="1318">
        <f>+D1101+D1096</f>
        <v>1668596.7252890025</v>
      </c>
      <c r="E1106" s="1318">
        <f>+E1101+E1096</f>
        <v>1917597.4756400012</v>
      </c>
      <c r="F1106" s="1318">
        <f>+F1101+F1096</f>
        <v>1908739.0832000002</v>
      </c>
      <c r="G1106" s="1318">
        <f t="shared" ref="G1106:L1106" si="229">+G1101+G1096</f>
        <v>0</v>
      </c>
      <c r="H1106" s="1318">
        <f t="shared" si="229"/>
        <v>0</v>
      </c>
      <c r="I1106" s="1318">
        <f t="shared" si="229"/>
        <v>0</v>
      </c>
      <c r="J1106" s="1318">
        <f t="shared" si="229"/>
        <v>0</v>
      </c>
      <c r="K1106" s="1318">
        <f t="shared" si="229"/>
        <v>0</v>
      </c>
      <c r="L1106" s="1318">
        <f t="shared" si="229"/>
        <v>0</v>
      </c>
      <c r="M1106" s="1318">
        <f>+M1101+M1096</f>
        <v>0</v>
      </c>
      <c r="N1106" s="1318">
        <f>+N1101+N1096</f>
        <v>0</v>
      </c>
      <c r="O1106" s="1319">
        <f>SUM(C1106:N1106)</f>
        <v>7275609.7386690006</v>
      </c>
      <c r="Q1106" s="28">
        <f>O1106/O73</f>
        <v>0.44010142673745961</v>
      </c>
      <c r="S1106" s="334"/>
      <c r="T1106" s="334"/>
      <c r="U1106" s="334"/>
      <c r="V1106" s="334"/>
      <c r="W1106" s="334"/>
      <c r="X1106" s="334">
        <f>X1105*$Q$1106</f>
        <v>0</v>
      </c>
      <c r="Y1106" s="334">
        <f>Y1105*$Q$1106</f>
        <v>0</v>
      </c>
      <c r="Z1106" s="334">
        <f>Z1105*$Q$1106</f>
        <v>0</v>
      </c>
      <c r="AA1106" s="334">
        <f t="shared" ref="AA1106:AF1106" si="230">AA1105*$Q$1106</f>
        <v>1895173.9553362469</v>
      </c>
      <c r="AB1106" s="334">
        <f t="shared" si="230"/>
        <v>1958435.5066901443</v>
      </c>
      <c r="AC1106" s="334">
        <f>AC1105*$Q$1106</f>
        <v>1762666.0352662834</v>
      </c>
      <c r="AD1106" s="334">
        <f t="shared" si="230"/>
        <v>1735319.2059584707</v>
      </c>
      <c r="AE1106" s="334">
        <f t="shared" si="230"/>
        <v>1691250.9836900088</v>
      </c>
      <c r="AF1106" s="334">
        <f t="shared" si="230"/>
        <v>2002888.5062724843</v>
      </c>
    </row>
    <row r="1107" spans="1:32" x14ac:dyDescent="0.35">
      <c r="A1107" s="359"/>
      <c r="B1107" s="130"/>
      <c r="C1107" s="169"/>
      <c r="D1107" s="169"/>
      <c r="E1107" s="169"/>
      <c r="F1107" s="169"/>
      <c r="G1107" s="169"/>
      <c r="H1107" s="169"/>
      <c r="I1107" s="169"/>
      <c r="J1107" s="169"/>
      <c r="K1107" s="169"/>
      <c r="L1107" s="169"/>
      <c r="M1107" s="169"/>
      <c r="N1107" s="169"/>
      <c r="O1107" s="131"/>
      <c r="S1107" s="334"/>
      <c r="T1107" s="334"/>
      <c r="U1107" s="334"/>
      <c r="V1107" s="334"/>
      <c r="W1107" s="334"/>
      <c r="X1107" s="334">
        <f>X1106/15</f>
        <v>0</v>
      </c>
      <c r="Y1107" s="334">
        <f>Y1106/15</f>
        <v>0</v>
      </c>
      <c r="Z1107" s="334">
        <f>Z1106/15</f>
        <v>0</v>
      </c>
      <c r="AA1107" s="334">
        <f t="shared" ref="AA1107:AF1107" si="231">AA1106/15</f>
        <v>126344.93035574979</v>
      </c>
      <c r="AB1107" s="334">
        <f t="shared" si="231"/>
        <v>130562.36711267629</v>
      </c>
      <c r="AC1107" s="334">
        <f t="shared" si="231"/>
        <v>117511.06901775223</v>
      </c>
      <c r="AD1107" s="334">
        <f t="shared" si="231"/>
        <v>115687.94706389804</v>
      </c>
      <c r="AE1107" s="334">
        <f t="shared" si="231"/>
        <v>112750.06557933391</v>
      </c>
      <c r="AF1107" s="334">
        <f t="shared" si="231"/>
        <v>133525.90041816563</v>
      </c>
    </row>
    <row r="1108" spans="1:32" x14ac:dyDescent="0.35">
      <c r="B1108" s="1309" t="s">
        <v>177</v>
      </c>
      <c r="C1108" s="297">
        <f>C1098+C1103</f>
        <v>999175.02253999724</v>
      </c>
      <c r="D1108" s="297">
        <f>D1098+D1103</f>
        <v>884263.2782890026</v>
      </c>
      <c r="E1108" s="297">
        <f t="shared" ref="E1108:L1109" si="232">E1098+E1103</f>
        <v>1046466.0236400021</v>
      </c>
      <c r="F1108" s="297">
        <f t="shared" si="232"/>
        <v>1000295.757</v>
      </c>
      <c r="G1108" s="297">
        <f t="shared" si="232"/>
        <v>0</v>
      </c>
      <c r="H1108" s="297">
        <f t="shared" si="232"/>
        <v>0</v>
      </c>
      <c r="I1108" s="297">
        <f t="shared" si="232"/>
        <v>0</v>
      </c>
      <c r="J1108" s="297">
        <f t="shared" si="232"/>
        <v>0</v>
      </c>
      <c r="K1108" s="297">
        <f t="shared" si="232"/>
        <v>0</v>
      </c>
      <c r="L1108" s="297">
        <f t="shared" si="232"/>
        <v>0</v>
      </c>
      <c r="M1108" s="297">
        <f>M1098+M1103</f>
        <v>0</v>
      </c>
      <c r="N1108" s="297">
        <f>N1098+N1103</f>
        <v>0</v>
      </c>
      <c r="O1108" s="294">
        <f>SUM(C1108:N1108)</f>
        <v>3930200.0814690022</v>
      </c>
      <c r="P1108" s="28">
        <f>O1108/$O$1106</f>
        <v>0.5401884134302114</v>
      </c>
      <c r="S1108" s="336"/>
      <c r="T1108" s="336" t="s">
        <v>400</v>
      </c>
      <c r="U1108" s="336"/>
      <c r="V1108" s="336"/>
      <c r="W1108" s="336"/>
      <c r="X1108" s="336">
        <f>X1107/$P$1316</f>
        <v>0</v>
      </c>
      <c r="Y1108" s="336">
        <f>Y1107/$P$1316</f>
        <v>0</v>
      </c>
      <c r="Z1108" s="336">
        <f>Z1107/$P$1316</f>
        <v>0</v>
      </c>
      <c r="AA1108" s="336">
        <f t="shared" ref="AA1108:AF1108" si="233">AA1107/$P$1316</f>
        <v>164931.20884758726</v>
      </c>
      <c r="AB1108" s="336">
        <f t="shared" si="233"/>
        <v>170436.66870735027</v>
      </c>
      <c r="AC1108" s="336">
        <f t="shared" si="233"/>
        <v>153399.44872737126</v>
      </c>
      <c r="AD1108" s="336">
        <f t="shared" si="233"/>
        <v>151019.53758349636</v>
      </c>
      <c r="AE1108" s="336">
        <f t="shared" si="233"/>
        <v>147184.41461231135</v>
      </c>
      <c r="AF1108" s="336">
        <f t="shared" si="233"/>
        <v>174305.27767454972</v>
      </c>
    </row>
    <row r="1109" spans="1:32" x14ac:dyDescent="0.35">
      <c r="B1109" s="1309" t="s">
        <v>178</v>
      </c>
      <c r="C1109" s="297">
        <f>C1099+C1104</f>
        <v>781501.4319999991</v>
      </c>
      <c r="D1109" s="297">
        <f>D1099+D1104</f>
        <v>784333.44699999981</v>
      </c>
      <c r="E1109" s="297">
        <f t="shared" si="232"/>
        <v>871131.45199999923</v>
      </c>
      <c r="F1109" s="297">
        <f t="shared" si="232"/>
        <v>908443.32620000024</v>
      </c>
      <c r="G1109" s="297">
        <f t="shared" si="232"/>
        <v>0</v>
      </c>
      <c r="H1109" s="297">
        <f t="shared" si="232"/>
        <v>0</v>
      </c>
      <c r="I1109" s="297">
        <f t="shared" si="232"/>
        <v>0</v>
      </c>
      <c r="J1109" s="297">
        <f t="shared" si="232"/>
        <v>0</v>
      </c>
      <c r="K1109" s="297">
        <f t="shared" si="232"/>
        <v>0</v>
      </c>
      <c r="L1109" s="297">
        <f t="shared" si="232"/>
        <v>0</v>
      </c>
      <c r="M1109" s="297">
        <f>M1099+M1104</f>
        <v>0</v>
      </c>
      <c r="N1109" s="297">
        <f>N1099+N1104</f>
        <v>0</v>
      </c>
      <c r="O1109" s="294">
        <f>SUM(C1109:N1109)</f>
        <v>3345409.6571999984</v>
      </c>
      <c r="P1109" s="28">
        <f>O1109/$O$1106</f>
        <v>0.45981158656978866</v>
      </c>
      <c r="S1109" s="335"/>
      <c r="T1109" s="335" t="s">
        <v>401</v>
      </c>
      <c r="U1109" s="335"/>
      <c r="V1109" s="335"/>
      <c r="W1109" s="335"/>
      <c r="X1109" s="335">
        <f>X1107*$P$1318</f>
        <v>0</v>
      </c>
      <c r="Y1109" s="335">
        <f>Y1107*$P$1318</f>
        <v>0</v>
      </c>
      <c r="Z1109" s="335">
        <f>Z1107*$P$1318</f>
        <v>0</v>
      </c>
      <c r="AA1109" s="335">
        <f t="shared" ref="AA1109:AF1109" si="234">AA1107*$P$1318</f>
        <v>54031.040894052436</v>
      </c>
      <c r="AB1109" s="335">
        <f t="shared" si="234"/>
        <v>55834.615420073809</v>
      </c>
      <c r="AC1109" s="335">
        <f t="shared" si="234"/>
        <v>50253.265862938861</v>
      </c>
      <c r="AD1109" s="335">
        <f t="shared" si="234"/>
        <v>49473.613077772257</v>
      </c>
      <c r="AE1109" s="335">
        <f t="shared" si="234"/>
        <v>48217.236631266584</v>
      </c>
      <c r="AF1109" s="335">
        <f t="shared" si="234"/>
        <v>57101.961792966838</v>
      </c>
    </row>
    <row r="1110" spans="1:32" x14ac:dyDescent="0.35">
      <c r="B1110" s="240"/>
      <c r="C1110" s="1320"/>
      <c r="D1110" s="298"/>
      <c r="E1110" s="298"/>
      <c r="F1110" s="298"/>
      <c r="G1110" s="298"/>
      <c r="H1110" s="298"/>
      <c r="I1110" s="298"/>
      <c r="J1110" s="298"/>
      <c r="K1110" s="298"/>
      <c r="L1110" s="298"/>
      <c r="M1110" s="298"/>
      <c r="N1110" s="298"/>
      <c r="O1110" s="299"/>
      <c r="Q1110" s="327"/>
      <c r="R1110" s="381">
        <f>Q1111/O739</f>
        <v>9.7843097441677844E-3</v>
      </c>
      <c r="S1110" s="327"/>
    </row>
    <row r="1111" spans="1:32" x14ac:dyDescent="0.35">
      <c r="B1111" s="105"/>
      <c r="C1111" s="288"/>
      <c r="D1111" s="300"/>
      <c r="E1111" s="300"/>
      <c r="F1111" s="300"/>
      <c r="G1111" s="300"/>
      <c r="H1111" s="300"/>
      <c r="I1111" s="300"/>
      <c r="J1111" s="300"/>
      <c r="K1111" s="300"/>
      <c r="L1111" s="300"/>
      <c r="M1111" s="300"/>
      <c r="N1111" s="300"/>
      <c r="O1111" s="1160"/>
      <c r="P1111" s="327"/>
      <c r="Q1111" s="359">
        <f>O739-O1109</f>
        <v>33055.953999999911</v>
      </c>
      <c r="R1111" s="381">
        <f>O1109/O739</f>
        <v>0.99021569025583223</v>
      </c>
      <c r="S1111" s="327"/>
    </row>
    <row r="1112" spans="1:32" ht="18.5" x14ac:dyDescent="0.45">
      <c r="B1112" s="1068" t="s">
        <v>537</v>
      </c>
      <c r="C1112" s="1068"/>
      <c r="D1112" s="1068"/>
      <c r="E1112" s="1068"/>
      <c r="F1112" s="1068"/>
      <c r="G1112" s="1068"/>
      <c r="H1112" s="1068"/>
      <c r="I1112" s="1068"/>
      <c r="J1112" s="1068"/>
      <c r="K1112" s="1068"/>
      <c r="L1112" s="1068"/>
      <c r="M1112" s="1068"/>
      <c r="N1112" s="1068"/>
      <c r="O1112" s="1068"/>
      <c r="P1112" s="327"/>
      <c r="Q1112" s="327"/>
      <c r="R1112" s="327"/>
      <c r="S1112" s="25"/>
      <c r="T1112" s="702" t="s">
        <v>402</v>
      </c>
      <c r="U1112" s="25"/>
      <c r="V1112" s="25"/>
      <c r="W1112" s="25"/>
      <c r="X1112" s="25">
        <f>'CALC. PREV'!E23</f>
        <v>0</v>
      </c>
      <c r="Y1112" s="25">
        <f>'CALC. PREV'!F23</f>
        <v>0</v>
      </c>
      <c r="Z1112" s="25">
        <f>'CALC. PREV'!G23</f>
        <v>0</v>
      </c>
      <c r="AA1112" s="25">
        <f>'CALC. PREV'!H23</f>
        <v>4284057.8621723214</v>
      </c>
      <c r="AB1112" s="25">
        <f>'CALC. PREV'!I23</f>
        <v>4098176.8252611686</v>
      </c>
      <c r="AC1112" s="25">
        <f>'CALC. PREV'!J23</f>
        <v>4021955.4795784061</v>
      </c>
      <c r="AD1112" s="25">
        <f>'CALC. PREV'!K23</f>
        <v>4023031.8811691687</v>
      </c>
      <c r="AE1112" s="25">
        <f>'CALC. PREV'!L23</f>
        <v>4061397.2324997135</v>
      </c>
      <c r="AF1112" s="25">
        <f>'CALC. PREV'!M23</f>
        <v>4252526.9526254013</v>
      </c>
    </row>
    <row r="1113" spans="1:32" x14ac:dyDescent="0.35">
      <c r="B1113" s="1020"/>
      <c r="C1113" s="274"/>
      <c r="D1113" s="302"/>
      <c r="E1113" s="302"/>
      <c r="F1113" s="302"/>
      <c r="G1113" s="302"/>
      <c r="H1113" s="302"/>
      <c r="I1113" s="302"/>
      <c r="J1113" s="302"/>
      <c r="K1113" s="302"/>
      <c r="L1113" s="302"/>
      <c r="M1113" s="302"/>
      <c r="N1113" s="1321"/>
      <c r="O1113" s="290"/>
      <c r="P1113" s="24"/>
      <c r="Q1113" s="327"/>
      <c r="R1113" s="327"/>
      <c r="S1113" s="334"/>
      <c r="T1113" s="334"/>
      <c r="U1113" s="334"/>
      <c r="V1113" s="334"/>
      <c r="W1113" s="334"/>
      <c r="X1113" s="334">
        <f t="shared" ref="X1113" si="235">X1112*$Q$1106</f>
        <v>0</v>
      </c>
      <c r="Y1113" s="334">
        <f t="shared" ref="Y1113" si="236">Y1112*$Q$1106</f>
        <v>0</v>
      </c>
      <c r="Z1113" s="334">
        <f t="shared" ref="Z1113:AF1113" si="237">Z1112*$Q$1106</f>
        <v>0</v>
      </c>
      <c r="AA1113" s="334">
        <f t="shared" si="237"/>
        <v>1885419.9773678698</v>
      </c>
      <c r="AB1113" s="334">
        <f t="shared" si="237"/>
        <v>1803613.467819833</v>
      </c>
      <c r="AC1113" s="334">
        <f t="shared" si="237"/>
        <v>1770068.3448370001</v>
      </c>
      <c r="AD1113" s="334">
        <f t="shared" si="237"/>
        <v>1770542.0707128372</v>
      </c>
      <c r="AE1113" s="334">
        <f t="shared" si="237"/>
        <v>1787426.716570694</v>
      </c>
      <c r="AF1113" s="334">
        <f t="shared" si="237"/>
        <v>1871543.1790899404</v>
      </c>
    </row>
    <row r="1114" spans="1:32" ht="15" customHeight="1" x14ac:dyDescent="0.35">
      <c r="B1114" s="1074" t="s">
        <v>13</v>
      </c>
      <c r="C1114" s="1112" t="s">
        <v>0</v>
      </c>
      <c r="D1114" s="1136" t="s">
        <v>1</v>
      </c>
      <c r="E1114" s="1136" t="s">
        <v>2</v>
      </c>
      <c r="F1114" s="1136" t="s">
        <v>3</v>
      </c>
      <c r="G1114" s="1136" t="s">
        <v>4</v>
      </c>
      <c r="H1114" s="1136" t="s">
        <v>5</v>
      </c>
      <c r="I1114" s="1136" t="s">
        <v>6</v>
      </c>
      <c r="J1114" s="1136" t="s">
        <v>7</v>
      </c>
      <c r="K1114" s="1136" t="s">
        <v>8</v>
      </c>
      <c r="L1114" s="1136" t="s">
        <v>9</v>
      </c>
      <c r="M1114" s="1136" t="s">
        <v>10</v>
      </c>
      <c r="N1114" s="1136" t="s">
        <v>14</v>
      </c>
      <c r="O1114" s="1077" t="s">
        <v>15</v>
      </c>
      <c r="P1114" s="40"/>
      <c r="Q1114" s="327"/>
      <c r="R1114" s="327"/>
      <c r="S1114" s="334"/>
      <c r="T1114" s="334"/>
      <c r="U1114" s="334"/>
      <c r="V1114" s="334"/>
      <c r="W1114" s="334"/>
      <c r="X1114" s="334">
        <f>X1113/15</f>
        <v>0</v>
      </c>
      <c r="Y1114" s="334">
        <f>Y1113/15</f>
        <v>0</v>
      </c>
      <c r="Z1114" s="334">
        <f>Z1113/15</f>
        <v>0</v>
      </c>
      <c r="AA1114" s="334">
        <f t="shared" ref="AA1114:AF1114" si="238">AA1113/15</f>
        <v>125694.66515785799</v>
      </c>
      <c r="AB1114" s="334">
        <f t="shared" si="238"/>
        <v>120240.89785465553</v>
      </c>
      <c r="AC1114" s="334">
        <f t="shared" si="238"/>
        <v>118004.55632246667</v>
      </c>
      <c r="AD1114" s="334">
        <f t="shared" si="238"/>
        <v>118036.13804752247</v>
      </c>
      <c r="AE1114" s="334">
        <f t="shared" si="238"/>
        <v>119161.78110471294</v>
      </c>
      <c r="AF1114" s="334">
        <f t="shared" si="238"/>
        <v>124769.5452726627</v>
      </c>
    </row>
    <row r="1115" spans="1:32" ht="15" customHeight="1" x14ac:dyDescent="0.35">
      <c r="B1115" s="1080"/>
      <c r="C1115" s="1145"/>
      <c r="D1115" s="1153"/>
      <c r="E1115" s="1153"/>
      <c r="F1115" s="1153"/>
      <c r="G1115" s="1153"/>
      <c r="H1115" s="1153"/>
      <c r="I1115" s="1153"/>
      <c r="J1115" s="1153"/>
      <c r="K1115" s="1153"/>
      <c r="L1115" s="1153"/>
      <c r="M1115" s="1153"/>
      <c r="N1115" s="1153"/>
      <c r="O1115" s="1088"/>
      <c r="P1115" s="40"/>
      <c r="Q1115" s="327"/>
      <c r="R1115" s="327"/>
      <c r="S1115" s="336"/>
      <c r="T1115" s="336" t="s">
        <v>400</v>
      </c>
      <c r="U1115" s="336"/>
      <c r="V1115" s="336"/>
      <c r="W1115" s="336"/>
      <c r="X1115" s="336">
        <f t="shared" ref="X1115" si="239">X1114/$P$1316</f>
        <v>0</v>
      </c>
      <c r="Y1115" s="336">
        <f t="shared" ref="Y1115" si="240">Y1114/$P$1316</f>
        <v>0</v>
      </c>
      <c r="Z1115" s="336">
        <f t="shared" ref="Z1115:AF1115" si="241">Z1114/$P$1316</f>
        <v>0</v>
      </c>
      <c r="AA1115" s="336">
        <f t="shared" si="241"/>
        <v>164082.34989568606</v>
      </c>
      <c r="AB1115" s="336">
        <f t="shared" si="241"/>
        <v>156962.97888841326</v>
      </c>
      <c r="AC1115" s="336">
        <f t="shared" si="241"/>
        <v>154043.64915146676</v>
      </c>
      <c r="AD1115" s="336">
        <f t="shared" si="241"/>
        <v>154084.87606952575</v>
      </c>
      <c r="AE1115" s="336">
        <f t="shared" si="241"/>
        <v>155554.29529854088</v>
      </c>
      <c r="AF1115" s="336">
        <f t="shared" si="241"/>
        <v>162874.69446729193</v>
      </c>
    </row>
    <row r="1116" spans="1:32" x14ac:dyDescent="0.35">
      <c r="B1116" s="1018"/>
      <c r="C1116" s="1322"/>
      <c r="D1116" s="303"/>
      <c r="E1116" s="303"/>
      <c r="F1116" s="303"/>
      <c r="G1116" s="303"/>
      <c r="H1116" s="303"/>
      <c r="I1116" s="303"/>
      <c r="J1116" s="303"/>
      <c r="K1116" s="303"/>
      <c r="L1116" s="303"/>
      <c r="M1116" s="303"/>
      <c r="N1116" s="303"/>
      <c r="O1116" s="303"/>
      <c r="P1116" s="40"/>
      <c r="Q1116" s="327"/>
      <c r="R1116" s="327"/>
      <c r="S1116" s="335"/>
      <c r="T1116" s="335" t="s">
        <v>401</v>
      </c>
      <c r="U1116" s="335"/>
      <c r="V1116" s="335"/>
      <c r="W1116" s="335"/>
      <c r="X1116" s="335">
        <f t="shared" ref="X1116" si="242">X1114*$P$1318</f>
        <v>0</v>
      </c>
      <c r="Y1116" s="335">
        <f t="shared" ref="Y1116" si="243">Y1114*$P$1318</f>
        <v>0</v>
      </c>
      <c r="Z1116" s="335">
        <f t="shared" ref="Z1116:AF1116" si="244">Z1114*$P$1318</f>
        <v>0</v>
      </c>
      <c r="AA1116" s="335">
        <f t="shared" si="244"/>
        <v>53752.956879123281</v>
      </c>
      <c r="AB1116" s="335">
        <f t="shared" si="244"/>
        <v>51420.66920160217</v>
      </c>
      <c r="AC1116" s="335">
        <f t="shared" si="244"/>
        <v>50464.304269202134</v>
      </c>
      <c r="AD1116" s="335">
        <f t="shared" si="244"/>
        <v>50477.810101792245</v>
      </c>
      <c r="AE1116" s="335">
        <f t="shared" si="244"/>
        <v>50959.188071481367</v>
      </c>
      <c r="AF1116" s="335">
        <f t="shared" si="244"/>
        <v>53357.332058973043</v>
      </c>
    </row>
    <row r="1117" spans="1:32" x14ac:dyDescent="0.35">
      <c r="B1117" s="1306" t="s">
        <v>47</v>
      </c>
      <c r="C1117" s="162">
        <f>+C1119+C1125+C1127</f>
        <v>1095254.5291399991</v>
      </c>
      <c r="D1117" s="162">
        <f>+D1119+D1125+D1127</f>
        <v>1005506.4362390017</v>
      </c>
      <c r="E1117" s="162">
        <f>+E1119+E1125+E1127</f>
        <v>1191935.7486400015</v>
      </c>
      <c r="F1117" s="162">
        <f>+F1119+F1125+F1127</f>
        <v>1133289.9132000001</v>
      </c>
      <c r="G1117" s="162">
        <f t="shared" ref="G1117:L1117" si="245">+G1119+G1125+G1127</f>
        <v>0</v>
      </c>
      <c r="H1117" s="162">
        <f t="shared" si="245"/>
        <v>0</v>
      </c>
      <c r="I1117" s="162">
        <f t="shared" si="245"/>
        <v>0</v>
      </c>
      <c r="J1117" s="162">
        <f t="shared" si="245"/>
        <v>0</v>
      </c>
      <c r="K1117" s="162">
        <f t="shared" si="245"/>
        <v>0</v>
      </c>
      <c r="L1117" s="162">
        <f t="shared" si="245"/>
        <v>0</v>
      </c>
      <c r="M1117" s="162">
        <f>+M1119+M1125+M1127</f>
        <v>0</v>
      </c>
      <c r="N1117" s="162">
        <f>+N1119+N1125+N1127</f>
        <v>0</v>
      </c>
      <c r="O1117" s="305">
        <f>SUM(C1117:N1117)</f>
        <v>4425986.6272190027</v>
      </c>
      <c r="P1117" s="40"/>
      <c r="Q1117" s="327"/>
      <c r="R1117" s="327"/>
      <c r="S1117" s="327"/>
    </row>
    <row r="1118" spans="1:32" x14ac:dyDescent="0.35">
      <c r="B1118" s="1306"/>
      <c r="C1118" s="162"/>
      <c r="D1118" s="162"/>
      <c r="E1118" s="162"/>
      <c r="F1118" s="162"/>
      <c r="G1118" s="162"/>
      <c r="H1118" s="162"/>
      <c r="I1118" s="162"/>
      <c r="J1118" s="162"/>
      <c r="K1118" s="162"/>
      <c r="L1118" s="162"/>
      <c r="M1118" s="162"/>
      <c r="N1118" s="162"/>
      <c r="O1118" s="306"/>
      <c r="P1118" s="40"/>
      <c r="Q1118" s="327"/>
      <c r="R1118" s="327"/>
      <c r="S1118" s="327"/>
    </row>
    <row r="1119" spans="1:32" ht="13.5" customHeight="1" x14ac:dyDescent="0.45">
      <c r="B1119" s="1307" t="s">
        <v>167</v>
      </c>
      <c r="C1119" s="275">
        <f>SUM(C1121:C1123)</f>
        <v>573572.51427599939</v>
      </c>
      <c r="D1119" s="275">
        <f>SUM(D1121:D1123)</f>
        <v>514432.74023900169</v>
      </c>
      <c r="E1119" s="275">
        <f t="shared" ref="E1119:N1119" si="246">SUM(E1121:E1123)</f>
        <v>612939.55564000201</v>
      </c>
      <c r="F1119" s="275">
        <f t="shared" si="246"/>
        <v>537278.15899999964</v>
      </c>
      <c r="G1119" s="275">
        <f t="shared" si="246"/>
        <v>0</v>
      </c>
      <c r="H1119" s="275">
        <f t="shared" si="246"/>
        <v>0</v>
      </c>
      <c r="I1119" s="275">
        <f t="shared" si="246"/>
        <v>0</v>
      </c>
      <c r="J1119" s="275">
        <f t="shared" si="246"/>
        <v>0</v>
      </c>
      <c r="K1119" s="275">
        <f t="shared" si="246"/>
        <v>0</v>
      </c>
      <c r="L1119" s="275">
        <f t="shared" si="246"/>
        <v>0</v>
      </c>
      <c r="M1119" s="275">
        <f t="shared" si="246"/>
        <v>0</v>
      </c>
      <c r="N1119" s="275">
        <f t="shared" si="246"/>
        <v>0</v>
      </c>
      <c r="O1119" s="305">
        <f>SUM(C1119:N1119)</f>
        <v>2238222.9691550029</v>
      </c>
      <c r="P1119" s="24"/>
      <c r="Q1119" s="327"/>
      <c r="R1119" s="327"/>
      <c r="S1119" s="25"/>
      <c r="T1119" s="701" t="s">
        <v>402</v>
      </c>
      <c r="U1119" s="25"/>
      <c r="V1119" s="25"/>
      <c r="W1119" s="25"/>
      <c r="X1119" s="25">
        <f>'CALC. PREV'!E24</f>
        <v>0</v>
      </c>
      <c r="Y1119" s="25">
        <f>'CALC. PREV'!F24</f>
        <v>0</v>
      </c>
      <c r="Z1119" s="25">
        <f>'CALC. PREV'!G24</f>
        <v>0</v>
      </c>
      <c r="AA1119" s="25">
        <f>'CALC. PREV'!H24</f>
        <v>4239470.6170046385</v>
      </c>
      <c r="AB1119" s="25">
        <f>'CALC. PREV'!I24</f>
        <v>4055524.1765978797</v>
      </c>
      <c r="AC1119" s="25">
        <f>'CALC. PREV'!J24</f>
        <v>3980096.1208136911</v>
      </c>
      <c r="AD1119" s="25">
        <f>'CALC. PREV'!K24</f>
        <v>3981161.3195255082</v>
      </c>
      <c r="AE1119" s="25">
        <f>'CALC. PREV'!L24</f>
        <v>4019127.3752861158</v>
      </c>
      <c r="AF1119" s="25">
        <f>'CALC. PREV'!M24</f>
        <v>4208267.8721183175</v>
      </c>
    </row>
    <row r="1120" spans="1:32" s="41" customFormat="1" x14ac:dyDescent="0.35">
      <c r="B1120" s="1307"/>
      <c r="C1120" s="275"/>
      <c r="D1120" s="275"/>
      <c r="E1120" s="275"/>
      <c r="F1120" s="275"/>
      <c r="G1120" s="275"/>
      <c r="H1120" s="275"/>
      <c r="I1120" s="275"/>
      <c r="J1120" s="275"/>
      <c r="K1120" s="275"/>
      <c r="L1120" s="275"/>
      <c r="M1120" s="275"/>
      <c r="N1120" s="275"/>
      <c r="O1120" s="305"/>
      <c r="P1120" s="40"/>
      <c r="Q1120" s="327"/>
      <c r="R1120" s="327"/>
      <c r="S1120" s="334"/>
      <c r="T1120" s="334"/>
      <c r="U1120" s="334"/>
      <c r="V1120" s="334"/>
      <c r="W1120" s="334"/>
      <c r="X1120" s="334">
        <f>X1119*$Q$1106</f>
        <v>0</v>
      </c>
      <c r="Y1120" s="334">
        <f>Y1119*$Q$1106</f>
        <v>0</v>
      </c>
      <c r="Z1120" s="334">
        <f>Z1119*$Q$1106</f>
        <v>0</v>
      </c>
      <c r="AA1120" s="334">
        <f t="shared" ref="AA1120:AF1120" si="247">AA1119*$Q$1106</f>
        <v>1865797.0671552797</v>
      </c>
      <c r="AB1120" s="334">
        <f t="shared" si="247"/>
        <v>1784841.976288988</v>
      </c>
      <c r="AC1120" s="334">
        <f t="shared" si="247"/>
        <v>1751645.9813223339</v>
      </c>
      <c r="AD1120" s="334">
        <f t="shared" si="247"/>
        <v>1752114.7767951635</v>
      </c>
      <c r="AE1120" s="334">
        <f t="shared" si="247"/>
        <v>1768823.6921030008</v>
      </c>
      <c r="AF1120" s="334">
        <f t="shared" si="247"/>
        <v>1852064.6946126847</v>
      </c>
    </row>
    <row r="1121" spans="2:32" x14ac:dyDescent="0.35">
      <c r="B1121" s="1275" t="s">
        <v>168</v>
      </c>
      <c r="C1121" s="1276">
        <v>6681.1240409999964</v>
      </c>
      <c r="D1121" s="1276">
        <v>6562.4818400000022</v>
      </c>
      <c r="E1121" s="1323">
        <v>9531.2080000000042</v>
      </c>
      <c r="F1121" s="1323">
        <v>7351.9930000000068</v>
      </c>
      <c r="G1121" s="1323"/>
      <c r="H1121" s="1323"/>
      <c r="I1121" s="1323"/>
      <c r="J1121" s="1323"/>
      <c r="K1121" s="1323"/>
      <c r="L1121" s="1323"/>
      <c r="M1121" s="1323"/>
      <c r="N1121" s="1323"/>
      <c r="O1121" s="166">
        <f>SUM(C1121:N1121)</f>
        <v>30126.806881000008</v>
      </c>
      <c r="P1121" s="40"/>
      <c r="Q1121" s="327"/>
      <c r="R1121" s="327"/>
      <c r="S1121" s="334"/>
      <c r="T1121" s="334"/>
      <c r="U1121" s="334"/>
      <c r="V1121" s="334"/>
      <c r="W1121" s="334"/>
      <c r="X1121" s="334">
        <f>X1120/15</f>
        <v>0</v>
      </c>
      <c r="Y1121" s="334">
        <f>Y1120/15</f>
        <v>0</v>
      </c>
      <c r="Z1121" s="334">
        <f>Z1120/15</f>
        <v>0</v>
      </c>
      <c r="AA1121" s="334">
        <f t="shared" ref="AA1121:AF1121" si="248">AA1120/15</f>
        <v>124386.47114368531</v>
      </c>
      <c r="AB1121" s="334">
        <f t="shared" si="248"/>
        <v>118989.46508593253</v>
      </c>
      <c r="AC1121" s="334">
        <f t="shared" si="248"/>
        <v>116776.39875482226</v>
      </c>
      <c r="AD1121" s="334">
        <f t="shared" si="248"/>
        <v>116807.65178634423</v>
      </c>
      <c r="AE1121" s="334">
        <f t="shared" si="248"/>
        <v>117921.57947353339</v>
      </c>
      <c r="AF1121" s="334">
        <f t="shared" si="248"/>
        <v>123470.97964084565</v>
      </c>
    </row>
    <row r="1122" spans="2:32" x14ac:dyDescent="0.35">
      <c r="B1122" s="1275" t="s">
        <v>169</v>
      </c>
      <c r="C1122" s="1276">
        <v>503298.51873499923</v>
      </c>
      <c r="D1122" s="1276">
        <v>444121.08039900154</v>
      </c>
      <c r="E1122" s="1323">
        <v>526286.69064000226</v>
      </c>
      <c r="F1122" s="1323">
        <v>472877.48898999958</v>
      </c>
      <c r="G1122" s="1323"/>
      <c r="H1122" s="1323"/>
      <c r="I1122" s="1323"/>
      <c r="J1122" s="1323"/>
      <c r="K1122" s="1323"/>
      <c r="L1122" s="1323"/>
      <c r="M1122" s="1323"/>
      <c r="N1122" s="1323"/>
      <c r="O1122" s="166">
        <f>SUM(C1122:N1122)</f>
        <v>1946583.7787640025</v>
      </c>
      <c r="P1122" s="40"/>
      <c r="Q1122" s="327"/>
      <c r="R1122" s="327"/>
      <c r="S1122" s="336"/>
      <c r="T1122" s="336" t="s">
        <v>400</v>
      </c>
      <c r="U1122" s="336"/>
      <c r="V1122" s="336"/>
      <c r="W1122" s="336"/>
      <c r="X1122" s="336">
        <f>X1121/$P$1316</f>
        <v>0</v>
      </c>
      <c r="Y1122" s="336">
        <f>Y1121/$P$1316</f>
        <v>0</v>
      </c>
      <c r="Z1122" s="336">
        <f>Z1121/$P$1316</f>
        <v>0</v>
      </c>
      <c r="AA1122" s="336">
        <f t="shared" ref="AA1122:AF1122" si="249">AA1121/$P$1316</f>
        <v>162374.62787188063</v>
      </c>
      <c r="AB1122" s="336">
        <f t="shared" si="249"/>
        <v>155329.35323556114</v>
      </c>
      <c r="AC1122" s="336">
        <f t="shared" si="249"/>
        <v>152440.40704498452</v>
      </c>
      <c r="AD1122" s="336">
        <f t="shared" si="249"/>
        <v>152481.20488510802</v>
      </c>
      <c r="AE1122" s="336">
        <f t="shared" si="249"/>
        <v>153935.33082035213</v>
      </c>
      <c r="AF1122" s="336">
        <f t="shared" si="249"/>
        <v>161179.54137471854</v>
      </c>
    </row>
    <row r="1123" spans="2:32" x14ac:dyDescent="0.35">
      <c r="B1123" s="1275" t="s">
        <v>170</v>
      </c>
      <c r="C1123" s="1276">
        <v>63592.871500000161</v>
      </c>
      <c r="D1123" s="1276">
        <v>63749.178000000102</v>
      </c>
      <c r="E1123" s="1323">
        <v>77121.656999999745</v>
      </c>
      <c r="F1123" s="1323">
        <v>57048.677010000065</v>
      </c>
      <c r="G1123" s="1323"/>
      <c r="H1123" s="1323"/>
      <c r="I1123" s="1323"/>
      <c r="J1123" s="1323"/>
      <c r="K1123" s="1323"/>
      <c r="L1123" s="1323"/>
      <c r="M1123" s="1323"/>
      <c r="N1123" s="1323"/>
      <c r="O1123" s="166">
        <f>SUM(C1123:N1123)</f>
        <v>261512.38351000007</v>
      </c>
      <c r="P1123" s="40"/>
      <c r="S1123" s="335"/>
      <c r="T1123" s="335" t="s">
        <v>401</v>
      </c>
      <c r="U1123" s="335"/>
      <c r="V1123" s="335"/>
      <c r="W1123" s="335"/>
      <c r="X1123" s="335">
        <f>X1121*$P$1318</f>
        <v>0</v>
      </c>
      <c r="Y1123" s="335">
        <f>Y1121*$P$1318</f>
        <v>0</v>
      </c>
      <c r="Z1123" s="335">
        <f>Z1121*$P$1318</f>
        <v>0</v>
      </c>
      <c r="AA1123" s="335">
        <f t="shared" ref="AA1123:AF1123" si="250">AA1121*$P$1318</f>
        <v>53193.511525217145</v>
      </c>
      <c r="AB1123" s="335">
        <f t="shared" si="250"/>
        <v>50885.497628729063</v>
      </c>
      <c r="AC1123" s="335">
        <f t="shared" si="250"/>
        <v>49939.086268172025</v>
      </c>
      <c r="AD1123" s="335">
        <f t="shared" si="250"/>
        <v>49952.451535931257</v>
      </c>
      <c r="AE1123" s="335">
        <f t="shared" si="250"/>
        <v>50428.819461815321</v>
      </c>
      <c r="AF1123" s="335">
        <f t="shared" si="250"/>
        <v>52802.004254693435</v>
      </c>
    </row>
    <row r="1124" spans="2:32" x14ac:dyDescent="0.35">
      <c r="B1124" s="1307"/>
      <c r="C1124" s="275"/>
      <c r="D1124" s="275"/>
      <c r="E1124" s="275"/>
      <c r="F1124" s="275"/>
      <c r="G1124" s="275"/>
      <c r="H1124" s="275"/>
      <c r="I1124" s="275"/>
      <c r="J1124" s="275"/>
      <c r="K1124" s="275"/>
      <c r="L1124" s="275"/>
      <c r="M1124" s="275"/>
      <c r="N1124" s="275"/>
      <c r="O1124" s="139"/>
      <c r="P1124" s="3"/>
    </row>
    <row r="1125" spans="2:32" x14ac:dyDescent="0.35">
      <c r="B1125" s="1307" t="s">
        <v>171</v>
      </c>
      <c r="C1125" s="1324">
        <v>408640.2029999998</v>
      </c>
      <c r="D1125" s="1324">
        <v>395571.60399999988</v>
      </c>
      <c r="E1125" s="1324">
        <v>474399.76199999935</v>
      </c>
      <c r="F1125" s="1324">
        <v>481951.98220000009</v>
      </c>
      <c r="G1125" s="1324"/>
      <c r="H1125" s="1324"/>
      <c r="I1125" s="1324"/>
      <c r="J1125" s="1324"/>
      <c r="K1125" s="1324"/>
      <c r="L1125" s="1324"/>
      <c r="M1125" s="1324"/>
      <c r="N1125" s="1324"/>
      <c r="O1125" s="305">
        <f>SUM(C1125:N1125)</f>
        <v>1760563.5511999992</v>
      </c>
      <c r="P1125" s="24"/>
    </row>
    <row r="1126" spans="2:32" x14ac:dyDescent="0.35">
      <c r="B1126" s="1307"/>
      <c r="C1126" s="139"/>
      <c r="D1126" s="275"/>
      <c r="E1126" s="275"/>
      <c r="F1126" s="275"/>
      <c r="G1126" s="275"/>
      <c r="H1126" s="275"/>
      <c r="I1126" s="275"/>
      <c r="J1126" s="275"/>
      <c r="K1126" s="275"/>
      <c r="L1126" s="275"/>
      <c r="M1126" s="275"/>
      <c r="N1126" s="275"/>
      <c r="O1126" s="139"/>
      <c r="Q1126" s="5"/>
      <c r="R1126" s="5"/>
      <c r="S1126" s="5"/>
      <c r="T1126" s="5"/>
    </row>
    <row r="1127" spans="2:32" s="42" customFormat="1" x14ac:dyDescent="0.35">
      <c r="B1127" s="1307" t="s">
        <v>172</v>
      </c>
      <c r="C1127" s="275">
        <f t="shared" ref="C1127:N1127" si="251">SUM(C1129:C1131)</f>
        <v>113041.8118639998</v>
      </c>
      <c r="D1127" s="275">
        <f t="shared" si="251"/>
        <v>95502.092000000062</v>
      </c>
      <c r="E1127" s="275">
        <f t="shared" si="251"/>
        <v>104596.43100000016</v>
      </c>
      <c r="F1127" s="275">
        <f t="shared" si="251"/>
        <v>114059.77200000042</v>
      </c>
      <c r="G1127" s="275">
        <f t="shared" si="251"/>
        <v>0</v>
      </c>
      <c r="H1127" s="275">
        <f t="shared" si="251"/>
        <v>0</v>
      </c>
      <c r="I1127" s="275">
        <f t="shared" si="251"/>
        <v>0</v>
      </c>
      <c r="J1127" s="275">
        <f t="shared" si="251"/>
        <v>0</v>
      </c>
      <c r="K1127" s="275">
        <f t="shared" si="251"/>
        <v>0</v>
      </c>
      <c r="L1127" s="275">
        <f t="shared" si="251"/>
        <v>0</v>
      </c>
      <c r="M1127" s="275">
        <f t="shared" si="251"/>
        <v>0</v>
      </c>
      <c r="N1127" s="275">
        <f t="shared" si="251"/>
        <v>0</v>
      </c>
      <c r="O1127" s="305">
        <f>SUM(C1127:N1127)</f>
        <v>427200.10686400044</v>
      </c>
      <c r="P1127" s="324"/>
      <c r="Q1127" s="5"/>
      <c r="R1127" s="5"/>
      <c r="S1127" s="5"/>
      <c r="T1127" s="5"/>
    </row>
    <row r="1128" spans="2:32" ht="18.75" customHeight="1" x14ac:dyDescent="0.35">
      <c r="B1128" s="1307"/>
      <c r="C1128" s="275"/>
      <c r="D1128" s="275"/>
      <c r="E1128" s="275"/>
      <c r="F1128" s="275"/>
      <c r="G1128" s="275"/>
      <c r="H1128" s="275"/>
      <c r="I1128" s="275"/>
      <c r="J1128" s="275"/>
      <c r="K1128" s="275"/>
      <c r="L1128" s="275"/>
      <c r="M1128" s="275"/>
      <c r="N1128" s="275"/>
      <c r="O1128" s="305"/>
      <c r="P1128" s="42"/>
      <c r="Q1128" s="42"/>
      <c r="R1128" s="42"/>
      <c r="S1128" s="42"/>
      <c r="T1128" s="42"/>
    </row>
    <row r="1129" spans="2:32" x14ac:dyDescent="0.35">
      <c r="B1129" s="1275" t="s">
        <v>168</v>
      </c>
      <c r="C1129" s="1323">
        <v>1942.1381999999994</v>
      </c>
      <c r="D1129" s="1323">
        <v>1512.203</v>
      </c>
      <c r="E1129" s="1323">
        <v>3842.8510000000019</v>
      </c>
      <c r="F1129" s="1323">
        <v>2784.3390000000009</v>
      </c>
      <c r="G1129" s="1323"/>
      <c r="H1129" s="1323"/>
      <c r="I1129" s="1323"/>
      <c r="J1129" s="1323"/>
      <c r="K1129" s="1323"/>
      <c r="L1129" s="1323"/>
      <c r="M1129" s="1323"/>
      <c r="N1129" s="1323"/>
      <c r="O1129" s="166">
        <f>SUM(C1129:N1129)</f>
        <v>10081.531200000001</v>
      </c>
    </row>
    <row r="1130" spans="2:32" ht="18.75" customHeight="1" x14ac:dyDescent="0.35">
      <c r="B1130" s="1275" t="s">
        <v>169</v>
      </c>
      <c r="C1130" s="1323">
        <v>106829.7416639998</v>
      </c>
      <c r="D1130" s="1323">
        <v>90684.672000000064</v>
      </c>
      <c r="E1130" s="1323">
        <v>96744.573000000164</v>
      </c>
      <c r="F1130" s="1323">
        <v>108174.81500000041</v>
      </c>
      <c r="G1130" s="1323"/>
      <c r="H1130" s="1323"/>
      <c r="I1130" s="1323"/>
      <c r="J1130" s="1323"/>
      <c r="K1130" s="1323"/>
      <c r="L1130" s="1323"/>
      <c r="M1130" s="1323"/>
      <c r="N1130" s="1323"/>
      <c r="O1130" s="166">
        <f>SUM(C1130:N1130)</f>
        <v>402433.80166400044</v>
      </c>
    </row>
    <row r="1131" spans="2:32" s="42" customFormat="1" ht="18.75" customHeight="1" x14ac:dyDescent="0.35">
      <c r="B1131" s="1275" t="s">
        <v>170</v>
      </c>
      <c r="C1131" s="1323">
        <v>4269.931999999998</v>
      </c>
      <c r="D1131" s="1323">
        <v>3305.2169999999987</v>
      </c>
      <c r="E1131" s="1323">
        <v>4009.0069999999987</v>
      </c>
      <c r="F1131" s="1323">
        <v>3100.6179999999986</v>
      </c>
      <c r="G1131" s="1323"/>
      <c r="H1131" s="1323"/>
      <c r="I1131" s="1323"/>
      <c r="J1131" s="1323"/>
      <c r="K1131" s="1323"/>
      <c r="L1131" s="1323"/>
      <c r="M1131" s="1323"/>
      <c r="N1131" s="1323"/>
      <c r="O1131" s="166">
        <f>SUM(C1131:N1131)</f>
        <v>14684.773999999994</v>
      </c>
      <c r="P1131" s="324"/>
      <c r="Q1131" s="324"/>
      <c r="R1131" s="324"/>
      <c r="S1131" s="324"/>
      <c r="T1131" s="324"/>
    </row>
    <row r="1132" spans="2:32" ht="18.75" customHeight="1" x14ac:dyDescent="0.35">
      <c r="B1132" s="1304"/>
      <c r="C1132" s="1325"/>
      <c r="D1132" s="1326"/>
      <c r="E1132" s="169"/>
      <c r="F1132" s="169"/>
      <c r="G1132" s="169"/>
      <c r="H1132" s="169"/>
      <c r="I1132" s="169"/>
      <c r="J1132" s="169"/>
      <c r="K1132" s="169"/>
      <c r="L1132" s="169"/>
      <c r="M1132" s="169"/>
      <c r="N1132" s="169"/>
      <c r="O1132" s="139"/>
      <c r="P1132" s="42"/>
      <c r="Q1132" s="42"/>
      <c r="R1132" s="42"/>
      <c r="S1132" s="42"/>
      <c r="T1132" s="42"/>
    </row>
    <row r="1133" spans="2:32" ht="18.75" customHeight="1" x14ac:dyDescent="0.35">
      <c r="B1133" s="1307" t="s">
        <v>173</v>
      </c>
      <c r="C1133" s="275">
        <f>SUM(C1134:C1136)</f>
        <v>110514.88386400006</v>
      </c>
      <c r="D1133" s="275">
        <f>SUM(D1134:D1136)</f>
        <v>93228.404999999955</v>
      </c>
      <c r="E1133" s="275">
        <f t="shared" ref="E1133:M1133" si="252">SUM(E1134:E1136)</f>
        <v>101798.66499999998</v>
      </c>
      <c r="F1133" s="275">
        <f t="shared" si="252"/>
        <v>109437.29799999997</v>
      </c>
      <c r="G1133" s="275">
        <f t="shared" si="252"/>
        <v>0</v>
      </c>
      <c r="H1133" s="275">
        <f t="shared" si="252"/>
        <v>0</v>
      </c>
      <c r="I1133" s="275">
        <f t="shared" si="252"/>
        <v>0</v>
      </c>
      <c r="J1133" s="275">
        <f t="shared" si="252"/>
        <v>0</v>
      </c>
      <c r="K1133" s="275">
        <f t="shared" si="252"/>
        <v>0</v>
      </c>
      <c r="L1133" s="275">
        <f t="shared" si="252"/>
        <v>0</v>
      </c>
      <c r="M1133" s="275">
        <f t="shared" si="252"/>
        <v>0</v>
      </c>
      <c r="N1133" s="275">
        <f>SUM(N1134:N1136)</f>
        <v>0</v>
      </c>
      <c r="O1133" s="305">
        <f>SUM(C1133:N1133)</f>
        <v>414979.25186399993</v>
      </c>
    </row>
    <row r="1134" spans="2:32" ht="18.75" customHeight="1" x14ac:dyDescent="0.35">
      <c r="B1134" s="1275" t="s">
        <v>62</v>
      </c>
      <c r="C1134" s="1323">
        <v>53734.620784000072</v>
      </c>
      <c r="D1134" s="1323">
        <v>46671.404999999919</v>
      </c>
      <c r="E1134" s="1323">
        <v>48355.225999999951</v>
      </c>
      <c r="F1134" s="1323">
        <v>53821.476999999955</v>
      </c>
      <c r="G1134" s="1323"/>
      <c r="H1134" s="1323"/>
      <c r="I1134" s="1323"/>
      <c r="J1134" s="1323"/>
      <c r="K1134" s="1323"/>
      <c r="L1134" s="1323"/>
      <c r="M1134" s="1323"/>
      <c r="N1134" s="1323"/>
      <c r="O1134" s="166">
        <f>SUM(C1134:N1134)</f>
        <v>202582.72878399992</v>
      </c>
    </row>
    <row r="1135" spans="2:32" ht="18.75" customHeight="1" x14ac:dyDescent="0.35">
      <c r="B1135" s="1275" t="s">
        <v>63</v>
      </c>
      <c r="C1135" s="1323">
        <v>56780.263079999982</v>
      </c>
      <c r="D1135" s="1323">
        <v>46529.300000000032</v>
      </c>
      <c r="E1135" s="1323">
        <v>53443.439000000035</v>
      </c>
      <c r="F1135" s="1323">
        <v>55604.822000000022</v>
      </c>
      <c r="G1135" s="1323"/>
      <c r="H1135" s="1323"/>
      <c r="I1135" s="1323"/>
      <c r="J1135" s="1323"/>
      <c r="K1135" s="1323"/>
      <c r="L1135" s="1323"/>
      <c r="M1135" s="1323"/>
      <c r="N1135" s="1323"/>
      <c r="O1135" s="166">
        <f>SUM(C1135:N1135)</f>
        <v>212357.82408000008</v>
      </c>
    </row>
    <row r="1136" spans="2:32" ht="18.75" customHeight="1" x14ac:dyDescent="0.35">
      <c r="B1136" s="1275" t="s">
        <v>64</v>
      </c>
      <c r="C1136" s="1323">
        <v>0</v>
      </c>
      <c r="D1136" s="1323">
        <v>27.7</v>
      </c>
      <c r="E1136" s="1323">
        <v>0</v>
      </c>
      <c r="F1136" s="1323">
        <v>10.999000000000001</v>
      </c>
      <c r="G1136" s="1323"/>
      <c r="H1136" s="1323"/>
      <c r="I1136" s="1323"/>
      <c r="J1136" s="1323"/>
      <c r="K1136" s="1323"/>
      <c r="L1136" s="1323"/>
      <c r="M1136" s="1323"/>
      <c r="N1136" s="1323"/>
      <c r="O1136" s="166">
        <f>SUM(C1136:N1136)</f>
        <v>38.698999999999998</v>
      </c>
    </row>
    <row r="1137" spans="2:20" x14ac:dyDescent="0.35">
      <c r="B1137" s="1307" t="s">
        <v>174</v>
      </c>
      <c r="C1137" s="1327">
        <v>2526.927999999999</v>
      </c>
      <c r="D1137" s="1327">
        <v>2273.6869999999999</v>
      </c>
      <c r="E1137" s="1327">
        <v>2797.7660000000019</v>
      </c>
      <c r="F1137" s="1327">
        <v>4622.4740000000011</v>
      </c>
      <c r="G1137" s="1327"/>
      <c r="H1137" s="1327"/>
      <c r="I1137" s="1327"/>
      <c r="J1137" s="1327"/>
      <c r="K1137" s="1327"/>
      <c r="L1137" s="1327"/>
      <c r="M1137" s="1327"/>
      <c r="N1137" s="1327"/>
      <c r="O1137" s="307">
        <f>SUM(C1137:N1137)</f>
        <v>12220.855000000003</v>
      </c>
    </row>
    <row r="1138" spans="2:20" ht="18.75" customHeight="1" x14ac:dyDescent="0.35">
      <c r="B1138" s="1309"/>
      <c r="C1138" s="1328"/>
      <c r="D1138" s="1328"/>
      <c r="E1138" s="1328"/>
      <c r="F1138" s="1328"/>
      <c r="G1138" s="1328"/>
      <c r="H1138" s="1328"/>
      <c r="I1138" s="1328"/>
      <c r="J1138" s="1328"/>
      <c r="K1138" s="1328"/>
      <c r="L1138" s="1328"/>
      <c r="M1138" s="1328"/>
      <c r="N1138" s="1328"/>
      <c r="O1138" s="139"/>
    </row>
    <row r="1139" spans="2:20" ht="18.75" customHeight="1" x14ac:dyDescent="0.35">
      <c r="B1139" s="1306" t="s">
        <v>56</v>
      </c>
      <c r="C1139" s="162">
        <f>+C1141+C1147+C1149</f>
        <v>685421.92539999681</v>
      </c>
      <c r="D1139" s="162">
        <f>+D1141+D1147+D1149</f>
        <v>663090.28904999956</v>
      </c>
      <c r="E1139" s="162">
        <f>+E1141+E1147+E1149</f>
        <v>725661.72699999949</v>
      </c>
      <c r="F1139" s="162">
        <f>+F1141+F1147+F1149</f>
        <v>775449.17000000051</v>
      </c>
      <c r="G1139" s="162">
        <f t="shared" ref="G1139:L1139" si="253">+G1141+G1147+G1149</f>
        <v>0</v>
      </c>
      <c r="H1139" s="162">
        <f t="shared" si="253"/>
        <v>0</v>
      </c>
      <c r="I1139" s="162">
        <f t="shared" si="253"/>
        <v>0</v>
      </c>
      <c r="J1139" s="162">
        <f t="shared" si="253"/>
        <v>0</v>
      </c>
      <c r="K1139" s="162">
        <f t="shared" si="253"/>
        <v>0</v>
      </c>
      <c r="L1139" s="162">
        <f t="shared" si="253"/>
        <v>0</v>
      </c>
      <c r="M1139" s="162">
        <f>+M1141+M1147+M1149</f>
        <v>0</v>
      </c>
      <c r="N1139" s="162">
        <f>+N1141+N1147+N1149</f>
        <v>0</v>
      </c>
      <c r="O1139" s="305">
        <f>SUM(C1139:N1139)</f>
        <v>2849623.1114499965</v>
      </c>
    </row>
    <row r="1140" spans="2:20" ht="18.75" customHeight="1" x14ac:dyDescent="0.35">
      <c r="B1140" s="1306"/>
      <c r="C1140" s="162"/>
      <c r="D1140" s="162"/>
      <c r="E1140" s="162"/>
      <c r="F1140" s="162"/>
      <c r="G1140" s="162"/>
      <c r="H1140" s="162"/>
      <c r="I1140" s="162"/>
      <c r="J1140" s="162"/>
      <c r="K1140" s="162"/>
      <c r="L1140" s="162"/>
      <c r="M1140" s="162"/>
      <c r="N1140" s="162"/>
      <c r="O1140" s="306"/>
    </row>
    <row r="1141" spans="2:20" ht="18.75" customHeight="1" x14ac:dyDescent="0.35">
      <c r="B1141" s="1307" t="s">
        <v>167</v>
      </c>
      <c r="C1141" s="275">
        <f>SUM(C1143:C1145)</f>
        <v>306097.94599999674</v>
      </c>
      <c r="D1141" s="275">
        <f>SUM(D1143:D1145)</f>
        <v>264529.9244899996</v>
      </c>
      <c r="E1141" s="275">
        <f t="shared" ref="E1141:N1141" si="254">SUM(E1143:E1145)</f>
        <v>316743.3809999997</v>
      </c>
      <c r="F1141" s="275">
        <f t="shared" si="254"/>
        <v>333511.59500000032</v>
      </c>
      <c r="G1141" s="275">
        <f t="shared" si="254"/>
        <v>0</v>
      </c>
      <c r="H1141" s="275">
        <f t="shared" si="254"/>
        <v>0</v>
      </c>
      <c r="I1141" s="275">
        <f t="shared" si="254"/>
        <v>0</v>
      </c>
      <c r="J1141" s="275">
        <f t="shared" si="254"/>
        <v>0</v>
      </c>
      <c r="K1141" s="275">
        <f t="shared" si="254"/>
        <v>0</v>
      </c>
      <c r="L1141" s="275">
        <f t="shared" si="254"/>
        <v>0</v>
      </c>
      <c r="M1141" s="275">
        <f t="shared" si="254"/>
        <v>0</v>
      </c>
      <c r="N1141" s="275">
        <f t="shared" si="254"/>
        <v>0</v>
      </c>
      <c r="O1141" s="305">
        <f>SUM(C1141:N1141)</f>
        <v>1220882.8464899964</v>
      </c>
    </row>
    <row r="1142" spans="2:20" ht="18.75" customHeight="1" x14ac:dyDescent="0.35">
      <c r="B1142" s="1307"/>
      <c r="C1142" s="275"/>
      <c r="D1142" s="275"/>
      <c r="E1142" s="275"/>
      <c r="F1142" s="275"/>
      <c r="G1142" s="275"/>
      <c r="H1142" s="275"/>
      <c r="I1142" s="275"/>
      <c r="J1142" s="275"/>
      <c r="K1142" s="275"/>
      <c r="L1142" s="275"/>
      <c r="M1142" s="275"/>
      <c r="N1142" s="275"/>
      <c r="O1142" s="305"/>
    </row>
    <row r="1143" spans="2:20" ht="18.75" customHeight="1" x14ac:dyDescent="0.35">
      <c r="B1143" s="1275" t="s">
        <v>168</v>
      </c>
      <c r="C1143" s="1323">
        <v>0</v>
      </c>
      <c r="D1143" s="1323">
        <v>33.457999999999998</v>
      </c>
      <c r="E1143" s="1323">
        <v>69.366000000000014</v>
      </c>
      <c r="F1143" s="1323">
        <v>14.544</v>
      </c>
      <c r="G1143" s="1323"/>
      <c r="H1143" s="1323"/>
      <c r="I1143" s="1323"/>
      <c r="J1143" s="1323"/>
      <c r="K1143" s="1323"/>
      <c r="L1143" s="1323"/>
      <c r="M1143" s="1323"/>
      <c r="N1143" s="1323"/>
      <c r="O1143" s="166">
        <f>SUM(C1143:N1143)</f>
        <v>117.36800000000001</v>
      </c>
    </row>
    <row r="1144" spans="2:20" s="325" customFormat="1" ht="18.75" customHeight="1" x14ac:dyDescent="0.35">
      <c r="B1144" s="1275" t="s">
        <v>169</v>
      </c>
      <c r="C1144" s="1323">
        <v>305814.52999999671</v>
      </c>
      <c r="D1144" s="1323">
        <v>263890.62648999959</v>
      </c>
      <c r="E1144" s="1323">
        <v>314134.85199999972</v>
      </c>
      <c r="F1144" s="1323">
        <v>332375.0750000003</v>
      </c>
      <c r="G1144" s="1323"/>
      <c r="H1144" s="1323"/>
      <c r="I1144" s="1323"/>
      <c r="J1144" s="1323"/>
      <c r="K1144" s="1323"/>
      <c r="L1144" s="1323"/>
      <c r="M1144" s="1323"/>
      <c r="N1144" s="1323"/>
      <c r="O1144" s="166">
        <f>SUM(C1144:N1144)</f>
        <v>1216215.0834899964</v>
      </c>
      <c r="P1144" s="324"/>
      <c r="Q1144" s="324"/>
      <c r="R1144" s="324"/>
      <c r="S1144" s="324"/>
      <c r="T1144" s="324"/>
    </row>
    <row r="1145" spans="2:20" ht="18.75" customHeight="1" x14ac:dyDescent="0.35">
      <c r="B1145" s="1275" t="s">
        <v>170</v>
      </c>
      <c r="C1145" s="1323">
        <v>283.416</v>
      </c>
      <c r="D1145" s="1323">
        <v>605.83999999999992</v>
      </c>
      <c r="E1145" s="1323">
        <v>2539.1630000000009</v>
      </c>
      <c r="F1145" s="1323">
        <v>1121.9759999999999</v>
      </c>
      <c r="G1145" s="1323"/>
      <c r="H1145" s="1323"/>
      <c r="I1145" s="1323"/>
      <c r="J1145" s="1323"/>
      <c r="K1145" s="1323"/>
      <c r="L1145" s="1323"/>
      <c r="M1145" s="1323"/>
      <c r="N1145" s="1323"/>
      <c r="O1145" s="166">
        <f>SUM(C1145:N1145)</f>
        <v>4550.3950000000004</v>
      </c>
      <c r="P1145" s="325"/>
      <c r="Q1145" s="325"/>
      <c r="R1145" s="325"/>
      <c r="S1145" s="325"/>
      <c r="T1145" s="325"/>
    </row>
    <row r="1146" spans="2:20" ht="18.75" customHeight="1" x14ac:dyDescent="0.35">
      <c r="B1146" s="1307"/>
      <c r="C1146" s="275"/>
      <c r="D1146" s="275"/>
      <c r="E1146" s="275"/>
      <c r="F1146" s="275"/>
      <c r="G1146" s="275"/>
      <c r="H1146" s="275"/>
      <c r="I1146" s="275"/>
      <c r="J1146" s="275"/>
      <c r="K1146" s="275"/>
      <c r="L1146" s="275"/>
      <c r="M1146" s="275"/>
      <c r="N1146" s="275"/>
      <c r="O1146" s="139"/>
    </row>
    <row r="1147" spans="2:20" s="2" customFormat="1" x14ac:dyDescent="0.35">
      <c r="B1147" s="1307" t="s">
        <v>171</v>
      </c>
      <c r="C1147" s="1324">
        <v>372861.22900000005</v>
      </c>
      <c r="D1147" s="1324">
        <v>388761.84299999994</v>
      </c>
      <c r="E1147" s="1324">
        <v>396731.68999999989</v>
      </c>
      <c r="F1147" s="1324">
        <v>426491.34400000022</v>
      </c>
      <c r="G1147" s="1324"/>
      <c r="H1147" s="1324"/>
      <c r="I1147" s="1324"/>
      <c r="J1147" s="1324"/>
      <c r="K1147" s="1324"/>
      <c r="L1147" s="1324"/>
      <c r="M1147" s="1324"/>
      <c r="N1147" s="1324"/>
      <c r="O1147" s="305">
        <f>SUM(C1147:N1147)</f>
        <v>1584846.1060000001</v>
      </c>
      <c r="P1147" s="324"/>
      <c r="Q1147" s="324"/>
      <c r="R1147" s="324"/>
      <c r="S1147" s="324"/>
      <c r="T1147" s="324"/>
    </row>
    <row r="1148" spans="2:20" s="2" customFormat="1" x14ac:dyDescent="0.35">
      <c r="B1148" s="1307"/>
      <c r="C1148" s="139"/>
      <c r="D1148" s="275"/>
      <c r="E1148" s="275"/>
      <c r="F1148" s="275"/>
      <c r="G1148" s="275"/>
      <c r="H1148" s="275"/>
      <c r="I1148" s="275"/>
      <c r="J1148" s="275"/>
      <c r="K1148" s="275"/>
      <c r="L1148" s="275"/>
      <c r="M1148" s="275"/>
      <c r="N1148" s="275"/>
      <c r="O1148" s="139"/>
    </row>
    <row r="1149" spans="2:20" ht="18.75" customHeight="1" x14ac:dyDescent="0.35">
      <c r="B1149" s="1307" t="s">
        <v>172</v>
      </c>
      <c r="C1149" s="275">
        <f t="shared" ref="C1149:N1149" si="255">SUM(C1151:C1153)</f>
        <v>6462.7504000000008</v>
      </c>
      <c r="D1149" s="275">
        <f t="shared" si="255"/>
        <v>9798.5215599999992</v>
      </c>
      <c r="E1149" s="275">
        <f t="shared" si="255"/>
        <v>12186.656000000008</v>
      </c>
      <c r="F1149" s="275">
        <f t="shared" si="255"/>
        <v>15446.231000000003</v>
      </c>
      <c r="G1149" s="275">
        <f t="shared" si="255"/>
        <v>0</v>
      </c>
      <c r="H1149" s="275">
        <f t="shared" si="255"/>
        <v>0</v>
      </c>
      <c r="I1149" s="275">
        <f t="shared" si="255"/>
        <v>0</v>
      </c>
      <c r="J1149" s="275">
        <f t="shared" si="255"/>
        <v>0</v>
      </c>
      <c r="K1149" s="275">
        <f t="shared" si="255"/>
        <v>0</v>
      </c>
      <c r="L1149" s="275">
        <f t="shared" si="255"/>
        <v>0</v>
      </c>
      <c r="M1149" s="275">
        <f t="shared" si="255"/>
        <v>0</v>
      </c>
      <c r="N1149" s="275">
        <f t="shared" si="255"/>
        <v>0</v>
      </c>
      <c r="O1149" s="305">
        <f>SUM(C1149:N1149)</f>
        <v>43894.158960000015</v>
      </c>
      <c r="P1149" s="2"/>
      <c r="Q1149" s="2"/>
      <c r="R1149" s="2"/>
      <c r="S1149" s="2"/>
      <c r="T1149" s="2"/>
    </row>
    <row r="1150" spans="2:20" ht="18.75" customHeight="1" x14ac:dyDescent="0.35">
      <c r="B1150" s="1307"/>
      <c r="C1150" s="275"/>
      <c r="D1150" s="275"/>
      <c r="E1150" s="275"/>
      <c r="F1150" s="275"/>
      <c r="G1150" s="275"/>
      <c r="H1150" s="275"/>
      <c r="I1150" s="275"/>
      <c r="J1150" s="275"/>
      <c r="K1150" s="275"/>
      <c r="L1150" s="275"/>
      <c r="M1150" s="275"/>
      <c r="N1150" s="275"/>
      <c r="O1150" s="305"/>
    </row>
    <row r="1151" spans="2:20" ht="18.75" customHeight="1" x14ac:dyDescent="0.35">
      <c r="B1151" s="1275" t="s">
        <v>168</v>
      </c>
      <c r="C1151" s="1323">
        <v>0</v>
      </c>
      <c r="D1151" s="1323">
        <v>0</v>
      </c>
      <c r="E1151" s="1323">
        <v>0</v>
      </c>
      <c r="F1151" s="1323">
        <v>0</v>
      </c>
      <c r="G1151" s="1323"/>
      <c r="H1151" s="1323"/>
      <c r="I1151" s="1323"/>
      <c r="J1151" s="1323"/>
      <c r="K1151" s="1323"/>
      <c r="L1151" s="1323"/>
      <c r="M1151" s="1323"/>
      <c r="N1151" s="1323"/>
      <c r="O1151" s="166">
        <f>SUM(C1151:N1151)</f>
        <v>0</v>
      </c>
    </row>
    <row r="1152" spans="2:20" x14ac:dyDescent="0.35">
      <c r="B1152" s="1275" t="s">
        <v>169</v>
      </c>
      <c r="C1152" s="1323">
        <v>6462.7504000000008</v>
      </c>
      <c r="D1152" s="1323">
        <v>9798.5215599999992</v>
      </c>
      <c r="E1152" s="1323">
        <v>12186.656000000008</v>
      </c>
      <c r="F1152" s="1323">
        <v>15446.231000000003</v>
      </c>
      <c r="G1152" s="1323"/>
      <c r="H1152" s="1323"/>
      <c r="I1152" s="1323"/>
      <c r="J1152" s="1323"/>
      <c r="K1152" s="1323"/>
      <c r="L1152" s="1323"/>
      <c r="M1152" s="1323"/>
      <c r="N1152" s="1323"/>
      <c r="O1152" s="166">
        <f>SUM(C1152:N1152)</f>
        <v>43894.158960000015</v>
      </c>
    </row>
    <row r="1153" spans="2:20" ht="18.75" customHeight="1" x14ac:dyDescent="0.35">
      <c r="B1153" s="1275" t="s">
        <v>170</v>
      </c>
      <c r="C1153" s="1323">
        <v>0</v>
      </c>
      <c r="D1153" s="1323">
        <v>0</v>
      </c>
      <c r="E1153" s="1329">
        <v>0</v>
      </c>
      <c r="F1153" s="1329">
        <v>0</v>
      </c>
      <c r="G1153" s="1329"/>
      <c r="H1153" s="1329"/>
      <c r="I1153" s="1329"/>
      <c r="J1153" s="1329"/>
      <c r="K1153" s="1329"/>
      <c r="L1153" s="1329"/>
      <c r="M1153" s="1329"/>
      <c r="N1153" s="1329"/>
      <c r="O1153" s="166">
        <f>SUM(C1153:N1153)</f>
        <v>0</v>
      </c>
    </row>
    <row r="1154" spans="2:20" ht="18.75" customHeight="1" x14ac:dyDescent="0.35">
      <c r="B1154" s="1304"/>
      <c r="C1154" s="169"/>
      <c r="D1154" s="169"/>
      <c r="E1154" s="169"/>
      <c r="F1154" s="169"/>
      <c r="G1154" s="169"/>
      <c r="H1154" s="169"/>
      <c r="I1154" s="169"/>
      <c r="J1154" s="169"/>
      <c r="K1154" s="169"/>
      <c r="L1154" s="169"/>
      <c r="M1154" s="169"/>
      <c r="N1154" s="169"/>
      <c r="O1154" s="139"/>
    </row>
    <row r="1155" spans="2:20" x14ac:dyDescent="0.35">
      <c r="B1155" s="1307" t="s">
        <v>173</v>
      </c>
      <c r="C1155" s="279">
        <f>SUM(C1156:C1158)</f>
        <v>6462.7504000000008</v>
      </c>
      <c r="D1155" s="279">
        <f>SUM(D1156:D1158)</f>
        <v>9798.5215599999992</v>
      </c>
      <c r="E1155" s="279">
        <f t="shared" ref="E1155:M1155" si="256">SUM(E1156:E1158)</f>
        <v>12186.655999999999</v>
      </c>
      <c r="F1155" s="279">
        <f t="shared" si="256"/>
        <v>15446.231000000007</v>
      </c>
      <c r="G1155" s="279">
        <f t="shared" si="256"/>
        <v>0</v>
      </c>
      <c r="H1155" s="279">
        <f t="shared" si="256"/>
        <v>0</v>
      </c>
      <c r="I1155" s="279">
        <f t="shared" si="256"/>
        <v>0</v>
      </c>
      <c r="J1155" s="279">
        <f t="shared" si="256"/>
        <v>0</v>
      </c>
      <c r="K1155" s="279">
        <f t="shared" si="256"/>
        <v>0</v>
      </c>
      <c r="L1155" s="279">
        <f t="shared" si="256"/>
        <v>0</v>
      </c>
      <c r="M1155" s="279">
        <f t="shared" si="256"/>
        <v>0</v>
      </c>
      <c r="N1155" s="279">
        <f>SUM(N1156:N1158)</f>
        <v>0</v>
      </c>
      <c r="O1155" s="308">
        <f>SUM(C1155:N1155)</f>
        <v>43894.158960000008</v>
      </c>
    </row>
    <row r="1156" spans="2:20" x14ac:dyDescent="0.35">
      <c r="B1156" s="1275" t="s">
        <v>62</v>
      </c>
      <c r="C1156" s="1323">
        <v>3503.0304000000006</v>
      </c>
      <c r="D1156" s="1323">
        <v>5884.6815599999991</v>
      </c>
      <c r="E1156" s="1323">
        <v>9531.8559999999998</v>
      </c>
      <c r="F1156" s="1323">
        <v>13050.387000000006</v>
      </c>
      <c r="G1156" s="1323"/>
      <c r="H1156" s="1323"/>
      <c r="I1156" s="1323"/>
      <c r="J1156" s="1323"/>
      <c r="K1156" s="1323"/>
      <c r="L1156" s="1323"/>
      <c r="M1156" s="1323"/>
      <c r="N1156" s="1323"/>
      <c r="O1156" s="166">
        <f>SUM(C1156:N1156)</f>
        <v>31969.954960000006</v>
      </c>
    </row>
    <row r="1157" spans="2:20" x14ac:dyDescent="0.35">
      <c r="B1157" s="1275" t="s">
        <v>63</v>
      </c>
      <c r="C1157" s="1323">
        <v>2959.72</v>
      </c>
      <c r="D1157" s="1323">
        <v>3913.8400000000006</v>
      </c>
      <c r="E1157" s="1323">
        <v>2654.7999999999993</v>
      </c>
      <c r="F1157" s="1323">
        <v>2395.8440000000001</v>
      </c>
      <c r="G1157" s="1323"/>
      <c r="H1157" s="1323"/>
      <c r="I1157" s="1323"/>
      <c r="J1157" s="1323"/>
      <c r="K1157" s="1323"/>
      <c r="L1157" s="1323"/>
      <c r="M1157" s="1323"/>
      <c r="N1157" s="1323"/>
      <c r="O1157" s="166">
        <f>SUM(C1157:N1157)</f>
        <v>11924.204000000002</v>
      </c>
    </row>
    <row r="1158" spans="2:20" ht="15" customHeight="1" x14ac:dyDescent="0.35">
      <c r="B1158" s="1275" t="s">
        <v>64</v>
      </c>
      <c r="C1158" s="1323">
        <v>0</v>
      </c>
      <c r="D1158" s="1323">
        <v>0</v>
      </c>
      <c r="E1158" s="1329">
        <v>0</v>
      </c>
      <c r="F1158" s="1323">
        <v>0</v>
      </c>
      <c r="G1158" s="1323"/>
      <c r="H1158" s="1323"/>
      <c r="I1158" s="1323"/>
      <c r="J1158" s="1323"/>
      <c r="K1158" s="1323"/>
      <c r="L1158" s="1323"/>
      <c r="M1158" s="1323"/>
      <c r="N1158" s="1323"/>
      <c r="O1158" s="166">
        <f>SUM(C1158:N1158)</f>
        <v>0</v>
      </c>
    </row>
    <row r="1159" spans="2:20" x14ac:dyDescent="0.35">
      <c r="B1159" s="1307" t="s">
        <v>174</v>
      </c>
      <c r="C1159" s="1327">
        <v>0</v>
      </c>
      <c r="D1159" s="1327">
        <v>0</v>
      </c>
      <c r="E1159" s="1327">
        <v>0</v>
      </c>
      <c r="F1159" s="1327">
        <v>0</v>
      </c>
      <c r="G1159" s="1327"/>
      <c r="H1159" s="1327"/>
      <c r="I1159" s="1327"/>
      <c r="J1159" s="1327"/>
      <c r="K1159" s="1327"/>
      <c r="L1159" s="1327"/>
      <c r="M1159" s="1327"/>
      <c r="N1159" s="1327"/>
      <c r="O1159" s="307">
        <f>SUM(C1159:N1159)</f>
        <v>0</v>
      </c>
    </row>
    <row r="1160" spans="2:20" x14ac:dyDescent="0.35">
      <c r="B1160" s="1308"/>
      <c r="C1160" s="279"/>
      <c r="D1160" s="279"/>
      <c r="E1160" s="279"/>
      <c r="F1160" s="279"/>
      <c r="G1160" s="279"/>
      <c r="H1160" s="279"/>
      <c r="I1160" s="279"/>
      <c r="J1160" s="279"/>
      <c r="K1160" s="279"/>
      <c r="L1160" s="279"/>
      <c r="M1160" s="279"/>
      <c r="N1160" s="279"/>
      <c r="O1160" s="139"/>
    </row>
    <row r="1161" spans="2:20" ht="22.5" customHeight="1" x14ac:dyDescent="0.35">
      <c r="B1161" s="431" t="s">
        <v>175</v>
      </c>
      <c r="C1161" s="1270">
        <f>C1117+C1139</f>
        <v>1780676.4545399959</v>
      </c>
      <c r="D1161" s="1270">
        <f>D1117+D1139</f>
        <v>1668596.7252890011</v>
      </c>
      <c r="E1161" s="1270">
        <f>E1117+E1139</f>
        <v>1917597.475640001</v>
      </c>
      <c r="F1161" s="1270">
        <f>F1117+F1139</f>
        <v>1908739.0832000007</v>
      </c>
      <c r="G1161" s="1270">
        <f t="shared" ref="G1161:L1161" si="257">G1117+G1139</f>
        <v>0</v>
      </c>
      <c r="H1161" s="1270">
        <f t="shared" si="257"/>
        <v>0</v>
      </c>
      <c r="I1161" s="1270">
        <f t="shared" si="257"/>
        <v>0</v>
      </c>
      <c r="J1161" s="1270">
        <f t="shared" si="257"/>
        <v>0</v>
      </c>
      <c r="K1161" s="1270">
        <f t="shared" si="257"/>
        <v>0</v>
      </c>
      <c r="L1161" s="1270">
        <f t="shared" si="257"/>
        <v>0</v>
      </c>
      <c r="M1161" s="1270">
        <f>M1117+M1139</f>
        <v>0</v>
      </c>
      <c r="N1161" s="1270">
        <f>N1117+N1139</f>
        <v>0</v>
      </c>
      <c r="O1161" s="1319">
        <f>SUM(C1161:N1161)</f>
        <v>7275609.7386689987</v>
      </c>
    </row>
    <row r="1162" spans="2:20" x14ac:dyDescent="0.35">
      <c r="B1162" s="1310"/>
      <c r="C1162" s="282"/>
      <c r="D1162" s="282"/>
      <c r="E1162" s="282"/>
      <c r="F1162" s="282"/>
      <c r="G1162" s="282"/>
      <c r="H1162" s="282"/>
      <c r="I1162" s="282"/>
      <c r="J1162" s="282"/>
      <c r="K1162" s="282"/>
      <c r="L1162" s="282"/>
      <c r="M1162" s="282"/>
      <c r="N1162" s="282"/>
      <c r="O1162" s="139"/>
    </row>
    <row r="1163" spans="2:20" x14ac:dyDescent="0.35">
      <c r="B1163" s="1307" t="s">
        <v>167</v>
      </c>
      <c r="C1163" s="275">
        <f>C1119+C1141</f>
        <v>879670.46027599613</v>
      </c>
      <c r="D1163" s="275">
        <f>D1119+D1141</f>
        <v>778962.66472900123</v>
      </c>
      <c r="E1163" s="275">
        <f>E1119+E1141</f>
        <v>929682.93664000172</v>
      </c>
      <c r="F1163" s="275">
        <f>F1119+F1141</f>
        <v>870789.75399999996</v>
      </c>
      <c r="G1163" s="275">
        <f t="shared" ref="G1163:L1163" si="258">G1119+G1141</f>
        <v>0</v>
      </c>
      <c r="H1163" s="275">
        <f t="shared" si="258"/>
        <v>0</v>
      </c>
      <c r="I1163" s="275">
        <f t="shared" si="258"/>
        <v>0</v>
      </c>
      <c r="J1163" s="275">
        <f t="shared" si="258"/>
        <v>0</v>
      </c>
      <c r="K1163" s="275">
        <f t="shared" si="258"/>
        <v>0</v>
      </c>
      <c r="L1163" s="275">
        <f t="shared" si="258"/>
        <v>0</v>
      </c>
      <c r="M1163" s="275">
        <f>M1119+M1141</f>
        <v>0</v>
      </c>
      <c r="N1163" s="275">
        <f>N1119+N1141</f>
        <v>0</v>
      </c>
      <c r="O1163" s="305">
        <f>SUM(C1163:N1163)</f>
        <v>3459105.815644999</v>
      </c>
    </row>
    <row r="1164" spans="2:20" x14ac:dyDescent="0.35">
      <c r="B1164" s="1307"/>
      <c r="C1164" s="275"/>
      <c r="D1164" s="275"/>
      <c r="E1164" s="275"/>
      <c r="F1164" s="275"/>
      <c r="G1164" s="275"/>
      <c r="H1164" s="275"/>
      <c r="I1164" s="275"/>
      <c r="J1164" s="275"/>
      <c r="K1164" s="275"/>
      <c r="L1164" s="275"/>
      <c r="M1164" s="275"/>
      <c r="N1164" s="275"/>
      <c r="O1164" s="305"/>
    </row>
    <row r="1165" spans="2:20" s="327" customFormat="1" x14ac:dyDescent="0.35">
      <c r="B1165" s="1275" t="s">
        <v>168</v>
      </c>
      <c r="C1165" s="167">
        <f t="shared" ref="C1165:M1167" si="259">C1121+C1143</f>
        <v>6681.1240409999964</v>
      </c>
      <c r="D1165" s="167">
        <f t="shared" si="259"/>
        <v>6595.9398400000018</v>
      </c>
      <c r="E1165" s="167">
        <f t="shared" si="259"/>
        <v>9600.5740000000042</v>
      </c>
      <c r="F1165" s="167">
        <f t="shared" si="259"/>
        <v>7366.5370000000066</v>
      </c>
      <c r="G1165" s="167">
        <f t="shared" si="259"/>
        <v>0</v>
      </c>
      <c r="H1165" s="167">
        <f t="shared" si="259"/>
        <v>0</v>
      </c>
      <c r="I1165" s="167">
        <f t="shared" si="259"/>
        <v>0</v>
      </c>
      <c r="J1165" s="167">
        <f t="shared" si="259"/>
        <v>0</v>
      </c>
      <c r="K1165" s="167">
        <f t="shared" si="259"/>
        <v>0</v>
      </c>
      <c r="L1165" s="167">
        <f t="shared" si="259"/>
        <v>0</v>
      </c>
      <c r="M1165" s="167">
        <f t="shared" si="259"/>
        <v>0</v>
      </c>
      <c r="N1165" s="167">
        <f>N1121+N1143</f>
        <v>0</v>
      </c>
      <c r="O1165" s="166">
        <f>SUM(C1165:N1165)</f>
        <v>30244.17488100001</v>
      </c>
      <c r="P1165" s="324"/>
      <c r="Q1165" s="324"/>
      <c r="R1165" s="324"/>
      <c r="S1165" s="324"/>
      <c r="T1165" s="324"/>
    </row>
    <row r="1166" spans="2:20" s="327" customFormat="1" x14ac:dyDescent="0.35">
      <c r="B1166" s="1275" t="s">
        <v>169</v>
      </c>
      <c r="C1166" s="167">
        <f t="shared" si="259"/>
        <v>809113.048734996</v>
      </c>
      <c r="D1166" s="167">
        <f t="shared" si="259"/>
        <v>708011.70688900119</v>
      </c>
      <c r="E1166" s="167">
        <f t="shared" si="259"/>
        <v>840421.54264000198</v>
      </c>
      <c r="F1166" s="167">
        <f t="shared" si="259"/>
        <v>805252.56398999994</v>
      </c>
      <c r="G1166" s="167">
        <f t="shared" si="259"/>
        <v>0</v>
      </c>
      <c r="H1166" s="167">
        <f t="shared" si="259"/>
        <v>0</v>
      </c>
      <c r="I1166" s="167">
        <f t="shared" si="259"/>
        <v>0</v>
      </c>
      <c r="J1166" s="167">
        <f t="shared" si="259"/>
        <v>0</v>
      </c>
      <c r="K1166" s="167">
        <f t="shared" si="259"/>
        <v>0</v>
      </c>
      <c r="L1166" s="167">
        <f t="shared" si="259"/>
        <v>0</v>
      </c>
      <c r="M1166" s="167">
        <f t="shared" si="259"/>
        <v>0</v>
      </c>
      <c r="N1166" s="167">
        <f>N1122+N1144</f>
        <v>0</v>
      </c>
      <c r="O1166" s="166">
        <f>SUM(C1166:N1166)</f>
        <v>3162798.8622539993</v>
      </c>
    </row>
    <row r="1167" spans="2:20" s="45" customFormat="1" x14ac:dyDescent="0.35">
      <c r="B1167" s="1275" t="s">
        <v>170</v>
      </c>
      <c r="C1167" s="167">
        <f t="shared" si="259"/>
        <v>63876.287500000159</v>
      </c>
      <c r="D1167" s="167">
        <f t="shared" si="259"/>
        <v>64355.018000000098</v>
      </c>
      <c r="E1167" s="167">
        <f t="shared" si="259"/>
        <v>79660.819999999745</v>
      </c>
      <c r="F1167" s="167">
        <f t="shared" si="259"/>
        <v>58170.653010000067</v>
      </c>
      <c r="G1167" s="167">
        <f t="shared" si="259"/>
        <v>0</v>
      </c>
      <c r="H1167" s="167">
        <f t="shared" si="259"/>
        <v>0</v>
      </c>
      <c r="I1167" s="167">
        <f t="shared" si="259"/>
        <v>0</v>
      </c>
      <c r="J1167" s="167">
        <f t="shared" si="259"/>
        <v>0</v>
      </c>
      <c r="K1167" s="167">
        <f t="shared" si="259"/>
        <v>0</v>
      </c>
      <c r="L1167" s="167">
        <f t="shared" si="259"/>
        <v>0</v>
      </c>
      <c r="M1167" s="167">
        <f t="shared" si="259"/>
        <v>0</v>
      </c>
      <c r="N1167" s="167">
        <f>N1123+N1145</f>
        <v>0</v>
      </c>
      <c r="O1167" s="166">
        <f>SUM(C1167:N1167)</f>
        <v>266062.77851000009</v>
      </c>
      <c r="P1167" s="327"/>
      <c r="Q1167" s="327"/>
      <c r="R1167" s="327"/>
      <c r="S1167" s="327"/>
      <c r="T1167" s="327"/>
    </row>
    <row r="1168" spans="2:20" x14ac:dyDescent="0.35">
      <c r="B1168" s="1307"/>
      <c r="C1168" s="275"/>
      <c r="D1168" s="275"/>
      <c r="E1168" s="275"/>
      <c r="F1168" s="275"/>
      <c r="G1168" s="275"/>
      <c r="H1168" s="275"/>
      <c r="I1168" s="275"/>
      <c r="J1168" s="275"/>
      <c r="K1168" s="275"/>
      <c r="L1168" s="275"/>
      <c r="M1168" s="275"/>
      <c r="N1168" s="275"/>
      <c r="O1168" s="139"/>
      <c r="P1168" s="45"/>
      <c r="Q1168" s="45"/>
      <c r="R1168" s="45"/>
      <c r="S1168" s="45"/>
      <c r="T1168" s="45"/>
    </row>
    <row r="1169" spans="2:20" x14ac:dyDescent="0.35">
      <c r="B1169" s="1307" t="s">
        <v>171</v>
      </c>
      <c r="C1169" s="275">
        <f>C1125+C1147</f>
        <v>781501.4319999998</v>
      </c>
      <c r="D1169" s="275">
        <f>D1125+D1147</f>
        <v>784333.44699999981</v>
      </c>
      <c r="E1169" s="275">
        <f>E1125+E1147</f>
        <v>871131.45199999923</v>
      </c>
      <c r="F1169" s="275">
        <f>F1125+F1147</f>
        <v>908443.32620000024</v>
      </c>
      <c r="G1169" s="275">
        <f t="shared" ref="G1169:L1169" si="260">G1125+G1147</f>
        <v>0</v>
      </c>
      <c r="H1169" s="275">
        <f t="shared" si="260"/>
        <v>0</v>
      </c>
      <c r="I1169" s="275">
        <f t="shared" si="260"/>
        <v>0</v>
      </c>
      <c r="J1169" s="275">
        <f t="shared" si="260"/>
        <v>0</v>
      </c>
      <c r="K1169" s="275">
        <f t="shared" si="260"/>
        <v>0</v>
      </c>
      <c r="L1169" s="275">
        <f t="shared" si="260"/>
        <v>0</v>
      </c>
      <c r="M1169" s="275">
        <f>M1125+M1147</f>
        <v>0</v>
      </c>
      <c r="N1169" s="275">
        <f>N1125+N1147</f>
        <v>0</v>
      </c>
      <c r="O1169" s="309">
        <f>SUM(C1169:N1169)</f>
        <v>3345409.6571999993</v>
      </c>
    </row>
    <row r="1170" spans="2:20" s="46" customFormat="1" x14ac:dyDescent="0.35">
      <c r="B1170" s="1307"/>
      <c r="C1170" s="275"/>
      <c r="D1170" s="275"/>
      <c r="E1170" s="275"/>
      <c r="F1170" s="275"/>
      <c r="G1170" s="275"/>
      <c r="H1170" s="275"/>
      <c r="I1170" s="275"/>
      <c r="J1170" s="275"/>
      <c r="K1170" s="275"/>
      <c r="L1170" s="275"/>
      <c r="M1170" s="275"/>
      <c r="N1170" s="275"/>
      <c r="O1170" s="1330"/>
      <c r="P1170" s="324"/>
      <c r="Q1170" s="324"/>
      <c r="R1170" s="324"/>
      <c r="S1170" s="324"/>
      <c r="T1170" s="324"/>
    </row>
    <row r="1171" spans="2:20" x14ac:dyDescent="0.35">
      <c r="B1171" s="1307" t="s">
        <v>172</v>
      </c>
      <c r="C1171" s="275">
        <f>C1127+C1149</f>
        <v>119504.5622639998</v>
      </c>
      <c r="D1171" s="275">
        <f>D1127+D1149</f>
        <v>105300.61356000006</v>
      </c>
      <c r="E1171" s="275">
        <f>E1127+E1149</f>
        <v>116783.08700000016</v>
      </c>
      <c r="F1171" s="275">
        <f>F1127+F1149</f>
        <v>129506.00300000042</v>
      </c>
      <c r="G1171" s="275">
        <f t="shared" ref="G1171:L1171" si="261">G1127+G1149</f>
        <v>0</v>
      </c>
      <c r="H1171" s="275">
        <f t="shared" si="261"/>
        <v>0</v>
      </c>
      <c r="I1171" s="275">
        <f t="shared" si="261"/>
        <v>0</v>
      </c>
      <c r="J1171" s="275">
        <f t="shared" si="261"/>
        <v>0</v>
      </c>
      <c r="K1171" s="275">
        <f t="shared" si="261"/>
        <v>0</v>
      </c>
      <c r="L1171" s="275">
        <f t="shared" si="261"/>
        <v>0</v>
      </c>
      <c r="M1171" s="275">
        <f>M1127+M1149</f>
        <v>0</v>
      </c>
      <c r="N1171" s="275">
        <f>N1127+N1149</f>
        <v>0</v>
      </c>
      <c r="O1171" s="305">
        <f>SUM(C1171:N1171)</f>
        <v>471094.26582400047</v>
      </c>
      <c r="P1171" s="46"/>
      <c r="Q1171" s="46"/>
      <c r="R1171" s="46"/>
      <c r="S1171" s="46"/>
      <c r="T1171" s="46"/>
    </row>
    <row r="1172" spans="2:20" x14ac:dyDescent="0.35">
      <c r="B1172" s="1307"/>
      <c r="C1172" s="275"/>
      <c r="D1172" s="275"/>
      <c r="E1172" s="275"/>
      <c r="F1172" s="275"/>
      <c r="G1172" s="275"/>
      <c r="H1172" s="275"/>
      <c r="I1172" s="275"/>
      <c r="J1172" s="275"/>
      <c r="K1172" s="275"/>
      <c r="L1172" s="275"/>
      <c r="M1172" s="275"/>
      <c r="N1172" s="275"/>
      <c r="O1172" s="305"/>
    </row>
    <row r="1173" spans="2:20" s="327" customFormat="1" x14ac:dyDescent="0.35">
      <c r="B1173" s="1275" t="s">
        <v>168</v>
      </c>
      <c r="C1173" s="167">
        <f t="shared" ref="C1173:M1175" si="262">C1129+C1151</f>
        <v>1942.1381999999994</v>
      </c>
      <c r="D1173" s="167">
        <f t="shared" si="262"/>
        <v>1512.203</v>
      </c>
      <c r="E1173" s="167">
        <f t="shared" si="262"/>
        <v>3842.8510000000019</v>
      </c>
      <c r="F1173" s="167">
        <f t="shared" si="262"/>
        <v>2784.3390000000009</v>
      </c>
      <c r="G1173" s="167">
        <f t="shared" si="262"/>
        <v>0</v>
      </c>
      <c r="H1173" s="167">
        <f t="shared" si="262"/>
        <v>0</v>
      </c>
      <c r="I1173" s="167">
        <f t="shared" si="262"/>
        <v>0</v>
      </c>
      <c r="J1173" s="167">
        <f t="shared" si="262"/>
        <v>0</v>
      </c>
      <c r="K1173" s="167">
        <f t="shared" si="262"/>
        <v>0</v>
      </c>
      <c r="L1173" s="167">
        <f t="shared" si="262"/>
        <v>0</v>
      </c>
      <c r="M1173" s="167">
        <f t="shared" si="262"/>
        <v>0</v>
      </c>
      <c r="N1173" s="167">
        <f>N1129+N1151</f>
        <v>0</v>
      </c>
      <c r="O1173" s="166">
        <f>SUM(C1173:N1173)</f>
        <v>10081.531200000001</v>
      </c>
      <c r="P1173" s="324"/>
      <c r="Q1173" s="324"/>
      <c r="R1173" s="324"/>
      <c r="S1173" s="324"/>
      <c r="T1173" s="324"/>
    </row>
    <row r="1174" spans="2:20" s="327" customFormat="1" x14ac:dyDescent="0.35">
      <c r="B1174" s="1275" t="s">
        <v>169</v>
      </c>
      <c r="C1174" s="167">
        <f t="shared" si="262"/>
        <v>113292.4920639998</v>
      </c>
      <c r="D1174" s="167">
        <f t="shared" si="262"/>
        <v>100483.19356000006</v>
      </c>
      <c r="E1174" s="167">
        <f t="shared" si="262"/>
        <v>108931.22900000017</v>
      </c>
      <c r="F1174" s="167">
        <f t="shared" si="262"/>
        <v>123621.04600000041</v>
      </c>
      <c r="G1174" s="167">
        <f t="shared" si="262"/>
        <v>0</v>
      </c>
      <c r="H1174" s="167">
        <f t="shared" si="262"/>
        <v>0</v>
      </c>
      <c r="I1174" s="167">
        <f t="shared" si="262"/>
        <v>0</v>
      </c>
      <c r="J1174" s="167">
        <f t="shared" si="262"/>
        <v>0</v>
      </c>
      <c r="K1174" s="167">
        <f t="shared" si="262"/>
        <v>0</v>
      </c>
      <c r="L1174" s="167">
        <f t="shared" si="262"/>
        <v>0</v>
      </c>
      <c r="M1174" s="167">
        <f t="shared" si="262"/>
        <v>0</v>
      </c>
      <c r="N1174" s="167">
        <f>N1130+N1152</f>
        <v>0</v>
      </c>
      <c r="O1174" s="166">
        <f>SUM(C1174:N1174)</f>
        <v>446327.96062400041</v>
      </c>
    </row>
    <row r="1175" spans="2:20" s="327" customFormat="1" x14ac:dyDescent="0.35">
      <c r="B1175" s="1275" t="s">
        <v>170</v>
      </c>
      <c r="C1175" s="167">
        <f t="shared" si="262"/>
        <v>4269.931999999998</v>
      </c>
      <c r="D1175" s="167">
        <f t="shared" si="262"/>
        <v>3305.2169999999987</v>
      </c>
      <c r="E1175" s="167">
        <f t="shared" si="262"/>
        <v>4009.0069999999987</v>
      </c>
      <c r="F1175" s="167">
        <f t="shared" si="262"/>
        <v>3100.6179999999986</v>
      </c>
      <c r="G1175" s="167">
        <f t="shared" si="262"/>
        <v>0</v>
      </c>
      <c r="H1175" s="167">
        <f t="shared" si="262"/>
        <v>0</v>
      </c>
      <c r="I1175" s="167">
        <f t="shared" si="262"/>
        <v>0</v>
      </c>
      <c r="J1175" s="167">
        <f t="shared" si="262"/>
        <v>0</v>
      </c>
      <c r="K1175" s="167">
        <f t="shared" si="262"/>
        <v>0</v>
      </c>
      <c r="L1175" s="167">
        <f t="shared" si="262"/>
        <v>0</v>
      </c>
      <c r="M1175" s="167">
        <f t="shared" si="262"/>
        <v>0</v>
      </c>
      <c r="N1175" s="167">
        <f>N1131+N1153</f>
        <v>0</v>
      </c>
      <c r="O1175" s="166">
        <f>SUM(C1175:N1175)</f>
        <v>14684.773999999994</v>
      </c>
    </row>
    <row r="1176" spans="2:20" s="47" customFormat="1" ht="17.25" customHeight="1" x14ac:dyDescent="0.35">
      <c r="B1176" s="1304"/>
      <c r="C1176" s="275"/>
      <c r="D1176" s="275"/>
      <c r="E1176" s="275"/>
      <c r="F1176" s="275"/>
      <c r="G1176" s="275"/>
      <c r="H1176" s="275"/>
      <c r="I1176" s="275"/>
      <c r="J1176" s="275"/>
      <c r="K1176" s="275"/>
      <c r="L1176" s="275"/>
      <c r="M1176" s="275"/>
      <c r="N1176" s="275"/>
      <c r="O1176" s="139"/>
      <c r="P1176" s="327"/>
      <c r="Q1176" s="327"/>
      <c r="R1176" s="327"/>
      <c r="S1176" s="327"/>
      <c r="T1176" s="327"/>
    </row>
    <row r="1177" spans="2:20" x14ac:dyDescent="0.35">
      <c r="B1177" s="1307" t="s">
        <v>173</v>
      </c>
      <c r="C1177" s="279">
        <f t="shared" ref="C1177:M1181" si="263">C1133+C1155</f>
        <v>116977.63426400007</v>
      </c>
      <c r="D1177" s="279">
        <f t="shared" si="263"/>
        <v>103026.92655999995</v>
      </c>
      <c r="E1177" s="279">
        <f t="shared" si="263"/>
        <v>113985.32099999998</v>
      </c>
      <c r="F1177" s="279">
        <f t="shared" si="263"/>
        <v>124883.52899999998</v>
      </c>
      <c r="G1177" s="279">
        <f t="shared" si="263"/>
        <v>0</v>
      </c>
      <c r="H1177" s="279">
        <f t="shared" si="263"/>
        <v>0</v>
      </c>
      <c r="I1177" s="279">
        <f t="shared" si="263"/>
        <v>0</v>
      </c>
      <c r="J1177" s="279">
        <f t="shared" si="263"/>
        <v>0</v>
      </c>
      <c r="K1177" s="279">
        <f t="shared" si="263"/>
        <v>0</v>
      </c>
      <c r="L1177" s="279">
        <f t="shared" si="263"/>
        <v>0</v>
      </c>
      <c r="M1177" s="279">
        <f t="shared" si="263"/>
        <v>0</v>
      </c>
      <c r="N1177" s="279">
        <f>N1133+N1155</f>
        <v>0</v>
      </c>
      <c r="O1177" s="308">
        <f>SUM(C1177:N1177)</f>
        <v>458873.41082399996</v>
      </c>
      <c r="P1177" s="47"/>
      <c r="Q1177" s="47"/>
      <c r="R1177" s="47"/>
      <c r="S1177" s="47"/>
      <c r="T1177" s="47"/>
    </row>
    <row r="1178" spans="2:20" s="41" customFormat="1" x14ac:dyDescent="0.35">
      <c r="B1178" s="1275" t="s">
        <v>62</v>
      </c>
      <c r="C1178" s="167">
        <f t="shared" si="263"/>
        <v>57237.651184000075</v>
      </c>
      <c r="D1178" s="167">
        <f t="shared" si="263"/>
        <v>52556.086559999916</v>
      </c>
      <c r="E1178" s="167">
        <f t="shared" si="263"/>
        <v>57887.081999999951</v>
      </c>
      <c r="F1178" s="167">
        <f t="shared" si="263"/>
        <v>66871.863999999958</v>
      </c>
      <c r="G1178" s="167">
        <f t="shared" si="263"/>
        <v>0</v>
      </c>
      <c r="H1178" s="167">
        <f t="shared" si="263"/>
        <v>0</v>
      </c>
      <c r="I1178" s="167">
        <f t="shared" si="263"/>
        <v>0</v>
      </c>
      <c r="J1178" s="167">
        <f t="shared" si="263"/>
        <v>0</v>
      </c>
      <c r="K1178" s="167">
        <f t="shared" si="263"/>
        <v>0</v>
      </c>
      <c r="L1178" s="167">
        <f t="shared" si="263"/>
        <v>0</v>
      </c>
      <c r="M1178" s="167">
        <f t="shared" si="263"/>
        <v>0</v>
      </c>
      <c r="N1178" s="167">
        <f>N1134+N1156</f>
        <v>0</v>
      </c>
      <c r="O1178" s="166">
        <f>SUM(C1178:N1178)</f>
        <v>234552.68374399986</v>
      </c>
      <c r="P1178" s="324"/>
      <c r="Q1178" s="324"/>
      <c r="R1178" s="324"/>
      <c r="S1178" s="324"/>
      <c r="T1178" s="324"/>
    </row>
    <row r="1179" spans="2:20" s="41" customFormat="1" x14ac:dyDescent="0.35">
      <c r="B1179" s="1275" t="s">
        <v>63</v>
      </c>
      <c r="C1179" s="167">
        <f t="shared" si="263"/>
        <v>59739.983079999984</v>
      </c>
      <c r="D1179" s="167">
        <f t="shared" si="263"/>
        <v>50443.140000000036</v>
      </c>
      <c r="E1179" s="167">
        <f t="shared" si="263"/>
        <v>56098.239000000031</v>
      </c>
      <c r="F1179" s="167">
        <f t="shared" si="263"/>
        <v>58000.666000000019</v>
      </c>
      <c r="G1179" s="167">
        <f t="shared" si="263"/>
        <v>0</v>
      </c>
      <c r="H1179" s="167">
        <f t="shared" si="263"/>
        <v>0</v>
      </c>
      <c r="I1179" s="167">
        <f t="shared" si="263"/>
        <v>0</v>
      </c>
      <c r="J1179" s="167">
        <f t="shared" si="263"/>
        <v>0</v>
      </c>
      <c r="K1179" s="167">
        <f t="shared" si="263"/>
        <v>0</v>
      </c>
      <c r="L1179" s="167">
        <f t="shared" si="263"/>
        <v>0</v>
      </c>
      <c r="M1179" s="167">
        <f t="shared" si="263"/>
        <v>0</v>
      </c>
      <c r="N1179" s="167">
        <f>N1135+N1157</f>
        <v>0</v>
      </c>
      <c r="O1179" s="166">
        <f>SUM(C1179:N1179)</f>
        <v>224282.02808000008</v>
      </c>
    </row>
    <row r="1180" spans="2:20" x14ac:dyDescent="0.35">
      <c r="B1180" s="1275" t="s">
        <v>64</v>
      </c>
      <c r="C1180" s="167">
        <f t="shared" si="263"/>
        <v>0</v>
      </c>
      <c r="D1180" s="167">
        <f t="shared" si="263"/>
        <v>27.7</v>
      </c>
      <c r="E1180" s="167">
        <f t="shared" si="263"/>
        <v>0</v>
      </c>
      <c r="F1180" s="167">
        <f t="shared" si="263"/>
        <v>10.999000000000001</v>
      </c>
      <c r="G1180" s="167">
        <f t="shared" si="263"/>
        <v>0</v>
      </c>
      <c r="H1180" s="167">
        <f t="shared" si="263"/>
        <v>0</v>
      </c>
      <c r="I1180" s="167">
        <f t="shared" si="263"/>
        <v>0</v>
      </c>
      <c r="J1180" s="167">
        <f t="shared" si="263"/>
        <v>0</v>
      </c>
      <c r="K1180" s="167">
        <f t="shared" si="263"/>
        <v>0</v>
      </c>
      <c r="L1180" s="167">
        <f t="shared" si="263"/>
        <v>0</v>
      </c>
      <c r="M1180" s="167">
        <f t="shared" si="263"/>
        <v>0</v>
      </c>
      <c r="N1180" s="167">
        <f>N1136+N1158</f>
        <v>0</v>
      </c>
      <c r="O1180" s="166">
        <f>SUM(C1180:N1180)</f>
        <v>38.698999999999998</v>
      </c>
      <c r="P1180" s="41"/>
      <c r="Q1180" s="41"/>
      <c r="R1180" s="41"/>
      <c r="S1180" s="41"/>
      <c r="T1180" s="41"/>
    </row>
    <row r="1181" spans="2:20" x14ac:dyDescent="0.35">
      <c r="B1181" s="1307" t="s">
        <v>174</v>
      </c>
      <c r="C1181" s="279">
        <f t="shared" si="263"/>
        <v>2526.927999999999</v>
      </c>
      <c r="D1181" s="279">
        <f t="shared" si="263"/>
        <v>2273.6869999999999</v>
      </c>
      <c r="E1181" s="279">
        <f t="shared" si="263"/>
        <v>2797.7660000000019</v>
      </c>
      <c r="F1181" s="279">
        <f t="shared" si="263"/>
        <v>4622.4740000000011</v>
      </c>
      <c r="G1181" s="279">
        <f t="shared" si="263"/>
        <v>0</v>
      </c>
      <c r="H1181" s="279">
        <f t="shared" si="263"/>
        <v>0</v>
      </c>
      <c r="I1181" s="279">
        <f t="shared" si="263"/>
        <v>0</v>
      </c>
      <c r="J1181" s="279">
        <f t="shared" si="263"/>
        <v>0</v>
      </c>
      <c r="K1181" s="279">
        <f t="shared" si="263"/>
        <v>0</v>
      </c>
      <c r="L1181" s="279">
        <f t="shared" si="263"/>
        <v>0</v>
      </c>
      <c r="M1181" s="279">
        <f t="shared" si="263"/>
        <v>0</v>
      </c>
      <c r="N1181" s="279">
        <f>N1137+N1159</f>
        <v>0</v>
      </c>
      <c r="O1181" s="307">
        <f>SUM(C1181:N1181)</f>
        <v>12220.855000000003</v>
      </c>
    </row>
    <row r="1182" spans="2:20" x14ac:dyDescent="0.35">
      <c r="B1182" s="1311"/>
      <c r="C1182" s="285"/>
      <c r="D1182" s="311"/>
      <c r="E1182" s="311"/>
      <c r="F1182" s="311"/>
      <c r="G1182" s="311"/>
      <c r="H1182" s="311"/>
      <c r="I1182" s="311"/>
      <c r="J1182" s="311"/>
      <c r="K1182" s="311"/>
      <c r="L1182" s="311"/>
      <c r="M1182" s="311"/>
      <c r="N1182" s="311"/>
      <c r="O1182" s="312"/>
    </row>
    <row r="1183" spans="2:20" x14ac:dyDescent="0.35">
      <c r="B1183" s="6"/>
      <c r="C1183" s="287"/>
      <c r="D1183" s="313"/>
      <c r="E1183" s="313"/>
      <c r="F1183" s="313"/>
      <c r="G1183" s="313"/>
      <c r="H1183" s="313"/>
      <c r="I1183" s="313"/>
      <c r="J1183" s="313"/>
      <c r="K1183" s="313"/>
      <c r="L1183" s="313"/>
      <c r="M1183" s="313"/>
      <c r="N1183" s="313"/>
      <c r="O1183" s="313"/>
    </row>
    <row r="1184" spans="2:20" ht="28.5" customHeight="1" x14ac:dyDescent="0.35">
      <c r="B1184" s="1069" t="s">
        <v>538</v>
      </c>
      <c r="C1184" s="1069"/>
      <c r="D1184" s="1069"/>
      <c r="E1184" s="1069"/>
      <c r="F1184" s="1069"/>
      <c r="G1184" s="1069"/>
      <c r="H1184" s="1069"/>
      <c r="I1184" s="1069"/>
      <c r="J1184" s="1069"/>
      <c r="K1184" s="1069"/>
      <c r="L1184" s="1069"/>
      <c r="M1184" s="1069"/>
      <c r="N1184" s="1069"/>
      <c r="O1184" s="1069"/>
    </row>
    <row r="1185" spans="1:32" s="327" customFormat="1" x14ac:dyDescent="0.35">
      <c r="B1185" s="8"/>
      <c r="C1185" s="106"/>
      <c r="D1185" s="290"/>
      <c r="E1185" s="290"/>
      <c r="F1185" s="290"/>
      <c r="G1185" s="290"/>
      <c r="H1185" s="290"/>
      <c r="I1185" s="290"/>
      <c r="J1185" s="290"/>
      <c r="K1185" s="290"/>
      <c r="L1185" s="290"/>
      <c r="M1185" s="290"/>
      <c r="N1185" s="290"/>
      <c r="O1185" s="290"/>
      <c r="P1185" s="324"/>
      <c r="Q1185" s="324"/>
      <c r="R1185" s="324"/>
      <c r="S1185" s="324"/>
      <c r="T1185" s="324"/>
    </row>
    <row r="1186" spans="1:32" s="327" customFormat="1" ht="16.5" customHeight="1" x14ac:dyDescent="0.35">
      <c r="A1186" s="45"/>
      <c r="B1186" s="1074" t="s">
        <v>13</v>
      </c>
      <c r="C1186" s="1112" t="s">
        <v>0</v>
      </c>
      <c r="D1186" s="1136" t="s">
        <v>1</v>
      </c>
      <c r="E1186" s="1136" t="s">
        <v>2</v>
      </c>
      <c r="F1186" s="1158" t="s">
        <v>3</v>
      </c>
      <c r="G1186" s="1136" t="s">
        <v>4</v>
      </c>
      <c r="H1186" s="1136" t="s">
        <v>5</v>
      </c>
      <c r="I1186" s="1136" t="s">
        <v>6</v>
      </c>
      <c r="J1186" s="1136" t="s">
        <v>7</v>
      </c>
      <c r="K1186" s="1136" t="s">
        <v>8</v>
      </c>
      <c r="L1186" s="1136" t="s">
        <v>9</v>
      </c>
      <c r="M1186" s="1136" t="s">
        <v>10</v>
      </c>
      <c r="N1186" s="1136" t="s">
        <v>14</v>
      </c>
      <c r="O1186" s="1077" t="s">
        <v>15</v>
      </c>
    </row>
    <row r="1187" spans="1:32" s="327" customFormat="1" ht="15" customHeight="1" x14ac:dyDescent="0.35">
      <c r="B1187" s="1080"/>
      <c r="C1187" s="1145"/>
      <c r="D1187" s="1153"/>
      <c r="E1187" s="1153"/>
      <c r="F1187" s="1158"/>
      <c r="G1187" s="1153"/>
      <c r="H1187" s="1153"/>
      <c r="I1187" s="1153"/>
      <c r="J1187" s="1153"/>
      <c r="K1187" s="1153"/>
      <c r="L1187" s="1153"/>
      <c r="M1187" s="1153"/>
      <c r="N1187" s="1153"/>
      <c r="O1187" s="1088"/>
    </row>
    <row r="1188" spans="1:32" s="327" customFormat="1" x14ac:dyDescent="0.35">
      <c r="B1188" s="315"/>
      <c r="C1188" s="1314"/>
      <c r="D1188" s="1316"/>
      <c r="E1188" s="1316"/>
      <c r="F1188" s="1316"/>
      <c r="G1188" s="1316"/>
      <c r="H1188" s="1316"/>
      <c r="I1188" s="1316"/>
      <c r="J1188" s="1316"/>
      <c r="K1188" s="1316"/>
      <c r="L1188" s="1316"/>
      <c r="M1188" s="1316"/>
      <c r="N1188" s="1316"/>
      <c r="O1188" s="1331"/>
    </row>
    <row r="1189" spans="1:32" s="327" customFormat="1" x14ac:dyDescent="0.35">
      <c r="B1189" s="317" t="s">
        <v>216</v>
      </c>
      <c r="C1189" s="111">
        <f>SUM(C1191:C1193)</f>
        <v>86527</v>
      </c>
      <c r="D1189" s="112">
        <f>SUM(D1191:D1193)</f>
        <v>80325</v>
      </c>
      <c r="E1189" s="112">
        <f t="shared" ref="E1189:M1189" si="264">SUM(E1191:E1193)</f>
        <v>93645</v>
      </c>
      <c r="F1189" s="112">
        <f t="shared" si="264"/>
        <v>87333</v>
      </c>
      <c r="G1189" s="112">
        <f t="shared" si="264"/>
        <v>0</v>
      </c>
      <c r="H1189" s="112">
        <f t="shared" si="264"/>
        <v>0</v>
      </c>
      <c r="I1189" s="112">
        <f t="shared" si="264"/>
        <v>0</v>
      </c>
      <c r="J1189" s="112">
        <f t="shared" si="264"/>
        <v>0</v>
      </c>
      <c r="K1189" s="112">
        <f t="shared" si="264"/>
        <v>0</v>
      </c>
      <c r="L1189" s="112">
        <f t="shared" si="264"/>
        <v>0</v>
      </c>
      <c r="M1189" s="112">
        <f t="shared" si="264"/>
        <v>0</v>
      </c>
      <c r="N1189" s="112">
        <f>SUM(N1191:N1193)</f>
        <v>0</v>
      </c>
      <c r="O1189" s="163">
        <f>SUM(C1189:N1189)</f>
        <v>347830</v>
      </c>
    </row>
    <row r="1190" spans="1:32" s="327" customFormat="1" x14ac:dyDescent="0.35">
      <c r="B1190" s="318"/>
      <c r="C1190" s="131"/>
      <c r="D1190" s="130"/>
      <c r="E1190" s="130"/>
      <c r="F1190" s="130"/>
      <c r="G1190" s="130"/>
      <c r="H1190" s="130"/>
      <c r="I1190" s="130"/>
      <c r="J1190" s="130"/>
      <c r="K1190" s="130"/>
      <c r="L1190" s="130"/>
      <c r="M1190" s="130"/>
      <c r="N1190" s="130"/>
      <c r="O1190" s="130"/>
    </row>
    <row r="1191" spans="1:32" s="327" customFormat="1" x14ac:dyDescent="0.35">
      <c r="B1191" s="130" t="s">
        <v>180</v>
      </c>
      <c r="C1191" s="1323">
        <v>8923</v>
      </c>
      <c r="D1191" s="1323">
        <v>9247</v>
      </c>
      <c r="E1191" s="1332">
        <v>10864</v>
      </c>
      <c r="F1191" s="1332">
        <v>8459</v>
      </c>
      <c r="G1191" s="1332"/>
      <c r="H1191" s="1332"/>
      <c r="I1191" s="1332"/>
      <c r="J1191" s="1332"/>
      <c r="K1191" s="1332"/>
      <c r="L1191" s="1332"/>
      <c r="M1191" s="1332"/>
      <c r="N1191" s="1332"/>
      <c r="O1191" s="164">
        <f>SUM(C1191:N1191)</f>
        <v>37493</v>
      </c>
    </row>
    <row r="1192" spans="1:32" s="327" customFormat="1" x14ac:dyDescent="0.35">
      <c r="B1192" s="130" t="s">
        <v>181</v>
      </c>
      <c r="C1192" s="1323">
        <v>52438</v>
      </c>
      <c r="D1192" s="1323">
        <v>45255</v>
      </c>
      <c r="E1192" s="1332">
        <v>53401</v>
      </c>
      <c r="F1192" s="1332">
        <v>48206</v>
      </c>
      <c r="G1192" s="1332"/>
      <c r="H1192" s="1332"/>
      <c r="I1192" s="1332"/>
      <c r="J1192" s="1332"/>
      <c r="K1192" s="1332"/>
      <c r="L1192" s="1332"/>
      <c r="M1192" s="1332"/>
      <c r="N1192" s="1332"/>
      <c r="O1192" s="164">
        <f>SUM(C1192:N1192)</f>
        <v>199300</v>
      </c>
    </row>
    <row r="1193" spans="1:32" s="327" customFormat="1" x14ac:dyDescent="0.35">
      <c r="B1193" s="130" t="s">
        <v>182</v>
      </c>
      <c r="C1193" s="1323">
        <v>25166</v>
      </c>
      <c r="D1193" s="1323">
        <v>25823</v>
      </c>
      <c r="E1193" s="1332">
        <v>29380</v>
      </c>
      <c r="F1193" s="1332">
        <v>30668</v>
      </c>
      <c r="G1193" s="1332"/>
      <c r="H1193" s="1332"/>
      <c r="I1193" s="1332"/>
      <c r="J1193" s="1332"/>
      <c r="K1193" s="1332"/>
      <c r="L1193" s="1332"/>
      <c r="M1193" s="1332"/>
      <c r="N1193" s="1332"/>
      <c r="O1193" s="164">
        <f>SUM(C1193:N1193)</f>
        <v>111037</v>
      </c>
    </row>
    <row r="1194" spans="1:32" s="327" customFormat="1" x14ac:dyDescent="0.35">
      <c r="B1194" s="130"/>
      <c r="C1194" s="131"/>
      <c r="D1194" s="130"/>
      <c r="E1194" s="130"/>
      <c r="F1194" s="130"/>
      <c r="G1194" s="130"/>
      <c r="H1194" s="130"/>
      <c r="I1194" s="130"/>
      <c r="J1194" s="130"/>
      <c r="K1194" s="130"/>
      <c r="L1194" s="130"/>
      <c r="M1194" s="130"/>
      <c r="N1194" s="130"/>
      <c r="O1194" s="130"/>
    </row>
    <row r="1195" spans="1:32" s="327" customFormat="1" x14ac:dyDescent="0.35">
      <c r="B1195" s="317" t="s">
        <v>217</v>
      </c>
      <c r="C1195" s="111">
        <f>SUM(C1197:C1199)</f>
        <v>75901</v>
      </c>
      <c r="D1195" s="112">
        <f>SUM(D1197:D1199)</f>
        <v>67542</v>
      </c>
      <c r="E1195" s="112">
        <f t="shared" ref="E1195:M1195" si="265">SUM(E1197:E1199)</f>
        <v>73733</v>
      </c>
      <c r="F1195" s="112">
        <f t="shared" si="265"/>
        <v>75347</v>
      </c>
      <c r="G1195" s="112">
        <f t="shared" si="265"/>
        <v>0</v>
      </c>
      <c r="H1195" s="112">
        <f t="shared" si="265"/>
        <v>0</v>
      </c>
      <c r="I1195" s="112">
        <f t="shared" si="265"/>
        <v>0</v>
      </c>
      <c r="J1195" s="112">
        <f t="shared" si="265"/>
        <v>0</v>
      </c>
      <c r="K1195" s="112">
        <f t="shared" si="265"/>
        <v>0</v>
      </c>
      <c r="L1195" s="112">
        <f t="shared" si="265"/>
        <v>0</v>
      </c>
      <c r="M1195" s="112">
        <f t="shared" si="265"/>
        <v>0</v>
      </c>
      <c r="N1195" s="112">
        <f>SUM(N1197:N1199)</f>
        <v>0</v>
      </c>
      <c r="O1195" s="163">
        <f>SUM(C1195:N1195)</f>
        <v>292523</v>
      </c>
    </row>
    <row r="1196" spans="1:32" s="327" customFormat="1" x14ac:dyDescent="0.35">
      <c r="B1196" s="127"/>
      <c r="C1196" s="126"/>
      <c r="D1196" s="127"/>
      <c r="E1196" s="127"/>
      <c r="F1196" s="127"/>
      <c r="G1196" s="127"/>
      <c r="H1196" s="127"/>
      <c r="I1196" s="127"/>
      <c r="J1196" s="127"/>
      <c r="K1196" s="127"/>
      <c r="L1196" s="127"/>
      <c r="M1196" s="127"/>
      <c r="N1196" s="127"/>
      <c r="O1196" s="127"/>
    </row>
    <row r="1197" spans="1:32" s="327" customFormat="1" x14ac:dyDescent="0.35">
      <c r="B1197" s="130" t="s">
        <v>180</v>
      </c>
      <c r="C1197" s="1323">
        <v>32723</v>
      </c>
      <c r="D1197" s="1323">
        <v>25381</v>
      </c>
      <c r="E1197" s="1332">
        <v>27522</v>
      </c>
      <c r="F1197" s="1332">
        <v>26150</v>
      </c>
      <c r="G1197" s="1332"/>
      <c r="H1197" s="1332"/>
      <c r="I1197" s="1333"/>
      <c r="J1197" s="1333"/>
      <c r="K1197" s="1333"/>
      <c r="L1197" s="1333"/>
      <c r="M1197" s="1333"/>
      <c r="N1197" s="1333"/>
      <c r="O1197" s="164">
        <f>SUM(C1197:N1197)</f>
        <v>111776</v>
      </c>
    </row>
    <row r="1198" spans="1:32" x14ac:dyDescent="0.35">
      <c r="B1198" s="130" t="s">
        <v>181</v>
      </c>
      <c r="C1198" s="1323">
        <v>19853</v>
      </c>
      <c r="D1198" s="1323">
        <v>17496</v>
      </c>
      <c r="E1198" s="1332">
        <v>20734</v>
      </c>
      <c r="F1198" s="1332">
        <v>23379</v>
      </c>
      <c r="G1198" s="1332"/>
      <c r="H1198" s="1332"/>
      <c r="I1198" s="1333"/>
      <c r="J1198" s="1333"/>
      <c r="K1198" s="1333"/>
      <c r="L1198" s="1333"/>
      <c r="M1198" s="1333"/>
      <c r="N1198" s="1333"/>
      <c r="O1198" s="164">
        <f>SUM(C1198:N1198)</f>
        <v>81462</v>
      </c>
      <c r="P1198" s="327"/>
      <c r="Q1198" s="327"/>
      <c r="R1198" s="327"/>
      <c r="S1198" s="327"/>
      <c r="T1198" s="327"/>
    </row>
    <row r="1199" spans="1:32" x14ac:dyDescent="0.35">
      <c r="B1199" s="130" t="s">
        <v>182</v>
      </c>
      <c r="C1199" s="1323">
        <v>23325</v>
      </c>
      <c r="D1199" s="1323">
        <v>24665</v>
      </c>
      <c r="E1199" s="1332">
        <v>25477</v>
      </c>
      <c r="F1199" s="1332">
        <v>25818</v>
      </c>
      <c r="G1199" s="1332"/>
      <c r="H1199" s="1332"/>
      <c r="I1199" s="1333"/>
      <c r="J1199" s="1333"/>
      <c r="K1199" s="1333"/>
      <c r="L1199" s="1333"/>
      <c r="M1199" s="1333"/>
      <c r="N1199" s="1333"/>
      <c r="O1199" s="164">
        <f>SUM(C1199:N1199)</f>
        <v>99285</v>
      </c>
    </row>
    <row r="1200" spans="1:32" ht="16.5" customHeight="1" x14ac:dyDescent="0.35">
      <c r="B1200" s="130"/>
      <c r="C1200" s="131"/>
      <c r="D1200" s="130"/>
      <c r="E1200" s="130"/>
      <c r="F1200" s="130"/>
      <c r="G1200" s="130"/>
      <c r="H1200" s="130"/>
      <c r="I1200" s="130"/>
      <c r="J1200" s="130"/>
      <c r="K1200" s="130"/>
      <c r="L1200" s="130"/>
      <c r="M1200" s="130"/>
      <c r="N1200" s="130"/>
      <c r="O1200" s="130"/>
      <c r="T1200" s="735" t="s">
        <v>452</v>
      </c>
      <c r="U1200" s="704" t="s">
        <v>404</v>
      </c>
      <c r="V1200" s="704" t="s">
        <v>405</v>
      </c>
      <c r="W1200" s="704" t="s">
        <v>406</v>
      </c>
      <c r="X1200" s="704" t="s">
        <v>407</v>
      </c>
      <c r="Y1200" s="704" t="s">
        <v>408</v>
      </c>
      <c r="Z1200" s="704" t="s">
        <v>409</v>
      </c>
      <c r="AA1200" s="704" t="s">
        <v>410</v>
      </c>
      <c r="AB1200" s="704" t="s">
        <v>411</v>
      </c>
      <c r="AC1200" s="704" t="s">
        <v>412</v>
      </c>
      <c r="AD1200" s="704" t="s">
        <v>413</v>
      </c>
      <c r="AE1200" s="704" t="s">
        <v>414</v>
      </c>
      <c r="AF1200" s="704" t="s">
        <v>415</v>
      </c>
    </row>
    <row r="1201" spans="1:32" s="5" customFormat="1" x14ac:dyDescent="0.35">
      <c r="A1201" s="359"/>
      <c r="B1201" s="431" t="s">
        <v>179</v>
      </c>
      <c r="C1201" s="1319">
        <f>C1189+C1195</f>
        <v>162428</v>
      </c>
      <c r="D1201" s="1271">
        <f>D1189+D1195</f>
        <v>147867</v>
      </c>
      <c r="E1201" s="1271">
        <f>E1189+E1195</f>
        <v>167378</v>
      </c>
      <c r="F1201" s="1278">
        <f>F1189+F1195</f>
        <v>162680</v>
      </c>
      <c r="G1201" s="1278">
        <f t="shared" ref="G1201:L1201" si="266">G1189+G1195</f>
        <v>0</v>
      </c>
      <c r="H1201" s="1278">
        <f t="shared" si="266"/>
        <v>0</v>
      </c>
      <c r="I1201" s="1278">
        <f t="shared" si="266"/>
        <v>0</v>
      </c>
      <c r="J1201" s="1278">
        <f t="shared" si="266"/>
        <v>0</v>
      </c>
      <c r="K1201" s="1278">
        <f t="shared" si="266"/>
        <v>0</v>
      </c>
      <c r="L1201" s="1278">
        <f t="shared" si="266"/>
        <v>0</v>
      </c>
      <c r="M1201" s="1278">
        <f>M1189+M1195</f>
        <v>0</v>
      </c>
      <c r="N1201" s="1278">
        <f>N1189+N1195</f>
        <v>0</v>
      </c>
      <c r="O1201" s="1271">
        <f>SUM(C1201:N1201)</f>
        <v>640353</v>
      </c>
      <c r="P1201" s="324"/>
      <c r="Q1201" s="324"/>
      <c r="R1201" s="324"/>
      <c r="S1201" s="324"/>
      <c r="T1201" s="735" t="s">
        <v>441</v>
      </c>
      <c r="U1201" s="25">
        <f t="shared" ref="U1201:Z1201" si="267">U74</f>
        <v>0</v>
      </c>
      <c r="V1201" s="25">
        <f>V74</f>
        <v>3575415.1965000001</v>
      </c>
      <c r="W1201" s="25">
        <f>W74</f>
        <v>4262772.9950000001</v>
      </c>
      <c r="X1201" s="25">
        <f t="shared" si="267"/>
        <v>3983658.02</v>
      </c>
      <c r="Y1201" s="25">
        <f t="shared" si="267"/>
        <v>3832711.4215000002</v>
      </c>
      <c r="Z1201" s="25">
        <f t="shared" si="267"/>
        <v>3542274</v>
      </c>
      <c r="AA1201" s="25">
        <f t="shared" ref="AA1201:AF1201" si="268">AA74</f>
        <v>4113691</v>
      </c>
      <c r="AB1201" s="25">
        <f t="shared" si="268"/>
        <v>0</v>
      </c>
      <c r="AC1201" s="25">
        <f t="shared" si="268"/>
        <v>0</v>
      </c>
      <c r="AD1201" s="25">
        <f t="shared" si="268"/>
        <v>0</v>
      </c>
      <c r="AE1201" s="25">
        <f t="shared" si="268"/>
        <v>0</v>
      </c>
      <c r="AF1201" s="25">
        <f t="shared" si="268"/>
        <v>0</v>
      </c>
    </row>
    <row r="1202" spans="1:32" s="5" customFormat="1" ht="15" customHeight="1" x14ac:dyDescent="0.35">
      <c r="A1202" s="359"/>
      <c r="B1202" s="291"/>
      <c r="C1202" s="1334"/>
      <c r="D1202" s="223"/>
      <c r="E1202" s="223"/>
      <c r="F1202" s="142"/>
      <c r="G1202" s="142"/>
      <c r="H1202" s="142"/>
      <c r="I1202" s="142"/>
      <c r="J1202" s="142"/>
      <c r="K1202" s="142"/>
      <c r="L1202" s="142"/>
      <c r="M1202" s="142"/>
      <c r="N1202" s="142"/>
      <c r="O1202" s="223"/>
      <c r="P1202" s="324"/>
      <c r="T1202" s="334"/>
      <c r="U1202" s="334">
        <f>U1201*$Q$1106</f>
        <v>0</v>
      </c>
      <c r="V1202" s="334">
        <f>V1201*$Q$1106</f>
        <v>1573545.3291584447</v>
      </c>
      <c r="W1202" s="334">
        <f t="shared" ref="W1202:Z1202" si="269">W1201*$Q$1106</f>
        <v>1876052.4769574138</v>
      </c>
      <c r="X1202" s="334">
        <f t="shared" si="269"/>
        <v>1753213.5782361233</v>
      </c>
      <c r="Y1202" s="334">
        <f t="shared" si="269"/>
        <v>1686781.764875107</v>
      </c>
      <c r="Z1202" s="334">
        <f t="shared" si="269"/>
        <v>1558959.8412950081</v>
      </c>
      <c r="AA1202" s="334">
        <f t="shared" ref="AA1202:AF1202" si="270">AA1201*$Q$1106</f>
        <v>1810441.2782570471</v>
      </c>
      <c r="AB1202" s="334">
        <f t="shared" si="270"/>
        <v>0</v>
      </c>
      <c r="AC1202" s="334">
        <f t="shared" si="270"/>
        <v>0</v>
      </c>
      <c r="AD1202" s="334">
        <f t="shared" si="270"/>
        <v>0</v>
      </c>
      <c r="AE1202" s="334">
        <f t="shared" si="270"/>
        <v>0</v>
      </c>
      <c r="AF1202" s="334">
        <f t="shared" si="270"/>
        <v>0</v>
      </c>
    </row>
    <row r="1203" spans="1:32" x14ac:dyDescent="0.35">
      <c r="B1203" s="130" t="s">
        <v>180</v>
      </c>
      <c r="C1203" s="294">
        <f t="shared" ref="C1203:M1205" si="271">C1191+C1197</f>
        <v>41646</v>
      </c>
      <c r="D1203" s="164">
        <f t="shared" si="271"/>
        <v>34628</v>
      </c>
      <c r="E1203" s="164">
        <f t="shared" si="271"/>
        <v>38386</v>
      </c>
      <c r="F1203" s="138">
        <f t="shared" si="271"/>
        <v>34609</v>
      </c>
      <c r="G1203" s="138">
        <f t="shared" si="271"/>
        <v>0</v>
      </c>
      <c r="H1203" s="138">
        <f t="shared" si="271"/>
        <v>0</v>
      </c>
      <c r="I1203" s="138">
        <f t="shared" si="271"/>
        <v>0</v>
      </c>
      <c r="J1203" s="138">
        <f t="shared" si="271"/>
        <v>0</v>
      </c>
      <c r="K1203" s="138">
        <f t="shared" si="271"/>
        <v>0</v>
      </c>
      <c r="L1203" s="138">
        <f t="shared" si="271"/>
        <v>0</v>
      </c>
      <c r="M1203" s="138">
        <f t="shared" si="271"/>
        <v>0</v>
      </c>
      <c r="N1203" s="138">
        <f>N1191+N1197</f>
        <v>0</v>
      </c>
      <c r="O1203" s="164">
        <f>SUM(C1203:N1203)</f>
        <v>149269</v>
      </c>
      <c r="Q1203" s="5"/>
      <c r="R1203" s="5"/>
      <c r="S1203" s="5"/>
      <c r="T1203" s="334"/>
      <c r="U1203" s="334">
        <f>U1202/15</f>
        <v>0</v>
      </c>
      <c r="V1203" s="334">
        <f>V1202/15</f>
        <v>104903.02194389631</v>
      </c>
      <c r="W1203" s="334">
        <f t="shared" ref="W1203:Z1203" si="272">W1202/15</f>
        <v>125070.16513049425</v>
      </c>
      <c r="X1203" s="334">
        <f t="shared" si="272"/>
        <v>116880.90521574156</v>
      </c>
      <c r="Y1203" s="334">
        <f t="shared" si="272"/>
        <v>112452.11765834046</v>
      </c>
      <c r="Z1203" s="334">
        <f t="shared" si="272"/>
        <v>103930.65608633387</v>
      </c>
      <c r="AA1203" s="334">
        <f t="shared" ref="AA1203:AF1203" si="273">AA1202/15</f>
        <v>120696.08521713647</v>
      </c>
      <c r="AB1203" s="334">
        <f t="shared" si="273"/>
        <v>0</v>
      </c>
      <c r="AC1203" s="334">
        <f t="shared" si="273"/>
        <v>0</v>
      </c>
      <c r="AD1203" s="334">
        <f t="shared" si="273"/>
        <v>0</v>
      </c>
      <c r="AE1203" s="334">
        <f t="shared" si="273"/>
        <v>0</v>
      </c>
      <c r="AF1203" s="334">
        <f t="shared" si="273"/>
        <v>0</v>
      </c>
    </row>
    <row r="1204" spans="1:32" s="326" customFormat="1" ht="16.5" customHeight="1" x14ac:dyDescent="0.35">
      <c r="B1204" s="130" t="s">
        <v>181</v>
      </c>
      <c r="C1204" s="294">
        <f t="shared" si="271"/>
        <v>72291</v>
      </c>
      <c r="D1204" s="164">
        <f t="shared" si="271"/>
        <v>62751</v>
      </c>
      <c r="E1204" s="164">
        <f t="shared" si="271"/>
        <v>74135</v>
      </c>
      <c r="F1204" s="138">
        <f t="shared" si="271"/>
        <v>71585</v>
      </c>
      <c r="G1204" s="138">
        <f t="shared" si="271"/>
        <v>0</v>
      </c>
      <c r="H1204" s="138">
        <f t="shared" si="271"/>
        <v>0</v>
      </c>
      <c r="I1204" s="138">
        <f t="shared" si="271"/>
        <v>0</v>
      </c>
      <c r="J1204" s="138">
        <f t="shared" si="271"/>
        <v>0</v>
      </c>
      <c r="K1204" s="138">
        <f t="shared" si="271"/>
        <v>0</v>
      </c>
      <c r="L1204" s="138">
        <f t="shared" si="271"/>
        <v>0</v>
      </c>
      <c r="M1204" s="138">
        <f t="shared" si="271"/>
        <v>0</v>
      </c>
      <c r="N1204" s="138">
        <f>N1192+N1198</f>
        <v>0</v>
      </c>
      <c r="O1204" s="164">
        <f>SUM(C1204:N1204)</f>
        <v>280762</v>
      </c>
      <c r="P1204" s="324">
        <f>O1204/SUM(O1203:O1204)</f>
        <v>0.65288781506449534</v>
      </c>
      <c r="Q1204" s="324"/>
      <c r="R1204" s="324"/>
      <c r="S1204" s="324"/>
      <c r="T1204" s="735" t="s">
        <v>400</v>
      </c>
      <c r="U1204" s="336">
        <f>U1203/$P$1316</f>
        <v>0</v>
      </c>
      <c r="V1204" s="336">
        <f>V1203/$P$1316</f>
        <v>136940.85051339306</v>
      </c>
      <c r="W1204" s="336">
        <f t="shared" ref="W1204:Z1204" si="274">W1203/$P$1316</f>
        <v>163267.12490685243</v>
      </c>
      <c r="X1204" s="336">
        <f t="shared" si="274"/>
        <v>152576.83022305166</v>
      </c>
      <c r="Y1204" s="336">
        <f t="shared" si="274"/>
        <v>146795.47213045071</v>
      </c>
      <c r="Z1204" s="336">
        <f t="shared" si="274"/>
        <v>135671.51999195205</v>
      </c>
      <c r="AA1204" s="336">
        <f t="shared" ref="AA1204:AF1204" si="275">AA1203/$P$1316</f>
        <v>157557.18240520445</v>
      </c>
      <c r="AB1204" s="336">
        <f t="shared" si="275"/>
        <v>0</v>
      </c>
      <c r="AC1204" s="336">
        <f t="shared" si="275"/>
        <v>0</v>
      </c>
      <c r="AD1204" s="336">
        <f t="shared" si="275"/>
        <v>0</v>
      </c>
      <c r="AE1204" s="336">
        <f t="shared" si="275"/>
        <v>0</v>
      </c>
      <c r="AF1204" s="336">
        <f t="shared" si="275"/>
        <v>0</v>
      </c>
    </row>
    <row r="1205" spans="1:32" x14ac:dyDescent="0.35">
      <c r="A1205" s="359"/>
      <c r="B1205" s="130" t="s">
        <v>182</v>
      </c>
      <c r="C1205" s="294">
        <f t="shared" si="271"/>
        <v>48491</v>
      </c>
      <c r="D1205" s="164">
        <f t="shared" si="271"/>
        <v>50488</v>
      </c>
      <c r="E1205" s="164">
        <f t="shared" si="271"/>
        <v>54857</v>
      </c>
      <c r="F1205" s="138">
        <f t="shared" si="271"/>
        <v>56486</v>
      </c>
      <c r="G1205" s="138">
        <f t="shared" si="271"/>
        <v>0</v>
      </c>
      <c r="H1205" s="138">
        <f t="shared" si="271"/>
        <v>0</v>
      </c>
      <c r="I1205" s="138">
        <f t="shared" si="271"/>
        <v>0</v>
      </c>
      <c r="J1205" s="138">
        <f t="shared" si="271"/>
        <v>0</v>
      </c>
      <c r="K1205" s="138">
        <f t="shared" si="271"/>
        <v>0</v>
      </c>
      <c r="L1205" s="138">
        <f t="shared" si="271"/>
        <v>0</v>
      </c>
      <c r="M1205" s="138">
        <f t="shared" si="271"/>
        <v>0</v>
      </c>
      <c r="N1205" s="138">
        <f>N1193+N1199</f>
        <v>0</v>
      </c>
      <c r="O1205" s="164">
        <f>SUM(C1205:N1205)</f>
        <v>210322</v>
      </c>
      <c r="P1205" s="324">
        <f>O1205/O1201</f>
        <v>0.32844696597033196</v>
      </c>
      <c r="Q1205" s="326"/>
      <c r="R1205" s="326"/>
      <c r="S1205" s="326"/>
      <c r="T1205" s="735" t="s">
        <v>401</v>
      </c>
      <c r="U1205" s="335">
        <f>U1203*$P$1318</f>
        <v>0</v>
      </c>
      <c r="V1205" s="335">
        <f t="shared" ref="V1205:Z1205" si="276">V1203*$P$1318</f>
        <v>44861.471311914793</v>
      </c>
      <c r="W1205" s="335">
        <f t="shared" si="276"/>
        <v>53485.891264208469</v>
      </c>
      <c r="X1205" s="335">
        <f t="shared" si="276"/>
        <v>49983.778151318613</v>
      </c>
      <c r="Y1205" s="335">
        <f t="shared" si="276"/>
        <v>48089.82007202541</v>
      </c>
      <c r="Z1205" s="335">
        <f t="shared" si="276"/>
        <v>44445.641889507373</v>
      </c>
      <c r="AA1205" s="335">
        <f t="shared" ref="AA1205:AF1205" si="277">AA1203*$P$1318</f>
        <v>51615.328749297623</v>
      </c>
      <c r="AB1205" s="335">
        <f t="shared" si="277"/>
        <v>0</v>
      </c>
      <c r="AC1205" s="335">
        <f t="shared" si="277"/>
        <v>0</v>
      </c>
      <c r="AD1205" s="335">
        <f t="shared" si="277"/>
        <v>0</v>
      </c>
      <c r="AE1205" s="335">
        <f t="shared" si="277"/>
        <v>0</v>
      </c>
      <c r="AF1205" s="335">
        <f t="shared" si="277"/>
        <v>0</v>
      </c>
    </row>
    <row r="1206" spans="1:32" x14ac:dyDescent="0.35">
      <c r="A1206" s="359"/>
      <c r="B1206" s="240"/>
      <c r="C1206" s="1335"/>
      <c r="D1206" s="319"/>
      <c r="E1206" s="319"/>
      <c r="F1206" s="320"/>
      <c r="G1206" s="320"/>
      <c r="H1206" s="320"/>
      <c r="I1206" s="320"/>
      <c r="J1206" s="320"/>
      <c r="K1206" s="320"/>
      <c r="L1206" s="320"/>
      <c r="M1206" s="320"/>
      <c r="N1206" s="320"/>
      <c r="O1206" s="319"/>
    </row>
    <row r="1207" spans="1:32" x14ac:dyDescent="0.35">
      <c r="D1207" s="290"/>
      <c r="E1207" s="290"/>
      <c r="F1207" s="290"/>
      <c r="G1207" s="290"/>
      <c r="H1207" s="290"/>
      <c r="I1207" s="290"/>
      <c r="J1207" s="290"/>
      <c r="K1207" s="290"/>
      <c r="L1207" s="290"/>
      <c r="M1207" s="290"/>
      <c r="N1207" s="290"/>
      <c r="O1207" s="290"/>
    </row>
    <row r="1208" spans="1:32" x14ac:dyDescent="0.35">
      <c r="B1208" s="1068" t="s">
        <v>539</v>
      </c>
      <c r="C1208" s="1068"/>
      <c r="D1208" s="1068"/>
      <c r="E1208" s="1068"/>
      <c r="F1208" s="1068"/>
      <c r="G1208" s="1068"/>
      <c r="H1208" s="1068"/>
      <c r="I1208" s="1068"/>
      <c r="J1208" s="1068"/>
      <c r="K1208" s="1068"/>
      <c r="L1208" s="1068"/>
      <c r="M1208" s="1068"/>
      <c r="N1208" s="1068"/>
      <c r="O1208" s="1068"/>
    </row>
    <row r="1209" spans="1:32" x14ac:dyDescent="0.35">
      <c r="B1209" s="1020"/>
      <c r="C1209" s="274"/>
      <c r="D1209" s="302"/>
      <c r="E1209" s="302"/>
      <c r="F1209" s="302"/>
      <c r="G1209" s="302"/>
      <c r="H1209" s="302"/>
      <c r="I1209" s="302"/>
      <c r="J1209" s="302"/>
      <c r="K1209" s="302"/>
      <c r="L1209" s="302"/>
      <c r="M1209" s="302"/>
      <c r="N1209" s="1321"/>
      <c r="O1209" s="290"/>
    </row>
    <row r="1210" spans="1:32" ht="15" customHeight="1" x14ac:dyDescent="0.35">
      <c r="B1210" s="1074" t="s">
        <v>13</v>
      </c>
      <c r="C1210" s="1112" t="s">
        <v>0</v>
      </c>
      <c r="D1210" s="1136" t="s">
        <v>1</v>
      </c>
      <c r="E1210" s="1136" t="s">
        <v>2</v>
      </c>
      <c r="F1210" s="1136" t="s">
        <v>3</v>
      </c>
      <c r="G1210" s="1136" t="s">
        <v>4</v>
      </c>
      <c r="H1210" s="1136" t="s">
        <v>5</v>
      </c>
      <c r="I1210" s="1136" t="s">
        <v>6</v>
      </c>
      <c r="J1210" s="1136" t="s">
        <v>7</v>
      </c>
      <c r="K1210" s="1136" t="s">
        <v>8</v>
      </c>
      <c r="L1210" s="1136" t="s">
        <v>9</v>
      </c>
      <c r="M1210" s="1136" t="s">
        <v>10</v>
      </c>
      <c r="N1210" s="1136" t="s">
        <v>14</v>
      </c>
      <c r="O1210" s="1077" t="s">
        <v>15</v>
      </c>
    </row>
    <row r="1211" spans="1:32" ht="14.25" customHeight="1" x14ac:dyDescent="0.35">
      <c r="B1211" s="1080"/>
      <c r="C1211" s="1145"/>
      <c r="D1211" s="1153"/>
      <c r="E1211" s="1153"/>
      <c r="F1211" s="1153"/>
      <c r="G1211" s="1153"/>
      <c r="H1211" s="1153"/>
      <c r="I1211" s="1153"/>
      <c r="J1211" s="1153"/>
      <c r="K1211" s="1153"/>
      <c r="L1211" s="1153"/>
      <c r="M1211" s="1153"/>
      <c r="N1211" s="1153"/>
      <c r="O1211" s="1088"/>
    </row>
    <row r="1212" spans="1:32" x14ac:dyDescent="0.35">
      <c r="B1212" s="1018"/>
      <c r="C1212" s="1322"/>
      <c r="D1212" s="303"/>
      <c r="E1212" s="303"/>
      <c r="F1212" s="303"/>
      <c r="G1212" s="303"/>
      <c r="H1212" s="303"/>
      <c r="I1212" s="303"/>
      <c r="J1212" s="303"/>
      <c r="K1212" s="303"/>
      <c r="L1212" s="303"/>
      <c r="M1212" s="303"/>
      <c r="N1212" s="303"/>
      <c r="O1212" s="1019"/>
    </row>
    <row r="1213" spans="1:32" s="327" customFormat="1" x14ac:dyDescent="0.35">
      <c r="B1213" s="1306" t="s">
        <v>47</v>
      </c>
      <c r="C1213" s="162">
        <f>+C1215+C1216+C1217</f>
        <v>86527</v>
      </c>
      <c r="D1213" s="162">
        <f>+D1215+D1216+D1217</f>
        <v>80325</v>
      </c>
      <c r="E1213" s="162">
        <f>+E1215+E1216+E1217</f>
        <v>93645</v>
      </c>
      <c r="F1213" s="162">
        <f>+F1215+F1216+F1217</f>
        <v>87333</v>
      </c>
      <c r="G1213" s="162">
        <f t="shared" ref="G1213:L1213" si="278">+G1215+G1216+G1217</f>
        <v>0</v>
      </c>
      <c r="H1213" s="162">
        <f t="shared" si="278"/>
        <v>0</v>
      </c>
      <c r="I1213" s="162">
        <f t="shared" si="278"/>
        <v>0</v>
      </c>
      <c r="J1213" s="162">
        <f t="shared" si="278"/>
        <v>0</v>
      </c>
      <c r="K1213" s="162">
        <f t="shared" si="278"/>
        <v>0</v>
      </c>
      <c r="L1213" s="162">
        <f t="shared" si="278"/>
        <v>0</v>
      </c>
      <c r="M1213" s="162">
        <f>+M1215+M1216+M1217</f>
        <v>0</v>
      </c>
      <c r="N1213" s="162">
        <f>+N1215+N1216+N1217</f>
        <v>0</v>
      </c>
      <c r="O1213" s="306">
        <f>SUM(C1213:N1213)</f>
        <v>347830</v>
      </c>
      <c r="P1213" s="324"/>
      <c r="Q1213" s="324"/>
      <c r="R1213" s="324"/>
      <c r="S1213" s="324"/>
      <c r="T1213" s="324"/>
    </row>
    <row r="1214" spans="1:32" s="6" customFormat="1" x14ac:dyDescent="0.35">
      <c r="B1214" s="1306"/>
      <c r="C1214" s="162"/>
      <c r="D1214" s="162"/>
      <c r="E1214" s="162"/>
      <c r="F1214" s="162"/>
      <c r="G1214" s="162"/>
      <c r="H1214" s="162"/>
      <c r="I1214" s="162"/>
      <c r="J1214" s="162"/>
      <c r="K1214" s="162"/>
      <c r="L1214" s="162"/>
      <c r="M1214" s="162"/>
      <c r="N1214" s="162"/>
      <c r="O1214" s="305"/>
    </row>
    <row r="1215" spans="1:32" s="8" customFormat="1" x14ac:dyDescent="0.35">
      <c r="A1215" s="359"/>
      <c r="B1215" s="1307" t="s">
        <v>167</v>
      </c>
      <c r="C1215" s="1324">
        <v>54336</v>
      </c>
      <c r="D1215" s="1324">
        <v>48573</v>
      </c>
      <c r="E1215" s="1324">
        <v>57827</v>
      </c>
      <c r="F1215" s="1324">
        <v>49868</v>
      </c>
      <c r="G1215" s="1324"/>
      <c r="H1215" s="1324"/>
      <c r="I1215" s="1324"/>
      <c r="J1215" s="1324"/>
      <c r="K1215" s="1324"/>
      <c r="L1215" s="1324"/>
      <c r="M1215" s="1324"/>
      <c r="N1215" s="1324"/>
      <c r="O1215" s="305">
        <f>SUM(C1215:N1215)</f>
        <v>210604</v>
      </c>
      <c r="P1215" s="6"/>
      <c r="Q1215" s="6"/>
      <c r="R1215" s="6"/>
      <c r="S1215" s="6"/>
      <c r="T1215" s="6"/>
    </row>
    <row r="1216" spans="1:32" s="9" customFormat="1" ht="18.75" customHeight="1" x14ac:dyDescent="0.35">
      <c r="A1216" s="359"/>
      <c r="B1216" s="1307" t="s">
        <v>171</v>
      </c>
      <c r="C1216" s="1324">
        <v>25166</v>
      </c>
      <c r="D1216" s="1324">
        <v>25823</v>
      </c>
      <c r="E1216" s="1324">
        <v>29380</v>
      </c>
      <c r="F1216" s="1324">
        <v>30668</v>
      </c>
      <c r="G1216" s="1324"/>
      <c r="H1216" s="1324"/>
      <c r="I1216" s="1324"/>
      <c r="J1216" s="1324"/>
      <c r="K1216" s="1324"/>
      <c r="L1216" s="1324"/>
      <c r="M1216" s="1324"/>
      <c r="N1216" s="1324"/>
      <c r="O1216" s="305">
        <f>SUM(C1216:N1216)</f>
        <v>111037</v>
      </c>
      <c r="P1216" s="8"/>
      <c r="Q1216" s="8"/>
      <c r="R1216" s="8"/>
      <c r="S1216" s="8"/>
      <c r="T1216" s="8"/>
    </row>
    <row r="1217" spans="1:20" s="8" customFormat="1" ht="18.75" customHeight="1" x14ac:dyDescent="0.35">
      <c r="A1217" s="359"/>
      <c r="B1217" s="1307" t="s">
        <v>172</v>
      </c>
      <c r="C1217" s="275">
        <f>+C1219+C1223</f>
        <v>7025</v>
      </c>
      <c r="D1217" s="275">
        <f>+D1219+D1223</f>
        <v>5929</v>
      </c>
      <c r="E1217" s="275">
        <f>+E1219+E1223</f>
        <v>6438</v>
      </c>
      <c r="F1217" s="275">
        <f>+F1219+F1223</f>
        <v>6797</v>
      </c>
      <c r="G1217" s="275">
        <f t="shared" ref="G1217:L1217" si="279">+G1219+G1223</f>
        <v>0</v>
      </c>
      <c r="H1217" s="275">
        <f t="shared" si="279"/>
        <v>0</v>
      </c>
      <c r="I1217" s="275">
        <f t="shared" si="279"/>
        <v>0</v>
      </c>
      <c r="J1217" s="275">
        <f t="shared" si="279"/>
        <v>0</v>
      </c>
      <c r="K1217" s="275">
        <f t="shared" si="279"/>
        <v>0</v>
      </c>
      <c r="L1217" s="275">
        <f t="shared" si="279"/>
        <v>0</v>
      </c>
      <c r="M1217" s="275">
        <f>+M1219+M1223</f>
        <v>0</v>
      </c>
      <c r="N1217" s="275">
        <f>+N1219+N1223</f>
        <v>0</v>
      </c>
      <c r="O1217" s="305">
        <f>SUM(C1217:N1217)</f>
        <v>26189</v>
      </c>
      <c r="P1217" s="9"/>
      <c r="Q1217" s="9"/>
      <c r="R1217" s="9"/>
      <c r="S1217" s="9"/>
      <c r="T1217" s="9"/>
    </row>
    <row r="1218" spans="1:20" s="8" customFormat="1" ht="18.75" customHeight="1" x14ac:dyDescent="0.35">
      <c r="A1218" s="359"/>
      <c r="B1218" s="1307"/>
      <c r="C1218" s="275"/>
      <c r="D1218" s="275"/>
      <c r="E1218" s="275"/>
      <c r="F1218" s="275"/>
      <c r="G1218" s="275"/>
      <c r="H1218" s="275"/>
      <c r="I1218" s="275"/>
      <c r="J1218" s="275"/>
      <c r="K1218" s="275"/>
      <c r="L1218" s="275"/>
      <c r="M1218" s="275"/>
      <c r="N1218" s="275"/>
      <c r="O1218" s="305"/>
    </row>
    <row r="1219" spans="1:20" s="6" customFormat="1" x14ac:dyDescent="0.35">
      <c r="A1219" s="359"/>
      <c r="B1219" s="1307" t="s">
        <v>173</v>
      </c>
      <c r="C1219" s="275">
        <f>C1220+C1221+C1222</f>
        <v>6904</v>
      </c>
      <c r="D1219" s="275">
        <f>D1220+D1221+D1222</f>
        <v>5801</v>
      </c>
      <c r="E1219" s="275">
        <f>E1220+E1221+E1222</f>
        <v>6295</v>
      </c>
      <c r="F1219" s="275">
        <f>F1220+F1221+F1222</f>
        <v>6584</v>
      </c>
      <c r="G1219" s="275">
        <f t="shared" ref="G1219:L1219" si="280">G1220+G1221+G1222</f>
        <v>0</v>
      </c>
      <c r="H1219" s="275">
        <f t="shared" si="280"/>
        <v>0</v>
      </c>
      <c r="I1219" s="275">
        <f t="shared" si="280"/>
        <v>0</v>
      </c>
      <c r="J1219" s="275">
        <f t="shared" si="280"/>
        <v>0</v>
      </c>
      <c r="K1219" s="275">
        <f t="shared" si="280"/>
        <v>0</v>
      </c>
      <c r="L1219" s="275">
        <f t="shared" si="280"/>
        <v>0</v>
      </c>
      <c r="M1219" s="275">
        <f>M1220+M1221+M1222</f>
        <v>0</v>
      </c>
      <c r="N1219" s="275">
        <f>N1220+N1221+N1222</f>
        <v>0</v>
      </c>
      <c r="O1219" s="305">
        <f>SUM(C1219:N1219)</f>
        <v>25584</v>
      </c>
      <c r="P1219" s="8"/>
      <c r="Q1219" s="8"/>
      <c r="R1219" s="8"/>
      <c r="S1219" s="8"/>
      <c r="T1219" s="8"/>
    </row>
    <row r="1220" spans="1:20" s="8" customFormat="1" ht="18.75" customHeight="1" x14ac:dyDescent="0.35">
      <c r="A1220" s="359"/>
      <c r="B1220" s="1275" t="s">
        <v>62</v>
      </c>
      <c r="C1220" s="1329">
        <v>2970</v>
      </c>
      <c r="D1220" s="1329">
        <v>2540</v>
      </c>
      <c r="E1220" s="1329">
        <v>2674</v>
      </c>
      <c r="F1220" s="1329">
        <v>2901</v>
      </c>
      <c r="G1220" s="1329"/>
      <c r="H1220" s="1329"/>
      <c r="I1220" s="1329"/>
      <c r="J1220" s="1329"/>
      <c r="K1220" s="1329"/>
      <c r="L1220" s="1329"/>
      <c r="M1220" s="1329"/>
      <c r="N1220" s="1329"/>
      <c r="O1220" s="294">
        <f>SUM(C1220:N1220)</f>
        <v>11085</v>
      </c>
      <c r="P1220" s="6"/>
      <c r="Q1220" s="6"/>
      <c r="R1220" s="6"/>
      <c r="S1220" s="6"/>
      <c r="T1220" s="6"/>
    </row>
    <row r="1221" spans="1:20" s="8" customFormat="1" ht="18.75" customHeight="1" x14ac:dyDescent="0.35">
      <c r="B1221" s="1275" t="s">
        <v>63</v>
      </c>
      <c r="C1221" s="1329">
        <v>3934</v>
      </c>
      <c r="D1221" s="1329">
        <v>3259</v>
      </c>
      <c r="E1221" s="1329">
        <v>3621</v>
      </c>
      <c r="F1221" s="1329">
        <v>3681</v>
      </c>
      <c r="G1221" s="1329"/>
      <c r="H1221" s="1329"/>
      <c r="I1221" s="1329"/>
      <c r="J1221" s="1329"/>
      <c r="K1221" s="1329"/>
      <c r="L1221" s="1329"/>
      <c r="M1221" s="1329"/>
      <c r="N1221" s="1329"/>
      <c r="O1221" s="294">
        <f>SUM(C1221:N1221)</f>
        <v>14495</v>
      </c>
    </row>
    <row r="1222" spans="1:20" s="8" customFormat="1" ht="15.75" customHeight="1" x14ac:dyDescent="0.35">
      <c r="B1222" s="1275" t="s">
        <v>64</v>
      </c>
      <c r="C1222" s="1329">
        <v>0</v>
      </c>
      <c r="D1222" s="1329">
        <v>2</v>
      </c>
      <c r="E1222" s="1329">
        <v>0</v>
      </c>
      <c r="F1222" s="1329">
        <v>2</v>
      </c>
      <c r="G1222" s="1329"/>
      <c r="H1222" s="1329"/>
      <c r="I1222" s="1329"/>
      <c r="J1222" s="1329"/>
      <c r="K1222" s="1329"/>
      <c r="L1222" s="1329"/>
      <c r="M1222" s="1329"/>
      <c r="N1222" s="1329"/>
      <c r="O1222" s="294">
        <f>SUM(C1222:N1222)</f>
        <v>4</v>
      </c>
      <c r="P1222" s="11"/>
    </row>
    <row r="1223" spans="1:20" s="8" customFormat="1" ht="26.25" customHeight="1" x14ac:dyDescent="0.35">
      <c r="B1223" s="1307" t="s">
        <v>174</v>
      </c>
      <c r="C1223" s="1327">
        <v>121</v>
      </c>
      <c r="D1223" s="1327">
        <v>128</v>
      </c>
      <c r="E1223" s="1327">
        <v>143</v>
      </c>
      <c r="F1223" s="1327">
        <v>213</v>
      </c>
      <c r="G1223" s="1327"/>
      <c r="H1223" s="1327"/>
      <c r="I1223" s="1327"/>
      <c r="J1223" s="1327"/>
      <c r="K1223" s="1327"/>
      <c r="L1223" s="1327"/>
      <c r="M1223" s="1327"/>
      <c r="N1223" s="1327"/>
      <c r="O1223" s="305">
        <f>SUM(C1223:N1223)</f>
        <v>605</v>
      </c>
    </row>
    <row r="1224" spans="1:20" s="8" customFormat="1" ht="12.75" customHeight="1" x14ac:dyDescent="0.35">
      <c r="B1224" s="1308"/>
      <c r="C1224" s="1336"/>
      <c r="D1224" s="1336"/>
      <c r="E1224" s="1336"/>
      <c r="F1224" s="1336"/>
      <c r="G1224" s="1336"/>
      <c r="H1224" s="1336"/>
      <c r="I1224" s="1336"/>
      <c r="J1224" s="1336"/>
      <c r="K1224" s="1336"/>
      <c r="L1224" s="1336"/>
      <c r="M1224" s="1336"/>
      <c r="N1224" s="1336"/>
      <c r="O1224" s="305"/>
    </row>
    <row r="1225" spans="1:20" s="9" customFormat="1" ht="18.75" customHeight="1" x14ac:dyDescent="0.35">
      <c r="B1225" s="1306" t="s">
        <v>56</v>
      </c>
      <c r="C1225" s="162">
        <f>+C1227+C1228+C1229</f>
        <v>75901</v>
      </c>
      <c r="D1225" s="162">
        <f>+D1227+D1228+D1229</f>
        <v>67542</v>
      </c>
      <c r="E1225" s="162">
        <f>+E1227+E1228+E1229</f>
        <v>73733</v>
      </c>
      <c r="F1225" s="162">
        <f>+F1227+F1228+F1229</f>
        <v>75347</v>
      </c>
      <c r="G1225" s="162">
        <f t="shared" ref="G1225:L1225" si="281">+G1227+G1228+G1229</f>
        <v>0</v>
      </c>
      <c r="H1225" s="162">
        <f t="shared" si="281"/>
        <v>0</v>
      </c>
      <c r="I1225" s="162">
        <f t="shared" si="281"/>
        <v>0</v>
      </c>
      <c r="J1225" s="162">
        <f t="shared" si="281"/>
        <v>0</v>
      </c>
      <c r="K1225" s="162">
        <f t="shared" si="281"/>
        <v>0</v>
      </c>
      <c r="L1225" s="162">
        <f t="shared" si="281"/>
        <v>0</v>
      </c>
      <c r="M1225" s="162">
        <f>+M1227+M1228+M1229</f>
        <v>0</v>
      </c>
      <c r="N1225" s="162">
        <f>+N1227+N1228+N1229</f>
        <v>0</v>
      </c>
      <c r="O1225" s="306">
        <f>SUM(C1225:N1225)</f>
        <v>292523</v>
      </c>
      <c r="P1225" s="8"/>
      <c r="Q1225" s="8"/>
      <c r="R1225" s="8"/>
      <c r="S1225" s="8"/>
      <c r="T1225" s="8"/>
    </row>
    <row r="1226" spans="1:20" s="8" customFormat="1" ht="16.5" customHeight="1" x14ac:dyDescent="0.35">
      <c r="B1226" s="1306"/>
      <c r="C1226" s="162"/>
      <c r="D1226" s="162"/>
      <c r="E1226" s="162"/>
      <c r="F1226" s="162"/>
      <c r="G1226" s="162"/>
      <c r="H1226" s="162"/>
      <c r="I1226" s="162"/>
      <c r="J1226" s="162"/>
      <c r="K1226" s="162"/>
      <c r="L1226" s="162"/>
      <c r="M1226" s="162"/>
      <c r="N1226" s="162"/>
      <c r="O1226" s="305"/>
      <c r="P1226" s="9"/>
      <c r="Q1226" s="9"/>
      <c r="R1226" s="9"/>
      <c r="S1226" s="9"/>
      <c r="T1226" s="9"/>
    </row>
    <row r="1227" spans="1:20" s="8" customFormat="1" ht="16.5" customHeight="1" x14ac:dyDescent="0.35">
      <c r="A1227" s="359"/>
      <c r="B1227" s="1307" t="s">
        <v>167</v>
      </c>
      <c r="C1227" s="1324">
        <v>52151</v>
      </c>
      <c r="D1227" s="1324">
        <v>42137</v>
      </c>
      <c r="E1227" s="1324">
        <v>47403</v>
      </c>
      <c r="F1227" s="1324">
        <v>48422</v>
      </c>
      <c r="G1227" s="1324"/>
      <c r="H1227" s="1324"/>
      <c r="I1227" s="1324"/>
      <c r="J1227" s="1324"/>
      <c r="K1227" s="1324"/>
      <c r="L1227" s="1324"/>
      <c r="M1227" s="1324"/>
      <c r="N1227" s="1324"/>
      <c r="O1227" s="305">
        <f>SUM(C1227:N1227)</f>
        <v>190113</v>
      </c>
      <c r="P1227" s="8" t="s">
        <v>11</v>
      </c>
    </row>
    <row r="1228" spans="1:20" s="12" customFormat="1" ht="18.75" customHeight="1" x14ac:dyDescent="0.35">
      <c r="A1228" s="359"/>
      <c r="B1228" s="1307" t="s">
        <v>171</v>
      </c>
      <c r="C1228" s="1324">
        <v>23325</v>
      </c>
      <c r="D1228" s="1324">
        <v>24665</v>
      </c>
      <c r="E1228" s="1324">
        <v>25477</v>
      </c>
      <c r="F1228" s="1324">
        <v>25818</v>
      </c>
      <c r="G1228" s="1324"/>
      <c r="H1228" s="1324"/>
      <c r="I1228" s="1324"/>
      <c r="J1228" s="1324"/>
      <c r="K1228" s="1324"/>
      <c r="L1228" s="1324"/>
      <c r="M1228" s="1324"/>
      <c r="N1228" s="1324"/>
      <c r="O1228" s="305">
        <f>SUM(C1228:N1228)</f>
        <v>99285</v>
      </c>
      <c r="P1228" s="8"/>
      <c r="Q1228" s="8"/>
      <c r="R1228" s="8"/>
      <c r="S1228" s="8"/>
      <c r="T1228" s="8"/>
    </row>
    <row r="1229" spans="1:20" s="8" customFormat="1" ht="18.75" customHeight="1" x14ac:dyDescent="0.35">
      <c r="A1229" s="359"/>
      <c r="B1229" s="1307" t="s">
        <v>172</v>
      </c>
      <c r="C1229" s="275">
        <f>+C1231+C1235</f>
        <v>425</v>
      </c>
      <c r="D1229" s="275">
        <f>+D1231+D1235</f>
        <v>740</v>
      </c>
      <c r="E1229" s="275">
        <f>+E1231+E1235</f>
        <v>853</v>
      </c>
      <c r="F1229" s="275">
        <f>+F1231+F1235</f>
        <v>1107</v>
      </c>
      <c r="G1229" s="275">
        <f t="shared" ref="G1229:L1229" si="282">+G1231+G1235</f>
        <v>0</v>
      </c>
      <c r="H1229" s="275">
        <f t="shared" si="282"/>
        <v>0</v>
      </c>
      <c r="I1229" s="275">
        <f t="shared" si="282"/>
        <v>0</v>
      </c>
      <c r="J1229" s="275">
        <f t="shared" si="282"/>
        <v>0</v>
      </c>
      <c r="K1229" s="275">
        <f t="shared" si="282"/>
        <v>0</v>
      </c>
      <c r="L1229" s="275">
        <f t="shared" si="282"/>
        <v>0</v>
      </c>
      <c r="M1229" s="275">
        <f>+M1231+M1235</f>
        <v>0</v>
      </c>
      <c r="N1229" s="275">
        <f>+N1231+N1235</f>
        <v>0</v>
      </c>
      <c r="O1229" s="305">
        <f>SUM(C1229:N1229)</f>
        <v>3125</v>
      </c>
      <c r="P1229" s="12" t="s">
        <v>11</v>
      </c>
      <c r="Q1229" s="12"/>
      <c r="R1229" s="12"/>
      <c r="S1229" s="12"/>
      <c r="T1229" s="12"/>
    </row>
    <row r="1230" spans="1:20" s="9" customFormat="1" ht="18.75" customHeight="1" x14ac:dyDescent="0.35">
      <c r="A1230" s="359"/>
      <c r="B1230" s="1307"/>
      <c r="C1230" s="275"/>
      <c r="D1230" s="275"/>
      <c r="E1230" s="275"/>
      <c r="F1230" s="275"/>
      <c r="G1230" s="275"/>
      <c r="H1230" s="275"/>
      <c r="I1230" s="275"/>
      <c r="J1230" s="275"/>
      <c r="K1230" s="275"/>
      <c r="L1230" s="275"/>
      <c r="M1230" s="275"/>
      <c r="N1230" s="275"/>
      <c r="O1230" s="305"/>
      <c r="P1230" s="8"/>
      <c r="Q1230" s="8"/>
      <c r="R1230" s="8"/>
      <c r="S1230" s="8"/>
      <c r="T1230" s="8"/>
    </row>
    <row r="1231" spans="1:20" s="13" customFormat="1" x14ac:dyDescent="0.35">
      <c r="A1231" s="359"/>
      <c r="B1231" s="1307" t="s">
        <v>173</v>
      </c>
      <c r="C1231" s="275">
        <f>C1232+C1233+C1234</f>
        <v>425</v>
      </c>
      <c r="D1231" s="275">
        <f>D1232+D1233+D1234</f>
        <v>740</v>
      </c>
      <c r="E1231" s="275">
        <f>E1232+E1233+E1234</f>
        <v>853</v>
      </c>
      <c r="F1231" s="275">
        <f>F1232+F1233+F1234</f>
        <v>1107</v>
      </c>
      <c r="G1231" s="275">
        <f t="shared" ref="G1231:L1231" si="283">G1232+G1233+G1234</f>
        <v>0</v>
      </c>
      <c r="H1231" s="275">
        <f t="shared" si="283"/>
        <v>0</v>
      </c>
      <c r="I1231" s="275">
        <f t="shared" si="283"/>
        <v>0</v>
      </c>
      <c r="J1231" s="275">
        <f t="shared" si="283"/>
        <v>0</v>
      </c>
      <c r="K1231" s="275">
        <f t="shared" si="283"/>
        <v>0</v>
      </c>
      <c r="L1231" s="275">
        <f t="shared" si="283"/>
        <v>0</v>
      </c>
      <c r="M1231" s="275">
        <f>M1232+M1233+M1234</f>
        <v>0</v>
      </c>
      <c r="N1231" s="275">
        <f>N1232+N1233+N1234</f>
        <v>0</v>
      </c>
      <c r="O1231" s="305">
        <f>SUM(C1231:N1231)</f>
        <v>3125</v>
      </c>
      <c r="P1231" s="9"/>
      <c r="Q1231" s="9"/>
      <c r="R1231" s="9"/>
      <c r="S1231" s="9"/>
      <c r="T1231" s="9"/>
    </row>
    <row r="1232" spans="1:20" s="8" customFormat="1" ht="18.75" customHeight="1" x14ac:dyDescent="0.35">
      <c r="A1232" s="359"/>
      <c r="B1232" s="1275" t="s">
        <v>62</v>
      </c>
      <c r="C1232" s="1329">
        <v>191</v>
      </c>
      <c r="D1232" s="1329">
        <v>426</v>
      </c>
      <c r="E1232" s="1329">
        <v>631</v>
      </c>
      <c r="F1232" s="1329">
        <v>913</v>
      </c>
      <c r="G1232" s="1329"/>
      <c r="H1232" s="1329"/>
      <c r="I1232" s="1329"/>
      <c r="J1232" s="1329"/>
      <c r="K1232" s="1329"/>
      <c r="L1232" s="1329"/>
      <c r="M1232" s="1329"/>
      <c r="N1232" s="1329"/>
      <c r="O1232" s="294">
        <f>SUM(C1232:N1232)</f>
        <v>2161</v>
      </c>
      <c r="P1232" s="13"/>
      <c r="Q1232" s="13"/>
      <c r="R1232" s="13"/>
      <c r="S1232" s="13"/>
      <c r="T1232" s="13"/>
    </row>
    <row r="1233" spans="2:20" s="8" customFormat="1" ht="18.75" customHeight="1" x14ac:dyDescent="0.35">
      <c r="B1233" s="1275" t="s">
        <v>63</v>
      </c>
      <c r="C1233" s="1329">
        <v>234</v>
      </c>
      <c r="D1233" s="1329">
        <v>314</v>
      </c>
      <c r="E1233" s="1329">
        <v>222</v>
      </c>
      <c r="F1233" s="1329">
        <v>194</v>
      </c>
      <c r="G1233" s="1329"/>
      <c r="H1233" s="1329"/>
      <c r="I1233" s="1329"/>
      <c r="J1233" s="1329"/>
      <c r="K1233" s="1329"/>
      <c r="L1233" s="1329"/>
      <c r="M1233" s="1329"/>
      <c r="N1233" s="1329"/>
      <c r="O1233" s="294">
        <f>SUM(C1233:N1233)</f>
        <v>964</v>
      </c>
      <c r="P1233" s="13"/>
      <c r="Q1233" s="13"/>
      <c r="R1233" s="13"/>
      <c r="S1233" s="13"/>
      <c r="T1233" s="13"/>
    </row>
    <row r="1234" spans="2:20" s="327" customFormat="1" x14ac:dyDescent="0.35">
      <c r="B1234" s="1275" t="s">
        <v>64</v>
      </c>
      <c r="C1234" s="1329">
        <v>0</v>
      </c>
      <c r="D1234" s="1329">
        <v>0</v>
      </c>
      <c r="E1234" s="1329">
        <v>0</v>
      </c>
      <c r="F1234" s="1329">
        <v>0</v>
      </c>
      <c r="G1234" s="1329"/>
      <c r="H1234" s="1329"/>
      <c r="I1234" s="1329"/>
      <c r="J1234" s="1329"/>
      <c r="K1234" s="1329"/>
      <c r="L1234" s="1329"/>
      <c r="M1234" s="1329"/>
      <c r="N1234" s="1329"/>
      <c r="O1234" s="294">
        <f>SUM(C1234:N1234)</f>
        <v>0</v>
      </c>
    </row>
    <row r="1235" spans="2:20" x14ac:dyDescent="0.35">
      <c r="B1235" s="1307" t="s">
        <v>174</v>
      </c>
      <c r="C1235" s="1327">
        <v>0</v>
      </c>
      <c r="D1235" s="1327">
        <v>0</v>
      </c>
      <c r="E1235" s="1327">
        <v>0</v>
      </c>
      <c r="F1235" s="1327">
        <v>0</v>
      </c>
      <c r="G1235" s="1327"/>
      <c r="H1235" s="1327"/>
      <c r="I1235" s="1327"/>
      <c r="J1235" s="1327"/>
      <c r="K1235" s="1327"/>
      <c r="L1235" s="1327"/>
      <c r="M1235" s="1327"/>
      <c r="N1235" s="1327"/>
      <c r="O1235" s="305">
        <f>SUM(C1235:N1235)</f>
        <v>0</v>
      </c>
    </row>
    <row r="1236" spans="2:20" x14ac:dyDescent="0.35">
      <c r="B1236" s="1308"/>
      <c r="C1236" s="279"/>
      <c r="D1236" s="279"/>
      <c r="E1236" s="279"/>
      <c r="F1236" s="279"/>
      <c r="G1236" s="279"/>
      <c r="H1236" s="279"/>
      <c r="I1236" s="279"/>
      <c r="J1236" s="279"/>
      <c r="K1236" s="279"/>
      <c r="L1236" s="279"/>
      <c r="M1236" s="279"/>
      <c r="N1236" s="279"/>
      <c r="O1236" s="305"/>
    </row>
    <row r="1237" spans="2:20" x14ac:dyDescent="0.35">
      <c r="B1237" s="431" t="s">
        <v>175</v>
      </c>
      <c r="C1237" s="1270">
        <f>C1213+C1225</f>
        <v>162428</v>
      </c>
      <c r="D1237" s="1270">
        <f>D1213+D1225</f>
        <v>147867</v>
      </c>
      <c r="E1237" s="1270">
        <f>E1213+E1225</f>
        <v>167378</v>
      </c>
      <c r="F1237" s="1270">
        <f>F1213+F1225</f>
        <v>162680</v>
      </c>
      <c r="G1237" s="1270">
        <f t="shared" ref="G1237:L1237" si="284">G1213+G1225</f>
        <v>0</v>
      </c>
      <c r="H1237" s="1270">
        <f t="shared" si="284"/>
        <v>0</v>
      </c>
      <c r="I1237" s="1270">
        <f t="shared" si="284"/>
        <v>0</v>
      </c>
      <c r="J1237" s="1270">
        <f t="shared" si="284"/>
        <v>0</v>
      </c>
      <c r="K1237" s="1270">
        <f t="shared" si="284"/>
        <v>0</v>
      </c>
      <c r="L1237" s="1270">
        <f t="shared" si="284"/>
        <v>0</v>
      </c>
      <c r="M1237" s="1270">
        <f>M1213+M1225</f>
        <v>0</v>
      </c>
      <c r="N1237" s="1270">
        <f>N1213+N1225</f>
        <v>0</v>
      </c>
      <c r="O1237" s="1270">
        <f>SUM(C1237:N1237)</f>
        <v>640353</v>
      </c>
    </row>
    <row r="1238" spans="2:20" x14ac:dyDescent="0.35">
      <c r="B1238" s="1310"/>
      <c r="C1238" s="282"/>
      <c r="D1238" s="282"/>
      <c r="E1238" s="282"/>
      <c r="F1238" s="282"/>
      <c r="G1238" s="282"/>
      <c r="H1238" s="282"/>
      <c r="I1238" s="282"/>
      <c r="J1238" s="282"/>
      <c r="K1238" s="282"/>
      <c r="L1238" s="282"/>
      <c r="M1238" s="282"/>
      <c r="N1238" s="282"/>
      <c r="O1238" s="305"/>
      <c r="S1238" s="346" t="s">
        <v>446</v>
      </c>
    </row>
    <row r="1239" spans="2:20" x14ac:dyDescent="0.35">
      <c r="B1239" s="1307" t="s">
        <v>167</v>
      </c>
      <c r="C1239" s="305">
        <f t="shared" ref="C1239:N1247" si="285">+C1227+C1215</f>
        <v>106487</v>
      </c>
      <c r="D1239" s="305">
        <f t="shared" si="285"/>
        <v>90710</v>
      </c>
      <c r="E1239" s="305">
        <f t="shared" si="285"/>
        <v>105230</v>
      </c>
      <c r="F1239" s="305">
        <f t="shared" si="285"/>
        <v>98290</v>
      </c>
      <c r="G1239" s="305">
        <f t="shared" si="285"/>
        <v>0</v>
      </c>
      <c r="H1239" s="305">
        <f t="shared" si="285"/>
        <v>0</v>
      </c>
      <c r="I1239" s="305">
        <f t="shared" si="285"/>
        <v>0</v>
      </c>
      <c r="J1239" s="305">
        <f t="shared" si="285"/>
        <v>0</v>
      </c>
      <c r="K1239" s="305">
        <f t="shared" si="285"/>
        <v>0</v>
      </c>
      <c r="L1239" s="305">
        <f t="shared" si="285"/>
        <v>0</v>
      </c>
      <c r="M1239" s="305">
        <f t="shared" si="285"/>
        <v>0</v>
      </c>
      <c r="N1239" s="305">
        <f t="shared" si="285"/>
        <v>0</v>
      </c>
      <c r="O1239" s="305">
        <f>SUM(C1239:N1239)</f>
        <v>400717</v>
      </c>
      <c r="Q1239" s="346">
        <f>O1239/$O$1237</f>
        <v>0.62577515838920095</v>
      </c>
      <c r="S1239" s="346">
        <f>O1239/(O1239+O1241)</f>
        <v>0.93183282135473955</v>
      </c>
    </row>
    <row r="1240" spans="2:20" x14ac:dyDescent="0.35">
      <c r="B1240" s="1307" t="s">
        <v>171</v>
      </c>
      <c r="C1240" s="305">
        <f t="shared" si="285"/>
        <v>48491</v>
      </c>
      <c r="D1240" s="305">
        <f t="shared" si="285"/>
        <v>50488</v>
      </c>
      <c r="E1240" s="305">
        <f t="shared" si="285"/>
        <v>54857</v>
      </c>
      <c r="F1240" s="305">
        <f t="shared" si="285"/>
        <v>56486</v>
      </c>
      <c r="G1240" s="305">
        <f t="shared" si="285"/>
        <v>0</v>
      </c>
      <c r="H1240" s="305">
        <f t="shared" si="285"/>
        <v>0</v>
      </c>
      <c r="I1240" s="305">
        <f t="shared" si="285"/>
        <v>0</v>
      </c>
      <c r="J1240" s="305">
        <f t="shared" si="285"/>
        <v>0</v>
      </c>
      <c r="K1240" s="305">
        <f t="shared" si="285"/>
        <v>0</v>
      </c>
      <c r="L1240" s="305">
        <f t="shared" si="285"/>
        <v>0</v>
      </c>
      <c r="M1240" s="305">
        <f t="shared" si="285"/>
        <v>0</v>
      </c>
      <c r="N1240" s="305">
        <f t="shared" si="285"/>
        <v>0</v>
      </c>
      <c r="O1240" s="305">
        <f>SUM(C1240:N1240)</f>
        <v>210322</v>
      </c>
      <c r="Q1240" s="346">
        <f>O1240/$O$1237</f>
        <v>0.32844696597033196</v>
      </c>
    </row>
    <row r="1241" spans="2:20" x14ac:dyDescent="0.35">
      <c r="B1241" s="1307" t="s">
        <v>172</v>
      </c>
      <c r="C1241" s="305">
        <f t="shared" si="285"/>
        <v>7450</v>
      </c>
      <c r="D1241" s="305">
        <f t="shared" si="285"/>
        <v>6669</v>
      </c>
      <c r="E1241" s="305">
        <f t="shared" si="285"/>
        <v>7291</v>
      </c>
      <c r="F1241" s="305">
        <f t="shared" si="285"/>
        <v>7904</v>
      </c>
      <c r="G1241" s="305">
        <f t="shared" si="285"/>
        <v>0</v>
      </c>
      <c r="H1241" s="305">
        <f t="shared" si="285"/>
        <v>0</v>
      </c>
      <c r="I1241" s="305">
        <f t="shared" si="285"/>
        <v>0</v>
      </c>
      <c r="J1241" s="305">
        <f t="shared" si="285"/>
        <v>0</v>
      </c>
      <c r="K1241" s="305">
        <f t="shared" si="285"/>
        <v>0</v>
      </c>
      <c r="L1241" s="305">
        <f t="shared" si="285"/>
        <v>0</v>
      </c>
      <c r="M1241" s="305">
        <f t="shared" si="285"/>
        <v>0</v>
      </c>
      <c r="N1241" s="305">
        <f t="shared" si="285"/>
        <v>0</v>
      </c>
      <c r="O1241" s="294">
        <f>SUM(C1241:N1241)</f>
        <v>29314</v>
      </c>
      <c r="Q1241" s="346">
        <f>O1241/$O$1237</f>
        <v>4.5777875640467057E-2</v>
      </c>
      <c r="S1241" s="346">
        <f>O1241/(O1239+O1241)</f>
        <v>6.8167178645260451E-2</v>
      </c>
    </row>
    <row r="1242" spans="2:20" x14ac:dyDescent="0.35">
      <c r="B1242" s="1307"/>
      <c r="C1242" s="305"/>
      <c r="D1242" s="305"/>
      <c r="E1242" s="305"/>
      <c r="F1242" s="305"/>
      <c r="G1242" s="305"/>
      <c r="H1242" s="305"/>
      <c r="I1242" s="305"/>
      <c r="J1242" s="305"/>
      <c r="K1242" s="305"/>
      <c r="L1242" s="305"/>
      <c r="M1242" s="305"/>
      <c r="N1242" s="305"/>
      <c r="O1242" s="305"/>
    </row>
    <row r="1243" spans="2:20" x14ac:dyDescent="0.35">
      <c r="B1243" s="1307" t="s">
        <v>173</v>
      </c>
      <c r="C1243" s="305">
        <f t="shared" ref="C1243:H1247" si="286">+C1231+C1219</f>
        <v>7329</v>
      </c>
      <c r="D1243" s="305">
        <f t="shared" si="286"/>
        <v>6541</v>
      </c>
      <c r="E1243" s="305">
        <f t="shared" si="286"/>
        <v>7148</v>
      </c>
      <c r="F1243" s="305">
        <f t="shared" si="286"/>
        <v>7691</v>
      </c>
      <c r="G1243" s="305">
        <f t="shared" si="286"/>
        <v>0</v>
      </c>
      <c r="H1243" s="305">
        <f t="shared" si="286"/>
        <v>0</v>
      </c>
      <c r="I1243" s="305">
        <f t="shared" si="285"/>
        <v>0</v>
      </c>
      <c r="J1243" s="305">
        <f t="shared" si="285"/>
        <v>0</v>
      </c>
      <c r="K1243" s="305">
        <f t="shared" si="285"/>
        <v>0</v>
      </c>
      <c r="L1243" s="305">
        <f t="shared" si="285"/>
        <v>0</v>
      </c>
      <c r="M1243" s="305">
        <f t="shared" si="285"/>
        <v>0</v>
      </c>
      <c r="N1243" s="305">
        <f t="shared" si="285"/>
        <v>0</v>
      </c>
      <c r="O1243" s="305">
        <f>SUM(C1243:N1243)</f>
        <v>28709</v>
      </c>
    </row>
    <row r="1244" spans="2:20" x14ac:dyDescent="0.35">
      <c r="B1244" s="1275" t="s">
        <v>62</v>
      </c>
      <c r="C1244" s="321">
        <f t="shared" si="286"/>
        <v>3161</v>
      </c>
      <c r="D1244" s="321">
        <f t="shared" si="286"/>
        <v>2966</v>
      </c>
      <c r="E1244" s="321">
        <f t="shared" si="286"/>
        <v>3305</v>
      </c>
      <c r="F1244" s="321">
        <f t="shared" si="286"/>
        <v>3814</v>
      </c>
      <c r="G1244" s="321">
        <f t="shared" si="286"/>
        <v>0</v>
      </c>
      <c r="H1244" s="321">
        <f t="shared" si="286"/>
        <v>0</v>
      </c>
      <c r="I1244" s="321">
        <f t="shared" si="285"/>
        <v>0</v>
      </c>
      <c r="J1244" s="321">
        <f t="shared" si="285"/>
        <v>0</v>
      </c>
      <c r="K1244" s="321">
        <f t="shared" si="285"/>
        <v>0</v>
      </c>
      <c r="L1244" s="321">
        <f t="shared" si="285"/>
        <v>0</v>
      </c>
      <c r="M1244" s="321">
        <f t="shared" si="285"/>
        <v>0</v>
      </c>
      <c r="N1244" s="321">
        <f t="shared" si="285"/>
        <v>0</v>
      </c>
      <c r="O1244" s="294">
        <f>SUM(C1244:N1244)</f>
        <v>13246</v>
      </c>
      <c r="Q1244" s="346">
        <f>O1244/$O$1241</f>
        <v>0.45186600259261789</v>
      </c>
    </row>
    <row r="1245" spans="2:20" x14ac:dyDescent="0.35">
      <c r="B1245" s="1275" t="s">
        <v>63</v>
      </c>
      <c r="C1245" s="321">
        <f t="shared" si="286"/>
        <v>4168</v>
      </c>
      <c r="D1245" s="321">
        <f t="shared" si="286"/>
        <v>3573</v>
      </c>
      <c r="E1245" s="321">
        <f t="shared" si="286"/>
        <v>3843</v>
      </c>
      <c r="F1245" s="321">
        <f t="shared" si="286"/>
        <v>3875</v>
      </c>
      <c r="G1245" s="321">
        <f t="shared" si="286"/>
        <v>0</v>
      </c>
      <c r="H1245" s="321">
        <f t="shared" si="286"/>
        <v>0</v>
      </c>
      <c r="I1245" s="321">
        <f t="shared" si="285"/>
        <v>0</v>
      </c>
      <c r="J1245" s="321">
        <f t="shared" si="285"/>
        <v>0</v>
      </c>
      <c r="K1245" s="321">
        <f t="shared" si="285"/>
        <v>0</v>
      </c>
      <c r="L1245" s="321">
        <f t="shared" si="285"/>
        <v>0</v>
      </c>
      <c r="M1245" s="321">
        <f t="shared" si="285"/>
        <v>0</v>
      </c>
      <c r="N1245" s="321">
        <f t="shared" si="285"/>
        <v>0</v>
      </c>
      <c r="O1245" s="294">
        <f>SUM(C1245:N1245)</f>
        <v>15459</v>
      </c>
      <c r="Q1245" s="346">
        <f>O1245/$O$1241</f>
        <v>0.52735894112028381</v>
      </c>
    </row>
    <row r="1246" spans="2:20" x14ac:dyDescent="0.35">
      <c r="B1246" s="1275" t="s">
        <v>64</v>
      </c>
      <c r="C1246" s="321">
        <f t="shared" si="286"/>
        <v>0</v>
      </c>
      <c r="D1246" s="321">
        <f t="shared" si="286"/>
        <v>2</v>
      </c>
      <c r="E1246" s="321">
        <f t="shared" si="286"/>
        <v>0</v>
      </c>
      <c r="F1246" s="321">
        <f t="shared" si="286"/>
        <v>2</v>
      </c>
      <c r="G1246" s="321">
        <f t="shared" si="286"/>
        <v>0</v>
      </c>
      <c r="H1246" s="321">
        <f t="shared" si="286"/>
        <v>0</v>
      </c>
      <c r="I1246" s="321">
        <f t="shared" si="285"/>
        <v>0</v>
      </c>
      <c r="J1246" s="321">
        <f t="shared" si="285"/>
        <v>0</v>
      </c>
      <c r="K1246" s="321">
        <f t="shared" si="285"/>
        <v>0</v>
      </c>
      <c r="L1246" s="321">
        <f t="shared" si="285"/>
        <v>0</v>
      </c>
      <c r="M1246" s="321">
        <f t="shared" si="285"/>
        <v>0</v>
      </c>
      <c r="N1246" s="321">
        <f t="shared" si="285"/>
        <v>0</v>
      </c>
      <c r="O1246" s="294">
        <f>SUM(C1246:N1246)</f>
        <v>4</v>
      </c>
    </row>
    <row r="1247" spans="2:20" x14ac:dyDescent="0.35">
      <c r="B1247" s="1307" t="s">
        <v>174</v>
      </c>
      <c r="C1247" s="308">
        <f t="shared" si="286"/>
        <v>121</v>
      </c>
      <c r="D1247" s="308">
        <f t="shared" si="286"/>
        <v>128</v>
      </c>
      <c r="E1247" s="308">
        <f t="shared" si="286"/>
        <v>143</v>
      </c>
      <c r="F1247" s="308">
        <f t="shared" si="286"/>
        <v>213</v>
      </c>
      <c r="G1247" s="308">
        <f t="shared" si="286"/>
        <v>0</v>
      </c>
      <c r="H1247" s="308">
        <f t="shared" si="286"/>
        <v>0</v>
      </c>
      <c r="I1247" s="308">
        <f t="shared" si="285"/>
        <v>0</v>
      </c>
      <c r="J1247" s="308">
        <f t="shared" si="285"/>
        <v>0</v>
      </c>
      <c r="K1247" s="308">
        <f t="shared" si="285"/>
        <v>0</v>
      </c>
      <c r="L1247" s="308">
        <f t="shared" si="285"/>
        <v>0</v>
      </c>
      <c r="M1247" s="308">
        <f t="shared" si="285"/>
        <v>0</v>
      </c>
      <c r="N1247" s="308">
        <f t="shared" si="285"/>
        <v>0</v>
      </c>
      <c r="O1247" s="294">
        <f>SUM(C1247:N1247)</f>
        <v>605</v>
      </c>
    </row>
    <row r="1248" spans="2:20" x14ac:dyDescent="0.35">
      <c r="B1248" s="170"/>
      <c r="C1248" s="239"/>
      <c r="D1248" s="322"/>
      <c r="E1248" s="322"/>
      <c r="F1248" s="322"/>
      <c r="G1248" s="322"/>
      <c r="H1248" s="322"/>
      <c r="I1248" s="322"/>
      <c r="J1248" s="322"/>
      <c r="K1248" s="322"/>
      <c r="L1248" s="322"/>
      <c r="M1248" s="322"/>
      <c r="N1248" s="322"/>
      <c r="O1248" s="1337"/>
    </row>
    <row r="1249" spans="2:15" x14ac:dyDescent="0.35">
      <c r="D1249" s="290"/>
      <c r="E1249" s="290"/>
      <c r="F1249" s="290"/>
      <c r="G1249" s="290"/>
      <c r="H1249" s="290"/>
      <c r="I1249" s="290"/>
      <c r="J1249" s="290"/>
      <c r="K1249" s="290"/>
      <c r="L1249" s="290"/>
      <c r="M1249" s="290"/>
      <c r="N1249" s="290"/>
      <c r="O1249" s="290"/>
    </row>
    <row r="1250" spans="2:15" x14ac:dyDescent="0.35">
      <c r="B1250" s="1068" t="s">
        <v>540</v>
      </c>
      <c r="C1250" s="1068"/>
      <c r="D1250" s="1068"/>
      <c r="E1250" s="1068"/>
      <c r="F1250" s="1068"/>
      <c r="G1250" s="1068"/>
      <c r="H1250" s="1068"/>
      <c r="I1250" s="1068"/>
      <c r="J1250" s="1068"/>
      <c r="K1250" s="1068"/>
      <c r="L1250" s="1068"/>
      <c r="M1250" s="1068"/>
      <c r="N1250" s="1068"/>
      <c r="O1250" s="1068"/>
    </row>
    <row r="1251" spans="2:15" x14ac:dyDescent="0.35">
      <c r="B1251" s="1020"/>
      <c r="C1251" s="274"/>
      <c r="D1251" s="302"/>
      <c r="E1251" s="302"/>
      <c r="F1251" s="302"/>
      <c r="G1251" s="302"/>
      <c r="H1251" s="302"/>
      <c r="I1251" s="302"/>
      <c r="J1251" s="302"/>
      <c r="K1251" s="302"/>
      <c r="L1251" s="302"/>
      <c r="M1251" s="302"/>
      <c r="N1251" s="1321"/>
      <c r="O1251" s="290"/>
    </row>
    <row r="1252" spans="2:15" ht="15" customHeight="1" x14ac:dyDescent="0.35">
      <c r="B1252" s="1074" t="s">
        <v>13</v>
      </c>
      <c r="C1252" s="1112" t="s">
        <v>0</v>
      </c>
      <c r="D1252" s="1136" t="s">
        <v>1</v>
      </c>
      <c r="E1252" s="1136" t="s">
        <v>2</v>
      </c>
      <c r="F1252" s="1136" t="s">
        <v>3</v>
      </c>
      <c r="G1252" s="1136" t="s">
        <v>4</v>
      </c>
      <c r="H1252" s="1136" t="s">
        <v>5</v>
      </c>
      <c r="I1252" s="1136" t="s">
        <v>6</v>
      </c>
      <c r="J1252" s="1136" t="s">
        <v>7</v>
      </c>
      <c r="K1252" s="1136" t="s">
        <v>8</v>
      </c>
      <c r="L1252" s="1136" t="s">
        <v>9</v>
      </c>
      <c r="M1252" s="1136" t="s">
        <v>10</v>
      </c>
      <c r="N1252" s="1136" t="s">
        <v>14</v>
      </c>
      <c r="O1252" s="1077" t="s">
        <v>15</v>
      </c>
    </row>
    <row r="1253" spans="2:15" ht="15" customHeight="1" x14ac:dyDescent="0.35">
      <c r="B1253" s="1080"/>
      <c r="C1253" s="1145"/>
      <c r="D1253" s="1153"/>
      <c r="E1253" s="1153"/>
      <c r="F1253" s="1153"/>
      <c r="G1253" s="1153"/>
      <c r="H1253" s="1153"/>
      <c r="I1253" s="1153"/>
      <c r="J1253" s="1153"/>
      <c r="K1253" s="1153"/>
      <c r="L1253" s="1153"/>
      <c r="M1253" s="1153"/>
      <c r="N1253" s="1153"/>
      <c r="O1253" s="1088"/>
    </row>
    <row r="1254" spans="2:15" x14ac:dyDescent="0.35">
      <c r="B1254" s="1018"/>
      <c r="C1254" s="1322"/>
      <c r="D1254" s="303"/>
      <c r="E1254" s="303"/>
      <c r="F1254" s="303"/>
      <c r="G1254" s="303"/>
      <c r="H1254" s="303"/>
      <c r="I1254" s="303"/>
      <c r="J1254" s="303"/>
      <c r="K1254" s="303"/>
      <c r="L1254" s="303"/>
      <c r="M1254" s="303"/>
      <c r="N1254" s="303"/>
      <c r="O1254" s="1019"/>
    </row>
    <row r="1255" spans="2:15" x14ac:dyDescent="0.35">
      <c r="B1255" s="1306" t="s">
        <v>47</v>
      </c>
      <c r="C1255" s="162">
        <f>+C1257+C1268</f>
        <v>86527</v>
      </c>
      <c r="D1255" s="162">
        <f>+D1257+D1268</f>
        <v>80325</v>
      </c>
      <c r="E1255" s="162">
        <f>+E1257+E1268</f>
        <v>93645</v>
      </c>
      <c r="F1255" s="162">
        <f>+F1257+F1268</f>
        <v>87333</v>
      </c>
      <c r="G1255" s="162">
        <f t="shared" ref="G1255:L1255" si="287">+G1257+G1268</f>
        <v>0</v>
      </c>
      <c r="H1255" s="162">
        <f t="shared" si="287"/>
        <v>0</v>
      </c>
      <c r="I1255" s="162">
        <f t="shared" si="287"/>
        <v>0</v>
      </c>
      <c r="J1255" s="162">
        <f t="shared" si="287"/>
        <v>0</v>
      </c>
      <c r="K1255" s="162">
        <f t="shared" si="287"/>
        <v>0</v>
      </c>
      <c r="L1255" s="162">
        <f t="shared" si="287"/>
        <v>0</v>
      </c>
      <c r="M1255" s="162">
        <f>+M1257+M1268</f>
        <v>0</v>
      </c>
      <c r="N1255" s="162">
        <f>+N1257+N1268</f>
        <v>0</v>
      </c>
      <c r="O1255" s="306">
        <f>SUM(C1255:N1255)</f>
        <v>347830</v>
      </c>
    </row>
    <row r="1256" spans="2:15" x14ac:dyDescent="0.35">
      <c r="B1256" s="1306"/>
      <c r="C1256" s="162"/>
      <c r="D1256" s="162"/>
      <c r="E1256" s="162"/>
      <c r="F1256" s="162"/>
      <c r="G1256" s="162"/>
      <c r="H1256" s="162"/>
      <c r="I1256" s="162"/>
      <c r="J1256" s="162"/>
      <c r="K1256" s="162"/>
      <c r="L1256" s="162"/>
      <c r="M1256" s="162"/>
      <c r="N1256" s="162"/>
      <c r="O1256" s="305"/>
    </row>
    <row r="1257" spans="2:15" x14ac:dyDescent="0.35">
      <c r="B1257" s="1338" t="s">
        <v>184</v>
      </c>
      <c r="C1257" s="275">
        <f>C1258+C1259+C1260</f>
        <v>9015</v>
      </c>
      <c r="D1257" s="275">
        <f>D1258+D1259+D1260</f>
        <v>9247</v>
      </c>
      <c r="E1257" s="275">
        <f>E1258+E1259+E1260</f>
        <v>10864</v>
      </c>
      <c r="F1257" s="275">
        <f>F1258+F1259+F1260</f>
        <v>8459</v>
      </c>
      <c r="G1257" s="275">
        <f t="shared" ref="G1257:L1257" si="288">G1258+G1259+G1260</f>
        <v>0</v>
      </c>
      <c r="H1257" s="275">
        <f t="shared" si="288"/>
        <v>0</v>
      </c>
      <c r="I1257" s="275">
        <f t="shared" si="288"/>
        <v>0</v>
      </c>
      <c r="J1257" s="275">
        <f t="shared" si="288"/>
        <v>0</v>
      </c>
      <c r="K1257" s="275">
        <f t="shared" si="288"/>
        <v>0</v>
      </c>
      <c r="L1257" s="275">
        <f t="shared" si="288"/>
        <v>0</v>
      </c>
      <c r="M1257" s="275">
        <f>M1258+M1259+M1260</f>
        <v>0</v>
      </c>
      <c r="N1257" s="275">
        <f>N1258+N1259+N1260</f>
        <v>0</v>
      </c>
      <c r="O1257" s="305">
        <f>SUM(C1257:N1257)</f>
        <v>37585</v>
      </c>
    </row>
    <row r="1258" spans="2:15" x14ac:dyDescent="0.35">
      <c r="B1258" s="1339" t="s">
        <v>185</v>
      </c>
      <c r="C1258" s="1340">
        <v>8923</v>
      </c>
      <c r="D1258" s="1340">
        <v>9247</v>
      </c>
      <c r="E1258" s="1340">
        <v>10864</v>
      </c>
      <c r="F1258" s="1340">
        <v>8459</v>
      </c>
      <c r="G1258" s="1340"/>
      <c r="H1258" s="1340"/>
      <c r="I1258" s="1340"/>
      <c r="J1258" s="1340"/>
      <c r="K1258" s="1340"/>
      <c r="L1258" s="1340"/>
      <c r="M1258" s="1340"/>
      <c r="N1258" s="1279"/>
      <c r="O1258" s="294">
        <f>SUM(C1258:N1258)</f>
        <v>37493</v>
      </c>
    </row>
    <row r="1259" spans="2:15" x14ac:dyDescent="0.35">
      <c r="B1259" s="1339" t="s">
        <v>186</v>
      </c>
      <c r="C1259" s="1340">
        <v>92</v>
      </c>
      <c r="D1259" s="1340">
        <v>0</v>
      </c>
      <c r="E1259" s="1340">
        <v>0</v>
      </c>
      <c r="F1259" s="1340">
        <v>0</v>
      </c>
      <c r="G1259" s="1340"/>
      <c r="H1259" s="1340"/>
      <c r="I1259" s="1340"/>
      <c r="J1259" s="1340"/>
      <c r="K1259" s="1340"/>
      <c r="L1259" s="1340"/>
      <c r="M1259" s="1340"/>
      <c r="N1259" s="1279"/>
      <c r="O1259" s="294">
        <f>SUM(C1259:N1259)</f>
        <v>92</v>
      </c>
    </row>
    <row r="1260" spans="2:15" x14ac:dyDescent="0.35">
      <c r="B1260" s="1339" t="s">
        <v>187</v>
      </c>
      <c r="C1260" s="294">
        <f>+C1262++C1266</f>
        <v>0</v>
      </c>
      <c r="D1260" s="294">
        <f>+D1262++D1266</f>
        <v>0</v>
      </c>
      <c r="E1260" s="294">
        <f t="shared" ref="E1260:M1260" si="289">+E1262++E1266</f>
        <v>0</v>
      </c>
      <c r="F1260" s="294">
        <f t="shared" si="289"/>
        <v>0</v>
      </c>
      <c r="G1260" s="294">
        <f t="shared" si="289"/>
        <v>0</v>
      </c>
      <c r="H1260" s="294">
        <f t="shared" si="289"/>
        <v>0</v>
      </c>
      <c r="I1260" s="294">
        <f t="shared" si="289"/>
        <v>0</v>
      </c>
      <c r="J1260" s="294">
        <f t="shared" si="289"/>
        <v>0</v>
      </c>
      <c r="K1260" s="294">
        <f t="shared" si="289"/>
        <v>0</v>
      </c>
      <c r="L1260" s="294">
        <f t="shared" si="289"/>
        <v>0</v>
      </c>
      <c r="M1260" s="294">
        <f t="shared" si="289"/>
        <v>0</v>
      </c>
      <c r="N1260" s="294">
        <f>+N1262++N1266</f>
        <v>0</v>
      </c>
      <c r="O1260" s="294">
        <f>SUM(C1260:N1260)</f>
        <v>0</v>
      </c>
    </row>
    <row r="1261" spans="2:15" x14ac:dyDescent="0.35">
      <c r="B1261" s="1307"/>
      <c r="C1261" s="275"/>
      <c r="D1261" s="275"/>
      <c r="E1261" s="275"/>
      <c r="F1261" s="275"/>
      <c r="G1261" s="275"/>
      <c r="H1261" s="275"/>
      <c r="I1261" s="275"/>
      <c r="J1261" s="275"/>
      <c r="K1261" s="275"/>
      <c r="L1261" s="275"/>
      <c r="M1261" s="275"/>
      <c r="N1261" s="275"/>
      <c r="O1261" s="305"/>
    </row>
    <row r="1262" spans="2:15" x14ac:dyDescent="0.35">
      <c r="B1262" s="1307" t="s">
        <v>173</v>
      </c>
      <c r="C1262" s="275">
        <f>SUM(C1263:C1265)</f>
        <v>0</v>
      </c>
      <c r="D1262" s="275">
        <f>SUM(D1263:D1265)</f>
        <v>0</v>
      </c>
      <c r="E1262" s="275">
        <f t="shared" ref="E1262:M1262" si="290">SUM(E1263:E1265)</f>
        <v>0</v>
      </c>
      <c r="F1262" s="275">
        <f t="shared" si="290"/>
        <v>0</v>
      </c>
      <c r="G1262" s="275">
        <f t="shared" si="290"/>
        <v>0</v>
      </c>
      <c r="H1262" s="275">
        <f t="shared" si="290"/>
        <v>0</v>
      </c>
      <c r="I1262" s="275">
        <f t="shared" si="290"/>
        <v>0</v>
      </c>
      <c r="J1262" s="275">
        <f t="shared" si="290"/>
        <v>0</v>
      </c>
      <c r="K1262" s="275">
        <f t="shared" si="290"/>
        <v>0</v>
      </c>
      <c r="L1262" s="275">
        <f t="shared" si="290"/>
        <v>0</v>
      </c>
      <c r="M1262" s="275">
        <f t="shared" si="290"/>
        <v>0</v>
      </c>
      <c r="N1262" s="275">
        <f>SUM(N1263:N1265)</f>
        <v>0</v>
      </c>
      <c r="O1262" s="305">
        <f>SUM(C1262:N1262)</f>
        <v>0</v>
      </c>
    </row>
    <row r="1263" spans="2:15" x14ac:dyDescent="0.35">
      <c r="B1263" s="1275" t="s">
        <v>62</v>
      </c>
      <c r="C1263" s="1323">
        <v>0</v>
      </c>
      <c r="D1263" s="1323">
        <v>0</v>
      </c>
      <c r="E1263" s="1323">
        <v>0</v>
      </c>
      <c r="F1263" s="1323">
        <v>0</v>
      </c>
      <c r="G1263" s="1323"/>
      <c r="H1263" s="1323"/>
      <c r="I1263" s="1323"/>
      <c r="J1263" s="1323"/>
      <c r="K1263" s="1323"/>
      <c r="L1263" s="1323"/>
      <c r="M1263" s="1323"/>
      <c r="N1263" s="1323"/>
      <c r="O1263" s="294">
        <v>0</v>
      </c>
    </row>
    <row r="1264" spans="2:15" x14ac:dyDescent="0.35">
      <c r="B1264" s="1275" t="s">
        <v>63</v>
      </c>
      <c r="C1264" s="1323">
        <v>0</v>
      </c>
      <c r="D1264" s="1323">
        <v>0</v>
      </c>
      <c r="E1264" s="1323">
        <v>0</v>
      </c>
      <c r="F1264" s="1323">
        <v>0</v>
      </c>
      <c r="G1264" s="1323"/>
      <c r="H1264" s="1323"/>
      <c r="I1264" s="1323"/>
      <c r="J1264" s="1323"/>
      <c r="K1264" s="1323"/>
      <c r="L1264" s="1323"/>
      <c r="M1264" s="1323"/>
      <c r="N1264" s="1323"/>
      <c r="O1264" s="294">
        <v>0</v>
      </c>
    </row>
    <row r="1265" spans="2:15" x14ac:dyDescent="0.35">
      <c r="B1265" s="1275" t="s">
        <v>64</v>
      </c>
      <c r="C1265" s="1323">
        <v>0</v>
      </c>
      <c r="D1265" s="1323">
        <v>0</v>
      </c>
      <c r="E1265" s="1323">
        <v>0</v>
      </c>
      <c r="F1265" s="1323">
        <v>0</v>
      </c>
      <c r="G1265" s="1323"/>
      <c r="H1265" s="1323"/>
      <c r="I1265" s="1323"/>
      <c r="J1265" s="1323"/>
      <c r="K1265" s="1323"/>
      <c r="L1265" s="1323"/>
      <c r="M1265" s="1323"/>
      <c r="N1265" s="1323"/>
      <c r="O1265" s="294">
        <v>0</v>
      </c>
    </row>
    <row r="1266" spans="2:15" x14ac:dyDescent="0.35">
      <c r="B1266" s="1307" t="s">
        <v>174</v>
      </c>
      <c r="C1266" s="1327">
        <v>0</v>
      </c>
      <c r="D1266" s="1327">
        <v>0</v>
      </c>
      <c r="E1266" s="1327">
        <v>0</v>
      </c>
      <c r="F1266" s="1327">
        <v>0</v>
      </c>
      <c r="G1266" s="1327"/>
      <c r="H1266" s="1327"/>
      <c r="I1266" s="1327"/>
      <c r="J1266" s="1327"/>
      <c r="K1266" s="1327"/>
      <c r="L1266" s="1327"/>
      <c r="M1266" s="1327"/>
      <c r="N1266" s="1327"/>
      <c r="O1266" s="305">
        <v>0</v>
      </c>
    </row>
    <row r="1267" spans="2:15" x14ac:dyDescent="0.35">
      <c r="B1267" s="1308"/>
      <c r="C1267" s="279"/>
      <c r="D1267" s="279"/>
      <c r="E1267" s="279"/>
      <c r="F1267" s="279"/>
      <c r="G1267" s="279"/>
      <c r="H1267" s="279"/>
      <c r="I1267" s="279"/>
      <c r="J1267" s="279"/>
      <c r="K1267" s="279"/>
      <c r="L1267" s="279"/>
      <c r="M1267" s="279"/>
      <c r="N1267" s="279"/>
      <c r="O1267" s="305"/>
    </row>
    <row r="1268" spans="2:15" x14ac:dyDescent="0.35">
      <c r="B1268" s="1338" t="s">
        <v>188</v>
      </c>
      <c r="C1268" s="275">
        <f>C1269+C1270+C1271</f>
        <v>77512</v>
      </c>
      <c r="D1268" s="275">
        <f>D1269+D1270+D1271</f>
        <v>71078</v>
      </c>
      <c r="E1268" s="275">
        <f>E1269+E1270+E1271</f>
        <v>82781</v>
      </c>
      <c r="F1268" s="275">
        <f>F1269+F1270+F1271</f>
        <v>78874</v>
      </c>
      <c r="G1268" s="275">
        <f t="shared" ref="G1268:L1268" si="291">G1269+G1270+G1271</f>
        <v>0</v>
      </c>
      <c r="H1268" s="275">
        <f t="shared" si="291"/>
        <v>0</v>
      </c>
      <c r="I1268" s="275">
        <f t="shared" si="291"/>
        <v>0</v>
      </c>
      <c r="J1268" s="275">
        <f t="shared" si="291"/>
        <v>0</v>
      </c>
      <c r="K1268" s="275">
        <f t="shared" si="291"/>
        <v>0</v>
      </c>
      <c r="L1268" s="275">
        <f t="shared" si="291"/>
        <v>0</v>
      </c>
      <c r="M1268" s="275">
        <f>M1269+M1270+M1271</f>
        <v>0</v>
      </c>
      <c r="N1268" s="275">
        <f>N1269+N1270+N1271</f>
        <v>0</v>
      </c>
      <c r="O1268" s="305">
        <f>SUM(C1268:N1268)</f>
        <v>310245</v>
      </c>
    </row>
    <row r="1269" spans="2:15" x14ac:dyDescent="0.35">
      <c r="B1269" s="1339" t="s">
        <v>185</v>
      </c>
      <c r="C1269" s="1279">
        <v>45413</v>
      </c>
      <c r="D1269" s="1279">
        <v>39326</v>
      </c>
      <c r="E1269" s="1279">
        <v>46963</v>
      </c>
      <c r="F1269" s="1279">
        <v>41409</v>
      </c>
      <c r="G1269" s="1279"/>
      <c r="H1269" s="1279"/>
      <c r="I1269" s="1279"/>
      <c r="J1269" s="1279"/>
      <c r="K1269" s="1279"/>
      <c r="L1269" s="1279"/>
      <c r="M1269" s="1279"/>
      <c r="N1269" s="1279"/>
      <c r="O1269" s="294">
        <f>SUM(C1269:N1269)</f>
        <v>173111</v>
      </c>
    </row>
    <row r="1270" spans="2:15" x14ac:dyDescent="0.35">
      <c r="B1270" s="1339" t="s">
        <v>186</v>
      </c>
      <c r="C1270" s="1279">
        <v>25074</v>
      </c>
      <c r="D1270" s="1279">
        <v>25823</v>
      </c>
      <c r="E1270" s="1279">
        <v>29380</v>
      </c>
      <c r="F1270" s="1279">
        <v>30668</v>
      </c>
      <c r="G1270" s="1279"/>
      <c r="H1270" s="1279"/>
      <c r="I1270" s="1279"/>
      <c r="J1270" s="1279"/>
      <c r="K1270" s="1279"/>
      <c r="L1270" s="1279"/>
      <c r="M1270" s="1279"/>
      <c r="N1270" s="1279"/>
      <c r="O1270" s="294">
        <f>SUM(C1270:N1270)</f>
        <v>110945</v>
      </c>
    </row>
    <row r="1271" spans="2:15" x14ac:dyDescent="0.35">
      <c r="B1271" s="1339" t="s">
        <v>187</v>
      </c>
      <c r="C1271" s="294">
        <f>+C1273++C1277</f>
        <v>7025</v>
      </c>
      <c r="D1271" s="294">
        <f>+D1273++D1277</f>
        <v>5929</v>
      </c>
      <c r="E1271" s="294">
        <f t="shared" ref="E1271:L1271" si="292">+E1273++E1277</f>
        <v>6438</v>
      </c>
      <c r="F1271" s="294">
        <f t="shared" si="292"/>
        <v>6797</v>
      </c>
      <c r="G1271" s="294">
        <f t="shared" si="292"/>
        <v>0</v>
      </c>
      <c r="H1271" s="294">
        <f t="shared" si="292"/>
        <v>0</v>
      </c>
      <c r="I1271" s="294">
        <f t="shared" si="292"/>
        <v>0</v>
      </c>
      <c r="J1271" s="294">
        <f t="shared" si="292"/>
        <v>0</v>
      </c>
      <c r="K1271" s="294">
        <f t="shared" si="292"/>
        <v>0</v>
      </c>
      <c r="L1271" s="294">
        <f t="shared" si="292"/>
        <v>0</v>
      </c>
      <c r="M1271" s="294">
        <f>+M1273++M1277</f>
        <v>0</v>
      </c>
      <c r="N1271" s="294">
        <f>+N1273++N1277</f>
        <v>0</v>
      </c>
      <c r="O1271" s="294">
        <f>SUM(C1271:N1271)</f>
        <v>26189</v>
      </c>
    </row>
    <row r="1272" spans="2:15" x14ac:dyDescent="0.35">
      <c r="B1272" s="1307"/>
      <c r="C1272" s="275"/>
      <c r="D1272" s="275"/>
      <c r="E1272" s="275"/>
      <c r="F1272" s="275"/>
      <c r="G1272" s="275"/>
      <c r="H1272" s="275"/>
      <c r="I1272" s="275"/>
      <c r="J1272" s="275"/>
      <c r="K1272" s="275"/>
      <c r="L1272" s="275"/>
      <c r="M1272" s="275"/>
      <c r="N1272" s="275"/>
      <c r="O1272" s="305"/>
    </row>
    <row r="1273" spans="2:15" x14ac:dyDescent="0.35">
      <c r="B1273" s="1307" t="s">
        <v>173</v>
      </c>
      <c r="C1273" s="275">
        <f>SUM(C1274:C1276)</f>
        <v>6904</v>
      </c>
      <c r="D1273" s="275">
        <f>SUM(D1274:D1276)</f>
        <v>5801</v>
      </c>
      <c r="E1273" s="275">
        <f t="shared" ref="E1273:M1273" si="293">SUM(E1274:E1276)</f>
        <v>6295</v>
      </c>
      <c r="F1273" s="275">
        <f t="shared" si="293"/>
        <v>6584</v>
      </c>
      <c r="G1273" s="275">
        <f t="shared" si="293"/>
        <v>0</v>
      </c>
      <c r="H1273" s="275">
        <f t="shared" si="293"/>
        <v>0</v>
      </c>
      <c r="I1273" s="275">
        <f t="shared" si="293"/>
        <v>0</v>
      </c>
      <c r="J1273" s="275">
        <f t="shared" si="293"/>
        <v>0</v>
      </c>
      <c r="K1273" s="275">
        <f t="shared" si="293"/>
        <v>0</v>
      </c>
      <c r="L1273" s="275">
        <f t="shared" si="293"/>
        <v>0</v>
      </c>
      <c r="M1273" s="275">
        <f t="shared" si="293"/>
        <v>0</v>
      </c>
      <c r="N1273" s="275">
        <f>SUM(N1274:N1276)</f>
        <v>0</v>
      </c>
      <c r="O1273" s="305">
        <f>SUM(C1273:N1273)</f>
        <v>25584</v>
      </c>
    </row>
    <row r="1274" spans="2:15" x14ac:dyDescent="0.35">
      <c r="B1274" s="1275" t="s">
        <v>62</v>
      </c>
      <c r="C1274" s="1323">
        <v>2970</v>
      </c>
      <c r="D1274" s="1323">
        <v>2540</v>
      </c>
      <c r="E1274" s="1323">
        <v>2674</v>
      </c>
      <c r="F1274" s="1323">
        <v>2901</v>
      </c>
      <c r="G1274" s="1323"/>
      <c r="H1274" s="1323"/>
      <c r="I1274" s="1323"/>
      <c r="J1274" s="1323"/>
      <c r="K1274" s="1323"/>
      <c r="L1274" s="1323"/>
      <c r="M1274" s="1323"/>
      <c r="N1274" s="1323"/>
      <c r="O1274" s="294">
        <f>SUM(C1274:N1274)</f>
        <v>11085</v>
      </c>
    </row>
    <row r="1275" spans="2:15" x14ac:dyDescent="0.35">
      <c r="B1275" s="1275" t="s">
        <v>63</v>
      </c>
      <c r="C1275" s="1323">
        <v>3934</v>
      </c>
      <c r="D1275" s="1323">
        <v>3259</v>
      </c>
      <c r="E1275" s="1323">
        <v>3621</v>
      </c>
      <c r="F1275" s="1323">
        <v>3681</v>
      </c>
      <c r="G1275" s="1323"/>
      <c r="H1275" s="1323"/>
      <c r="I1275" s="1323"/>
      <c r="J1275" s="1323"/>
      <c r="K1275" s="1323"/>
      <c r="L1275" s="1323"/>
      <c r="M1275" s="1323"/>
      <c r="N1275" s="1323"/>
      <c r="O1275" s="294">
        <f>SUM(C1275:N1275)</f>
        <v>14495</v>
      </c>
    </row>
    <row r="1276" spans="2:15" x14ac:dyDescent="0.35">
      <c r="B1276" s="1275" t="s">
        <v>64</v>
      </c>
      <c r="C1276" s="1323">
        <v>0</v>
      </c>
      <c r="D1276" s="1323">
        <v>2</v>
      </c>
      <c r="E1276" s="1323">
        <v>0</v>
      </c>
      <c r="F1276" s="1323">
        <v>2</v>
      </c>
      <c r="G1276" s="1323"/>
      <c r="H1276" s="1323"/>
      <c r="I1276" s="1323"/>
      <c r="J1276" s="1323"/>
      <c r="K1276" s="1323"/>
      <c r="L1276" s="1323"/>
      <c r="M1276" s="1323"/>
      <c r="N1276" s="1323"/>
      <c r="O1276" s="294">
        <f>SUM(C1276:N1276)</f>
        <v>4</v>
      </c>
    </row>
    <row r="1277" spans="2:15" x14ac:dyDescent="0.35">
      <c r="B1277" s="1307" t="s">
        <v>174</v>
      </c>
      <c r="C1277" s="1323">
        <v>121</v>
      </c>
      <c r="D1277" s="1323">
        <v>128</v>
      </c>
      <c r="E1277" s="1323">
        <v>143</v>
      </c>
      <c r="F1277" s="1323">
        <v>213</v>
      </c>
      <c r="G1277" s="1323"/>
      <c r="H1277" s="1323"/>
      <c r="I1277" s="1323"/>
      <c r="J1277" s="1323"/>
      <c r="K1277" s="1323"/>
      <c r="L1277" s="1323"/>
      <c r="M1277" s="1323"/>
      <c r="N1277" s="1327"/>
      <c r="O1277" s="305">
        <f>SUM(C1277:N1277)</f>
        <v>605</v>
      </c>
    </row>
    <row r="1278" spans="2:15" x14ac:dyDescent="0.35">
      <c r="B1278" s="1308"/>
      <c r="C1278" s="279"/>
      <c r="D1278" s="279"/>
      <c r="E1278" s="279"/>
      <c r="F1278" s="279"/>
      <c r="G1278" s="279"/>
      <c r="H1278" s="279"/>
      <c r="I1278" s="279"/>
      <c r="J1278" s="279"/>
      <c r="K1278" s="279"/>
      <c r="L1278" s="279"/>
      <c r="M1278" s="279"/>
      <c r="N1278" s="279"/>
      <c r="O1278" s="305"/>
    </row>
    <row r="1279" spans="2:15" x14ac:dyDescent="0.35">
      <c r="B1279" s="1306" t="s">
        <v>56</v>
      </c>
      <c r="C1279" s="162">
        <f>+C1281+C1292</f>
        <v>75901</v>
      </c>
      <c r="D1279" s="162">
        <f>+D1281+D1292</f>
        <v>67542</v>
      </c>
      <c r="E1279" s="162">
        <f>+E1281+E1292</f>
        <v>73733</v>
      </c>
      <c r="F1279" s="162">
        <f>+F1281+F1292</f>
        <v>75347</v>
      </c>
      <c r="G1279" s="162">
        <f t="shared" ref="G1279:L1279" si="294">+G1281+G1292</f>
        <v>0</v>
      </c>
      <c r="H1279" s="162">
        <f t="shared" si="294"/>
        <v>0</v>
      </c>
      <c r="I1279" s="162">
        <f t="shared" si="294"/>
        <v>0</v>
      </c>
      <c r="J1279" s="162">
        <f t="shared" si="294"/>
        <v>0</v>
      </c>
      <c r="K1279" s="162">
        <f t="shared" si="294"/>
        <v>0</v>
      </c>
      <c r="L1279" s="162">
        <f t="shared" si="294"/>
        <v>0</v>
      </c>
      <c r="M1279" s="162">
        <f>+M1281+M1292</f>
        <v>0</v>
      </c>
      <c r="N1279" s="162">
        <f>+N1281+N1292</f>
        <v>0</v>
      </c>
      <c r="O1279" s="306">
        <f>SUM(C1279:N1279)</f>
        <v>292523</v>
      </c>
    </row>
    <row r="1280" spans="2:15" x14ac:dyDescent="0.35">
      <c r="B1280" s="1306"/>
      <c r="C1280" s="162"/>
      <c r="D1280" s="162"/>
      <c r="E1280" s="162"/>
      <c r="F1280" s="162"/>
      <c r="G1280" s="162"/>
      <c r="H1280" s="162"/>
      <c r="I1280" s="162"/>
      <c r="J1280" s="162"/>
      <c r="K1280" s="162"/>
      <c r="L1280" s="162"/>
      <c r="M1280" s="162"/>
      <c r="N1280" s="162"/>
      <c r="O1280" s="305"/>
    </row>
    <row r="1281" spans="2:15" x14ac:dyDescent="0.35">
      <c r="B1281" s="1338" t="s">
        <v>184</v>
      </c>
      <c r="C1281" s="275">
        <f>C1282+C1283+C1284</f>
        <v>33175</v>
      </c>
      <c r="D1281" s="275">
        <f>D1282+D1283+D1284</f>
        <v>25381</v>
      </c>
      <c r="E1281" s="275">
        <f>E1282+E1283+E1284</f>
        <v>27522</v>
      </c>
      <c r="F1281" s="275">
        <f>F1282+F1283+F1284</f>
        <v>26150</v>
      </c>
      <c r="G1281" s="275">
        <f t="shared" ref="G1281:L1281" si="295">G1282+G1283+G1284</f>
        <v>0</v>
      </c>
      <c r="H1281" s="275">
        <f t="shared" si="295"/>
        <v>0</v>
      </c>
      <c r="I1281" s="275">
        <f t="shared" si="295"/>
        <v>0</v>
      </c>
      <c r="J1281" s="275">
        <f t="shared" si="295"/>
        <v>0</v>
      </c>
      <c r="K1281" s="275">
        <f t="shared" si="295"/>
        <v>0</v>
      </c>
      <c r="L1281" s="275">
        <f t="shared" si="295"/>
        <v>0</v>
      </c>
      <c r="M1281" s="275">
        <f>M1282+M1283+M1284</f>
        <v>0</v>
      </c>
      <c r="N1281" s="275">
        <f>N1282+N1283+N1284</f>
        <v>0</v>
      </c>
      <c r="O1281" s="305">
        <f t="shared" ref="O1281:O1301" si="296">SUM(C1281:N1281)</f>
        <v>112228</v>
      </c>
    </row>
    <row r="1282" spans="2:15" x14ac:dyDescent="0.35">
      <c r="B1282" s="1339" t="s">
        <v>185</v>
      </c>
      <c r="C1282" s="1279">
        <v>32723</v>
      </c>
      <c r="D1282" s="1279">
        <v>25381</v>
      </c>
      <c r="E1282" s="1279">
        <v>27522</v>
      </c>
      <c r="F1282" s="1279">
        <v>26150</v>
      </c>
      <c r="G1282" s="1279"/>
      <c r="H1282" s="1279"/>
      <c r="I1282" s="1279"/>
      <c r="J1282" s="1279"/>
      <c r="K1282" s="1279"/>
      <c r="L1282" s="1279"/>
      <c r="M1282" s="1279"/>
      <c r="N1282" s="1279"/>
      <c r="O1282" s="294">
        <f t="shared" si="296"/>
        <v>111776</v>
      </c>
    </row>
    <row r="1283" spans="2:15" x14ac:dyDescent="0.35">
      <c r="B1283" s="1339" t="s">
        <v>186</v>
      </c>
      <c r="C1283" s="1279">
        <v>452</v>
      </c>
      <c r="D1283" s="1279">
        <v>0</v>
      </c>
      <c r="E1283" s="1279">
        <v>0</v>
      </c>
      <c r="F1283" s="1279">
        <v>0</v>
      </c>
      <c r="G1283" s="1279"/>
      <c r="H1283" s="1279"/>
      <c r="I1283" s="1279"/>
      <c r="J1283" s="1279"/>
      <c r="K1283" s="1279"/>
      <c r="L1283" s="1279"/>
      <c r="M1283" s="1279"/>
      <c r="N1283" s="1279"/>
      <c r="O1283" s="294">
        <f t="shared" si="296"/>
        <v>452</v>
      </c>
    </row>
    <row r="1284" spans="2:15" x14ac:dyDescent="0.35">
      <c r="B1284" s="1339" t="s">
        <v>187</v>
      </c>
      <c r="C1284" s="294">
        <f>+C1286++C1290</f>
        <v>0</v>
      </c>
      <c r="D1284" s="294">
        <f>+D1286++D1290</f>
        <v>0</v>
      </c>
      <c r="E1284" s="294">
        <f>+E1286++E1290</f>
        <v>0</v>
      </c>
      <c r="F1284" s="294">
        <f>+F1286++F1290</f>
        <v>0</v>
      </c>
      <c r="G1284" s="294">
        <f t="shared" ref="G1284:L1284" si="297">+G1286++G1290</f>
        <v>0</v>
      </c>
      <c r="H1284" s="294">
        <f t="shared" si="297"/>
        <v>0</v>
      </c>
      <c r="I1284" s="294">
        <f t="shared" si="297"/>
        <v>0</v>
      </c>
      <c r="J1284" s="294">
        <f t="shared" si="297"/>
        <v>0</v>
      </c>
      <c r="K1284" s="294">
        <f t="shared" si="297"/>
        <v>0</v>
      </c>
      <c r="L1284" s="294">
        <f t="shared" si="297"/>
        <v>0</v>
      </c>
      <c r="M1284" s="294">
        <f>+M1286++M1290</f>
        <v>0</v>
      </c>
      <c r="N1284" s="294">
        <f>+N1286++N1290</f>
        <v>0</v>
      </c>
      <c r="O1284" s="305">
        <f t="shared" si="296"/>
        <v>0</v>
      </c>
    </row>
    <row r="1285" spans="2:15" x14ac:dyDescent="0.35">
      <c r="B1285" s="1307"/>
      <c r="C1285" s="275"/>
      <c r="D1285" s="275"/>
      <c r="E1285" s="275"/>
      <c r="F1285" s="275"/>
      <c r="G1285" s="275"/>
      <c r="H1285" s="275"/>
      <c r="I1285" s="275"/>
      <c r="J1285" s="275"/>
      <c r="K1285" s="275"/>
      <c r="L1285" s="275"/>
      <c r="M1285" s="275"/>
      <c r="N1285" s="275"/>
      <c r="O1285" s="294">
        <f t="shared" si="296"/>
        <v>0</v>
      </c>
    </row>
    <row r="1286" spans="2:15" x14ac:dyDescent="0.35">
      <c r="B1286" s="1307" t="s">
        <v>173</v>
      </c>
      <c r="C1286" s="275">
        <f>SUM(C1287:C1289)</f>
        <v>0</v>
      </c>
      <c r="D1286" s="275">
        <f>SUM(D1287:D1289)</f>
        <v>0</v>
      </c>
      <c r="E1286" s="275">
        <f t="shared" ref="E1286:M1286" si="298">SUM(E1287:E1289)</f>
        <v>0</v>
      </c>
      <c r="F1286" s="275">
        <f t="shared" si="298"/>
        <v>0</v>
      </c>
      <c r="G1286" s="275">
        <f t="shared" si="298"/>
        <v>0</v>
      </c>
      <c r="H1286" s="275">
        <f t="shared" si="298"/>
        <v>0</v>
      </c>
      <c r="I1286" s="275">
        <f t="shared" si="298"/>
        <v>0</v>
      </c>
      <c r="J1286" s="275">
        <f t="shared" si="298"/>
        <v>0</v>
      </c>
      <c r="K1286" s="275">
        <f t="shared" si="298"/>
        <v>0</v>
      </c>
      <c r="L1286" s="275">
        <f t="shared" si="298"/>
        <v>0</v>
      </c>
      <c r="M1286" s="275">
        <f t="shared" si="298"/>
        <v>0</v>
      </c>
      <c r="N1286" s="275">
        <f>SUM(N1287:N1289)</f>
        <v>0</v>
      </c>
      <c r="O1286" s="294">
        <f t="shared" si="296"/>
        <v>0</v>
      </c>
    </row>
    <row r="1287" spans="2:15" x14ac:dyDescent="0.35">
      <c r="B1287" s="1275" t="s">
        <v>62</v>
      </c>
      <c r="C1287" s="1323">
        <v>0</v>
      </c>
      <c r="D1287" s="1323">
        <v>0</v>
      </c>
      <c r="E1287" s="1323">
        <v>0</v>
      </c>
      <c r="F1287" s="1323">
        <v>0</v>
      </c>
      <c r="G1287" s="1323"/>
      <c r="H1287" s="1323"/>
      <c r="I1287" s="1323"/>
      <c r="J1287" s="1323"/>
      <c r="K1287" s="1323"/>
      <c r="L1287" s="1323"/>
      <c r="M1287" s="1323"/>
      <c r="N1287" s="1323"/>
      <c r="O1287" s="305">
        <f t="shared" si="296"/>
        <v>0</v>
      </c>
    </row>
    <row r="1288" spans="2:15" x14ac:dyDescent="0.35">
      <c r="B1288" s="1275" t="s">
        <v>63</v>
      </c>
      <c r="C1288" s="1323">
        <v>0</v>
      </c>
      <c r="D1288" s="1323">
        <v>0</v>
      </c>
      <c r="E1288" s="1323">
        <v>0</v>
      </c>
      <c r="F1288" s="1323">
        <v>0</v>
      </c>
      <c r="G1288" s="1323"/>
      <c r="H1288" s="1323"/>
      <c r="I1288" s="1323"/>
      <c r="J1288" s="1323"/>
      <c r="K1288" s="1323"/>
      <c r="L1288" s="1323"/>
      <c r="M1288" s="1323"/>
      <c r="N1288" s="1323"/>
      <c r="O1288" s="294">
        <f t="shared" si="296"/>
        <v>0</v>
      </c>
    </row>
    <row r="1289" spans="2:15" x14ac:dyDescent="0.35">
      <c r="B1289" s="1275" t="s">
        <v>64</v>
      </c>
      <c r="C1289" s="1323">
        <v>0</v>
      </c>
      <c r="D1289" s="1323">
        <v>0</v>
      </c>
      <c r="E1289" s="1323">
        <v>0</v>
      </c>
      <c r="F1289" s="1323">
        <v>0</v>
      </c>
      <c r="G1289" s="1323"/>
      <c r="H1289" s="1323"/>
      <c r="I1289" s="1323"/>
      <c r="J1289" s="1323"/>
      <c r="K1289" s="1323"/>
      <c r="L1289" s="1323"/>
      <c r="M1289" s="1323"/>
      <c r="N1289" s="1323"/>
      <c r="O1289" s="294">
        <f t="shared" si="296"/>
        <v>0</v>
      </c>
    </row>
    <row r="1290" spans="2:15" x14ac:dyDescent="0.35">
      <c r="B1290" s="1307" t="s">
        <v>174</v>
      </c>
      <c r="C1290" s="1327">
        <v>0</v>
      </c>
      <c r="D1290" s="1327">
        <v>0</v>
      </c>
      <c r="E1290" s="1327">
        <v>0</v>
      </c>
      <c r="F1290" s="1327">
        <v>0</v>
      </c>
      <c r="G1290" s="1327"/>
      <c r="H1290" s="1327"/>
      <c r="I1290" s="1327"/>
      <c r="J1290" s="1327"/>
      <c r="K1290" s="1327"/>
      <c r="L1290" s="1327"/>
      <c r="M1290" s="1327"/>
      <c r="N1290" s="1327"/>
      <c r="O1290" s="305">
        <f t="shared" si="296"/>
        <v>0</v>
      </c>
    </row>
    <row r="1291" spans="2:15" x14ac:dyDescent="0.35">
      <c r="B1291" s="1308"/>
      <c r="C1291" s="279"/>
      <c r="D1291" s="279"/>
      <c r="E1291" s="279"/>
      <c r="F1291" s="279"/>
      <c r="G1291" s="279"/>
      <c r="H1291" s="279"/>
      <c r="I1291" s="279"/>
      <c r="J1291" s="279"/>
      <c r="K1291" s="279"/>
      <c r="L1291" s="279"/>
      <c r="M1291" s="279"/>
      <c r="N1291" s="279"/>
      <c r="O1291" s="305">
        <f t="shared" si="296"/>
        <v>0</v>
      </c>
    </row>
    <row r="1292" spans="2:15" x14ac:dyDescent="0.35">
      <c r="B1292" s="1338" t="s">
        <v>188</v>
      </c>
      <c r="C1292" s="275">
        <f>C1293+C1294+C1295</f>
        <v>42726</v>
      </c>
      <c r="D1292" s="275">
        <f>D1293+D1294+D1295</f>
        <v>42161</v>
      </c>
      <c r="E1292" s="275">
        <f>E1293+E1294+E1295</f>
        <v>46211</v>
      </c>
      <c r="F1292" s="275">
        <f>F1293+F1294+F1295</f>
        <v>49197</v>
      </c>
      <c r="G1292" s="275">
        <f t="shared" ref="G1292:L1292" si="299">G1293+G1294+G1295</f>
        <v>0</v>
      </c>
      <c r="H1292" s="275">
        <f t="shared" si="299"/>
        <v>0</v>
      </c>
      <c r="I1292" s="275">
        <f t="shared" si="299"/>
        <v>0</v>
      </c>
      <c r="J1292" s="275">
        <f t="shared" si="299"/>
        <v>0</v>
      </c>
      <c r="K1292" s="275">
        <f t="shared" si="299"/>
        <v>0</v>
      </c>
      <c r="L1292" s="275">
        <f t="shared" si="299"/>
        <v>0</v>
      </c>
      <c r="M1292" s="275">
        <f>M1293+M1294+M1295</f>
        <v>0</v>
      </c>
      <c r="N1292" s="275">
        <f>N1293+N1294+N1295</f>
        <v>0</v>
      </c>
      <c r="O1292" s="294">
        <f t="shared" si="296"/>
        <v>180295</v>
      </c>
    </row>
    <row r="1293" spans="2:15" x14ac:dyDescent="0.35">
      <c r="B1293" s="1339" t="s">
        <v>185</v>
      </c>
      <c r="C1293" s="1279">
        <v>19428</v>
      </c>
      <c r="D1293" s="1279">
        <v>16756</v>
      </c>
      <c r="E1293" s="1279">
        <v>19881</v>
      </c>
      <c r="F1293" s="1279">
        <v>22272</v>
      </c>
      <c r="G1293" s="1279"/>
      <c r="H1293" s="1279"/>
      <c r="I1293" s="1279"/>
      <c r="J1293" s="1279"/>
      <c r="K1293" s="1279"/>
      <c r="L1293" s="1279"/>
      <c r="M1293" s="1279"/>
      <c r="N1293" s="1279"/>
      <c r="O1293" s="294">
        <f t="shared" si="296"/>
        <v>78337</v>
      </c>
    </row>
    <row r="1294" spans="2:15" x14ac:dyDescent="0.35">
      <c r="B1294" s="1339" t="s">
        <v>186</v>
      </c>
      <c r="C1294" s="1279">
        <v>22873</v>
      </c>
      <c r="D1294" s="1279">
        <v>24665</v>
      </c>
      <c r="E1294" s="1279">
        <v>25477</v>
      </c>
      <c r="F1294" s="1279">
        <v>25818</v>
      </c>
      <c r="G1294" s="1279"/>
      <c r="H1294" s="1279"/>
      <c r="I1294" s="1279"/>
      <c r="J1294" s="1279"/>
      <c r="K1294" s="1279"/>
      <c r="L1294" s="1279"/>
      <c r="M1294" s="1279"/>
      <c r="N1294" s="1279"/>
      <c r="O1294" s="294">
        <f t="shared" si="296"/>
        <v>98833</v>
      </c>
    </row>
    <row r="1295" spans="2:15" x14ac:dyDescent="0.35">
      <c r="B1295" s="1339" t="s">
        <v>187</v>
      </c>
      <c r="C1295" s="294">
        <f>+C1297++C1301</f>
        <v>425</v>
      </c>
      <c r="D1295" s="294">
        <f>+D1297++D1301</f>
        <v>740</v>
      </c>
      <c r="E1295" s="294">
        <f>+E1297++E1301</f>
        <v>853</v>
      </c>
      <c r="F1295" s="294">
        <f>+F1297++F1301</f>
        <v>1107</v>
      </c>
      <c r="G1295" s="294">
        <f t="shared" ref="G1295:L1295" si="300">+G1297++G1301</f>
        <v>0</v>
      </c>
      <c r="H1295" s="294">
        <f t="shared" si="300"/>
        <v>0</v>
      </c>
      <c r="I1295" s="294">
        <f t="shared" si="300"/>
        <v>0</v>
      </c>
      <c r="J1295" s="294">
        <f t="shared" si="300"/>
        <v>0</v>
      </c>
      <c r="K1295" s="294">
        <f t="shared" si="300"/>
        <v>0</v>
      </c>
      <c r="L1295" s="294">
        <f t="shared" si="300"/>
        <v>0</v>
      </c>
      <c r="M1295" s="294">
        <f>+M1297++M1301</f>
        <v>0</v>
      </c>
      <c r="N1295" s="294">
        <f>+N1297++N1301</f>
        <v>0</v>
      </c>
      <c r="O1295" s="294">
        <f t="shared" si="296"/>
        <v>3125</v>
      </c>
    </row>
    <row r="1296" spans="2:15" x14ac:dyDescent="0.35">
      <c r="B1296" s="1307"/>
      <c r="C1296" s="275"/>
      <c r="D1296" s="275"/>
      <c r="E1296" s="275"/>
      <c r="F1296" s="275"/>
      <c r="G1296" s="275"/>
      <c r="H1296" s="275"/>
      <c r="I1296" s="275"/>
      <c r="J1296" s="275"/>
      <c r="K1296" s="275"/>
      <c r="L1296" s="275"/>
      <c r="M1296" s="275"/>
      <c r="N1296" s="275"/>
      <c r="O1296" s="294">
        <f t="shared" si="296"/>
        <v>0</v>
      </c>
    </row>
    <row r="1297" spans="1:17" x14ac:dyDescent="0.35">
      <c r="B1297" s="1307" t="s">
        <v>173</v>
      </c>
      <c r="C1297" s="275">
        <f>SUM(C1298:C1300)</f>
        <v>425</v>
      </c>
      <c r="D1297" s="275">
        <f>SUM(D1298:D1300)</f>
        <v>740</v>
      </c>
      <c r="E1297" s="275">
        <f t="shared" ref="E1297:M1297" si="301">SUM(E1298:E1300)</f>
        <v>853</v>
      </c>
      <c r="F1297" s="275">
        <f t="shared" si="301"/>
        <v>1107</v>
      </c>
      <c r="G1297" s="275">
        <f t="shared" si="301"/>
        <v>0</v>
      </c>
      <c r="H1297" s="275">
        <f t="shared" si="301"/>
        <v>0</v>
      </c>
      <c r="I1297" s="275">
        <f t="shared" si="301"/>
        <v>0</v>
      </c>
      <c r="J1297" s="275">
        <f t="shared" si="301"/>
        <v>0</v>
      </c>
      <c r="K1297" s="275">
        <f t="shared" si="301"/>
        <v>0</v>
      </c>
      <c r="L1297" s="275">
        <f t="shared" si="301"/>
        <v>0</v>
      </c>
      <c r="M1297" s="275">
        <f t="shared" si="301"/>
        <v>0</v>
      </c>
      <c r="N1297" s="275">
        <f>SUM(N1298:N1300)</f>
        <v>0</v>
      </c>
      <c r="O1297" s="294">
        <f t="shared" si="296"/>
        <v>3125</v>
      </c>
    </row>
    <row r="1298" spans="1:17" x14ac:dyDescent="0.35">
      <c r="B1298" s="1275" t="s">
        <v>62</v>
      </c>
      <c r="C1298" s="1279">
        <v>191</v>
      </c>
      <c r="D1298" s="1279">
        <v>426</v>
      </c>
      <c r="E1298" s="1323">
        <v>631</v>
      </c>
      <c r="F1298" s="1323">
        <v>913</v>
      </c>
      <c r="G1298" s="1323"/>
      <c r="H1298" s="1323"/>
      <c r="I1298" s="1323"/>
      <c r="J1298" s="1323"/>
      <c r="K1298" s="1323"/>
      <c r="L1298" s="1323"/>
      <c r="M1298" s="1323"/>
      <c r="N1298" s="1323"/>
      <c r="O1298" s="294">
        <f t="shared" si="296"/>
        <v>2161</v>
      </c>
    </row>
    <row r="1299" spans="1:17" x14ac:dyDescent="0.35">
      <c r="B1299" s="1275" t="s">
        <v>63</v>
      </c>
      <c r="C1299" s="1279">
        <v>234</v>
      </c>
      <c r="D1299" s="1279">
        <v>314</v>
      </c>
      <c r="E1299" s="1323">
        <v>222</v>
      </c>
      <c r="F1299" s="1323">
        <v>194</v>
      </c>
      <c r="G1299" s="1323"/>
      <c r="H1299" s="1323"/>
      <c r="I1299" s="1323"/>
      <c r="J1299" s="1323"/>
      <c r="K1299" s="1323"/>
      <c r="L1299" s="1323"/>
      <c r="M1299" s="1323"/>
      <c r="N1299" s="1323"/>
      <c r="O1299" s="294">
        <f t="shared" si="296"/>
        <v>964</v>
      </c>
    </row>
    <row r="1300" spans="1:17" x14ac:dyDescent="0.35">
      <c r="B1300" s="1275" t="s">
        <v>64</v>
      </c>
      <c r="C1300" s="1323">
        <v>0</v>
      </c>
      <c r="D1300" s="1323">
        <v>0</v>
      </c>
      <c r="E1300" s="1323">
        <v>0</v>
      </c>
      <c r="F1300" s="1323">
        <v>0</v>
      </c>
      <c r="G1300" s="1323"/>
      <c r="H1300" s="1323"/>
      <c r="I1300" s="1323"/>
      <c r="J1300" s="1323"/>
      <c r="K1300" s="1323"/>
      <c r="L1300" s="1323"/>
      <c r="M1300" s="1323"/>
      <c r="N1300" s="1323"/>
      <c r="O1300" s="294">
        <f t="shared" si="296"/>
        <v>0</v>
      </c>
    </row>
    <row r="1301" spans="1:17" x14ac:dyDescent="0.35">
      <c r="B1301" s="1307" t="s">
        <v>174</v>
      </c>
      <c r="C1301" s="1323">
        <v>0</v>
      </c>
      <c r="D1301" s="1323">
        <v>0</v>
      </c>
      <c r="E1301" s="1323">
        <v>0</v>
      </c>
      <c r="F1301" s="1323">
        <v>0</v>
      </c>
      <c r="G1301" s="1323"/>
      <c r="H1301" s="1323"/>
      <c r="I1301" s="1323"/>
      <c r="J1301" s="1323"/>
      <c r="K1301" s="1323"/>
      <c r="L1301" s="1323"/>
      <c r="M1301" s="1323"/>
      <c r="N1301" s="1327"/>
      <c r="O1301" s="294">
        <f t="shared" si="296"/>
        <v>0</v>
      </c>
    </row>
    <row r="1302" spans="1:17" x14ac:dyDescent="0.35">
      <c r="B1302" s="1308"/>
      <c r="C1302" s="279"/>
      <c r="D1302" s="279"/>
      <c r="E1302" s="279"/>
      <c r="F1302" s="279"/>
      <c r="G1302" s="279"/>
      <c r="H1302" s="279"/>
      <c r="I1302" s="279"/>
      <c r="J1302" s="279"/>
      <c r="K1302" s="279"/>
      <c r="L1302" s="279"/>
      <c r="M1302" s="279"/>
      <c r="N1302" s="279"/>
      <c r="O1302" s="305"/>
    </row>
    <row r="1303" spans="1:17" x14ac:dyDescent="0.35">
      <c r="B1303" s="431" t="s">
        <v>175</v>
      </c>
      <c r="C1303" s="1270">
        <f>C1279+C1255</f>
        <v>162428</v>
      </c>
      <c r="D1303" s="1270">
        <f>D1279+D1255</f>
        <v>147867</v>
      </c>
      <c r="E1303" s="1270">
        <f>E1279+E1255</f>
        <v>167378</v>
      </c>
      <c r="F1303" s="1270">
        <f>F1279+F1255</f>
        <v>162680</v>
      </c>
      <c r="G1303" s="1270">
        <f t="shared" ref="G1303:L1303" si="302">G1279+G1255</f>
        <v>0</v>
      </c>
      <c r="H1303" s="1270">
        <f t="shared" si="302"/>
        <v>0</v>
      </c>
      <c r="I1303" s="1270">
        <f t="shared" si="302"/>
        <v>0</v>
      </c>
      <c r="J1303" s="1270">
        <f t="shared" si="302"/>
        <v>0</v>
      </c>
      <c r="K1303" s="1270">
        <f t="shared" si="302"/>
        <v>0</v>
      </c>
      <c r="L1303" s="1270">
        <f t="shared" si="302"/>
        <v>0</v>
      </c>
      <c r="M1303" s="1270">
        <f>M1279+M1255</f>
        <v>0</v>
      </c>
      <c r="N1303" s="1270">
        <f>N1279+N1255</f>
        <v>0</v>
      </c>
      <c r="O1303" s="1270">
        <f>SUM(C1303:N1303)</f>
        <v>640353</v>
      </c>
    </row>
    <row r="1304" spans="1:17" x14ac:dyDescent="0.35">
      <c r="B1304" s="1310"/>
      <c r="C1304" s="282"/>
      <c r="D1304" s="282"/>
      <c r="E1304" s="282"/>
      <c r="F1304" s="282"/>
      <c r="G1304" s="282"/>
      <c r="H1304" s="282"/>
      <c r="I1304" s="282"/>
      <c r="J1304" s="282"/>
      <c r="K1304" s="282"/>
      <c r="L1304" s="282"/>
      <c r="M1304" s="282"/>
      <c r="N1304" s="282"/>
      <c r="O1304" s="305"/>
    </row>
    <row r="1305" spans="1:17" x14ac:dyDescent="0.35">
      <c r="A1305" s="359"/>
      <c r="B1305" s="1338" t="s">
        <v>184</v>
      </c>
      <c r="C1305" s="275">
        <f>SUM(C1306:C1308)</f>
        <v>42190</v>
      </c>
      <c r="D1305" s="275">
        <f>SUM(D1306:D1308)</f>
        <v>34628</v>
      </c>
      <c r="E1305" s="275">
        <f t="shared" ref="E1305:M1305" si="303">SUM(E1306:E1308)</f>
        <v>38386</v>
      </c>
      <c r="F1305" s="275">
        <f t="shared" si="303"/>
        <v>34609</v>
      </c>
      <c r="G1305" s="275">
        <f t="shared" si="303"/>
        <v>0</v>
      </c>
      <c r="H1305" s="275">
        <f t="shared" si="303"/>
        <v>0</v>
      </c>
      <c r="I1305" s="275">
        <f t="shared" si="303"/>
        <v>0</v>
      </c>
      <c r="J1305" s="275">
        <f t="shared" si="303"/>
        <v>0</v>
      </c>
      <c r="K1305" s="275">
        <f t="shared" si="303"/>
        <v>0</v>
      </c>
      <c r="L1305" s="275">
        <f t="shared" si="303"/>
        <v>0</v>
      </c>
      <c r="M1305" s="275">
        <f t="shared" si="303"/>
        <v>0</v>
      </c>
      <c r="N1305" s="275">
        <f>SUM(N1306:N1308)</f>
        <v>0</v>
      </c>
      <c r="O1305" s="305">
        <f>SUM(C1305:N1305)</f>
        <v>149813</v>
      </c>
    </row>
    <row r="1306" spans="1:17" x14ac:dyDescent="0.35">
      <c r="A1306" s="359"/>
      <c r="B1306" s="1339" t="s">
        <v>185</v>
      </c>
      <c r="C1306" s="168">
        <f>C1258+C1282</f>
        <v>41646</v>
      </c>
      <c r="D1306" s="168">
        <f>D1258+D1282</f>
        <v>34628</v>
      </c>
      <c r="E1306" s="168">
        <f t="shared" ref="E1306:L1307" si="304">E1258+E1282</f>
        <v>38386</v>
      </c>
      <c r="F1306" s="168">
        <f t="shared" si="304"/>
        <v>34609</v>
      </c>
      <c r="G1306" s="168">
        <f t="shared" si="304"/>
        <v>0</v>
      </c>
      <c r="H1306" s="168">
        <f t="shared" si="304"/>
        <v>0</v>
      </c>
      <c r="I1306" s="168">
        <f t="shared" si="304"/>
        <v>0</v>
      </c>
      <c r="J1306" s="168">
        <f t="shared" si="304"/>
        <v>0</v>
      </c>
      <c r="K1306" s="168">
        <f t="shared" si="304"/>
        <v>0</v>
      </c>
      <c r="L1306" s="168">
        <f t="shared" si="304"/>
        <v>0</v>
      </c>
      <c r="M1306" s="168">
        <f>M1258+M1282</f>
        <v>0</v>
      </c>
      <c r="N1306" s="168">
        <f>N1258+N1282</f>
        <v>0</v>
      </c>
      <c r="O1306" s="294">
        <f>SUM(C1306:N1306)</f>
        <v>149269</v>
      </c>
    </row>
    <row r="1307" spans="1:17" x14ac:dyDescent="0.35">
      <c r="B1307" s="1339" t="s">
        <v>186</v>
      </c>
      <c r="C1307" s="168">
        <f>C1259+C1283</f>
        <v>544</v>
      </c>
      <c r="D1307" s="168">
        <f>D1259+D1283</f>
        <v>0</v>
      </c>
      <c r="E1307" s="168">
        <f t="shared" si="304"/>
        <v>0</v>
      </c>
      <c r="F1307" s="168">
        <f t="shared" si="304"/>
        <v>0</v>
      </c>
      <c r="G1307" s="168">
        <f t="shared" si="304"/>
        <v>0</v>
      </c>
      <c r="H1307" s="168">
        <f t="shared" si="304"/>
        <v>0</v>
      </c>
      <c r="I1307" s="168">
        <f t="shared" si="304"/>
        <v>0</v>
      </c>
      <c r="J1307" s="168">
        <f t="shared" si="304"/>
        <v>0</v>
      </c>
      <c r="K1307" s="168">
        <f t="shared" si="304"/>
        <v>0</v>
      </c>
      <c r="L1307" s="168">
        <f t="shared" si="304"/>
        <v>0</v>
      </c>
      <c r="M1307" s="168">
        <f>M1259+M1283</f>
        <v>0</v>
      </c>
      <c r="N1307" s="168">
        <f>N1259+N1283</f>
        <v>0</v>
      </c>
      <c r="O1307" s="294">
        <f>SUM(C1307:N1307)</f>
        <v>544</v>
      </c>
      <c r="Q1307" s="28">
        <f>+O1307/O1205</f>
        <v>2.5865102081570166E-3</v>
      </c>
    </row>
    <row r="1308" spans="1:17" x14ac:dyDescent="0.35">
      <c r="B1308" s="1339" t="s">
        <v>187</v>
      </c>
      <c r="C1308" s="275">
        <f>+C1310+C1314</f>
        <v>0</v>
      </c>
      <c r="D1308" s="275">
        <f>+D1310+D1314</f>
        <v>0</v>
      </c>
      <c r="E1308" s="275">
        <f>+E1310+E1314</f>
        <v>0</v>
      </c>
      <c r="F1308" s="275">
        <f>+F1310+F1314</f>
        <v>0</v>
      </c>
      <c r="G1308" s="275">
        <f t="shared" ref="G1308:L1308" si="305">+G1310+G1314</f>
        <v>0</v>
      </c>
      <c r="H1308" s="275">
        <f t="shared" si="305"/>
        <v>0</v>
      </c>
      <c r="I1308" s="275">
        <f t="shared" si="305"/>
        <v>0</v>
      </c>
      <c r="J1308" s="275">
        <f t="shared" si="305"/>
        <v>0</v>
      </c>
      <c r="K1308" s="275">
        <f t="shared" si="305"/>
        <v>0</v>
      </c>
      <c r="L1308" s="275">
        <f t="shared" si="305"/>
        <v>0</v>
      </c>
      <c r="M1308" s="275">
        <f>+M1310+M1314</f>
        <v>0</v>
      </c>
      <c r="N1308" s="275">
        <f>+N1310+N1314</f>
        <v>0</v>
      </c>
      <c r="O1308" s="305">
        <f>SUM(C1308:N1308)</f>
        <v>0</v>
      </c>
    </row>
    <row r="1309" spans="1:17" x14ac:dyDescent="0.35">
      <c r="B1309" s="1307"/>
      <c r="C1309" s="168"/>
      <c r="D1309" s="168"/>
      <c r="E1309" s="168"/>
      <c r="F1309" s="168"/>
      <c r="G1309" s="168"/>
      <c r="H1309" s="168"/>
      <c r="I1309" s="168"/>
      <c r="J1309" s="168"/>
      <c r="K1309" s="168"/>
      <c r="L1309" s="168"/>
      <c r="M1309" s="168"/>
      <c r="N1309" s="168"/>
      <c r="O1309" s="294"/>
    </row>
    <row r="1310" spans="1:17" x14ac:dyDescent="0.35">
      <c r="B1310" s="1307" t="s">
        <v>173</v>
      </c>
      <c r="C1310" s="275">
        <f>SUM(C1311:C1313)</f>
        <v>0</v>
      </c>
      <c r="D1310" s="275">
        <f>SUM(D1311:D1313)</f>
        <v>0</v>
      </c>
      <c r="E1310" s="275">
        <f t="shared" ref="E1310:M1310" si="306">SUM(E1311:E1313)</f>
        <v>0</v>
      </c>
      <c r="F1310" s="275">
        <f t="shared" si="306"/>
        <v>0</v>
      </c>
      <c r="G1310" s="275">
        <f t="shared" si="306"/>
        <v>0</v>
      </c>
      <c r="H1310" s="275">
        <f t="shared" si="306"/>
        <v>0</v>
      </c>
      <c r="I1310" s="275">
        <f t="shared" si="306"/>
        <v>0</v>
      </c>
      <c r="J1310" s="275">
        <f t="shared" si="306"/>
        <v>0</v>
      </c>
      <c r="K1310" s="275">
        <f t="shared" si="306"/>
        <v>0</v>
      </c>
      <c r="L1310" s="275">
        <f t="shared" si="306"/>
        <v>0</v>
      </c>
      <c r="M1310" s="275">
        <f t="shared" si="306"/>
        <v>0</v>
      </c>
      <c r="N1310" s="275">
        <f>SUM(N1311:N1313)</f>
        <v>0</v>
      </c>
      <c r="O1310" s="305">
        <f>SUM(C1310:N1310)</f>
        <v>0</v>
      </c>
    </row>
    <row r="1311" spans="1:17" x14ac:dyDescent="0.35">
      <c r="B1311" s="1275" t="s">
        <v>62</v>
      </c>
      <c r="C1311" s="168">
        <f t="shared" ref="C1311:M1314" si="307">+C1263+C1287</f>
        <v>0</v>
      </c>
      <c r="D1311" s="168">
        <f t="shared" si="307"/>
        <v>0</v>
      </c>
      <c r="E1311" s="168">
        <f t="shared" si="307"/>
        <v>0</v>
      </c>
      <c r="F1311" s="168">
        <f t="shared" si="307"/>
        <v>0</v>
      </c>
      <c r="G1311" s="168">
        <f t="shared" si="307"/>
        <v>0</v>
      </c>
      <c r="H1311" s="168">
        <f t="shared" si="307"/>
        <v>0</v>
      </c>
      <c r="I1311" s="168">
        <f t="shared" si="307"/>
        <v>0</v>
      </c>
      <c r="J1311" s="168">
        <f t="shared" si="307"/>
        <v>0</v>
      </c>
      <c r="K1311" s="168">
        <f t="shared" si="307"/>
        <v>0</v>
      </c>
      <c r="L1311" s="168">
        <f t="shared" si="307"/>
        <v>0</v>
      </c>
      <c r="M1311" s="168">
        <f t="shared" si="307"/>
        <v>0</v>
      </c>
      <c r="N1311" s="168">
        <f>+N1263+N1287</f>
        <v>0</v>
      </c>
      <c r="O1311" s="294">
        <f>SUM(C1311:N1311)</f>
        <v>0</v>
      </c>
    </row>
    <row r="1312" spans="1:17" x14ac:dyDescent="0.35">
      <c r="B1312" s="1275" t="s">
        <v>63</v>
      </c>
      <c r="C1312" s="168">
        <f t="shared" si="307"/>
        <v>0</v>
      </c>
      <c r="D1312" s="168">
        <f t="shared" si="307"/>
        <v>0</v>
      </c>
      <c r="E1312" s="168">
        <f t="shared" si="307"/>
        <v>0</v>
      </c>
      <c r="F1312" s="168">
        <f t="shared" si="307"/>
        <v>0</v>
      </c>
      <c r="G1312" s="168">
        <f t="shared" si="307"/>
        <v>0</v>
      </c>
      <c r="H1312" s="168">
        <f t="shared" si="307"/>
        <v>0</v>
      </c>
      <c r="I1312" s="168">
        <f t="shared" si="307"/>
        <v>0</v>
      </c>
      <c r="J1312" s="168">
        <f t="shared" si="307"/>
        <v>0</v>
      </c>
      <c r="K1312" s="168">
        <f t="shared" si="307"/>
        <v>0</v>
      </c>
      <c r="L1312" s="168">
        <f t="shared" si="307"/>
        <v>0</v>
      </c>
      <c r="M1312" s="168">
        <f t="shared" si="307"/>
        <v>0</v>
      </c>
      <c r="N1312" s="168">
        <f>+N1264+N1288</f>
        <v>0</v>
      </c>
      <c r="O1312" s="294">
        <f>SUM(C1312:N1312)</f>
        <v>0</v>
      </c>
      <c r="Q1312" s="359">
        <f>Q1313+O1106</f>
        <v>8354797.7386690006</v>
      </c>
    </row>
    <row r="1313" spans="1:22" x14ac:dyDescent="0.35">
      <c r="B1313" s="1275" t="s">
        <v>64</v>
      </c>
      <c r="C1313" s="168">
        <f t="shared" si="307"/>
        <v>0</v>
      </c>
      <c r="D1313" s="168">
        <f t="shared" si="307"/>
        <v>0</v>
      </c>
      <c r="E1313" s="168">
        <f t="shared" si="307"/>
        <v>0</v>
      </c>
      <c r="F1313" s="168">
        <f t="shared" si="307"/>
        <v>0</v>
      </c>
      <c r="G1313" s="168">
        <f t="shared" si="307"/>
        <v>0</v>
      </c>
      <c r="H1313" s="168">
        <f t="shared" si="307"/>
        <v>0</v>
      </c>
      <c r="I1313" s="168">
        <f t="shared" si="307"/>
        <v>0</v>
      </c>
      <c r="J1313" s="168">
        <f t="shared" si="307"/>
        <v>0</v>
      </c>
      <c r="K1313" s="168">
        <f t="shared" si="307"/>
        <v>0</v>
      </c>
      <c r="L1313" s="168">
        <f t="shared" si="307"/>
        <v>0</v>
      </c>
      <c r="M1313" s="168">
        <f t="shared" si="307"/>
        <v>0</v>
      </c>
      <c r="N1313" s="168">
        <f>+N1265+N1289</f>
        <v>0</v>
      </c>
      <c r="O1313" s="294">
        <f>SUM(C1313:N1313)</f>
        <v>0</v>
      </c>
      <c r="Q1313" s="324">
        <f>O1316*2.2</f>
        <v>1079188</v>
      </c>
    </row>
    <row r="1314" spans="1:22" x14ac:dyDescent="0.35">
      <c r="B1314" s="1307" t="s">
        <v>174</v>
      </c>
      <c r="C1314" s="275">
        <f t="shared" si="307"/>
        <v>0</v>
      </c>
      <c r="D1314" s="275">
        <f t="shared" si="307"/>
        <v>0</v>
      </c>
      <c r="E1314" s="275">
        <f t="shared" si="307"/>
        <v>0</v>
      </c>
      <c r="F1314" s="275">
        <f t="shared" si="307"/>
        <v>0</v>
      </c>
      <c r="G1314" s="275">
        <f t="shared" si="307"/>
        <v>0</v>
      </c>
      <c r="H1314" s="275">
        <f t="shared" si="307"/>
        <v>0</v>
      </c>
      <c r="I1314" s="275">
        <f t="shared" si="307"/>
        <v>0</v>
      </c>
      <c r="J1314" s="275">
        <f t="shared" si="307"/>
        <v>0</v>
      </c>
      <c r="K1314" s="275">
        <f t="shared" si="307"/>
        <v>0</v>
      </c>
      <c r="L1314" s="275">
        <f t="shared" si="307"/>
        <v>0</v>
      </c>
      <c r="M1314" s="275">
        <f t="shared" si="307"/>
        <v>0</v>
      </c>
      <c r="N1314" s="275">
        <f>+N1266+N1290</f>
        <v>0</v>
      </c>
      <c r="O1314" s="305">
        <f>SUM(C1314:N1314)</f>
        <v>0</v>
      </c>
    </row>
    <row r="1315" spans="1:22" x14ac:dyDescent="0.35">
      <c r="B1315" s="1308"/>
      <c r="C1315" s="275"/>
      <c r="D1315" s="275"/>
      <c r="E1315" s="275"/>
      <c r="F1315" s="275"/>
      <c r="G1315" s="275"/>
      <c r="H1315" s="275"/>
      <c r="I1315" s="275"/>
      <c r="J1315" s="275"/>
      <c r="K1315" s="275"/>
      <c r="L1315" s="275"/>
      <c r="M1315" s="275"/>
      <c r="N1315" s="275"/>
      <c r="O1315" s="305"/>
    </row>
    <row r="1316" spans="1:22" x14ac:dyDescent="0.35">
      <c r="A1316" s="359"/>
      <c r="B1316" s="1338" t="s">
        <v>188</v>
      </c>
      <c r="C1316" s="275">
        <f>SUM(C1317:C1319)</f>
        <v>120238</v>
      </c>
      <c r="D1316" s="275">
        <f>SUM(D1317:D1319)</f>
        <v>113239</v>
      </c>
      <c r="E1316" s="275">
        <f t="shared" ref="E1316:M1316" si="308">SUM(E1317:E1319)</f>
        <v>128992</v>
      </c>
      <c r="F1316" s="275">
        <f t="shared" si="308"/>
        <v>128071</v>
      </c>
      <c r="G1316" s="275">
        <f t="shared" si="308"/>
        <v>0</v>
      </c>
      <c r="H1316" s="275">
        <f t="shared" si="308"/>
        <v>0</v>
      </c>
      <c r="I1316" s="275">
        <f t="shared" si="308"/>
        <v>0</v>
      </c>
      <c r="J1316" s="275">
        <f t="shared" si="308"/>
        <v>0</v>
      </c>
      <c r="K1316" s="275">
        <f t="shared" si="308"/>
        <v>0</v>
      </c>
      <c r="L1316" s="275">
        <f t="shared" si="308"/>
        <v>0</v>
      </c>
      <c r="M1316" s="275">
        <f t="shared" si="308"/>
        <v>0</v>
      </c>
      <c r="N1316" s="275">
        <f>SUM(N1317:N1319)</f>
        <v>0</v>
      </c>
      <c r="O1316" s="294">
        <f t="shared" ref="O1316:O1325" si="309">SUM(C1316:N1316)</f>
        <v>490540</v>
      </c>
      <c r="P1316" s="28">
        <f>O1316/O1303</f>
        <v>0.76604622762757413</v>
      </c>
    </row>
    <row r="1317" spans="1:22" x14ac:dyDescent="0.35">
      <c r="A1317" s="359"/>
      <c r="B1317" s="1339" t="s">
        <v>185</v>
      </c>
      <c r="C1317" s="168">
        <f>C1269+C1293</f>
        <v>64841</v>
      </c>
      <c r="D1317" s="168">
        <f>D1269+D1293</f>
        <v>56082</v>
      </c>
      <c r="E1317" s="168">
        <f t="shared" ref="E1317:L1318" si="310">E1269+E1293</f>
        <v>66844</v>
      </c>
      <c r="F1317" s="168">
        <f t="shared" si="310"/>
        <v>63681</v>
      </c>
      <c r="G1317" s="168">
        <f t="shared" si="310"/>
        <v>0</v>
      </c>
      <c r="H1317" s="168">
        <f t="shared" si="310"/>
        <v>0</v>
      </c>
      <c r="I1317" s="168">
        <f t="shared" si="310"/>
        <v>0</v>
      </c>
      <c r="J1317" s="168">
        <f t="shared" si="310"/>
        <v>0</v>
      </c>
      <c r="K1317" s="168">
        <f t="shared" si="310"/>
        <v>0</v>
      </c>
      <c r="L1317" s="168">
        <f t="shared" si="310"/>
        <v>0</v>
      </c>
      <c r="M1317" s="168">
        <f>M1269+M1293</f>
        <v>0</v>
      </c>
      <c r="N1317" s="168">
        <f>N1269+N1293</f>
        <v>0</v>
      </c>
      <c r="O1317" s="294">
        <f t="shared" si="309"/>
        <v>251448</v>
      </c>
      <c r="P1317" s="28"/>
    </row>
    <row r="1318" spans="1:22" ht="14.25" customHeight="1" x14ac:dyDescent="0.35">
      <c r="A1318" s="359"/>
      <c r="B1318" s="1339" t="s">
        <v>186</v>
      </c>
      <c r="C1318" s="168">
        <f>C1270+C1294</f>
        <v>47947</v>
      </c>
      <c r="D1318" s="168">
        <f>D1270+D1294</f>
        <v>50488</v>
      </c>
      <c r="E1318" s="168">
        <f t="shared" si="310"/>
        <v>54857</v>
      </c>
      <c r="F1318" s="168">
        <f t="shared" si="310"/>
        <v>56486</v>
      </c>
      <c r="G1318" s="168">
        <f t="shared" si="310"/>
        <v>0</v>
      </c>
      <c r="H1318" s="168">
        <f t="shared" si="310"/>
        <v>0</v>
      </c>
      <c r="I1318" s="168">
        <f t="shared" si="310"/>
        <v>0</v>
      </c>
      <c r="J1318" s="168">
        <f t="shared" si="310"/>
        <v>0</v>
      </c>
      <c r="K1318" s="168">
        <f t="shared" si="310"/>
        <v>0</v>
      </c>
      <c r="L1318" s="168">
        <f t="shared" si="310"/>
        <v>0</v>
      </c>
      <c r="M1318" s="168">
        <f>M1270+M1294</f>
        <v>0</v>
      </c>
      <c r="N1318" s="168">
        <f>N1270+N1294</f>
        <v>0</v>
      </c>
      <c r="O1318" s="294">
        <f t="shared" si="309"/>
        <v>209778</v>
      </c>
      <c r="P1318" s="28">
        <f>O1318/O1316</f>
        <v>0.42764708280670283</v>
      </c>
      <c r="Q1318" s="28">
        <f>O1318/O1205</f>
        <v>0.99741348979184297</v>
      </c>
    </row>
    <row r="1319" spans="1:22" x14ac:dyDescent="0.35">
      <c r="A1319" s="359"/>
      <c r="B1319" s="1339" t="s">
        <v>187</v>
      </c>
      <c r="C1319" s="275">
        <f>+C1321+C1325</f>
        <v>7450</v>
      </c>
      <c r="D1319" s="275">
        <f>+D1321+D1325</f>
        <v>6669</v>
      </c>
      <c r="E1319" s="275">
        <f>+E1321+E1325</f>
        <v>7291</v>
      </c>
      <c r="F1319" s="275">
        <f>+F1321+F1325</f>
        <v>7904</v>
      </c>
      <c r="G1319" s="275">
        <f t="shared" ref="G1319:L1319" si="311">+G1321+G1325</f>
        <v>0</v>
      </c>
      <c r="H1319" s="275">
        <f t="shared" si="311"/>
        <v>0</v>
      </c>
      <c r="I1319" s="275">
        <f t="shared" si="311"/>
        <v>0</v>
      </c>
      <c r="J1319" s="275">
        <f t="shared" si="311"/>
        <v>0</v>
      </c>
      <c r="K1319" s="275">
        <f t="shared" si="311"/>
        <v>0</v>
      </c>
      <c r="L1319" s="275">
        <f t="shared" si="311"/>
        <v>0</v>
      </c>
      <c r="M1319" s="275">
        <f>+M1321+M1325</f>
        <v>0</v>
      </c>
      <c r="N1319" s="275">
        <f>+N1321+N1325</f>
        <v>0</v>
      </c>
      <c r="O1319" s="294">
        <f t="shared" si="309"/>
        <v>29314</v>
      </c>
    </row>
    <row r="1320" spans="1:22" ht="18.75" customHeight="1" x14ac:dyDescent="0.35">
      <c r="B1320" s="1307"/>
      <c r="C1320" s="168"/>
      <c r="D1320" s="168"/>
      <c r="E1320" s="168"/>
      <c r="F1320" s="168"/>
      <c r="G1320" s="168"/>
      <c r="H1320" s="168"/>
      <c r="I1320" s="168"/>
      <c r="J1320" s="168"/>
      <c r="K1320" s="168"/>
      <c r="L1320" s="168"/>
      <c r="M1320" s="168"/>
      <c r="N1320" s="168"/>
      <c r="O1320" s="294">
        <f t="shared" si="309"/>
        <v>0</v>
      </c>
    </row>
    <row r="1321" spans="1:22" ht="15" customHeight="1" x14ac:dyDescent="0.35">
      <c r="B1321" s="1307" t="s">
        <v>173</v>
      </c>
      <c r="C1321" s="275">
        <f>SUM(C1322:C1324)</f>
        <v>7329</v>
      </c>
      <c r="D1321" s="275">
        <f>SUM(D1322:D1324)</f>
        <v>6541</v>
      </c>
      <c r="E1321" s="275">
        <f t="shared" ref="E1321:M1321" si="312">SUM(E1322:E1324)</f>
        <v>7148</v>
      </c>
      <c r="F1321" s="275">
        <f t="shared" si="312"/>
        <v>7691</v>
      </c>
      <c r="G1321" s="275">
        <f t="shared" si="312"/>
        <v>0</v>
      </c>
      <c r="H1321" s="275">
        <f t="shared" si="312"/>
        <v>0</v>
      </c>
      <c r="I1321" s="275">
        <f t="shared" si="312"/>
        <v>0</v>
      </c>
      <c r="J1321" s="275">
        <f t="shared" si="312"/>
        <v>0</v>
      </c>
      <c r="K1321" s="275">
        <f t="shared" si="312"/>
        <v>0</v>
      </c>
      <c r="L1321" s="275">
        <f t="shared" si="312"/>
        <v>0</v>
      </c>
      <c r="M1321" s="275">
        <f t="shared" si="312"/>
        <v>0</v>
      </c>
      <c r="N1321" s="275">
        <f>SUM(N1322:N1324)</f>
        <v>0</v>
      </c>
      <c r="O1321" s="305">
        <f t="shared" si="309"/>
        <v>28709</v>
      </c>
    </row>
    <row r="1322" spans="1:22" ht="18.75" customHeight="1" x14ac:dyDescent="0.35">
      <c r="B1322" s="1275" t="s">
        <v>62</v>
      </c>
      <c r="C1322" s="168">
        <f t="shared" ref="C1322:M1325" si="313">+C1274+C1298</f>
        <v>3161</v>
      </c>
      <c r="D1322" s="168">
        <f t="shared" si="313"/>
        <v>2966</v>
      </c>
      <c r="E1322" s="168">
        <f t="shared" si="313"/>
        <v>3305</v>
      </c>
      <c r="F1322" s="168">
        <f t="shared" si="313"/>
        <v>3814</v>
      </c>
      <c r="G1322" s="168">
        <f t="shared" si="313"/>
        <v>0</v>
      </c>
      <c r="H1322" s="168">
        <f t="shared" si="313"/>
        <v>0</v>
      </c>
      <c r="I1322" s="168">
        <f t="shared" si="313"/>
        <v>0</v>
      </c>
      <c r="J1322" s="168">
        <f t="shared" si="313"/>
        <v>0</v>
      </c>
      <c r="K1322" s="168">
        <f t="shared" si="313"/>
        <v>0</v>
      </c>
      <c r="L1322" s="168">
        <f t="shared" si="313"/>
        <v>0</v>
      </c>
      <c r="M1322" s="168">
        <f t="shared" si="313"/>
        <v>0</v>
      </c>
      <c r="N1322" s="168">
        <f>+N1274+N1298</f>
        <v>0</v>
      </c>
      <c r="O1322" s="294">
        <f t="shared" si="309"/>
        <v>13246</v>
      </c>
    </row>
    <row r="1323" spans="1:22" ht="18.75" customHeight="1" x14ac:dyDescent="0.35">
      <c r="B1323" s="1275" t="s">
        <v>63</v>
      </c>
      <c r="C1323" s="168">
        <f t="shared" si="313"/>
        <v>4168</v>
      </c>
      <c r="D1323" s="168">
        <f t="shared" si="313"/>
        <v>3573</v>
      </c>
      <c r="E1323" s="168">
        <f t="shared" si="313"/>
        <v>3843</v>
      </c>
      <c r="F1323" s="168">
        <f t="shared" si="313"/>
        <v>3875</v>
      </c>
      <c r="G1323" s="168">
        <f t="shared" si="313"/>
        <v>0</v>
      </c>
      <c r="H1323" s="168">
        <f t="shared" si="313"/>
        <v>0</v>
      </c>
      <c r="I1323" s="168">
        <f t="shared" si="313"/>
        <v>0</v>
      </c>
      <c r="J1323" s="168">
        <f t="shared" si="313"/>
        <v>0</v>
      </c>
      <c r="K1323" s="168">
        <f t="shared" si="313"/>
        <v>0</v>
      </c>
      <c r="L1323" s="168">
        <f t="shared" si="313"/>
        <v>0</v>
      </c>
      <c r="M1323" s="168">
        <f t="shared" si="313"/>
        <v>0</v>
      </c>
      <c r="N1323" s="168">
        <f>+N1275+N1299</f>
        <v>0</v>
      </c>
      <c r="O1323" s="294">
        <f t="shared" si="309"/>
        <v>15459</v>
      </c>
    </row>
    <row r="1324" spans="1:22" ht="18.75" customHeight="1" x14ac:dyDescent="0.35">
      <c r="B1324" s="1275" t="s">
        <v>64</v>
      </c>
      <c r="C1324" s="168">
        <f t="shared" si="313"/>
        <v>0</v>
      </c>
      <c r="D1324" s="168">
        <f t="shared" si="313"/>
        <v>2</v>
      </c>
      <c r="E1324" s="168">
        <f t="shared" si="313"/>
        <v>0</v>
      </c>
      <c r="F1324" s="168">
        <f t="shared" si="313"/>
        <v>2</v>
      </c>
      <c r="G1324" s="168">
        <f t="shared" si="313"/>
        <v>0</v>
      </c>
      <c r="H1324" s="168">
        <f t="shared" si="313"/>
        <v>0</v>
      </c>
      <c r="I1324" s="168">
        <f t="shared" si="313"/>
        <v>0</v>
      </c>
      <c r="J1324" s="168">
        <f t="shared" si="313"/>
        <v>0</v>
      </c>
      <c r="K1324" s="168">
        <f t="shared" si="313"/>
        <v>0</v>
      </c>
      <c r="L1324" s="168">
        <f t="shared" si="313"/>
        <v>0</v>
      </c>
      <c r="M1324" s="168">
        <f t="shared" si="313"/>
        <v>0</v>
      </c>
      <c r="N1324" s="168">
        <f>+N1276+N1300</f>
        <v>0</v>
      </c>
      <c r="O1324" s="294">
        <f t="shared" si="309"/>
        <v>4</v>
      </c>
    </row>
    <row r="1325" spans="1:22" ht="18.75" customHeight="1" x14ac:dyDescent="0.35">
      <c r="B1325" s="1307" t="s">
        <v>174</v>
      </c>
      <c r="C1325" s="275">
        <f t="shared" si="313"/>
        <v>121</v>
      </c>
      <c r="D1325" s="275">
        <f t="shared" si="313"/>
        <v>128</v>
      </c>
      <c r="E1325" s="275">
        <f t="shared" si="313"/>
        <v>143</v>
      </c>
      <c r="F1325" s="275">
        <f t="shared" si="313"/>
        <v>213</v>
      </c>
      <c r="G1325" s="275">
        <f t="shared" si="313"/>
        <v>0</v>
      </c>
      <c r="H1325" s="275">
        <f t="shared" si="313"/>
        <v>0</v>
      </c>
      <c r="I1325" s="275">
        <f t="shared" si="313"/>
        <v>0</v>
      </c>
      <c r="J1325" s="275">
        <f t="shared" si="313"/>
        <v>0</v>
      </c>
      <c r="K1325" s="275">
        <f t="shared" si="313"/>
        <v>0</v>
      </c>
      <c r="L1325" s="275">
        <f t="shared" si="313"/>
        <v>0</v>
      </c>
      <c r="M1325" s="275">
        <f t="shared" si="313"/>
        <v>0</v>
      </c>
      <c r="N1325" s="275">
        <f>+N1277+N1301</f>
        <v>0</v>
      </c>
      <c r="O1325" s="305">
        <f t="shared" si="309"/>
        <v>605</v>
      </c>
    </row>
    <row r="1326" spans="1:22" ht="18.75" customHeight="1" x14ac:dyDescent="0.35">
      <c r="B1326" s="170"/>
      <c r="C1326" s="239"/>
      <c r="D1326" s="240"/>
      <c r="E1326" s="240"/>
      <c r="F1326" s="240"/>
      <c r="G1326" s="240"/>
      <c r="H1326" s="240"/>
      <c r="I1326" s="240"/>
      <c r="J1326" s="240"/>
      <c r="K1326" s="240"/>
      <c r="L1326" s="240"/>
      <c r="M1326" s="240"/>
      <c r="N1326" s="240"/>
      <c r="O1326" s="240"/>
      <c r="T1326" s="8"/>
      <c r="U1326" s="151" t="s">
        <v>462</v>
      </c>
      <c r="V1326" s="753" t="s">
        <v>461</v>
      </c>
    </row>
    <row r="1327" spans="1:22" ht="18.75" customHeight="1" x14ac:dyDescent="0.35">
      <c r="T1327" s="8" t="s">
        <v>458</v>
      </c>
      <c r="U1327" s="106">
        <v>935</v>
      </c>
      <c r="V1327" s="754">
        <f>+U1327/U1329</f>
        <v>4.4373152107368792E-3</v>
      </c>
    </row>
    <row r="1328" spans="1:22" x14ac:dyDescent="0.35">
      <c r="T1328" s="8" t="s">
        <v>459</v>
      </c>
      <c r="U1328" s="106">
        <f>+O1318</f>
        <v>209778</v>
      </c>
      <c r="V1328" s="754">
        <f>+U1328/U1329</f>
        <v>0.99556268478926313</v>
      </c>
    </row>
    <row r="1329" spans="20:22" ht="18.75" customHeight="1" x14ac:dyDescent="0.35">
      <c r="T1329" s="13" t="s">
        <v>460</v>
      </c>
      <c r="U1329" s="151">
        <f>+U1327+U1328</f>
        <v>210713</v>
      </c>
      <c r="V1329" s="755">
        <f>+U1329/U1329</f>
        <v>1</v>
      </c>
    </row>
    <row r="1330" spans="20:22" ht="18.75" customHeight="1" x14ac:dyDescent="0.35"/>
    <row r="1331" spans="20:22" ht="18.75" customHeight="1" x14ac:dyDescent="0.35">
      <c r="U1331" s="784">
        <f>+U1327/REPARTITION!K47</f>
        <v>0.9619341563786008</v>
      </c>
    </row>
    <row r="1332" spans="20:22" ht="18.75" customHeight="1" x14ac:dyDescent="0.35"/>
    <row r="1333" spans="20:22" ht="18.75" customHeight="1" x14ac:dyDescent="0.35"/>
    <row r="1334" spans="20:22" ht="18.75" customHeight="1" x14ac:dyDescent="0.35"/>
    <row r="1335" spans="20:22" ht="18.75" customHeight="1" x14ac:dyDescent="0.35"/>
    <row r="1337" spans="20:22" ht="18.75" customHeight="1" x14ac:dyDescent="0.35"/>
    <row r="1339" spans="20:22" ht="18.75" customHeight="1" x14ac:dyDescent="0.35"/>
    <row r="1372" spans="16:16" x14ac:dyDescent="0.35">
      <c r="P1372" s="324" t="s">
        <v>183</v>
      </c>
    </row>
    <row r="1437" spans="16:16" x14ac:dyDescent="0.35">
      <c r="P1437" s="324" t="s">
        <v>11</v>
      </c>
    </row>
    <row r="1445" spans="16:16" x14ac:dyDescent="0.35">
      <c r="P1445" s="324" t="s">
        <v>183</v>
      </c>
    </row>
    <row r="1447" spans="16:16" x14ac:dyDescent="0.35">
      <c r="P1447" s="324" t="s">
        <v>11</v>
      </c>
    </row>
  </sheetData>
  <dataConsolidate/>
  <mergeCells count="460">
    <mergeCell ref="B1112:O1112"/>
    <mergeCell ref="B1184:O1184"/>
    <mergeCell ref="B1208:O1208"/>
    <mergeCell ref="B1250:O1250"/>
    <mergeCell ref="B438:O438"/>
    <mergeCell ref="B513:O513"/>
    <mergeCell ref="B590:O590"/>
    <mergeCell ref="B621:O621"/>
    <mergeCell ref="B653:O653"/>
    <mergeCell ref="B697:O697"/>
    <mergeCell ref="B726:O726"/>
    <mergeCell ref="B744:O744"/>
    <mergeCell ref="B771:O771"/>
    <mergeCell ref="B24:O24"/>
    <mergeCell ref="B56:O56"/>
    <mergeCell ref="B81:O81"/>
    <mergeCell ref="B113:O113"/>
    <mergeCell ref="B154:O154"/>
    <mergeCell ref="B189:O189"/>
    <mergeCell ref="B260:O260"/>
    <mergeCell ref="B295:O295"/>
    <mergeCell ref="B330:O330"/>
    <mergeCell ref="J1252:J1253"/>
    <mergeCell ref="K1252:K1253"/>
    <mergeCell ref="L1252:L1253"/>
    <mergeCell ref="M1252:M1253"/>
    <mergeCell ref="N1252:N1253"/>
    <mergeCell ref="O1252:O1253"/>
    <mergeCell ref="O1210:O1211"/>
    <mergeCell ref="B1252:B1253"/>
    <mergeCell ref="C1252:C1253"/>
    <mergeCell ref="D1252:D1253"/>
    <mergeCell ref="E1252:E1253"/>
    <mergeCell ref="F1252:F1253"/>
    <mergeCell ref="G1252:G1253"/>
    <mergeCell ref="H1252:H1253"/>
    <mergeCell ref="I1252:I1253"/>
    <mergeCell ref="I1210:I1211"/>
    <mergeCell ref="J1210:J1211"/>
    <mergeCell ref="K1210:K1211"/>
    <mergeCell ref="L1210:L1211"/>
    <mergeCell ref="M1210:M1211"/>
    <mergeCell ref="N1210:N1211"/>
    <mergeCell ref="N1186:N1187"/>
    <mergeCell ref="O1186:O1187"/>
    <mergeCell ref="B1210:B1211"/>
    <mergeCell ref="C1210:C1211"/>
    <mergeCell ref="D1210:D1211"/>
    <mergeCell ref="E1210:E1211"/>
    <mergeCell ref="F1210:F1211"/>
    <mergeCell ref="G1210:G1211"/>
    <mergeCell ref="H1210:H1211"/>
    <mergeCell ref="H1186:H1187"/>
    <mergeCell ref="I1186:I1187"/>
    <mergeCell ref="J1186:J1187"/>
    <mergeCell ref="K1186:K1187"/>
    <mergeCell ref="L1186:L1187"/>
    <mergeCell ref="M1186:M1187"/>
    <mergeCell ref="B1186:B1187"/>
    <mergeCell ref="C1186:C1187"/>
    <mergeCell ref="D1186:D1187"/>
    <mergeCell ref="E1186:E1187"/>
    <mergeCell ref="F1186:F1187"/>
    <mergeCell ref="G1186:G1187"/>
    <mergeCell ref="K1114:K1115"/>
    <mergeCell ref="L1114:L1115"/>
    <mergeCell ref="M1114:M1115"/>
    <mergeCell ref="N1114:N1115"/>
    <mergeCell ref="O1114:O1115"/>
    <mergeCell ref="B1114:B1115"/>
    <mergeCell ref="C1114:C1115"/>
    <mergeCell ref="D1114:D1115"/>
    <mergeCell ref="E1114:E1115"/>
    <mergeCell ref="F1114:F1115"/>
    <mergeCell ref="G1114:G1115"/>
    <mergeCell ref="H1114:H1115"/>
    <mergeCell ref="I1114:I1115"/>
    <mergeCell ref="J1114:J1115"/>
    <mergeCell ref="K1093:K1094"/>
    <mergeCell ref="L1093:L1094"/>
    <mergeCell ref="M1093:M1094"/>
    <mergeCell ref="N1093:N1094"/>
    <mergeCell ref="O1093:O1094"/>
    <mergeCell ref="B1089:O1089"/>
    <mergeCell ref="B1093:B1094"/>
    <mergeCell ref="C1093:C1094"/>
    <mergeCell ref="D1093:D1094"/>
    <mergeCell ref="E1093:E1094"/>
    <mergeCell ref="F1093:F1094"/>
    <mergeCell ref="G1093:G1094"/>
    <mergeCell ref="H1093:H1094"/>
    <mergeCell ref="I1093:I1094"/>
    <mergeCell ref="B1091:O1091"/>
    <mergeCell ref="M1020:M1021"/>
    <mergeCell ref="N1020:N1021"/>
    <mergeCell ref="O1020:O1021"/>
    <mergeCell ref="B1016:O1016"/>
    <mergeCell ref="B1020:B1021"/>
    <mergeCell ref="C1020:C1021"/>
    <mergeCell ref="D1020:D1021"/>
    <mergeCell ref="E1020:E1021"/>
    <mergeCell ref="F1020:F1021"/>
    <mergeCell ref="G1020:G1021"/>
    <mergeCell ref="H1020:H1021"/>
    <mergeCell ref="I1020:I1021"/>
    <mergeCell ref="B1018:O1018"/>
    <mergeCell ref="M988:M989"/>
    <mergeCell ref="N988:N989"/>
    <mergeCell ref="O988:O989"/>
    <mergeCell ref="O945:O946"/>
    <mergeCell ref="B988:B989"/>
    <mergeCell ref="C988:C989"/>
    <mergeCell ref="D988:D989"/>
    <mergeCell ref="E988:E989"/>
    <mergeCell ref="F988:F989"/>
    <mergeCell ref="G988:G989"/>
    <mergeCell ref="H988:H989"/>
    <mergeCell ref="I988:I989"/>
    <mergeCell ref="I945:I946"/>
    <mergeCell ref="J945:J946"/>
    <mergeCell ref="K945:K946"/>
    <mergeCell ref="L945:L946"/>
    <mergeCell ref="M945:M946"/>
    <mergeCell ref="N945:N946"/>
    <mergeCell ref="B986:O986"/>
    <mergeCell ref="N901:N902"/>
    <mergeCell ref="O901:O902"/>
    <mergeCell ref="B943:O943"/>
    <mergeCell ref="B945:B946"/>
    <mergeCell ref="C945:C946"/>
    <mergeCell ref="D945:D946"/>
    <mergeCell ref="E945:E946"/>
    <mergeCell ref="F945:F946"/>
    <mergeCell ref="G945:G946"/>
    <mergeCell ref="H945:H946"/>
    <mergeCell ref="H901:H902"/>
    <mergeCell ref="I901:I902"/>
    <mergeCell ref="J901:J902"/>
    <mergeCell ref="K901:K902"/>
    <mergeCell ref="L901:L902"/>
    <mergeCell ref="M901:M902"/>
    <mergeCell ref="B901:B902"/>
    <mergeCell ref="C901:C902"/>
    <mergeCell ref="D901:D902"/>
    <mergeCell ref="E901:E902"/>
    <mergeCell ref="F901:F902"/>
    <mergeCell ref="G901:G902"/>
    <mergeCell ref="M838:M839"/>
    <mergeCell ref="N838:N839"/>
    <mergeCell ref="O838:O839"/>
    <mergeCell ref="B899:O899"/>
    <mergeCell ref="B836:O836"/>
    <mergeCell ref="B838:B839"/>
    <mergeCell ref="C838:C839"/>
    <mergeCell ref="D838:D839"/>
    <mergeCell ref="E838:E839"/>
    <mergeCell ref="F838:F839"/>
    <mergeCell ref="G838:G839"/>
    <mergeCell ref="H838:H839"/>
    <mergeCell ref="I838:I839"/>
    <mergeCell ref="J838:J839"/>
    <mergeCell ref="M775:M776"/>
    <mergeCell ref="N775:N776"/>
    <mergeCell ref="O775:O776"/>
    <mergeCell ref="B773:O773"/>
    <mergeCell ref="B775:B776"/>
    <mergeCell ref="C775:C776"/>
    <mergeCell ref="D775:D776"/>
    <mergeCell ref="E775:E776"/>
    <mergeCell ref="F775:F776"/>
    <mergeCell ref="G775:G776"/>
    <mergeCell ref="H775:H776"/>
    <mergeCell ref="I775:I776"/>
    <mergeCell ref="M746:M747"/>
    <mergeCell ref="N746:N747"/>
    <mergeCell ref="O746:O747"/>
    <mergeCell ref="O728:O729"/>
    <mergeCell ref="B746:B747"/>
    <mergeCell ref="C746:C747"/>
    <mergeCell ref="D746:D747"/>
    <mergeCell ref="E746:E747"/>
    <mergeCell ref="F746:F747"/>
    <mergeCell ref="G746:G747"/>
    <mergeCell ref="H746:H747"/>
    <mergeCell ref="I746:I747"/>
    <mergeCell ref="I728:I729"/>
    <mergeCell ref="J728:J729"/>
    <mergeCell ref="K728:K729"/>
    <mergeCell ref="L728:L729"/>
    <mergeCell ref="M728:M729"/>
    <mergeCell ref="N728:N729"/>
    <mergeCell ref="O699:O700"/>
    <mergeCell ref="B728:B729"/>
    <mergeCell ref="C728:C729"/>
    <mergeCell ref="D728:D729"/>
    <mergeCell ref="E728:E729"/>
    <mergeCell ref="F728:F729"/>
    <mergeCell ref="G728:G729"/>
    <mergeCell ref="H728:H729"/>
    <mergeCell ref="H699:H700"/>
    <mergeCell ref="I699:I700"/>
    <mergeCell ref="J699:J700"/>
    <mergeCell ref="K699:K700"/>
    <mergeCell ref="L699:L700"/>
    <mergeCell ref="M699:M700"/>
    <mergeCell ref="N655:N656"/>
    <mergeCell ref="O655:O656"/>
    <mergeCell ref="B695:O695"/>
    <mergeCell ref="B699:B700"/>
    <mergeCell ref="C699:C700"/>
    <mergeCell ref="D699:D700"/>
    <mergeCell ref="E699:E700"/>
    <mergeCell ref="F699:F700"/>
    <mergeCell ref="G699:G700"/>
    <mergeCell ref="H655:H656"/>
    <mergeCell ref="I655:I656"/>
    <mergeCell ref="J655:J656"/>
    <mergeCell ref="K655:K656"/>
    <mergeCell ref="L655:L656"/>
    <mergeCell ref="M655:M656"/>
    <mergeCell ref="B655:B656"/>
    <mergeCell ref="C655:C656"/>
    <mergeCell ref="D655:D656"/>
    <mergeCell ref="E655:E656"/>
    <mergeCell ref="F655:F656"/>
    <mergeCell ref="G655:G656"/>
    <mergeCell ref="N699:N700"/>
    <mergeCell ref="K623:K624"/>
    <mergeCell ref="L623:L624"/>
    <mergeCell ref="M623:M624"/>
    <mergeCell ref="N623:N624"/>
    <mergeCell ref="O623:O624"/>
    <mergeCell ref="B623:B624"/>
    <mergeCell ref="C623:C624"/>
    <mergeCell ref="D623:D624"/>
    <mergeCell ref="E623:E624"/>
    <mergeCell ref="F623:F624"/>
    <mergeCell ref="G623:G624"/>
    <mergeCell ref="H623:H624"/>
    <mergeCell ref="I623:I624"/>
    <mergeCell ref="J623:J624"/>
    <mergeCell ref="J592:J593"/>
    <mergeCell ref="K592:K593"/>
    <mergeCell ref="L592:L593"/>
    <mergeCell ref="M592:M593"/>
    <mergeCell ref="N592:N593"/>
    <mergeCell ref="O592:O593"/>
    <mergeCell ref="B588:O588"/>
    <mergeCell ref="B592:B593"/>
    <mergeCell ref="C592:C593"/>
    <mergeCell ref="D592:D593"/>
    <mergeCell ref="E592:E593"/>
    <mergeCell ref="F592:F593"/>
    <mergeCell ref="G592:G593"/>
    <mergeCell ref="H592:H593"/>
    <mergeCell ref="I592:I593"/>
    <mergeCell ref="J515:J516"/>
    <mergeCell ref="K515:K516"/>
    <mergeCell ref="L515:L516"/>
    <mergeCell ref="M515:M516"/>
    <mergeCell ref="N515:N516"/>
    <mergeCell ref="O515:O516"/>
    <mergeCell ref="O440:O441"/>
    <mergeCell ref="B515:B516"/>
    <mergeCell ref="C515:C516"/>
    <mergeCell ref="D515:D516"/>
    <mergeCell ref="E515:E516"/>
    <mergeCell ref="F515:F516"/>
    <mergeCell ref="G515:G516"/>
    <mergeCell ref="H515:H516"/>
    <mergeCell ref="I515:I516"/>
    <mergeCell ref="I440:I441"/>
    <mergeCell ref="J440:J441"/>
    <mergeCell ref="K440:K441"/>
    <mergeCell ref="L440:L441"/>
    <mergeCell ref="M440:M441"/>
    <mergeCell ref="N440:N441"/>
    <mergeCell ref="N365:N366"/>
    <mergeCell ref="O365:O366"/>
    <mergeCell ref="B440:B441"/>
    <mergeCell ref="C440:C441"/>
    <mergeCell ref="D440:D441"/>
    <mergeCell ref="E440:E441"/>
    <mergeCell ref="F440:F441"/>
    <mergeCell ref="G440:G441"/>
    <mergeCell ref="H440:H441"/>
    <mergeCell ref="H365:H366"/>
    <mergeCell ref="I365:I366"/>
    <mergeCell ref="J365:J366"/>
    <mergeCell ref="K365:K366"/>
    <mergeCell ref="L365:L366"/>
    <mergeCell ref="M365:M366"/>
    <mergeCell ref="B365:B366"/>
    <mergeCell ref="C365:C366"/>
    <mergeCell ref="D365:D366"/>
    <mergeCell ref="E365:E366"/>
    <mergeCell ref="F365:F366"/>
    <mergeCell ref="G365:G366"/>
    <mergeCell ref="B363:O363"/>
    <mergeCell ref="K297:K298"/>
    <mergeCell ref="L297:L298"/>
    <mergeCell ref="M297:M298"/>
    <mergeCell ref="N297:N298"/>
    <mergeCell ref="O297:O298"/>
    <mergeCell ref="B328:O328"/>
    <mergeCell ref="B297:B298"/>
    <mergeCell ref="C297:C298"/>
    <mergeCell ref="D297:D298"/>
    <mergeCell ref="E297:E298"/>
    <mergeCell ref="F297:F298"/>
    <mergeCell ref="G297:G298"/>
    <mergeCell ref="H297:H298"/>
    <mergeCell ref="I297:I298"/>
    <mergeCell ref="J297:J298"/>
    <mergeCell ref="K332:K333"/>
    <mergeCell ref="L332:L333"/>
    <mergeCell ref="M332:M333"/>
    <mergeCell ref="N332:N333"/>
    <mergeCell ref="O332:O333"/>
    <mergeCell ref="B332:B333"/>
    <mergeCell ref="C332:C333"/>
    <mergeCell ref="D332:D333"/>
    <mergeCell ref="E332:E333"/>
    <mergeCell ref="F332:F333"/>
    <mergeCell ref="G332:G333"/>
    <mergeCell ref="H332:H333"/>
    <mergeCell ref="I332:I333"/>
    <mergeCell ref="J332:J333"/>
    <mergeCell ref="J262:J263"/>
    <mergeCell ref="K262:K263"/>
    <mergeCell ref="L262:L263"/>
    <mergeCell ref="M262:M263"/>
    <mergeCell ref="N262:N263"/>
    <mergeCell ref="O262:O263"/>
    <mergeCell ref="O191:O192"/>
    <mergeCell ref="B262:B263"/>
    <mergeCell ref="C262:C263"/>
    <mergeCell ref="D262:D263"/>
    <mergeCell ref="E262:E263"/>
    <mergeCell ref="F262:F263"/>
    <mergeCell ref="G262:G263"/>
    <mergeCell ref="H262:H263"/>
    <mergeCell ref="I262:I263"/>
    <mergeCell ref="I191:I192"/>
    <mergeCell ref="J191:J192"/>
    <mergeCell ref="K191:K192"/>
    <mergeCell ref="L191:L192"/>
    <mergeCell ref="M191:M192"/>
    <mergeCell ref="N191:N192"/>
    <mergeCell ref="N156:N157"/>
    <mergeCell ref="O156:O157"/>
    <mergeCell ref="B191:B192"/>
    <mergeCell ref="C191:C192"/>
    <mergeCell ref="D191:D192"/>
    <mergeCell ref="E191:E192"/>
    <mergeCell ref="F191:F192"/>
    <mergeCell ref="G191:G192"/>
    <mergeCell ref="H191:H192"/>
    <mergeCell ref="H156:H157"/>
    <mergeCell ref="I156:I157"/>
    <mergeCell ref="J156:J157"/>
    <mergeCell ref="K156:K157"/>
    <mergeCell ref="L156:L157"/>
    <mergeCell ref="M156:M157"/>
    <mergeCell ref="B156:B157"/>
    <mergeCell ref="C156:C157"/>
    <mergeCell ref="D156:D157"/>
    <mergeCell ref="E156:E157"/>
    <mergeCell ref="F156:F157"/>
    <mergeCell ref="G156:G157"/>
    <mergeCell ref="K83:K84"/>
    <mergeCell ref="L83:L84"/>
    <mergeCell ref="M83:M84"/>
    <mergeCell ref="N83:N84"/>
    <mergeCell ref="O83:O84"/>
    <mergeCell ref="B111:O111"/>
    <mergeCell ref="B83:B84"/>
    <mergeCell ref="C83:C84"/>
    <mergeCell ref="D83:D84"/>
    <mergeCell ref="E83:E84"/>
    <mergeCell ref="F83:F84"/>
    <mergeCell ref="G83:G84"/>
    <mergeCell ref="H83:H84"/>
    <mergeCell ref="I83:I84"/>
    <mergeCell ref="J83:J84"/>
    <mergeCell ref="K115:K116"/>
    <mergeCell ref="L115:L116"/>
    <mergeCell ref="M115:M116"/>
    <mergeCell ref="N115:N116"/>
    <mergeCell ref="O115:O116"/>
    <mergeCell ref="B115:B116"/>
    <mergeCell ref="C115:C116"/>
    <mergeCell ref="D115:D116"/>
    <mergeCell ref="E115:E116"/>
    <mergeCell ref="F115:F116"/>
    <mergeCell ref="G115:G116"/>
    <mergeCell ref="H115:H116"/>
    <mergeCell ref="I115:I116"/>
    <mergeCell ref="J115:J116"/>
    <mergeCell ref="K58:K59"/>
    <mergeCell ref="K26:K27"/>
    <mergeCell ref="L58:L59"/>
    <mergeCell ref="M58:M59"/>
    <mergeCell ref="N58:N59"/>
    <mergeCell ref="O58:O59"/>
    <mergeCell ref="B79:O79"/>
    <mergeCell ref="B58:B59"/>
    <mergeCell ref="C58:C59"/>
    <mergeCell ref="D58:D59"/>
    <mergeCell ref="E58:E59"/>
    <mergeCell ref="F58:F59"/>
    <mergeCell ref="G58:G59"/>
    <mergeCell ref="H58:H59"/>
    <mergeCell ref="I58:I59"/>
    <mergeCell ref="J58:J59"/>
    <mergeCell ref="L26:L27"/>
    <mergeCell ref="M26:M27"/>
    <mergeCell ref="N26:N27"/>
    <mergeCell ref="O26:O27"/>
    <mergeCell ref="B54:O54"/>
    <mergeCell ref="B26:B27"/>
    <mergeCell ref="C26:C27"/>
    <mergeCell ref="D26:D27"/>
    <mergeCell ref="E26:E27"/>
    <mergeCell ref="F26:F27"/>
    <mergeCell ref="G26:G27"/>
    <mergeCell ref="H26:H27"/>
    <mergeCell ref="I26:I27"/>
    <mergeCell ref="J26:J27"/>
    <mergeCell ref="J6:J7"/>
    <mergeCell ref="K6:K7"/>
    <mergeCell ref="L6:L7"/>
    <mergeCell ref="M6:M7"/>
    <mergeCell ref="N6:N7"/>
    <mergeCell ref="O6:O7"/>
    <mergeCell ref="B2:O2"/>
    <mergeCell ref="B6:B7"/>
    <mergeCell ref="C6:C7"/>
    <mergeCell ref="D6:D7"/>
    <mergeCell ref="E6:E7"/>
    <mergeCell ref="F6:F7"/>
    <mergeCell ref="G6:G7"/>
    <mergeCell ref="H6:H7"/>
    <mergeCell ref="I6:I7"/>
    <mergeCell ref="B4:O4"/>
    <mergeCell ref="J746:J747"/>
    <mergeCell ref="K746:K747"/>
    <mergeCell ref="L746:L747"/>
    <mergeCell ref="J775:J776"/>
    <mergeCell ref="K775:K776"/>
    <mergeCell ref="L775:L776"/>
    <mergeCell ref="K838:K839"/>
    <mergeCell ref="L838:L839"/>
    <mergeCell ref="J988:J989"/>
    <mergeCell ref="K988:K989"/>
    <mergeCell ref="L988:L989"/>
    <mergeCell ref="J1020:J1021"/>
    <mergeCell ref="K1020:K1021"/>
    <mergeCell ref="L1020:L1021"/>
    <mergeCell ref="J1093:J1094"/>
  </mergeCells>
  <phoneticPr fontId="71" type="noConversion"/>
  <conditionalFormatting sqref="B370:B399">
    <cfRule type="duplicateValues" dxfId="11" priority="12"/>
  </conditionalFormatting>
  <conditionalFormatting sqref="B404:B433">
    <cfRule type="duplicateValues" dxfId="10" priority="11"/>
  </conditionalFormatting>
  <conditionalFormatting sqref="B445:B474">
    <cfRule type="duplicateValues" dxfId="9" priority="10"/>
  </conditionalFormatting>
  <conditionalFormatting sqref="B479:B508">
    <cfRule type="duplicateValues" dxfId="8" priority="9"/>
  </conditionalFormatting>
  <conditionalFormatting sqref="B520:B549">
    <cfRule type="duplicateValues" dxfId="7" priority="8"/>
  </conditionalFormatting>
  <conditionalFormatting sqref="B554:B583">
    <cfRule type="duplicateValues" dxfId="6" priority="7"/>
  </conditionalFormatting>
  <conditionalFormatting sqref="B780:B799">
    <cfRule type="duplicateValues" dxfId="5" priority="6"/>
  </conditionalFormatting>
  <conditionalFormatting sqref="B808:B827">
    <cfRule type="duplicateValues" dxfId="4" priority="5"/>
  </conditionalFormatting>
  <conditionalFormatting sqref="B843:B862">
    <cfRule type="duplicateValues" dxfId="3" priority="4"/>
  </conditionalFormatting>
  <conditionalFormatting sqref="B871:B890">
    <cfRule type="duplicateValues" dxfId="2" priority="3"/>
  </conditionalFormatting>
  <conditionalFormatting sqref="B906:B925">
    <cfRule type="duplicateValues" dxfId="1" priority="2"/>
  </conditionalFormatting>
  <conditionalFormatting sqref="B950:B969">
    <cfRule type="duplicateValues" dxfId="0" priority="1"/>
  </conditionalFormatting>
  <printOptions horizontalCentered="1" verticalCentered="1"/>
  <pageMargins left="0.15748031496062992" right="0.19685039370078741" top="0.15748031496062992" bottom="0.19685039370078741" header="0.15748031496062992" footer="0.15748031496062992"/>
  <pageSetup paperSize="9" orientation="landscape" r:id="rId1"/>
  <headerFooter alignWithMargins="0">
    <oddFooter>&amp;CDate d'édition : &amp;D&amp;RPAA/DCM/Dpt Stat</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11249-0871-452E-B98C-8DB2E972CCCD}">
  <dimension ref="A2:Y1447"/>
  <sheetViews>
    <sheetView topLeftCell="A57" zoomScale="60" zoomScaleNormal="60" workbookViewId="0">
      <selection activeCell="C72" sqref="C72"/>
    </sheetView>
  </sheetViews>
  <sheetFormatPr baseColWidth="10" defaultColWidth="11.453125" defaultRowHeight="15.5" x14ac:dyDescent="0.35"/>
  <cols>
    <col min="1" max="1" width="18.453125" style="324" customWidth="1"/>
    <col min="2" max="2" width="47" style="8" customWidth="1"/>
    <col min="3" max="3" width="14.54296875" style="106" customWidth="1"/>
    <col min="4" max="4" width="14.1796875" style="554" customWidth="1"/>
    <col min="5" max="5" width="14.81640625" style="554" customWidth="1"/>
    <col min="6" max="6" width="14.54296875" style="554" customWidth="1"/>
    <col min="7" max="7" width="14.453125" style="554" customWidth="1"/>
    <col min="8" max="8" width="13.453125" style="554" customWidth="1"/>
    <col min="9" max="9" width="12" style="554" customWidth="1"/>
    <col min="10" max="10" width="12.453125" style="554" customWidth="1"/>
    <col min="11" max="11" width="14" style="554" bestFit="1" customWidth="1"/>
    <col min="12" max="12" width="11.1796875" style="554" customWidth="1"/>
    <col min="13" max="13" width="14" style="554" customWidth="1"/>
    <col min="14" max="14" width="13" style="554" bestFit="1" customWidth="1"/>
    <col min="15" max="15" width="16.81640625" style="8" customWidth="1"/>
    <col min="16" max="16384" width="11.453125" style="324"/>
  </cols>
  <sheetData>
    <row r="2" spans="2:23" x14ac:dyDescent="0.35">
      <c r="B2" s="1075" t="s">
        <v>12</v>
      </c>
      <c r="C2" s="1075"/>
      <c r="D2" s="1075"/>
      <c r="E2" s="1075"/>
      <c r="F2" s="1075"/>
      <c r="G2" s="1075"/>
      <c r="H2" s="1075"/>
      <c r="I2" s="1075"/>
      <c r="J2" s="1075"/>
      <c r="K2" s="1075"/>
      <c r="L2" s="1075"/>
      <c r="M2" s="1075"/>
      <c r="N2" s="1075"/>
      <c r="O2" s="1075"/>
    </row>
    <row r="3" spans="2:23" x14ac:dyDescent="0.35">
      <c r="B3" s="125"/>
    </row>
    <row r="4" spans="2:23" ht="22.5" customHeight="1" x14ac:dyDescent="0.35">
      <c r="B4" s="1069" t="s">
        <v>358</v>
      </c>
      <c r="C4" s="1069"/>
      <c r="D4" s="1069"/>
      <c r="E4" s="1069"/>
      <c r="F4" s="1069"/>
      <c r="G4" s="1069"/>
      <c r="H4" s="1069"/>
      <c r="I4" s="1069"/>
      <c r="J4" s="555">
        <v>2025</v>
      </c>
      <c r="K4" s="125"/>
      <c r="L4" s="125"/>
      <c r="M4" s="125"/>
      <c r="N4" s="125"/>
      <c r="O4" s="125"/>
    </row>
    <row r="5" spans="2:23" x14ac:dyDescent="0.35">
      <c r="D5" s="106"/>
      <c r="E5" s="106"/>
      <c r="F5" s="106"/>
      <c r="G5" s="106"/>
      <c r="H5" s="106"/>
      <c r="I5" s="106"/>
      <c r="J5" s="106"/>
      <c r="K5" s="106"/>
      <c r="L5" s="106"/>
      <c r="M5" s="106"/>
      <c r="N5" s="106"/>
      <c r="O5" s="11"/>
    </row>
    <row r="6" spans="2:23" ht="27" customHeight="1" x14ac:dyDescent="0.35">
      <c r="B6" s="1074" t="s">
        <v>13</v>
      </c>
      <c r="C6" s="1070" t="s">
        <v>0</v>
      </c>
      <c r="D6" s="1070" t="s">
        <v>1</v>
      </c>
      <c r="E6" s="1070" t="s">
        <v>2</v>
      </c>
      <c r="F6" s="1070" t="s">
        <v>3</v>
      </c>
      <c r="G6" s="1070" t="s">
        <v>4</v>
      </c>
      <c r="H6" s="1070" t="s">
        <v>5</v>
      </c>
      <c r="I6" s="1070" t="s">
        <v>6</v>
      </c>
      <c r="J6" s="1070" t="s">
        <v>7</v>
      </c>
      <c r="K6" s="1070" t="s">
        <v>8</v>
      </c>
      <c r="L6" s="1070" t="s">
        <v>9</v>
      </c>
      <c r="M6" s="1070" t="s">
        <v>10</v>
      </c>
      <c r="N6" s="1070" t="s">
        <v>14</v>
      </c>
      <c r="O6" s="1074" t="s">
        <v>15</v>
      </c>
    </row>
    <row r="7" spans="2:23" ht="27" customHeight="1" x14ac:dyDescent="0.35">
      <c r="B7" s="1080"/>
      <c r="C7" s="1071"/>
      <c r="D7" s="1071"/>
      <c r="E7" s="1071"/>
      <c r="F7" s="1071"/>
      <c r="G7" s="1071"/>
      <c r="H7" s="1071"/>
      <c r="I7" s="1071"/>
      <c r="J7" s="1071"/>
      <c r="K7" s="1071"/>
      <c r="L7" s="1071"/>
      <c r="M7" s="1089"/>
      <c r="N7" s="1089"/>
      <c r="O7" s="1081"/>
    </row>
    <row r="8" spans="2:23" x14ac:dyDescent="0.35">
      <c r="B8" s="107"/>
      <c r="C8" s="556">
        <v>0</v>
      </c>
      <c r="D8" s="556">
        <v>0</v>
      </c>
      <c r="E8" s="556">
        <v>0</v>
      </c>
      <c r="F8" s="556">
        <v>0</v>
      </c>
      <c r="G8" s="556">
        <v>0</v>
      </c>
      <c r="H8" s="556">
        <v>0</v>
      </c>
      <c r="I8" s="556">
        <v>0</v>
      </c>
      <c r="J8" s="556">
        <v>0</v>
      </c>
      <c r="K8" s="556">
        <v>0</v>
      </c>
      <c r="L8" s="556">
        <v>0</v>
      </c>
      <c r="M8" s="556">
        <v>0</v>
      </c>
      <c r="N8" s="556">
        <v>0</v>
      </c>
      <c r="O8" s="109"/>
    </row>
    <row r="9" spans="2:23" x14ac:dyDescent="0.35">
      <c r="B9" s="110" t="s">
        <v>213</v>
      </c>
      <c r="C9" s="111">
        <v>399</v>
      </c>
      <c r="D9" s="809">
        <v>391</v>
      </c>
      <c r="E9" s="809">
        <v>431</v>
      </c>
      <c r="F9" s="809">
        <v>388</v>
      </c>
      <c r="G9" s="809">
        <v>426</v>
      </c>
      <c r="H9" s="809">
        <v>361</v>
      </c>
      <c r="I9" s="809">
        <v>378</v>
      </c>
      <c r="J9" s="809">
        <v>395</v>
      </c>
      <c r="K9" s="809">
        <v>342</v>
      </c>
      <c r="L9" s="809">
        <v>364</v>
      </c>
      <c r="M9" s="809">
        <v>377</v>
      </c>
      <c r="N9" s="809">
        <v>416</v>
      </c>
      <c r="O9" s="112">
        <v>4668</v>
      </c>
    </row>
    <row r="10" spans="2:23" s="3" customFormat="1" x14ac:dyDescent="0.35">
      <c r="B10" s="113"/>
      <c r="C10" s="810"/>
      <c r="D10" s="811"/>
      <c r="E10" s="811"/>
      <c r="F10" s="811"/>
      <c r="G10" s="812"/>
      <c r="H10" s="812"/>
      <c r="I10" s="812"/>
      <c r="J10" s="812"/>
      <c r="K10" s="812"/>
      <c r="L10" s="812"/>
      <c r="M10" s="812"/>
      <c r="N10" s="812"/>
      <c r="O10" s="813"/>
      <c r="P10" s="324"/>
      <c r="Q10" s="324"/>
      <c r="R10" s="324"/>
      <c r="S10" s="324"/>
      <c r="T10" s="324"/>
      <c r="U10" s="324"/>
      <c r="V10" s="324"/>
      <c r="W10" s="324"/>
    </row>
    <row r="11" spans="2:23" x14ac:dyDescent="0.35">
      <c r="B11" s="113" t="s">
        <v>16</v>
      </c>
      <c r="C11" s="814">
        <v>201</v>
      </c>
      <c r="D11" s="814">
        <v>197</v>
      </c>
      <c r="E11" s="814">
        <v>213</v>
      </c>
      <c r="F11" s="814">
        <v>195</v>
      </c>
      <c r="G11" s="814">
        <v>217</v>
      </c>
      <c r="H11" s="814">
        <v>181</v>
      </c>
      <c r="I11" s="814">
        <v>187</v>
      </c>
      <c r="J11" s="814">
        <v>193</v>
      </c>
      <c r="K11" s="814">
        <v>170</v>
      </c>
      <c r="L11" s="814">
        <v>185</v>
      </c>
      <c r="M11" s="814">
        <v>192</v>
      </c>
      <c r="N11" s="814">
        <v>209</v>
      </c>
      <c r="O11" s="813">
        <v>2340</v>
      </c>
      <c r="P11" s="27">
        <f>O11/$O$21</f>
        <v>0.85152838427947597</v>
      </c>
    </row>
    <row r="12" spans="2:23" x14ac:dyDescent="0.35">
      <c r="B12" s="113" t="s">
        <v>17</v>
      </c>
      <c r="C12" s="814">
        <v>198</v>
      </c>
      <c r="D12" s="814">
        <v>194</v>
      </c>
      <c r="E12" s="814">
        <v>218</v>
      </c>
      <c r="F12" s="814">
        <v>193</v>
      </c>
      <c r="G12" s="814">
        <v>209</v>
      </c>
      <c r="H12" s="814">
        <v>180</v>
      </c>
      <c r="I12" s="814">
        <v>191</v>
      </c>
      <c r="J12" s="814">
        <v>202</v>
      </c>
      <c r="K12" s="814">
        <v>172</v>
      </c>
      <c r="L12" s="814">
        <v>179</v>
      </c>
      <c r="M12" s="814">
        <v>185</v>
      </c>
      <c r="N12" s="814">
        <v>207</v>
      </c>
      <c r="O12" s="813">
        <v>2328</v>
      </c>
    </row>
    <row r="13" spans="2:23" x14ac:dyDescent="0.35">
      <c r="B13" s="815"/>
      <c r="C13" s="632">
        <v>0</v>
      </c>
      <c r="D13" s="632">
        <v>0</v>
      </c>
      <c r="E13" s="632">
        <v>0</v>
      </c>
      <c r="F13" s="632">
        <v>0</v>
      </c>
      <c r="G13" s="632">
        <v>0</v>
      </c>
      <c r="H13" s="632">
        <v>0</v>
      </c>
      <c r="I13" s="632">
        <v>0</v>
      </c>
      <c r="J13" s="632">
        <v>0</v>
      </c>
      <c r="K13" s="632">
        <v>0</v>
      </c>
      <c r="L13" s="632">
        <v>0</v>
      </c>
      <c r="M13" s="632">
        <v>0</v>
      </c>
      <c r="N13" s="632">
        <v>0</v>
      </c>
      <c r="O13" s="813"/>
    </row>
    <row r="14" spans="2:23" x14ac:dyDescent="0.35">
      <c r="B14" s="114" t="s">
        <v>214</v>
      </c>
      <c r="C14" s="111">
        <v>87</v>
      </c>
      <c r="D14" s="809">
        <v>77</v>
      </c>
      <c r="E14" s="809">
        <v>65</v>
      </c>
      <c r="F14" s="809">
        <v>55</v>
      </c>
      <c r="G14" s="809">
        <v>59</v>
      </c>
      <c r="H14" s="809">
        <v>65</v>
      </c>
      <c r="I14" s="809">
        <v>52</v>
      </c>
      <c r="J14" s="809">
        <v>72</v>
      </c>
      <c r="K14" s="809">
        <v>75</v>
      </c>
      <c r="L14" s="809">
        <v>74</v>
      </c>
      <c r="M14" s="809">
        <v>72</v>
      </c>
      <c r="N14" s="809">
        <v>71</v>
      </c>
      <c r="O14" s="112">
        <v>824</v>
      </c>
    </row>
    <row r="15" spans="2:23" x14ac:dyDescent="0.35">
      <c r="B15" s="113"/>
      <c r="C15" s="29"/>
      <c r="D15" s="816"/>
      <c r="E15" s="816"/>
      <c r="F15" s="816"/>
      <c r="G15" s="812"/>
      <c r="H15" s="812"/>
      <c r="I15" s="812"/>
      <c r="J15" s="812"/>
      <c r="K15" s="812"/>
      <c r="L15" s="812"/>
      <c r="M15" s="812"/>
      <c r="N15" s="812"/>
      <c r="O15" s="813"/>
    </row>
    <row r="16" spans="2:23" x14ac:dyDescent="0.35">
      <c r="B16" s="113" t="s">
        <v>16</v>
      </c>
      <c r="C16" s="814">
        <v>45</v>
      </c>
      <c r="D16" s="814">
        <v>40</v>
      </c>
      <c r="E16" s="814">
        <v>31</v>
      </c>
      <c r="F16" s="814">
        <v>25</v>
      </c>
      <c r="G16" s="814">
        <v>30</v>
      </c>
      <c r="H16" s="814">
        <v>33</v>
      </c>
      <c r="I16" s="817">
        <v>25</v>
      </c>
      <c r="J16" s="816">
        <v>34</v>
      </c>
      <c r="K16" s="816">
        <v>39</v>
      </c>
      <c r="L16" s="816">
        <v>36</v>
      </c>
      <c r="M16" s="816">
        <v>36</v>
      </c>
      <c r="N16" s="816">
        <v>34</v>
      </c>
      <c r="O16" s="813">
        <v>408</v>
      </c>
      <c r="P16" s="27">
        <f>O16/$O$21</f>
        <v>0.14847161572052403</v>
      </c>
    </row>
    <row r="17" spans="2:16" s="3" customFormat="1" x14ac:dyDescent="0.35">
      <c r="B17" s="113" t="s">
        <v>17</v>
      </c>
      <c r="C17" s="814">
        <v>42</v>
      </c>
      <c r="D17" s="814">
        <v>37</v>
      </c>
      <c r="E17" s="817">
        <v>34</v>
      </c>
      <c r="F17" s="817">
        <v>30</v>
      </c>
      <c r="G17" s="817">
        <v>29</v>
      </c>
      <c r="H17" s="817">
        <v>32</v>
      </c>
      <c r="I17" s="817">
        <v>27</v>
      </c>
      <c r="J17" s="816">
        <v>38</v>
      </c>
      <c r="K17" s="816">
        <v>36</v>
      </c>
      <c r="L17" s="816">
        <v>38</v>
      </c>
      <c r="M17" s="816">
        <v>36</v>
      </c>
      <c r="N17" s="816">
        <v>37</v>
      </c>
      <c r="O17" s="813">
        <v>416</v>
      </c>
    </row>
    <row r="18" spans="2:16" x14ac:dyDescent="0.35">
      <c r="B18" s="815"/>
      <c r="C18" s="29"/>
      <c r="D18" s="816"/>
      <c r="E18" s="816"/>
      <c r="F18" s="816"/>
      <c r="G18" s="816"/>
      <c r="H18" s="816"/>
      <c r="I18" s="816"/>
      <c r="J18" s="816"/>
      <c r="K18" s="816"/>
      <c r="L18" s="816"/>
      <c r="M18" s="816"/>
      <c r="N18" s="816"/>
      <c r="O18" s="813"/>
    </row>
    <row r="19" spans="2:16" x14ac:dyDescent="0.35">
      <c r="B19" s="431" t="s">
        <v>18</v>
      </c>
      <c r="C19" s="818">
        <v>486</v>
      </c>
      <c r="D19" s="818">
        <v>468</v>
      </c>
      <c r="E19" s="818">
        <v>496</v>
      </c>
      <c r="F19" s="818">
        <v>443</v>
      </c>
      <c r="G19" s="818">
        <v>485</v>
      </c>
      <c r="H19" s="818">
        <v>426</v>
      </c>
      <c r="I19" s="818">
        <v>430</v>
      </c>
      <c r="J19" s="818">
        <v>467</v>
      </c>
      <c r="K19" s="818">
        <v>417</v>
      </c>
      <c r="L19" s="818">
        <v>438</v>
      </c>
      <c r="M19" s="818">
        <v>449</v>
      </c>
      <c r="N19" s="818">
        <v>487</v>
      </c>
      <c r="O19" s="819">
        <v>5492</v>
      </c>
    </row>
    <row r="20" spans="2:16" x14ac:dyDescent="0.35">
      <c r="B20" s="113"/>
      <c r="C20" s="29"/>
      <c r="D20" s="816"/>
      <c r="E20" s="816"/>
      <c r="F20" s="816"/>
      <c r="G20" s="816"/>
      <c r="H20" s="816"/>
      <c r="I20" s="816"/>
      <c r="J20" s="816"/>
      <c r="K20" s="816"/>
      <c r="L20" s="816"/>
      <c r="M20" s="816"/>
      <c r="N20" s="816"/>
      <c r="O20" s="813"/>
    </row>
    <row r="21" spans="2:16" x14ac:dyDescent="0.35">
      <c r="B21" s="113" t="s">
        <v>16</v>
      </c>
      <c r="C21" s="29">
        <v>246</v>
      </c>
      <c r="D21" s="816">
        <v>237</v>
      </c>
      <c r="E21" s="816">
        <v>244</v>
      </c>
      <c r="F21" s="816">
        <v>220</v>
      </c>
      <c r="G21" s="816">
        <v>247</v>
      </c>
      <c r="H21" s="816">
        <v>214</v>
      </c>
      <c r="I21" s="816">
        <v>212</v>
      </c>
      <c r="J21" s="816">
        <v>227</v>
      </c>
      <c r="K21" s="816">
        <v>209</v>
      </c>
      <c r="L21" s="816">
        <v>221</v>
      </c>
      <c r="M21" s="816">
        <v>228</v>
      </c>
      <c r="N21" s="816">
        <v>243</v>
      </c>
      <c r="O21" s="813">
        <v>2748</v>
      </c>
    </row>
    <row r="22" spans="2:16" x14ac:dyDescent="0.35">
      <c r="B22" s="115" t="s">
        <v>17</v>
      </c>
      <c r="C22" s="116">
        <v>240</v>
      </c>
      <c r="D22" s="820">
        <v>231</v>
      </c>
      <c r="E22" s="820">
        <v>252</v>
      </c>
      <c r="F22" s="820">
        <v>223</v>
      </c>
      <c r="G22" s="820">
        <v>238</v>
      </c>
      <c r="H22" s="820">
        <v>212</v>
      </c>
      <c r="I22" s="820">
        <v>218</v>
      </c>
      <c r="J22" s="820">
        <v>240</v>
      </c>
      <c r="K22" s="820">
        <v>208</v>
      </c>
      <c r="L22" s="820">
        <v>217</v>
      </c>
      <c r="M22" s="820">
        <v>221</v>
      </c>
      <c r="N22" s="820">
        <v>244</v>
      </c>
      <c r="O22" s="821">
        <v>2744</v>
      </c>
    </row>
    <row r="23" spans="2:16" x14ac:dyDescent="0.35">
      <c r="B23" s="117"/>
      <c r="C23" s="118"/>
      <c r="D23" s="565"/>
      <c r="E23" s="565"/>
      <c r="F23" s="565"/>
      <c r="G23" s="565"/>
      <c r="H23" s="565"/>
      <c r="I23" s="565"/>
      <c r="J23" s="565"/>
      <c r="K23" s="565"/>
      <c r="L23" s="565"/>
      <c r="N23" s="565"/>
      <c r="O23" s="119"/>
    </row>
    <row r="24" spans="2:16" ht="22.5" customHeight="1" x14ac:dyDescent="0.35">
      <c r="B24" s="1069" t="s">
        <v>359</v>
      </c>
      <c r="C24" s="1069"/>
      <c r="D24" s="1069"/>
      <c r="E24" s="1069"/>
      <c r="F24" s="1069"/>
      <c r="G24" s="1069"/>
      <c r="H24" s="1069"/>
      <c r="I24" s="1069"/>
      <c r="J24" s="1069"/>
      <c r="K24" s="555">
        <v>2025</v>
      </c>
      <c r="L24" s="125"/>
      <c r="M24" s="125"/>
      <c r="N24" s="125"/>
      <c r="O24" s="125"/>
    </row>
    <row r="25" spans="2:16" x14ac:dyDescent="0.35">
      <c r="N25" s="566"/>
    </row>
    <row r="26" spans="2:16" ht="15" customHeight="1" x14ac:dyDescent="0.35">
      <c r="B26" s="1074" t="s">
        <v>13</v>
      </c>
      <c r="C26" s="1070" t="s">
        <v>0</v>
      </c>
      <c r="D26" s="1070" t="s">
        <v>1</v>
      </c>
      <c r="E26" s="1070" t="s">
        <v>2</v>
      </c>
      <c r="F26" s="1070" t="s">
        <v>3</v>
      </c>
      <c r="G26" s="1070" t="s">
        <v>4</v>
      </c>
      <c r="H26" s="1070" t="s">
        <v>5</v>
      </c>
      <c r="I26" s="1070" t="s">
        <v>6</v>
      </c>
      <c r="J26" s="1070" t="s">
        <v>7</v>
      </c>
      <c r="K26" s="1070" t="s">
        <v>8</v>
      </c>
      <c r="L26" s="1070" t="s">
        <v>9</v>
      </c>
      <c r="M26" s="1070" t="s">
        <v>10</v>
      </c>
      <c r="N26" s="1070" t="s">
        <v>14</v>
      </c>
      <c r="O26" s="1074" t="s">
        <v>15</v>
      </c>
    </row>
    <row r="27" spans="2:16" ht="28.5" customHeight="1" x14ac:dyDescent="0.35">
      <c r="B27" s="1080"/>
      <c r="C27" s="1071"/>
      <c r="D27" s="1071"/>
      <c r="E27" s="1071"/>
      <c r="F27" s="1071"/>
      <c r="G27" s="1071"/>
      <c r="H27" s="1071"/>
      <c r="I27" s="1071"/>
      <c r="J27" s="1071"/>
      <c r="K27" s="1071"/>
      <c r="L27" s="1071"/>
      <c r="M27" s="1078"/>
      <c r="N27" s="1078"/>
      <c r="O27" s="1081"/>
    </row>
    <row r="28" spans="2:16" x14ac:dyDescent="0.35">
      <c r="B28" s="107"/>
      <c r="C28" s="632">
        <v>0</v>
      </c>
      <c r="D28" s="632">
        <v>0</v>
      </c>
      <c r="E28" s="632">
        <v>0</v>
      </c>
      <c r="F28" s="632">
        <v>0</v>
      </c>
      <c r="G28" s="632">
        <v>0</v>
      </c>
      <c r="H28" s="632">
        <v>0</v>
      </c>
      <c r="I28" s="632">
        <v>0</v>
      </c>
      <c r="J28" s="632">
        <v>0</v>
      </c>
      <c r="K28" s="632">
        <v>0</v>
      </c>
      <c r="L28" s="632">
        <v>0</v>
      </c>
      <c r="M28" s="632">
        <v>0</v>
      </c>
      <c r="N28" s="632">
        <v>0</v>
      </c>
      <c r="O28" s="109"/>
    </row>
    <row r="29" spans="2:16" x14ac:dyDescent="0.35">
      <c r="B29" s="114" t="s">
        <v>19</v>
      </c>
      <c r="C29" s="809">
        <v>201</v>
      </c>
      <c r="D29" s="809">
        <v>197</v>
      </c>
      <c r="E29" s="809">
        <v>213</v>
      </c>
      <c r="F29" s="809">
        <v>195</v>
      </c>
      <c r="G29" s="809">
        <v>217</v>
      </c>
      <c r="H29" s="809">
        <v>181</v>
      </c>
      <c r="I29" s="809">
        <v>187</v>
      </c>
      <c r="J29" s="809">
        <v>193</v>
      </c>
      <c r="K29" s="809">
        <v>170</v>
      </c>
      <c r="L29" s="809">
        <v>185</v>
      </c>
      <c r="M29" s="809">
        <v>192</v>
      </c>
      <c r="N29" s="809">
        <v>209</v>
      </c>
      <c r="O29" s="112">
        <v>2340</v>
      </c>
      <c r="P29" s="28">
        <f>O29/$O$52</f>
        <v>0.85152838427947597</v>
      </c>
    </row>
    <row r="30" spans="2:16" x14ac:dyDescent="0.35">
      <c r="B30" s="113"/>
      <c r="C30" s="29"/>
      <c r="D30" s="816"/>
      <c r="E30" s="816"/>
      <c r="F30" s="816"/>
      <c r="G30" s="816"/>
      <c r="H30" s="816"/>
      <c r="I30" s="816"/>
      <c r="J30" s="816"/>
      <c r="K30" s="816"/>
      <c r="L30" s="816"/>
      <c r="M30" s="816"/>
      <c r="N30" s="816"/>
      <c r="O30" s="813"/>
    </row>
    <row r="31" spans="2:16" x14ac:dyDescent="0.35">
      <c r="B31" s="822" t="s">
        <v>20</v>
      </c>
      <c r="C31" s="816">
        <v>15</v>
      </c>
      <c r="D31" s="816">
        <v>10</v>
      </c>
      <c r="E31" s="816">
        <v>11</v>
      </c>
      <c r="F31" s="816">
        <v>12</v>
      </c>
      <c r="G31" s="816">
        <v>13</v>
      </c>
      <c r="H31" s="816">
        <v>9</v>
      </c>
      <c r="I31" s="816">
        <v>12</v>
      </c>
      <c r="J31" s="816">
        <v>15</v>
      </c>
      <c r="K31" s="816">
        <v>16</v>
      </c>
      <c r="L31" s="816">
        <v>14</v>
      </c>
      <c r="M31" s="816">
        <v>13</v>
      </c>
      <c r="N31" s="816">
        <v>12</v>
      </c>
      <c r="O31" s="813">
        <v>152</v>
      </c>
    </row>
    <row r="32" spans="2:16" x14ac:dyDescent="0.35">
      <c r="B32" s="822" t="s">
        <v>21</v>
      </c>
      <c r="C32" s="816">
        <v>79</v>
      </c>
      <c r="D32" s="816">
        <v>73</v>
      </c>
      <c r="E32" s="816">
        <v>81</v>
      </c>
      <c r="F32" s="816">
        <v>74</v>
      </c>
      <c r="G32" s="816">
        <v>85</v>
      </c>
      <c r="H32" s="816">
        <v>74</v>
      </c>
      <c r="I32" s="816">
        <v>68</v>
      </c>
      <c r="J32" s="816">
        <v>75</v>
      </c>
      <c r="K32" s="816">
        <v>64</v>
      </c>
      <c r="L32" s="816">
        <v>75</v>
      </c>
      <c r="M32" s="816">
        <v>66</v>
      </c>
      <c r="N32" s="816">
        <v>76</v>
      </c>
      <c r="O32" s="813">
        <v>890</v>
      </c>
    </row>
    <row r="33" spans="2:16" x14ac:dyDescent="0.35">
      <c r="B33" s="822" t="s">
        <v>22</v>
      </c>
      <c r="C33" s="816">
        <v>10</v>
      </c>
      <c r="D33" s="816">
        <v>9</v>
      </c>
      <c r="E33" s="816">
        <v>8</v>
      </c>
      <c r="F33" s="816">
        <v>9</v>
      </c>
      <c r="G33" s="816">
        <v>8</v>
      </c>
      <c r="H33" s="816">
        <v>6</v>
      </c>
      <c r="I33" s="816">
        <v>7</v>
      </c>
      <c r="J33" s="816">
        <v>10</v>
      </c>
      <c r="K33" s="816">
        <v>7</v>
      </c>
      <c r="L33" s="816">
        <v>7</v>
      </c>
      <c r="M33" s="816">
        <v>9</v>
      </c>
      <c r="N33" s="816">
        <v>7</v>
      </c>
      <c r="O33" s="813">
        <v>97</v>
      </c>
    </row>
    <row r="34" spans="2:16" x14ac:dyDescent="0.35">
      <c r="B34" s="822" t="s">
        <v>23</v>
      </c>
      <c r="C34" s="816">
        <v>33</v>
      </c>
      <c r="D34" s="816">
        <v>41</v>
      </c>
      <c r="E34" s="816">
        <v>33</v>
      </c>
      <c r="F34" s="816">
        <v>35</v>
      </c>
      <c r="G34" s="816">
        <v>40</v>
      </c>
      <c r="H34" s="816">
        <v>32</v>
      </c>
      <c r="I34" s="816">
        <v>38</v>
      </c>
      <c r="J34" s="816">
        <v>39</v>
      </c>
      <c r="K34" s="816">
        <v>33</v>
      </c>
      <c r="L34" s="816">
        <v>35</v>
      </c>
      <c r="M34" s="816">
        <v>33</v>
      </c>
      <c r="N34" s="816">
        <v>35</v>
      </c>
      <c r="O34" s="813">
        <v>427</v>
      </c>
    </row>
    <row r="35" spans="2:16" x14ac:dyDescent="0.35">
      <c r="B35" s="822" t="s">
        <v>24</v>
      </c>
      <c r="C35" s="816">
        <v>6</v>
      </c>
      <c r="D35" s="816">
        <v>5</v>
      </c>
      <c r="E35" s="816">
        <v>6</v>
      </c>
      <c r="F35" s="816">
        <v>4</v>
      </c>
      <c r="G35" s="816">
        <v>4</v>
      </c>
      <c r="H35" s="816">
        <v>4</v>
      </c>
      <c r="I35" s="816">
        <v>4</v>
      </c>
      <c r="J35" s="816">
        <v>5</v>
      </c>
      <c r="K35" s="816">
        <v>6</v>
      </c>
      <c r="L35" s="816">
        <v>6</v>
      </c>
      <c r="M35" s="816">
        <v>5</v>
      </c>
      <c r="N35" s="816">
        <v>9</v>
      </c>
      <c r="O35" s="813">
        <v>64</v>
      </c>
    </row>
    <row r="36" spans="2:16" x14ac:dyDescent="0.35">
      <c r="B36" s="822" t="s">
        <v>25</v>
      </c>
      <c r="C36" s="816">
        <v>23</v>
      </c>
      <c r="D36" s="816">
        <v>21</v>
      </c>
      <c r="E36" s="816">
        <v>32</v>
      </c>
      <c r="F36" s="816">
        <v>28</v>
      </c>
      <c r="G36" s="816">
        <v>29</v>
      </c>
      <c r="H36" s="816">
        <v>25</v>
      </c>
      <c r="I36" s="816">
        <v>25</v>
      </c>
      <c r="J36" s="816">
        <v>24</v>
      </c>
      <c r="K36" s="816">
        <v>19</v>
      </c>
      <c r="L36" s="816">
        <v>24</v>
      </c>
      <c r="M36" s="816">
        <v>29</v>
      </c>
      <c r="N36" s="816">
        <v>30</v>
      </c>
      <c r="O36" s="813">
        <v>309</v>
      </c>
    </row>
    <row r="37" spans="2:16" x14ac:dyDescent="0.35">
      <c r="B37" s="822" t="s">
        <v>26</v>
      </c>
      <c r="C37" s="816">
        <v>16</v>
      </c>
      <c r="D37" s="816">
        <v>12</v>
      </c>
      <c r="E37" s="816">
        <v>13</v>
      </c>
      <c r="F37" s="816">
        <v>13</v>
      </c>
      <c r="G37" s="816">
        <v>14</v>
      </c>
      <c r="H37" s="816">
        <v>13</v>
      </c>
      <c r="I37" s="816">
        <v>13</v>
      </c>
      <c r="J37" s="816">
        <v>17</v>
      </c>
      <c r="K37" s="816">
        <v>13</v>
      </c>
      <c r="L37" s="816">
        <v>14</v>
      </c>
      <c r="M37" s="816">
        <v>15</v>
      </c>
      <c r="N37" s="816">
        <v>15</v>
      </c>
      <c r="O37" s="813">
        <v>168</v>
      </c>
    </row>
    <row r="38" spans="2:16" x14ac:dyDescent="0.35">
      <c r="B38" s="822" t="s">
        <v>27</v>
      </c>
      <c r="C38" s="816">
        <v>0</v>
      </c>
      <c r="D38" s="816">
        <v>0</v>
      </c>
      <c r="E38" s="816">
        <v>3</v>
      </c>
      <c r="F38" s="816">
        <v>1</v>
      </c>
      <c r="G38" s="816">
        <v>1</v>
      </c>
      <c r="H38" s="816">
        <v>2</v>
      </c>
      <c r="I38" s="816">
        <v>2</v>
      </c>
      <c r="J38" s="816">
        <v>1</v>
      </c>
      <c r="K38" s="816">
        <v>0</v>
      </c>
      <c r="L38" s="816">
        <v>0</v>
      </c>
      <c r="M38" s="816">
        <v>0</v>
      </c>
      <c r="N38" s="816">
        <v>0</v>
      </c>
      <c r="O38" s="813">
        <v>10</v>
      </c>
    </row>
    <row r="39" spans="2:16" x14ac:dyDescent="0.35">
      <c r="B39" s="822" t="s">
        <v>28</v>
      </c>
      <c r="C39" s="816">
        <v>0</v>
      </c>
      <c r="D39" s="816">
        <v>0</v>
      </c>
      <c r="E39" s="816">
        <v>3</v>
      </c>
      <c r="F39" s="816">
        <v>5</v>
      </c>
      <c r="G39" s="816">
        <v>3</v>
      </c>
      <c r="H39" s="816">
        <v>2</v>
      </c>
      <c r="I39" s="816">
        <v>0</v>
      </c>
      <c r="J39" s="816">
        <v>0</v>
      </c>
      <c r="K39" s="816">
        <v>0</v>
      </c>
      <c r="L39" s="816">
        <v>1</v>
      </c>
      <c r="M39" s="816">
        <v>2</v>
      </c>
      <c r="N39" s="816">
        <v>0</v>
      </c>
      <c r="O39" s="813">
        <v>16</v>
      </c>
    </row>
    <row r="40" spans="2:16" x14ac:dyDescent="0.35">
      <c r="B40" s="822" t="s">
        <v>29</v>
      </c>
      <c r="C40" s="816">
        <v>3</v>
      </c>
      <c r="D40" s="816">
        <v>12</v>
      </c>
      <c r="E40" s="816">
        <v>11</v>
      </c>
      <c r="F40" s="816">
        <v>6</v>
      </c>
      <c r="G40" s="816">
        <v>1</v>
      </c>
      <c r="H40" s="816">
        <v>9</v>
      </c>
      <c r="I40" s="816">
        <v>12</v>
      </c>
      <c r="J40" s="816">
        <v>3</v>
      </c>
      <c r="K40" s="816">
        <v>6</v>
      </c>
      <c r="L40" s="816">
        <v>4</v>
      </c>
      <c r="M40" s="816">
        <v>9</v>
      </c>
      <c r="N40" s="816">
        <v>12</v>
      </c>
      <c r="O40" s="813">
        <v>88</v>
      </c>
    </row>
    <row r="41" spans="2:16" x14ac:dyDescent="0.35">
      <c r="B41" s="822" t="s">
        <v>30</v>
      </c>
      <c r="C41" s="816">
        <v>16</v>
      </c>
      <c r="D41" s="816">
        <v>14</v>
      </c>
      <c r="E41" s="816">
        <v>12</v>
      </c>
      <c r="F41" s="816">
        <v>8</v>
      </c>
      <c r="G41" s="816">
        <v>19</v>
      </c>
      <c r="H41" s="816">
        <v>5</v>
      </c>
      <c r="I41" s="816">
        <v>6</v>
      </c>
      <c r="J41" s="816">
        <v>4</v>
      </c>
      <c r="K41" s="816">
        <v>6</v>
      </c>
      <c r="L41" s="816">
        <v>5</v>
      </c>
      <c r="M41" s="816">
        <v>11</v>
      </c>
      <c r="N41" s="816">
        <v>13</v>
      </c>
      <c r="O41" s="813">
        <v>119</v>
      </c>
    </row>
    <row r="42" spans="2:16" x14ac:dyDescent="0.35">
      <c r="B42" s="113"/>
      <c r="C42" s="632">
        <v>0</v>
      </c>
      <c r="D42" s="632">
        <v>0</v>
      </c>
      <c r="E42" s="632">
        <v>0</v>
      </c>
      <c r="F42" s="632">
        <v>0</v>
      </c>
      <c r="G42" s="632">
        <v>0</v>
      </c>
      <c r="H42" s="632">
        <v>0</v>
      </c>
      <c r="I42" s="632">
        <v>0</v>
      </c>
      <c r="J42" s="632">
        <v>0</v>
      </c>
      <c r="K42" s="632">
        <v>0</v>
      </c>
      <c r="L42" s="632">
        <v>0</v>
      </c>
      <c r="M42" s="632">
        <v>0</v>
      </c>
      <c r="N42" s="632">
        <v>0</v>
      </c>
      <c r="O42" s="813"/>
    </row>
    <row r="43" spans="2:16" x14ac:dyDescent="0.35">
      <c r="B43" s="114" t="s">
        <v>31</v>
      </c>
      <c r="C43" s="809">
        <v>45</v>
      </c>
      <c r="D43" s="809">
        <v>40</v>
      </c>
      <c r="E43" s="809">
        <v>31</v>
      </c>
      <c r="F43" s="809">
        <v>25</v>
      </c>
      <c r="G43" s="809">
        <v>30</v>
      </c>
      <c r="H43" s="809">
        <v>33</v>
      </c>
      <c r="I43" s="809">
        <v>25</v>
      </c>
      <c r="J43" s="809">
        <v>34</v>
      </c>
      <c r="K43" s="809">
        <v>39</v>
      </c>
      <c r="L43" s="809">
        <v>36</v>
      </c>
      <c r="M43" s="809">
        <v>36</v>
      </c>
      <c r="N43" s="809">
        <v>34</v>
      </c>
      <c r="O43" s="112">
        <v>408</v>
      </c>
      <c r="P43" s="28">
        <f>O43/$O$52</f>
        <v>0.14847161572052403</v>
      </c>
    </row>
    <row r="44" spans="2:16" x14ac:dyDescent="0.35">
      <c r="B44" s="113"/>
      <c r="C44" s="29"/>
      <c r="D44" s="816"/>
      <c r="E44" s="816"/>
      <c r="F44" s="816"/>
      <c r="G44" s="816"/>
      <c r="H44" s="816"/>
      <c r="I44" s="816"/>
      <c r="J44" s="816"/>
      <c r="K44" s="816"/>
      <c r="L44" s="816"/>
      <c r="M44" s="816"/>
      <c r="N44" s="816"/>
      <c r="O44" s="813"/>
    </row>
    <row r="45" spans="2:16" x14ac:dyDescent="0.35">
      <c r="B45" s="822" t="s">
        <v>32</v>
      </c>
      <c r="C45" s="816">
        <v>8</v>
      </c>
      <c r="D45" s="816">
        <v>5</v>
      </c>
      <c r="E45" s="816">
        <v>3</v>
      </c>
      <c r="F45" s="816">
        <v>8</v>
      </c>
      <c r="G45" s="816">
        <v>8</v>
      </c>
      <c r="H45" s="816">
        <v>10</v>
      </c>
      <c r="I45" s="816">
        <v>4</v>
      </c>
      <c r="J45" s="816">
        <v>3</v>
      </c>
      <c r="K45" s="816">
        <v>14</v>
      </c>
      <c r="L45" s="816">
        <v>13</v>
      </c>
      <c r="M45" s="816">
        <v>11</v>
      </c>
      <c r="N45" s="816">
        <v>11</v>
      </c>
      <c r="O45" s="813">
        <v>98</v>
      </c>
    </row>
    <row r="46" spans="2:16" x14ac:dyDescent="0.35">
      <c r="B46" s="822" t="s">
        <v>33</v>
      </c>
      <c r="C46" s="816">
        <v>6</v>
      </c>
      <c r="D46" s="816">
        <v>8</v>
      </c>
      <c r="E46" s="816">
        <v>4</v>
      </c>
      <c r="F46" s="816">
        <v>4</v>
      </c>
      <c r="G46" s="816">
        <v>4</v>
      </c>
      <c r="H46" s="816">
        <v>3</v>
      </c>
      <c r="I46" s="816">
        <v>2</v>
      </c>
      <c r="J46" s="816">
        <v>4</v>
      </c>
      <c r="K46" s="816">
        <v>4</v>
      </c>
      <c r="L46" s="816">
        <v>5</v>
      </c>
      <c r="M46" s="816">
        <v>2</v>
      </c>
      <c r="N46" s="816">
        <v>8</v>
      </c>
      <c r="O46" s="813">
        <v>54</v>
      </c>
    </row>
    <row r="47" spans="2:16" x14ac:dyDescent="0.35">
      <c r="B47" s="822" t="s">
        <v>34</v>
      </c>
      <c r="C47" s="816" t="s">
        <v>360</v>
      </c>
      <c r="D47" s="816" t="s">
        <v>360</v>
      </c>
      <c r="E47" s="816" t="s">
        <v>360</v>
      </c>
      <c r="F47" s="816" t="s">
        <v>360</v>
      </c>
      <c r="G47" s="816" t="s">
        <v>360</v>
      </c>
      <c r="H47" s="816" t="s">
        <v>360</v>
      </c>
      <c r="I47" s="816" t="s">
        <v>360</v>
      </c>
      <c r="J47" s="816" t="s">
        <v>360</v>
      </c>
      <c r="K47" s="816" t="s">
        <v>360</v>
      </c>
      <c r="L47" s="816" t="s">
        <v>360</v>
      </c>
      <c r="M47" s="816" t="s">
        <v>360</v>
      </c>
      <c r="N47" s="816" t="s">
        <v>360</v>
      </c>
      <c r="O47" s="813">
        <v>0</v>
      </c>
    </row>
    <row r="48" spans="2:16" x14ac:dyDescent="0.35">
      <c r="B48" s="822" t="s">
        <v>35</v>
      </c>
      <c r="C48" s="816">
        <v>31</v>
      </c>
      <c r="D48" s="816">
        <v>25</v>
      </c>
      <c r="E48" s="816">
        <v>23</v>
      </c>
      <c r="F48" s="816">
        <v>12</v>
      </c>
      <c r="G48" s="816">
        <v>17</v>
      </c>
      <c r="H48" s="816">
        <v>20</v>
      </c>
      <c r="I48" s="816">
        <v>18</v>
      </c>
      <c r="J48" s="816">
        <v>26</v>
      </c>
      <c r="K48" s="816">
        <v>20</v>
      </c>
      <c r="L48" s="816">
        <v>17</v>
      </c>
      <c r="M48" s="816">
        <v>22</v>
      </c>
      <c r="N48" s="816">
        <v>15</v>
      </c>
      <c r="O48" s="813">
        <v>246</v>
      </c>
    </row>
    <row r="49" spans="2:15" x14ac:dyDescent="0.35">
      <c r="B49" s="822" t="s">
        <v>29</v>
      </c>
      <c r="C49" s="816" t="s">
        <v>360</v>
      </c>
      <c r="D49" s="816">
        <v>2</v>
      </c>
      <c r="E49" s="816">
        <v>1</v>
      </c>
      <c r="F49" s="816">
        <v>1</v>
      </c>
      <c r="G49" s="816">
        <v>1</v>
      </c>
      <c r="H49" s="816" t="s">
        <v>360</v>
      </c>
      <c r="I49" s="816">
        <v>1</v>
      </c>
      <c r="J49" s="816">
        <v>1</v>
      </c>
      <c r="K49" s="816">
        <v>1</v>
      </c>
      <c r="L49" s="816">
        <v>1</v>
      </c>
      <c r="M49" s="816">
        <v>1</v>
      </c>
      <c r="N49" s="816" t="s">
        <v>360</v>
      </c>
      <c r="O49" s="813">
        <v>10</v>
      </c>
    </row>
    <row r="50" spans="2:15" x14ac:dyDescent="0.35">
      <c r="B50" s="822" t="s">
        <v>30</v>
      </c>
      <c r="C50" s="816" t="s">
        <v>360</v>
      </c>
      <c r="D50" s="816" t="s">
        <v>360</v>
      </c>
      <c r="E50" s="816" t="s">
        <v>360</v>
      </c>
      <c r="F50" s="816" t="s">
        <v>360</v>
      </c>
      <c r="G50" s="816" t="s">
        <v>360</v>
      </c>
      <c r="H50" s="816" t="s">
        <v>360</v>
      </c>
      <c r="I50" s="816" t="s">
        <v>360</v>
      </c>
      <c r="J50" s="816" t="s">
        <v>360</v>
      </c>
      <c r="K50" s="816" t="s">
        <v>360</v>
      </c>
      <c r="L50" s="816" t="s">
        <v>360</v>
      </c>
      <c r="M50" s="816" t="s">
        <v>360</v>
      </c>
      <c r="N50" s="816" t="s">
        <v>360</v>
      </c>
      <c r="O50" s="813">
        <v>0</v>
      </c>
    </row>
    <row r="51" spans="2:15" x14ac:dyDescent="0.35">
      <c r="B51" s="822"/>
      <c r="C51" s="823"/>
      <c r="D51" s="824"/>
      <c r="E51" s="824"/>
      <c r="F51" s="824"/>
      <c r="G51" s="824"/>
      <c r="H51" s="824"/>
      <c r="I51" s="816"/>
      <c r="J51" s="816"/>
      <c r="K51" s="816"/>
      <c r="L51" s="816"/>
      <c r="M51" s="816"/>
      <c r="N51" s="816"/>
      <c r="O51" s="813"/>
    </row>
    <row r="52" spans="2:15" x14ac:dyDescent="0.35">
      <c r="B52" s="432" t="s">
        <v>36</v>
      </c>
      <c r="C52" s="825">
        <v>246</v>
      </c>
      <c r="D52" s="825">
        <v>237</v>
      </c>
      <c r="E52" s="826">
        <v>244</v>
      </c>
      <c r="F52" s="826">
        <v>220</v>
      </c>
      <c r="G52" s="826">
        <v>247</v>
      </c>
      <c r="H52" s="826">
        <v>214</v>
      </c>
      <c r="I52" s="826">
        <v>212</v>
      </c>
      <c r="J52" s="826">
        <v>227</v>
      </c>
      <c r="K52" s="826">
        <v>209</v>
      </c>
      <c r="L52" s="826">
        <v>221</v>
      </c>
      <c r="M52" s="826">
        <v>228</v>
      </c>
      <c r="N52" s="826">
        <v>243</v>
      </c>
      <c r="O52" s="827">
        <v>2748</v>
      </c>
    </row>
    <row r="53" spans="2:15" x14ac:dyDescent="0.35">
      <c r="B53" s="568"/>
      <c r="C53" s="121"/>
      <c r="D53" s="569"/>
      <c r="E53" s="569"/>
      <c r="F53" s="569"/>
      <c r="G53" s="569"/>
      <c r="H53" s="569"/>
      <c r="I53" s="565"/>
      <c r="J53" s="565"/>
      <c r="K53" s="565"/>
      <c r="L53" s="565"/>
      <c r="M53" s="565"/>
      <c r="N53" s="565"/>
      <c r="O53" s="119"/>
    </row>
    <row r="54" spans="2:15" x14ac:dyDescent="0.35">
      <c r="B54" s="1069" t="s">
        <v>37</v>
      </c>
      <c r="C54" s="1069"/>
      <c r="D54" s="1069"/>
      <c r="E54" s="1069"/>
      <c r="F54" s="1069"/>
      <c r="G54" s="1069"/>
      <c r="H54" s="1069"/>
      <c r="I54" s="1069"/>
      <c r="J54" s="1069"/>
      <c r="K54" s="1069"/>
      <c r="L54" s="1069"/>
      <c r="M54" s="1069"/>
      <c r="N54" s="1069"/>
      <c r="O54" s="1069"/>
    </row>
    <row r="55" spans="2:15" x14ac:dyDescent="0.35">
      <c r="B55" s="125"/>
      <c r="C55" s="554"/>
    </row>
    <row r="56" spans="2:15" ht="22.5" customHeight="1" x14ac:dyDescent="0.35">
      <c r="B56" s="1069" t="s">
        <v>361</v>
      </c>
      <c r="C56" s="1069"/>
      <c r="D56" s="1069"/>
      <c r="E56" s="1069"/>
      <c r="F56" s="1069"/>
      <c r="G56" s="1069"/>
      <c r="H56" s="1069"/>
      <c r="I56" s="1069"/>
      <c r="J56" s="555">
        <v>2025</v>
      </c>
      <c r="K56" s="125"/>
      <c r="L56" s="125"/>
      <c r="M56" s="125"/>
      <c r="N56" s="125"/>
      <c r="O56" s="125"/>
    </row>
    <row r="57" spans="2:15" x14ac:dyDescent="0.35">
      <c r="B57" s="122"/>
      <c r="C57" s="123"/>
      <c r="D57" s="123"/>
      <c r="E57" s="123"/>
      <c r="F57" s="123"/>
      <c r="G57" s="123"/>
      <c r="H57" s="123"/>
      <c r="I57" s="124"/>
      <c r="J57" s="124"/>
      <c r="K57" s="124"/>
      <c r="L57" s="124"/>
      <c r="M57" s="570"/>
      <c r="N57" s="570"/>
      <c r="O57" s="125"/>
    </row>
    <row r="58" spans="2:15" ht="15" customHeight="1" x14ac:dyDescent="0.35">
      <c r="B58" s="1074" t="s">
        <v>13</v>
      </c>
      <c r="C58" s="1070" t="s">
        <v>0</v>
      </c>
      <c r="D58" s="1070" t="s">
        <v>1</v>
      </c>
      <c r="E58" s="1070" t="s">
        <v>2</v>
      </c>
      <c r="F58" s="1070" t="s">
        <v>3</v>
      </c>
      <c r="G58" s="1070" t="s">
        <v>4</v>
      </c>
      <c r="H58" s="1070" t="s">
        <v>5</v>
      </c>
      <c r="I58" s="1070" t="s">
        <v>6</v>
      </c>
      <c r="J58" s="1070" t="s">
        <v>7</v>
      </c>
      <c r="K58" s="1070" t="s">
        <v>8</v>
      </c>
      <c r="L58" s="1070" t="s">
        <v>9</v>
      </c>
      <c r="M58" s="1070" t="s">
        <v>10</v>
      </c>
      <c r="N58" s="1070" t="s">
        <v>14</v>
      </c>
      <c r="O58" s="1074" t="s">
        <v>15</v>
      </c>
    </row>
    <row r="59" spans="2:15" ht="28.5" customHeight="1" x14ac:dyDescent="0.35">
      <c r="B59" s="1080"/>
      <c r="C59" s="1071"/>
      <c r="D59" s="1071"/>
      <c r="E59" s="1071"/>
      <c r="F59" s="1071"/>
      <c r="G59" s="1071"/>
      <c r="H59" s="1071"/>
      <c r="I59" s="1071"/>
      <c r="J59" s="1071"/>
      <c r="K59" s="1071"/>
      <c r="L59" s="1071"/>
      <c r="M59" s="1078"/>
      <c r="N59" s="1078"/>
      <c r="O59" s="1079"/>
    </row>
    <row r="60" spans="2:15" x14ac:dyDescent="0.35">
      <c r="B60" s="802"/>
      <c r="C60" s="556">
        <v>2.3166649043560028E-8</v>
      </c>
      <c r="D60" s="556">
        <v>-1.3620592653751373E-8</v>
      </c>
      <c r="E60" s="556">
        <v>1.280568540096283E-9</v>
      </c>
      <c r="F60" s="556">
        <v>2.4447217583656311E-8</v>
      </c>
      <c r="G60" s="556">
        <v>7.3341652750968933E-9</v>
      </c>
      <c r="H60" s="556">
        <v>1.8044374883174896E-8</v>
      </c>
      <c r="I60" s="556">
        <v>1.1874362826347351E-8</v>
      </c>
      <c r="J60" s="556">
        <v>-3.5623088479042053E-8</v>
      </c>
      <c r="K60" s="556">
        <v>-1.6822014003992081E-8</v>
      </c>
      <c r="L60" s="556">
        <v>7.7998265624046326E-8</v>
      </c>
      <c r="M60" s="556">
        <v>-1.280568540096283E-9</v>
      </c>
      <c r="N60" s="556">
        <v>-4.6566128730773926E-8</v>
      </c>
      <c r="O60" s="828"/>
    </row>
    <row r="61" spans="2:15" x14ac:dyDescent="0.35">
      <c r="B61" s="803" t="s">
        <v>19</v>
      </c>
      <c r="C61" s="126">
        <v>3583228.8014890226</v>
      </c>
      <c r="D61" s="126">
        <v>3763011.1474409914</v>
      </c>
      <c r="E61" s="126">
        <v>3780796.6906429986</v>
      </c>
      <c r="F61" s="126">
        <v>3831982.5868730247</v>
      </c>
      <c r="G61" s="126">
        <v>4142321.3242020179</v>
      </c>
      <c r="H61" s="126">
        <v>3609202.1103910264</v>
      </c>
      <c r="I61" s="126">
        <v>4124527.3926300239</v>
      </c>
      <c r="J61" s="126">
        <v>4256661.6875200029</v>
      </c>
      <c r="K61" s="126">
        <v>3818211.0839199973</v>
      </c>
      <c r="L61" s="126">
        <v>3764648.0182910752</v>
      </c>
      <c r="M61" s="126">
        <v>3672871.0656800261</v>
      </c>
      <c r="N61" s="126">
        <v>4352005.0476269983</v>
      </c>
      <c r="O61" s="127">
        <v>46699466.956707209</v>
      </c>
    </row>
    <row r="62" spans="2:15" x14ac:dyDescent="0.35">
      <c r="B62" s="803"/>
      <c r="C62" s="829"/>
      <c r="D62" s="829"/>
      <c r="E62" s="829"/>
      <c r="F62" s="829"/>
      <c r="G62" s="829"/>
      <c r="H62" s="829"/>
      <c r="I62" s="829"/>
      <c r="J62" s="829"/>
      <c r="K62" s="830"/>
      <c r="L62" s="128"/>
      <c r="M62" s="128"/>
      <c r="N62" s="831"/>
      <c r="O62" s="127"/>
    </row>
    <row r="63" spans="2:15" x14ac:dyDescent="0.35">
      <c r="B63" s="804" t="s">
        <v>38</v>
      </c>
      <c r="C63" s="131">
        <v>2513167.3145350218</v>
      </c>
      <c r="D63" s="131">
        <v>2627477.2222409933</v>
      </c>
      <c r="E63" s="131">
        <v>2551090.4696429926</v>
      </c>
      <c r="F63" s="131">
        <v>2626551.7345830239</v>
      </c>
      <c r="G63" s="131">
        <v>2856811.9222020293</v>
      </c>
      <c r="H63" s="131">
        <v>2317972.5793910362</v>
      </c>
      <c r="I63" s="131">
        <v>3012364.8660100251</v>
      </c>
      <c r="J63" s="131">
        <v>2957750.1525199823</v>
      </c>
      <c r="K63" s="131">
        <v>2584662.2371699978</v>
      </c>
      <c r="L63" s="131">
        <v>2598798.5582910823</v>
      </c>
      <c r="M63" s="131">
        <v>2594277.6646800409</v>
      </c>
      <c r="N63" s="131">
        <v>2869677.3401270011</v>
      </c>
      <c r="O63" s="130">
        <v>32110602.061393231</v>
      </c>
    </row>
    <row r="64" spans="2:15" x14ac:dyDescent="0.35">
      <c r="B64" s="804" t="s">
        <v>39</v>
      </c>
      <c r="C64" s="131">
        <v>1070061.4869540005</v>
      </c>
      <c r="D64" s="131">
        <v>1135533.9251999981</v>
      </c>
      <c r="E64" s="131">
        <v>1229706.2210000057</v>
      </c>
      <c r="F64" s="131">
        <v>1205430.8522900008</v>
      </c>
      <c r="G64" s="131">
        <v>1285509.4019999888</v>
      </c>
      <c r="H64" s="131">
        <v>1291229.5309999899</v>
      </c>
      <c r="I64" s="131">
        <v>1112162.526619999</v>
      </c>
      <c r="J64" s="131">
        <v>1298911.5350000206</v>
      </c>
      <c r="K64" s="131">
        <v>1233548.8467499993</v>
      </c>
      <c r="L64" s="131">
        <v>1165849.459999993</v>
      </c>
      <c r="M64" s="131">
        <v>1078593.4009999854</v>
      </c>
      <c r="N64" s="131">
        <v>1482327.7074999975</v>
      </c>
      <c r="O64" s="130">
        <v>14588864.895313978</v>
      </c>
    </row>
    <row r="65" spans="1:22" x14ac:dyDescent="0.35">
      <c r="B65" s="804"/>
      <c r="C65" s="832"/>
      <c r="D65" s="832"/>
      <c r="E65" s="832"/>
      <c r="F65" s="832"/>
      <c r="G65" s="832"/>
      <c r="H65" s="832"/>
      <c r="I65" s="832"/>
      <c r="J65" s="832"/>
      <c r="K65" s="832"/>
      <c r="L65" s="832"/>
      <c r="M65" s="832"/>
      <c r="N65" s="832"/>
      <c r="O65" s="130"/>
    </row>
    <row r="66" spans="1:22" s="39" customFormat="1" x14ac:dyDescent="0.35">
      <c r="B66" s="805" t="s">
        <v>40</v>
      </c>
      <c r="C66" s="833">
        <v>184731.46899999998</v>
      </c>
      <c r="D66" s="833">
        <v>246716.36900000001</v>
      </c>
      <c r="E66" s="833">
        <v>249692.03100000002</v>
      </c>
      <c r="F66" s="833">
        <v>267252.10400000005</v>
      </c>
      <c r="G66" s="833">
        <v>192027.788</v>
      </c>
      <c r="H66" s="833">
        <v>313144.24099999998</v>
      </c>
      <c r="I66" s="833">
        <v>187753.12699999998</v>
      </c>
      <c r="J66" s="833">
        <v>305317.39399999997</v>
      </c>
      <c r="K66" s="833">
        <v>306662.95500000002</v>
      </c>
      <c r="L66" s="833">
        <v>192004.32</v>
      </c>
      <c r="M66" s="833">
        <v>189175.40600000002</v>
      </c>
      <c r="N66" s="833">
        <v>335404.64</v>
      </c>
      <c r="O66" s="834">
        <v>2969881.8439999996</v>
      </c>
      <c r="P66" s="324"/>
      <c r="Q66" s="324"/>
      <c r="R66" s="324"/>
      <c r="S66" s="324"/>
      <c r="T66" s="324"/>
      <c r="U66" s="324"/>
      <c r="V66" s="324"/>
    </row>
    <row r="67" spans="1:22" s="40" customFormat="1" x14ac:dyDescent="0.35">
      <c r="B67" s="805"/>
      <c r="C67" s="632">
        <v>0</v>
      </c>
      <c r="D67" s="632">
        <v>0</v>
      </c>
      <c r="E67" s="632">
        <v>0</v>
      </c>
      <c r="F67" s="632">
        <v>0</v>
      </c>
      <c r="G67" s="632">
        <v>0</v>
      </c>
      <c r="H67" s="632">
        <v>0</v>
      </c>
      <c r="I67" s="632">
        <v>0</v>
      </c>
      <c r="J67" s="632">
        <v>0</v>
      </c>
      <c r="K67" s="632">
        <v>0</v>
      </c>
      <c r="L67" s="632">
        <v>0</v>
      </c>
      <c r="M67" s="632">
        <v>0</v>
      </c>
      <c r="N67" s="632">
        <v>0</v>
      </c>
      <c r="O67" s="834">
        <v>0</v>
      </c>
      <c r="P67" s="39"/>
      <c r="Q67" s="39"/>
      <c r="R67" s="39"/>
      <c r="S67" s="39"/>
      <c r="T67" s="39"/>
      <c r="U67" s="39"/>
      <c r="V67" s="39"/>
    </row>
    <row r="68" spans="1:22" x14ac:dyDescent="0.35">
      <c r="B68" s="803" t="s">
        <v>31</v>
      </c>
      <c r="C68" s="126">
        <v>31916.71</v>
      </c>
      <c r="D68" s="126">
        <v>20732.005000000001</v>
      </c>
      <c r="E68" s="126">
        <v>22437.226000000002</v>
      </c>
      <c r="F68" s="126">
        <v>11736.393999999998</v>
      </c>
      <c r="G68" s="126">
        <v>19917.464</v>
      </c>
      <c r="H68" s="126">
        <v>16371.708500000001</v>
      </c>
      <c r="I68" s="126">
        <v>10768.7605</v>
      </c>
      <c r="J68" s="126">
        <v>16672.058000000005</v>
      </c>
      <c r="K68" s="126">
        <v>27950.928999999996</v>
      </c>
      <c r="L68" s="126">
        <v>21842.8295</v>
      </c>
      <c r="M68" s="126">
        <v>17462.303</v>
      </c>
      <c r="N68" s="126">
        <v>18325.766499999998</v>
      </c>
      <c r="O68" s="127">
        <v>236134.15400000001</v>
      </c>
      <c r="P68" s="338">
        <f>O68/O73</f>
        <v>5.0310243911232625E-3</v>
      </c>
      <c r="Q68" s="40"/>
      <c r="R68" s="40"/>
      <c r="S68" s="40"/>
      <c r="T68" s="40"/>
      <c r="U68" s="40"/>
      <c r="V68" s="40"/>
    </row>
    <row r="69" spans="1:22" x14ac:dyDescent="0.35">
      <c r="B69" s="803"/>
      <c r="C69" s="126"/>
      <c r="D69" s="126"/>
      <c r="E69" s="126"/>
      <c r="F69" s="126"/>
      <c r="G69" s="126"/>
      <c r="H69" s="126"/>
      <c r="I69" s="126"/>
      <c r="J69" s="126"/>
      <c r="K69" s="126"/>
      <c r="L69" s="126"/>
      <c r="M69" s="126"/>
      <c r="N69" s="126"/>
      <c r="O69" s="127"/>
    </row>
    <row r="70" spans="1:22" x14ac:dyDescent="0.35">
      <c r="B70" s="804" t="s">
        <v>38</v>
      </c>
      <c r="C70" s="830">
        <v>23650.303</v>
      </c>
      <c r="D70" s="830">
        <v>20732.005000000001</v>
      </c>
      <c r="E70" s="830">
        <v>20450.186000000002</v>
      </c>
      <c r="F70" s="830">
        <v>9525.7439999999988</v>
      </c>
      <c r="G70" s="830">
        <v>19917.464</v>
      </c>
      <c r="H70" s="830">
        <v>14171.5885</v>
      </c>
      <c r="I70" s="830">
        <v>8916.6764999999996</v>
      </c>
      <c r="J70" s="830">
        <v>16672.058000000005</v>
      </c>
      <c r="K70" s="830">
        <v>26661.080999999998</v>
      </c>
      <c r="L70" s="830">
        <v>19925.1695</v>
      </c>
      <c r="M70" s="830">
        <v>17462.303</v>
      </c>
      <c r="N70" s="830">
        <v>18325.766499999998</v>
      </c>
      <c r="O70" s="130">
        <v>216410.345</v>
      </c>
    </row>
    <row r="71" spans="1:22" x14ac:dyDescent="0.35">
      <c r="A71" s="359"/>
      <c r="B71" s="804" t="s">
        <v>39</v>
      </c>
      <c r="C71" s="131">
        <v>8266.4069999999992</v>
      </c>
      <c r="D71" s="131">
        <v>0</v>
      </c>
      <c r="E71" s="131">
        <v>1987.04</v>
      </c>
      <c r="F71" s="131">
        <v>2210.65</v>
      </c>
      <c r="G71" s="131">
        <v>0</v>
      </c>
      <c r="H71" s="131">
        <v>2200.12</v>
      </c>
      <c r="I71" s="131">
        <v>1852.0839999999998</v>
      </c>
      <c r="J71" s="131">
        <v>0</v>
      </c>
      <c r="K71" s="131">
        <v>1289.848</v>
      </c>
      <c r="L71" s="131">
        <v>1917.6599999999999</v>
      </c>
      <c r="M71" s="131">
        <v>0</v>
      </c>
      <c r="N71" s="131">
        <v>0</v>
      </c>
      <c r="O71" s="130">
        <v>19723.808999999997</v>
      </c>
    </row>
    <row r="72" spans="1:22" x14ac:dyDescent="0.35">
      <c r="A72" s="359"/>
      <c r="B72" s="804"/>
      <c r="C72" s="131"/>
      <c r="D72" s="131"/>
      <c r="E72" s="131"/>
      <c r="F72" s="131"/>
      <c r="G72" s="131"/>
      <c r="H72" s="131"/>
      <c r="I72" s="131"/>
      <c r="J72" s="131"/>
      <c r="K72" s="131"/>
      <c r="L72" s="131"/>
      <c r="M72" s="131"/>
      <c r="N72" s="131"/>
      <c r="O72" s="130"/>
    </row>
    <row r="73" spans="1:22" s="41" customFormat="1" x14ac:dyDescent="0.35">
      <c r="B73" s="431" t="s">
        <v>36</v>
      </c>
      <c r="C73" s="835">
        <v>3615145.5114890225</v>
      </c>
      <c r="D73" s="835">
        <v>3783743.1524409913</v>
      </c>
      <c r="E73" s="835">
        <v>3803233.9166429983</v>
      </c>
      <c r="F73" s="835">
        <v>3843718.9808730246</v>
      </c>
      <c r="G73" s="835">
        <v>4162238.788202018</v>
      </c>
      <c r="H73" s="835">
        <v>3625573.8188910265</v>
      </c>
      <c r="I73" s="835">
        <v>4135296.1531300237</v>
      </c>
      <c r="J73" s="835">
        <v>4273333.7455200031</v>
      </c>
      <c r="K73" s="835">
        <v>3846162.0129199973</v>
      </c>
      <c r="L73" s="835">
        <v>3786490.8477910752</v>
      </c>
      <c r="M73" s="835">
        <v>3690333.3686800259</v>
      </c>
      <c r="N73" s="835">
        <v>4370330.8141269982</v>
      </c>
      <c r="O73" s="836">
        <v>46935601.110707201</v>
      </c>
      <c r="P73" s="324"/>
      <c r="Q73" s="324"/>
      <c r="R73" s="324"/>
      <c r="S73" s="324"/>
      <c r="T73" s="324"/>
      <c r="U73" s="324"/>
      <c r="V73" s="324"/>
    </row>
    <row r="74" spans="1:22" x14ac:dyDescent="0.35">
      <c r="B74" s="804"/>
      <c r="C74" s="126"/>
      <c r="D74" s="126"/>
      <c r="E74" s="126"/>
      <c r="F74" s="126"/>
      <c r="G74" s="126"/>
      <c r="H74" s="126"/>
      <c r="I74" s="126"/>
      <c r="J74" s="126"/>
      <c r="K74" s="126"/>
      <c r="L74" s="126"/>
      <c r="M74" s="126"/>
      <c r="N74" s="126"/>
      <c r="O74" s="127"/>
      <c r="P74" s="41"/>
      <c r="Q74" s="41"/>
      <c r="R74" s="41"/>
      <c r="S74" s="41"/>
      <c r="T74" s="41"/>
      <c r="U74" s="41"/>
      <c r="V74" s="41"/>
    </row>
    <row r="75" spans="1:22" x14ac:dyDescent="0.35">
      <c r="B75" s="804" t="s">
        <v>38</v>
      </c>
      <c r="C75" s="131">
        <v>2536817.6175350216</v>
      </c>
      <c r="D75" s="131">
        <v>2648209.2272409932</v>
      </c>
      <c r="E75" s="131">
        <v>2571540.6556429928</v>
      </c>
      <c r="F75" s="131">
        <v>2636077.4785830239</v>
      </c>
      <c r="G75" s="131">
        <v>2876729.3862020294</v>
      </c>
      <c r="H75" s="131">
        <v>2332144.1678910363</v>
      </c>
      <c r="I75" s="131">
        <v>3021281.5425100252</v>
      </c>
      <c r="J75" s="131">
        <v>2974422.2105199825</v>
      </c>
      <c r="K75" s="131">
        <v>2611323.3181699975</v>
      </c>
      <c r="L75" s="131">
        <v>2618723.7277910821</v>
      </c>
      <c r="M75" s="131">
        <v>2611739.9676800407</v>
      </c>
      <c r="N75" s="131">
        <v>2888003.106627001</v>
      </c>
      <c r="O75" s="130">
        <v>32327012.40639323</v>
      </c>
    </row>
    <row r="76" spans="1:22" x14ac:dyDescent="0.35">
      <c r="B76" s="804" t="s">
        <v>39</v>
      </c>
      <c r="C76" s="131">
        <v>1078327.8939540004</v>
      </c>
      <c r="D76" s="131">
        <v>1135533.9251999981</v>
      </c>
      <c r="E76" s="131">
        <v>1231693.2610000058</v>
      </c>
      <c r="F76" s="131">
        <v>1207641.5022900007</v>
      </c>
      <c r="G76" s="131">
        <v>1285509.4019999888</v>
      </c>
      <c r="H76" s="131">
        <v>1293429.6509999901</v>
      </c>
      <c r="I76" s="131">
        <v>1114014.610619999</v>
      </c>
      <c r="J76" s="131">
        <v>1298911.5350000206</v>
      </c>
      <c r="K76" s="131">
        <v>1234838.6947499993</v>
      </c>
      <c r="L76" s="131">
        <v>1167767.1199999929</v>
      </c>
      <c r="M76" s="131">
        <v>1078593.4009999854</v>
      </c>
      <c r="N76" s="131">
        <v>1482327.7074999975</v>
      </c>
      <c r="O76" s="130">
        <v>14608588.70431398</v>
      </c>
    </row>
    <row r="77" spans="1:22" s="3" customFormat="1" x14ac:dyDescent="0.35">
      <c r="B77" s="582"/>
      <c r="C77" s="837"/>
      <c r="D77" s="837"/>
      <c r="E77" s="837"/>
      <c r="F77" s="837"/>
      <c r="G77" s="837"/>
      <c r="H77" s="837"/>
      <c r="I77" s="837"/>
      <c r="J77" s="837"/>
      <c r="K77" s="837"/>
      <c r="L77" s="837"/>
      <c r="M77" s="837"/>
      <c r="N77" s="837"/>
      <c r="O77" s="838"/>
      <c r="P77" s="324"/>
      <c r="Q77" s="324"/>
      <c r="R77" s="324"/>
      <c r="S77" s="324"/>
      <c r="T77" s="324"/>
      <c r="U77" s="324"/>
      <c r="V77" s="324"/>
    </row>
    <row r="78" spans="1:22" s="3" customFormat="1" x14ac:dyDescent="0.35">
      <c r="B78" s="117"/>
      <c r="C78" s="133"/>
      <c r="D78" s="133"/>
      <c r="E78" s="133"/>
      <c r="F78" s="133"/>
      <c r="G78" s="133"/>
      <c r="H78" s="133"/>
      <c r="I78" s="133"/>
      <c r="J78" s="133"/>
      <c r="K78" s="133"/>
      <c r="L78" s="133"/>
      <c r="M78" s="133"/>
      <c r="N78" s="133"/>
      <c r="O78" s="134"/>
    </row>
    <row r="79" spans="1:22" s="3" customFormat="1" x14ac:dyDescent="0.35">
      <c r="B79" s="1069" t="s">
        <v>215</v>
      </c>
      <c r="C79" s="1069"/>
      <c r="D79" s="1069"/>
      <c r="E79" s="1069"/>
      <c r="F79" s="1069"/>
      <c r="G79" s="1069"/>
      <c r="H79" s="1069"/>
      <c r="I79" s="1069"/>
      <c r="J79" s="1069"/>
      <c r="K79" s="1069"/>
      <c r="L79" s="1069"/>
      <c r="M79" s="1069"/>
      <c r="N79" s="1069"/>
      <c r="O79" s="1069"/>
    </row>
    <row r="80" spans="1:22" s="3" customFormat="1" x14ac:dyDescent="0.35">
      <c r="B80" s="8"/>
      <c r="C80" s="106"/>
      <c r="D80" s="133"/>
      <c r="E80" s="133"/>
      <c r="F80" s="133"/>
      <c r="G80" s="133"/>
      <c r="H80" s="133"/>
      <c r="I80" s="133"/>
      <c r="J80" s="133"/>
      <c r="K80" s="133"/>
      <c r="L80" s="133"/>
      <c r="M80" s="133"/>
      <c r="N80" s="133"/>
      <c r="O80" s="133"/>
    </row>
    <row r="81" spans="2:22" s="3" customFormat="1" ht="22.5" customHeight="1" x14ac:dyDescent="0.35">
      <c r="B81" s="1068" t="s">
        <v>362</v>
      </c>
      <c r="C81" s="1068"/>
      <c r="D81" s="1068"/>
      <c r="E81" s="1068"/>
      <c r="F81" s="1068"/>
      <c r="G81" s="1068"/>
      <c r="H81" s="1068"/>
      <c r="I81" s="1068"/>
      <c r="J81" s="1068"/>
      <c r="K81" s="555">
        <v>2025</v>
      </c>
      <c r="L81" s="173"/>
      <c r="M81" s="173"/>
      <c r="N81" s="173"/>
      <c r="O81" s="173"/>
    </row>
    <row r="82" spans="2:22" s="3" customFormat="1" x14ac:dyDescent="0.35">
      <c r="B82" s="13"/>
      <c r="C82" s="106"/>
      <c r="D82" s="106"/>
      <c r="E82" s="106"/>
      <c r="F82" s="106"/>
      <c r="G82" s="106"/>
      <c r="H82" s="106"/>
      <c r="I82" s="106"/>
      <c r="J82" s="106"/>
      <c r="K82" s="106"/>
      <c r="L82" s="106"/>
      <c r="M82" s="106"/>
      <c r="N82" s="106"/>
      <c r="O82" s="8"/>
    </row>
    <row r="83" spans="2:22" ht="15" customHeight="1" x14ac:dyDescent="0.35">
      <c r="B83" s="1074" t="s">
        <v>13</v>
      </c>
      <c r="C83" s="1070" t="s">
        <v>0</v>
      </c>
      <c r="D83" s="1070" t="s">
        <v>1</v>
      </c>
      <c r="E83" s="1070" t="s">
        <v>2</v>
      </c>
      <c r="F83" s="1070" t="s">
        <v>3</v>
      </c>
      <c r="G83" s="1070" t="s">
        <v>4</v>
      </c>
      <c r="H83" s="1070" t="s">
        <v>5</v>
      </c>
      <c r="I83" s="1070" t="s">
        <v>6</v>
      </c>
      <c r="J83" s="1070" t="s">
        <v>7</v>
      </c>
      <c r="K83" s="1070" t="s">
        <v>8</v>
      </c>
      <c r="L83" s="1070" t="s">
        <v>9</v>
      </c>
      <c r="M83" s="1070" t="s">
        <v>10</v>
      </c>
      <c r="N83" s="1070" t="s">
        <v>14</v>
      </c>
      <c r="O83" s="1074" t="s">
        <v>15</v>
      </c>
      <c r="P83" s="3"/>
      <c r="Q83" s="3"/>
      <c r="R83" s="3"/>
      <c r="S83" s="3"/>
      <c r="T83" s="3"/>
      <c r="U83" s="3"/>
      <c r="V83" s="3"/>
    </row>
    <row r="84" spans="2:22" ht="28.5" customHeight="1" x14ac:dyDescent="0.35">
      <c r="B84" s="1080"/>
      <c r="C84" s="1071"/>
      <c r="D84" s="1071"/>
      <c r="E84" s="1071"/>
      <c r="F84" s="1071"/>
      <c r="G84" s="1071"/>
      <c r="H84" s="1071"/>
      <c r="I84" s="1071"/>
      <c r="J84" s="1071"/>
      <c r="K84" s="1071"/>
      <c r="L84" s="1071"/>
      <c r="M84" s="1078"/>
      <c r="N84" s="1078"/>
      <c r="O84" s="1081"/>
    </row>
    <row r="85" spans="2:22" s="3" customFormat="1" x14ac:dyDescent="0.35">
      <c r="B85" s="109"/>
      <c r="C85" s="556">
        <v>2.5902409106492996E-8</v>
      </c>
      <c r="D85" s="556">
        <v>-7.6252035796642303E-9</v>
      </c>
      <c r="E85" s="556">
        <v>-2.3865140974521637E-9</v>
      </c>
      <c r="F85" s="556">
        <v>3.009336069226265E-8</v>
      </c>
      <c r="G85" s="556">
        <v>1.9499566406011581E-8</v>
      </c>
      <c r="H85" s="556">
        <v>2.5203917175531387E-8</v>
      </c>
      <c r="I85" s="556">
        <v>1.6298145055770874E-8</v>
      </c>
      <c r="J85" s="556">
        <v>-5.1979441195726395E-8</v>
      </c>
      <c r="K85" s="556">
        <v>-9.3132257461547852E-9</v>
      </c>
      <c r="L85" s="556">
        <v>8.0181052908301353E-8</v>
      </c>
      <c r="M85" s="556">
        <v>1.6996636986732483E-8</v>
      </c>
      <c r="N85" s="556">
        <v>-2.043088898062706E-8</v>
      </c>
      <c r="O85" s="109"/>
      <c r="P85" s="324"/>
      <c r="Q85" s="324"/>
      <c r="R85" s="324"/>
      <c r="S85" s="324"/>
      <c r="T85" s="324"/>
      <c r="U85" s="324"/>
      <c r="V85" s="324"/>
    </row>
    <row r="86" spans="2:22" s="3" customFormat="1" x14ac:dyDescent="0.35">
      <c r="B86" s="136" t="s">
        <v>216</v>
      </c>
      <c r="C86" s="111">
        <v>2111932.6683349959</v>
      </c>
      <c r="D86" s="111">
        <v>2170938.4496910018</v>
      </c>
      <c r="E86" s="111">
        <v>2180818.4426929951</v>
      </c>
      <c r="F86" s="111">
        <v>2304219.8315829937</v>
      </c>
      <c r="G86" s="111">
        <v>2402234.0528420117</v>
      </c>
      <c r="H86" s="111">
        <v>2018330.6082710109</v>
      </c>
      <c r="I86" s="111">
        <v>2659056.677190009</v>
      </c>
      <c r="J86" s="111">
        <v>2612846.5965200351</v>
      </c>
      <c r="K86" s="111">
        <v>2348131.1308300071</v>
      </c>
      <c r="L86" s="111">
        <v>2378820.2897910019</v>
      </c>
      <c r="M86" s="111">
        <v>2300856.0596800242</v>
      </c>
      <c r="N86" s="111">
        <v>2478167.7656270219</v>
      </c>
      <c r="O86" s="112">
        <v>27966352.57305311</v>
      </c>
    </row>
    <row r="87" spans="2:22" s="3" customFormat="1" x14ac:dyDescent="0.35">
      <c r="B87" s="136"/>
      <c r="C87" s="131"/>
      <c r="D87" s="662"/>
      <c r="E87" s="662"/>
      <c r="F87" s="662"/>
      <c r="G87" s="662"/>
      <c r="H87" s="662"/>
      <c r="I87" s="137"/>
      <c r="J87" s="137"/>
      <c r="K87" s="137"/>
      <c r="L87" s="137"/>
      <c r="M87" s="137"/>
      <c r="N87" s="137"/>
      <c r="O87" s="112"/>
    </row>
    <row r="88" spans="2:22" s="3" customFormat="1" x14ac:dyDescent="0.35">
      <c r="B88" s="138" t="s">
        <v>41</v>
      </c>
      <c r="C88" s="131">
        <v>726979.54232300026</v>
      </c>
      <c r="D88" s="131">
        <v>460858.84025000053</v>
      </c>
      <c r="E88" s="131">
        <v>604442.46419999981</v>
      </c>
      <c r="F88" s="131">
        <v>545101.21900599985</v>
      </c>
      <c r="G88" s="131">
        <v>630395.43670000008</v>
      </c>
      <c r="H88" s="131">
        <v>510354.56</v>
      </c>
      <c r="I88" s="131">
        <v>740243.2570000008</v>
      </c>
      <c r="J88" s="131">
        <v>641586.67700000003</v>
      </c>
      <c r="K88" s="131">
        <v>674802.95200000028</v>
      </c>
      <c r="L88" s="131">
        <v>500354.43584499974</v>
      </c>
      <c r="M88" s="131">
        <v>610991.16399999964</v>
      </c>
      <c r="N88" s="131">
        <v>761180.86457799887</v>
      </c>
      <c r="O88" s="138">
        <v>7407291.4129020013</v>
      </c>
    </row>
    <row r="89" spans="2:22" s="3" customFormat="1" x14ac:dyDescent="0.35">
      <c r="B89" s="138" t="s">
        <v>42</v>
      </c>
      <c r="C89" s="131">
        <v>1308301.9967019956</v>
      </c>
      <c r="D89" s="131">
        <v>1639267.642441001</v>
      </c>
      <c r="E89" s="131">
        <v>1502083.7566829955</v>
      </c>
      <c r="F89" s="131">
        <v>1678854.9535769939</v>
      </c>
      <c r="G89" s="131">
        <v>1678106.7332620111</v>
      </c>
      <c r="H89" s="131">
        <v>1428314.8027710109</v>
      </c>
      <c r="I89" s="131">
        <v>1855291.8866900082</v>
      </c>
      <c r="J89" s="131">
        <v>1893069.0925200349</v>
      </c>
      <c r="K89" s="131">
        <v>1599791.1638300065</v>
      </c>
      <c r="L89" s="131">
        <v>1794311.9134460022</v>
      </c>
      <c r="M89" s="131">
        <v>1612146.1376800244</v>
      </c>
      <c r="N89" s="131">
        <v>1638228.8045490226</v>
      </c>
      <c r="O89" s="138">
        <v>19627768.884151109</v>
      </c>
    </row>
    <row r="90" spans="2:22" s="3" customFormat="1" x14ac:dyDescent="0.35">
      <c r="B90" s="138" t="s">
        <v>43</v>
      </c>
      <c r="C90" s="131">
        <v>76651.129310000077</v>
      </c>
      <c r="D90" s="131">
        <v>70811.967000000004</v>
      </c>
      <c r="E90" s="131">
        <v>74292.22180999993</v>
      </c>
      <c r="F90" s="131">
        <v>80263.659000000116</v>
      </c>
      <c r="G90" s="131">
        <v>93731.882880000223</v>
      </c>
      <c r="H90" s="131">
        <v>79661.245500000048</v>
      </c>
      <c r="I90" s="131">
        <v>63521.533499999874</v>
      </c>
      <c r="J90" s="131">
        <v>78190.827000000179</v>
      </c>
      <c r="K90" s="131">
        <v>73537.015000000043</v>
      </c>
      <c r="L90" s="131">
        <v>84153.940500000215</v>
      </c>
      <c r="M90" s="131">
        <v>77718.758000000264</v>
      </c>
      <c r="N90" s="131">
        <v>78758.096500000378</v>
      </c>
      <c r="O90" s="138">
        <v>931292.27600000135</v>
      </c>
    </row>
    <row r="91" spans="2:22" s="3" customFormat="1" x14ac:dyDescent="0.35">
      <c r="B91" s="138" t="s">
        <v>44</v>
      </c>
      <c r="C91" s="139">
        <v>60526.983310000069</v>
      </c>
      <c r="D91" s="139">
        <v>54949.757000000005</v>
      </c>
      <c r="E91" s="139">
        <v>55159.340809999921</v>
      </c>
      <c r="F91" s="139">
        <v>73122.503000000113</v>
      </c>
      <c r="G91" s="139">
        <v>76746.213880000229</v>
      </c>
      <c r="H91" s="139">
        <v>67639.877000000051</v>
      </c>
      <c r="I91" s="139">
        <v>55008.176999999872</v>
      </c>
      <c r="J91" s="139">
        <v>64020.707000000177</v>
      </c>
      <c r="K91" s="139">
        <v>50840.584000000053</v>
      </c>
      <c r="L91" s="139">
        <v>66584.351000000213</v>
      </c>
      <c r="M91" s="139">
        <v>61538.621000000261</v>
      </c>
      <c r="N91" s="139">
        <v>61847.33000000038</v>
      </c>
      <c r="O91" s="138">
        <v>747984.44500000135</v>
      </c>
    </row>
    <row r="92" spans="2:22" s="3" customFormat="1" x14ac:dyDescent="0.35">
      <c r="B92" s="138" t="s">
        <v>45</v>
      </c>
      <c r="C92" s="29">
        <v>16124.146000000001</v>
      </c>
      <c r="D92" s="29">
        <v>15862.210000000001</v>
      </c>
      <c r="E92" s="29">
        <v>19132.881000000001</v>
      </c>
      <c r="F92" s="29">
        <v>7141.1559999999999</v>
      </c>
      <c r="G92" s="29">
        <v>16985.668999999998</v>
      </c>
      <c r="H92" s="29">
        <v>12021.3685</v>
      </c>
      <c r="I92" s="29">
        <v>8513.3564999999981</v>
      </c>
      <c r="J92" s="29">
        <v>14170.120000000004</v>
      </c>
      <c r="K92" s="29">
        <v>22696.430999999997</v>
      </c>
      <c r="L92" s="29">
        <v>17569.589499999998</v>
      </c>
      <c r="M92" s="29">
        <v>16180.136999999999</v>
      </c>
      <c r="N92" s="29">
        <v>16910.766499999998</v>
      </c>
      <c r="O92" s="138">
        <v>183307.83099999998</v>
      </c>
    </row>
    <row r="93" spans="2:22" s="3" customFormat="1" x14ac:dyDescent="0.35">
      <c r="B93" s="138"/>
      <c r="C93" s="632">
        <v>-3.0267983675003052E-9</v>
      </c>
      <c r="D93" s="632">
        <v>-6.1118043959140778E-9</v>
      </c>
      <c r="E93" s="632">
        <v>3.9581209421157837E-9</v>
      </c>
      <c r="F93" s="632">
        <v>-5.6461431086063385E-9</v>
      </c>
      <c r="G93" s="632">
        <v>-1.2048985809087753E-8</v>
      </c>
      <c r="H93" s="632">
        <v>-6.8102963268756866E-9</v>
      </c>
      <c r="I93" s="632">
        <v>-4.1909515857696533E-9</v>
      </c>
      <c r="J93" s="632">
        <v>1.6589183360338211E-8</v>
      </c>
      <c r="K93" s="632">
        <v>-8.2072801887989044E-9</v>
      </c>
      <c r="L93" s="632">
        <v>-2.4447217583656311E-9</v>
      </c>
      <c r="M93" s="632">
        <v>-1.8102582544088364E-8</v>
      </c>
      <c r="N93" s="632">
        <v>-2.5960616767406464E-8</v>
      </c>
      <c r="O93" s="138"/>
    </row>
    <row r="94" spans="2:22" s="3" customFormat="1" x14ac:dyDescent="0.35">
      <c r="B94" s="138" t="s">
        <v>217</v>
      </c>
      <c r="C94" s="111">
        <v>678029.13378000201</v>
      </c>
      <c r="D94" s="111">
        <v>747955.82620000327</v>
      </c>
      <c r="E94" s="111">
        <v>737716.12700000161</v>
      </c>
      <c r="F94" s="111">
        <v>865222.69034000579</v>
      </c>
      <c r="G94" s="111">
        <v>889666.95500000136</v>
      </c>
      <c r="H94" s="111">
        <v>948040.44999999763</v>
      </c>
      <c r="I94" s="111">
        <v>754956.49600000423</v>
      </c>
      <c r="J94" s="111">
        <v>978675.84900000435</v>
      </c>
      <c r="K94" s="111">
        <v>968956.80600000767</v>
      </c>
      <c r="L94" s="111">
        <v>938635.36899999517</v>
      </c>
      <c r="M94" s="111">
        <v>804748.0450000026</v>
      </c>
      <c r="N94" s="111">
        <v>1134939.1625000238</v>
      </c>
      <c r="O94" s="112">
        <v>10447542.909820048</v>
      </c>
    </row>
    <row r="95" spans="2:22" s="3" customFormat="1" x14ac:dyDescent="0.35">
      <c r="B95" s="136"/>
      <c r="C95" s="131"/>
      <c r="D95" s="662"/>
      <c r="E95" s="662"/>
      <c r="F95" s="662"/>
      <c r="G95" s="662"/>
      <c r="H95" s="662"/>
      <c r="I95" s="137"/>
      <c r="J95" s="137"/>
      <c r="K95" s="137"/>
      <c r="L95" s="137"/>
      <c r="M95" s="137"/>
      <c r="N95" s="137"/>
      <c r="O95" s="138"/>
    </row>
    <row r="96" spans="2:22" s="3" customFormat="1" x14ac:dyDescent="0.35">
      <c r="B96" s="138" t="s">
        <v>41</v>
      </c>
      <c r="C96" s="131">
        <v>262208.15399999998</v>
      </c>
      <c r="D96" s="131">
        <v>297652.53600000002</v>
      </c>
      <c r="E96" s="131">
        <v>310717.74699999997</v>
      </c>
      <c r="F96" s="131">
        <v>308062.58999999997</v>
      </c>
      <c r="G96" s="131">
        <v>249453.943</v>
      </c>
      <c r="H96" s="131">
        <v>366478.35599999991</v>
      </c>
      <c r="I96" s="131">
        <v>276710.12799999997</v>
      </c>
      <c r="J96" s="131">
        <v>410875.712</v>
      </c>
      <c r="K96" s="131">
        <v>384781.65299999999</v>
      </c>
      <c r="L96" s="131">
        <v>321106.99599999998</v>
      </c>
      <c r="M96" s="131">
        <v>326982.74599999998</v>
      </c>
      <c r="N96" s="131">
        <v>439969.8839999999</v>
      </c>
      <c r="O96" s="138">
        <v>3955000.4449999994</v>
      </c>
    </row>
    <row r="97" spans="1:19" s="3" customFormat="1" x14ac:dyDescent="0.35">
      <c r="B97" s="138" t="s">
        <v>42</v>
      </c>
      <c r="C97" s="131">
        <v>415351.37978000205</v>
      </c>
      <c r="D97" s="131">
        <v>448758.30520000326</v>
      </c>
      <c r="E97" s="131">
        <v>426417.06000000163</v>
      </c>
      <c r="F97" s="131">
        <v>557020.66034000588</v>
      </c>
      <c r="G97" s="131">
        <v>640033.52200000139</v>
      </c>
      <c r="H97" s="131">
        <v>581107.96099999768</v>
      </c>
      <c r="I97" s="131">
        <v>478025.0880000043</v>
      </c>
      <c r="J97" s="131">
        <v>567415.29200000444</v>
      </c>
      <c r="K97" s="131">
        <v>583919.58300000767</v>
      </c>
      <c r="L97" s="131">
        <v>615202.31999999518</v>
      </c>
      <c r="M97" s="131">
        <v>477454.16600000253</v>
      </c>
      <c r="N97" s="131">
        <v>694109.44150002382</v>
      </c>
      <c r="O97" s="138">
        <v>6484814.7788200499</v>
      </c>
    </row>
    <row r="98" spans="1:19" s="3" customFormat="1" x14ac:dyDescent="0.35">
      <c r="B98" s="138" t="s">
        <v>43</v>
      </c>
      <c r="C98" s="131">
        <v>469.6</v>
      </c>
      <c r="D98" s="131">
        <v>1544.9849999999999</v>
      </c>
      <c r="E98" s="131">
        <v>581.32000000000005</v>
      </c>
      <c r="F98" s="131">
        <v>139.44000000000003</v>
      </c>
      <c r="G98" s="131">
        <v>179.49</v>
      </c>
      <c r="H98" s="131">
        <v>454.13300000000004</v>
      </c>
      <c r="I98" s="131">
        <v>221.28</v>
      </c>
      <c r="J98" s="131">
        <v>384.84499999999997</v>
      </c>
      <c r="K98" s="131">
        <v>255.57</v>
      </c>
      <c r="L98" s="131">
        <v>2326.0529999999994</v>
      </c>
      <c r="M98" s="131">
        <v>311.13300000000004</v>
      </c>
      <c r="N98" s="131">
        <v>859.83699999999988</v>
      </c>
      <c r="O98" s="138">
        <v>7727.6859999999979</v>
      </c>
    </row>
    <row r="99" spans="1:19" s="3" customFormat="1" x14ac:dyDescent="0.35">
      <c r="B99" s="138" t="s">
        <v>44</v>
      </c>
      <c r="C99" s="139">
        <v>469.6</v>
      </c>
      <c r="D99" s="139">
        <v>1544.9849999999999</v>
      </c>
      <c r="E99" s="139">
        <v>581.32000000000005</v>
      </c>
      <c r="F99" s="139">
        <v>139.44000000000003</v>
      </c>
      <c r="G99" s="139">
        <v>179.49</v>
      </c>
      <c r="H99" s="139">
        <v>454.13300000000004</v>
      </c>
      <c r="I99" s="139">
        <v>221.28</v>
      </c>
      <c r="J99" s="139">
        <v>384.84499999999997</v>
      </c>
      <c r="K99" s="139">
        <v>255.57</v>
      </c>
      <c r="L99" s="139">
        <v>2326.0529999999994</v>
      </c>
      <c r="M99" s="139">
        <v>311.13300000000004</v>
      </c>
      <c r="N99" s="139">
        <v>859.83699999999988</v>
      </c>
      <c r="O99" s="138">
        <v>7727.6859999999979</v>
      </c>
    </row>
    <row r="100" spans="1:19" s="3" customFormat="1" x14ac:dyDescent="0.35">
      <c r="B100" s="138" t="s">
        <v>45</v>
      </c>
      <c r="C100" s="139">
        <v>0</v>
      </c>
      <c r="D100" s="139">
        <v>0</v>
      </c>
      <c r="E100" s="139">
        <v>0</v>
      </c>
      <c r="F100" s="139">
        <v>0</v>
      </c>
      <c r="G100" s="139">
        <v>0</v>
      </c>
      <c r="H100" s="139">
        <v>0</v>
      </c>
      <c r="I100" s="139">
        <v>0</v>
      </c>
      <c r="J100" s="139">
        <v>0</v>
      </c>
      <c r="K100" s="139">
        <v>0</v>
      </c>
      <c r="L100" s="139">
        <v>0</v>
      </c>
      <c r="M100" s="139">
        <v>0</v>
      </c>
      <c r="N100" s="139">
        <v>0</v>
      </c>
      <c r="O100" s="138">
        <v>0</v>
      </c>
    </row>
    <row r="101" spans="1:19" s="3" customFormat="1" x14ac:dyDescent="0.35">
      <c r="B101" s="138"/>
      <c r="C101" s="29"/>
      <c r="D101" s="839"/>
      <c r="E101" s="839"/>
      <c r="F101" s="839"/>
      <c r="G101" s="839"/>
      <c r="H101" s="839"/>
      <c r="I101" s="839"/>
      <c r="J101" s="29"/>
      <c r="K101" s="29"/>
      <c r="L101" s="29"/>
      <c r="M101" s="29"/>
      <c r="N101" s="29"/>
      <c r="O101" s="138"/>
    </row>
    <row r="102" spans="1:19" s="3" customFormat="1" x14ac:dyDescent="0.35">
      <c r="B102" s="431" t="s">
        <v>36</v>
      </c>
      <c r="C102" s="140">
        <v>2789961.802114998</v>
      </c>
      <c r="D102" s="140">
        <v>2918894.2758910051</v>
      </c>
      <c r="E102" s="140">
        <v>2918534.5696929968</v>
      </c>
      <c r="F102" s="140">
        <v>3169442.5219229995</v>
      </c>
      <c r="G102" s="140">
        <v>3291901.0078420131</v>
      </c>
      <c r="H102" s="140">
        <v>2966371.0582710085</v>
      </c>
      <c r="I102" s="140">
        <v>3414013.1731900135</v>
      </c>
      <c r="J102" s="140">
        <v>3591522.4455200396</v>
      </c>
      <c r="K102" s="140">
        <v>3317087.9368300149</v>
      </c>
      <c r="L102" s="140">
        <v>3317455.6587909972</v>
      </c>
      <c r="M102" s="140">
        <v>3105604.1046800269</v>
      </c>
      <c r="N102" s="140">
        <v>3613106.9281270457</v>
      </c>
      <c r="O102" s="141">
        <v>38413895.482873157</v>
      </c>
    </row>
    <row r="103" spans="1:19" s="3" customFormat="1" x14ac:dyDescent="0.35">
      <c r="B103" s="142"/>
      <c r="C103" s="143"/>
      <c r="D103" s="143"/>
      <c r="E103" s="143"/>
      <c r="F103" s="143"/>
      <c r="G103" s="143"/>
      <c r="H103" s="143"/>
      <c r="I103" s="143"/>
      <c r="J103" s="143"/>
      <c r="K103" s="143"/>
      <c r="L103" s="143"/>
      <c r="M103" s="143"/>
      <c r="N103" s="143"/>
      <c r="O103" s="142"/>
      <c r="R103" s="427" t="s">
        <v>261</v>
      </c>
    </row>
    <row r="104" spans="1:19" s="3" customFormat="1" x14ac:dyDescent="0.35">
      <c r="A104" s="359"/>
      <c r="B104" s="138" t="s">
        <v>41</v>
      </c>
      <c r="C104" s="29">
        <v>989187.69632300024</v>
      </c>
      <c r="D104" s="29">
        <v>758511.37625000055</v>
      </c>
      <c r="E104" s="29">
        <v>915160.21119999979</v>
      </c>
      <c r="F104" s="29">
        <v>853163.80900599982</v>
      </c>
      <c r="G104" s="29">
        <v>879849.37970000005</v>
      </c>
      <c r="H104" s="29">
        <v>876832.91599999997</v>
      </c>
      <c r="I104" s="29">
        <v>1016953.3850000007</v>
      </c>
      <c r="J104" s="29">
        <v>1052462.389</v>
      </c>
      <c r="K104" s="29">
        <v>1059584.6050000002</v>
      </c>
      <c r="L104" s="29">
        <v>821461.43184499978</v>
      </c>
      <c r="M104" s="29">
        <v>937973.90999999968</v>
      </c>
      <c r="N104" s="29">
        <v>1201150.7485779987</v>
      </c>
      <c r="O104" s="138">
        <v>11362291.857902002</v>
      </c>
      <c r="P104" s="23">
        <f>O104/$O$102</f>
        <v>0.29578598356336661</v>
      </c>
      <c r="R104" s="428">
        <f>O104/O102</f>
        <v>0.29578598356336661</v>
      </c>
    </row>
    <row r="105" spans="1:19" s="3" customFormat="1" x14ac:dyDescent="0.35">
      <c r="A105" s="359"/>
      <c r="B105" s="138" t="s">
        <v>42</v>
      </c>
      <c r="C105" s="29">
        <v>1723653.3764819978</v>
      </c>
      <c r="D105" s="29">
        <v>2088025.9476410043</v>
      </c>
      <c r="E105" s="29">
        <v>1928500.8166829972</v>
      </c>
      <c r="F105" s="29">
        <v>2235875.6139169997</v>
      </c>
      <c r="G105" s="29">
        <v>2318140.2552620126</v>
      </c>
      <c r="H105" s="29">
        <v>2009422.7637710087</v>
      </c>
      <c r="I105" s="29">
        <v>2333316.9746900126</v>
      </c>
      <c r="J105" s="29">
        <v>2460484.3845200394</v>
      </c>
      <c r="K105" s="29">
        <v>2183710.746830014</v>
      </c>
      <c r="L105" s="29">
        <v>2409514.2334459973</v>
      </c>
      <c r="M105" s="29">
        <v>2089600.3036800269</v>
      </c>
      <c r="N105" s="29">
        <v>2332338.2460490465</v>
      </c>
      <c r="O105" s="138">
        <v>26112583.662971154</v>
      </c>
      <c r="P105" s="23">
        <f>O105/$O$102</f>
        <v>0.67976921722540362</v>
      </c>
      <c r="R105" s="428">
        <f>O105/O102</f>
        <v>0.67976921722540362</v>
      </c>
    </row>
    <row r="106" spans="1:19" s="3" customFormat="1" x14ac:dyDescent="0.35">
      <c r="A106" s="359"/>
      <c r="B106" s="138" t="s">
        <v>43</v>
      </c>
      <c r="C106" s="29">
        <v>77120.729310000082</v>
      </c>
      <c r="D106" s="29">
        <v>72356.952000000005</v>
      </c>
      <c r="E106" s="29">
        <v>74873.541809999937</v>
      </c>
      <c r="F106" s="29">
        <v>80403.099000000118</v>
      </c>
      <c r="G106" s="29">
        <v>93911.372880000228</v>
      </c>
      <c r="H106" s="29">
        <v>80115.37850000005</v>
      </c>
      <c r="I106" s="29">
        <v>63742.813499999873</v>
      </c>
      <c r="J106" s="29">
        <v>78575.672000000181</v>
      </c>
      <c r="K106" s="29">
        <v>73792.58500000005</v>
      </c>
      <c r="L106" s="29">
        <v>86479.993500000215</v>
      </c>
      <c r="M106" s="29">
        <v>78029.891000000265</v>
      </c>
      <c r="N106" s="29">
        <v>79617.933500000378</v>
      </c>
      <c r="O106" s="138">
        <v>939019.96200000145</v>
      </c>
      <c r="P106" s="23">
        <f>O106/$O$102</f>
        <v>2.4444799211229794E-2</v>
      </c>
      <c r="R106" s="428">
        <f>S106/O73</f>
        <v>2.1132067375903622E-2</v>
      </c>
      <c r="S106" s="328">
        <f>O106+O144</f>
        <v>991846.28500000143</v>
      </c>
    </row>
    <row r="107" spans="1:19" s="3" customFormat="1" x14ac:dyDescent="0.35">
      <c r="A107" s="359"/>
      <c r="B107" s="138" t="s">
        <v>44</v>
      </c>
      <c r="C107" s="29">
        <v>60996.583310000067</v>
      </c>
      <c r="D107" s="29">
        <v>56494.742000000006</v>
      </c>
      <c r="E107" s="29">
        <v>55740.660809999921</v>
      </c>
      <c r="F107" s="29">
        <v>73261.943000000116</v>
      </c>
      <c r="G107" s="29">
        <v>76925.703880000234</v>
      </c>
      <c r="H107" s="29">
        <v>68094.010000000053</v>
      </c>
      <c r="I107" s="29">
        <v>55229.456999999871</v>
      </c>
      <c r="J107" s="29">
        <v>64405.552000000178</v>
      </c>
      <c r="K107" s="29">
        <v>51096.154000000053</v>
      </c>
      <c r="L107" s="29">
        <v>68910.404000000213</v>
      </c>
      <c r="M107" s="29">
        <v>61849.754000000263</v>
      </c>
      <c r="N107" s="29">
        <v>62707.16700000038</v>
      </c>
      <c r="O107" s="138">
        <v>755712.13100000145</v>
      </c>
    </row>
    <row r="108" spans="1:19" s="3" customFormat="1" x14ac:dyDescent="0.35">
      <c r="A108" s="359"/>
      <c r="B108" s="138" t="s">
        <v>45</v>
      </c>
      <c r="C108" s="29">
        <v>16124.146000000001</v>
      </c>
      <c r="D108" s="29">
        <v>15862.210000000001</v>
      </c>
      <c r="E108" s="29">
        <v>19132.881000000001</v>
      </c>
      <c r="F108" s="29">
        <v>7141.1559999999999</v>
      </c>
      <c r="G108" s="29">
        <v>16985.668999999998</v>
      </c>
      <c r="H108" s="29">
        <v>12021.3685</v>
      </c>
      <c r="I108" s="29">
        <v>8513.3564999999981</v>
      </c>
      <c r="J108" s="29">
        <v>14170.120000000004</v>
      </c>
      <c r="K108" s="29">
        <v>22696.430999999997</v>
      </c>
      <c r="L108" s="29">
        <v>17569.589499999998</v>
      </c>
      <c r="M108" s="29">
        <v>16180.136999999999</v>
      </c>
      <c r="N108" s="29">
        <v>16910.766499999998</v>
      </c>
      <c r="O108" s="138">
        <v>183307.83099999998</v>
      </c>
    </row>
    <row r="109" spans="1:19" s="3" customFormat="1" x14ac:dyDescent="0.35">
      <c r="A109" s="359"/>
      <c r="B109" s="840"/>
      <c r="C109" s="841"/>
      <c r="D109" s="841"/>
      <c r="E109" s="841"/>
      <c r="F109" s="841"/>
      <c r="G109" s="841"/>
      <c r="H109" s="841"/>
      <c r="I109" s="841"/>
      <c r="J109" s="841"/>
      <c r="K109" s="841"/>
      <c r="L109" s="842"/>
      <c r="M109" s="841"/>
      <c r="N109" s="841"/>
      <c r="O109" s="843"/>
    </row>
    <row r="110" spans="1:19" s="3" customFormat="1" x14ac:dyDescent="0.35">
      <c r="B110" s="117"/>
      <c r="C110" s="133"/>
      <c r="D110" s="133"/>
      <c r="E110" s="133"/>
      <c r="F110" s="133"/>
      <c r="G110" s="133"/>
      <c r="H110" s="133"/>
      <c r="I110" s="133"/>
      <c r="J110" s="133"/>
      <c r="K110" s="133"/>
      <c r="L110" s="133"/>
      <c r="M110" s="133"/>
      <c r="N110" s="133"/>
      <c r="O110" s="134"/>
    </row>
    <row r="111" spans="1:19" s="3" customFormat="1" x14ac:dyDescent="0.35">
      <c r="B111" s="1069" t="s">
        <v>46</v>
      </c>
      <c r="C111" s="1069"/>
      <c r="D111" s="1069"/>
      <c r="E111" s="1069"/>
      <c r="F111" s="1069"/>
      <c r="G111" s="1069"/>
      <c r="H111" s="1069"/>
      <c r="I111" s="1069"/>
      <c r="J111" s="1069"/>
      <c r="K111" s="1069"/>
      <c r="L111" s="1069"/>
      <c r="M111" s="1069"/>
      <c r="N111" s="1069"/>
      <c r="O111" s="1069"/>
    </row>
    <row r="112" spans="1:19" s="3" customFormat="1" ht="12.75" customHeight="1" x14ac:dyDescent="0.35">
      <c r="B112" s="125"/>
      <c r="C112" s="106"/>
      <c r="D112" s="554"/>
      <c r="E112" s="554"/>
      <c r="F112" s="554"/>
      <c r="G112" s="554"/>
      <c r="H112" s="554"/>
      <c r="I112" s="554"/>
      <c r="J112" s="554"/>
      <c r="K112" s="554"/>
      <c r="L112" s="554"/>
      <c r="M112" s="554"/>
      <c r="N112" s="554"/>
      <c r="O112" s="8"/>
    </row>
    <row r="113" spans="2:25" s="3" customFormat="1" ht="22.5" customHeight="1" x14ac:dyDescent="0.35">
      <c r="B113" s="1069" t="s">
        <v>363</v>
      </c>
      <c r="C113" s="1069"/>
      <c r="D113" s="1069"/>
      <c r="E113" s="1069"/>
      <c r="F113" s="1069"/>
      <c r="G113" s="1069"/>
      <c r="H113" s="1069"/>
      <c r="I113" s="1069"/>
      <c r="J113" s="1069"/>
      <c r="K113" s="1069"/>
      <c r="L113" s="555">
        <v>2025</v>
      </c>
      <c r="M113" s="125"/>
      <c r="N113" s="125"/>
      <c r="O113" s="125"/>
    </row>
    <row r="114" spans="2:25" s="3" customFormat="1" x14ac:dyDescent="0.35">
      <c r="B114" s="8"/>
      <c r="C114" s="106"/>
      <c r="D114" s="554"/>
      <c r="E114" s="554"/>
      <c r="F114" s="554"/>
      <c r="G114" s="554"/>
      <c r="H114" s="554"/>
      <c r="I114" s="554"/>
      <c r="J114" s="554"/>
      <c r="K114" s="554"/>
      <c r="L114" s="554"/>
      <c r="M114" s="554"/>
      <c r="N114" s="554"/>
      <c r="O114" s="8"/>
    </row>
    <row r="115" spans="2:25" ht="15" customHeight="1" x14ac:dyDescent="0.35">
      <c r="B115" s="1074" t="s">
        <v>13</v>
      </c>
      <c r="C115" s="1070" t="s">
        <v>0</v>
      </c>
      <c r="D115" s="1070" t="s">
        <v>1</v>
      </c>
      <c r="E115" s="1070" t="s">
        <v>2</v>
      </c>
      <c r="F115" s="1070" t="s">
        <v>3</v>
      </c>
      <c r="G115" s="1070" t="s">
        <v>4</v>
      </c>
      <c r="H115" s="1070" t="s">
        <v>5</v>
      </c>
      <c r="I115" s="1070" t="s">
        <v>6</v>
      </c>
      <c r="J115" s="1070" t="s">
        <v>7</v>
      </c>
      <c r="K115" s="1070" t="s">
        <v>8</v>
      </c>
      <c r="L115" s="1070" t="s">
        <v>9</v>
      </c>
      <c r="M115" s="1070" t="s">
        <v>10</v>
      </c>
      <c r="N115" s="1070" t="s">
        <v>14</v>
      </c>
      <c r="O115" s="1074" t="s">
        <v>15</v>
      </c>
      <c r="P115" s="3"/>
      <c r="Q115" s="3"/>
      <c r="R115" s="3"/>
      <c r="S115" s="3"/>
      <c r="T115" s="3"/>
      <c r="U115" s="3"/>
      <c r="V115" s="3"/>
    </row>
    <row r="116" spans="2:25" ht="28.5" customHeight="1" x14ac:dyDescent="0.35">
      <c r="B116" s="1080"/>
      <c r="C116" s="1071"/>
      <c r="D116" s="1071"/>
      <c r="E116" s="1071"/>
      <c r="F116" s="1071"/>
      <c r="G116" s="1071"/>
      <c r="H116" s="1071"/>
      <c r="I116" s="1071"/>
      <c r="J116" s="1071"/>
      <c r="K116" s="1071"/>
      <c r="L116" s="1071"/>
      <c r="M116" s="1078"/>
      <c r="N116" s="1078"/>
      <c r="O116" s="1081"/>
    </row>
    <row r="117" spans="2:25" s="3" customFormat="1" x14ac:dyDescent="0.35">
      <c r="B117" s="447"/>
      <c r="C117" s="632">
        <v>0</v>
      </c>
      <c r="D117" s="632">
        <v>0</v>
      </c>
      <c r="E117" s="632">
        <v>0</v>
      </c>
      <c r="F117" s="632">
        <v>0</v>
      </c>
      <c r="G117" s="632">
        <v>0</v>
      </c>
      <c r="H117" s="632">
        <v>0</v>
      </c>
      <c r="I117" s="632">
        <v>1.5347723092418164E-12</v>
      </c>
      <c r="J117" s="632">
        <v>0</v>
      </c>
      <c r="K117" s="632">
        <v>0</v>
      </c>
      <c r="L117" s="632">
        <v>0</v>
      </c>
      <c r="M117" s="632">
        <v>0</v>
      </c>
      <c r="N117" s="632">
        <v>0</v>
      </c>
      <c r="O117" s="144"/>
      <c r="P117" s="324"/>
      <c r="Q117" s="324"/>
      <c r="R117" s="324"/>
      <c r="S117" s="324"/>
      <c r="T117" s="324"/>
      <c r="U117" s="324"/>
      <c r="V117" s="324"/>
      <c r="W117" s="324"/>
      <c r="X117" s="324"/>
      <c r="Y117" s="324"/>
    </row>
    <row r="118" spans="2:25" s="3" customFormat="1" x14ac:dyDescent="0.35">
      <c r="B118" s="844" t="s">
        <v>47</v>
      </c>
      <c r="C118" s="845">
        <v>23650.303</v>
      </c>
      <c r="D118" s="845">
        <v>20732.005000000001</v>
      </c>
      <c r="E118" s="845">
        <v>20450.186000000002</v>
      </c>
      <c r="F118" s="845">
        <v>9525.7439999999988</v>
      </c>
      <c r="G118" s="845">
        <v>19917.464</v>
      </c>
      <c r="H118" s="845">
        <v>14171.5885</v>
      </c>
      <c r="I118" s="845">
        <v>8916.6764999999996</v>
      </c>
      <c r="J118" s="845">
        <v>16672.058000000005</v>
      </c>
      <c r="K118" s="845">
        <v>26661.080999999998</v>
      </c>
      <c r="L118" s="845">
        <v>19925.1695</v>
      </c>
      <c r="M118" s="845">
        <v>17462.303</v>
      </c>
      <c r="N118" s="845">
        <v>18325.766499999998</v>
      </c>
      <c r="O118" s="846">
        <v>216410.345</v>
      </c>
      <c r="P118" s="324"/>
      <c r="Q118" s="324"/>
      <c r="R118" s="324"/>
      <c r="S118" s="324"/>
      <c r="T118" s="324"/>
      <c r="U118" s="324"/>
      <c r="V118" s="324"/>
      <c r="W118" s="324"/>
      <c r="X118" s="324"/>
      <c r="Y118" s="324"/>
    </row>
    <row r="119" spans="2:25" s="3" customFormat="1" x14ac:dyDescent="0.35">
      <c r="B119" s="269"/>
      <c r="C119" s="847"/>
      <c r="D119" s="848"/>
      <c r="E119" s="848"/>
      <c r="F119" s="848"/>
      <c r="G119" s="848"/>
      <c r="H119" s="848"/>
      <c r="I119" s="848"/>
      <c r="J119" s="848"/>
      <c r="K119" s="848"/>
      <c r="L119" s="848"/>
      <c r="M119" s="848"/>
      <c r="N119" s="848"/>
      <c r="O119" s="145"/>
      <c r="P119" s="324"/>
      <c r="Q119" s="324"/>
      <c r="R119" s="324"/>
      <c r="S119" s="324"/>
      <c r="T119" s="324"/>
      <c r="U119" s="324"/>
      <c r="V119" s="324"/>
      <c r="W119" s="324"/>
      <c r="X119" s="324"/>
      <c r="Y119" s="324"/>
    </row>
    <row r="120" spans="2:25" s="3" customFormat="1" x14ac:dyDescent="0.35">
      <c r="B120" s="849" t="s">
        <v>48</v>
      </c>
      <c r="C120" s="850">
        <v>7526.1570000000002</v>
      </c>
      <c r="D120" s="850">
        <v>4869.7950000000001</v>
      </c>
      <c r="E120" s="850">
        <v>1317.3050000000001</v>
      </c>
      <c r="F120" s="850">
        <v>2384.5880000000002</v>
      </c>
      <c r="G120" s="850">
        <v>2931.7950000000001</v>
      </c>
      <c r="H120" s="850">
        <v>2150.2200000000003</v>
      </c>
      <c r="I120" s="850">
        <v>403.32</v>
      </c>
      <c r="J120" s="850">
        <v>2501.9380000000001</v>
      </c>
      <c r="K120" s="850">
        <v>3964.65</v>
      </c>
      <c r="L120" s="850">
        <v>2355.58</v>
      </c>
      <c r="M120" s="850">
        <v>1282.1660000000002</v>
      </c>
      <c r="N120" s="850">
        <v>1415</v>
      </c>
      <c r="O120" s="851">
        <v>33102.51400000001</v>
      </c>
      <c r="P120" s="324"/>
      <c r="Q120" s="324"/>
      <c r="R120" s="324"/>
      <c r="S120" s="324"/>
      <c r="T120" s="324"/>
      <c r="U120" s="324"/>
      <c r="V120" s="324"/>
      <c r="W120" s="324"/>
      <c r="X120" s="324"/>
      <c r="Y120" s="324"/>
    </row>
    <row r="121" spans="2:25" s="3" customFormat="1" x14ac:dyDescent="0.35">
      <c r="B121" s="849"/>
      <c r="C121" s="324"/>
      <c r="D121" s="324"/>
      <c r="E121" s="324"/>
      <c r="F121" s="324"/>
      <c r="G121" s="324"/>
      <c r="H121" s="324"/>
      <c r="I121" s="324"/>
      <c r="J121" s="324"/>
      <c r="K121" s="324"/>
      <c r="L121" s="324"/>
      <c r="M121" s="324"/>
      <c r="N121" s="324"/>
      <c r="O121" s="851"/>
      <c r="P121" s="324"/>
      <c r="Q121" s="324"/>
      <c r="R121" s="324"/>
      <c r="S121" s="324"/>
      <c r="T121" s="324"/>
      <c r="U121" s="324"/>
      <c r="V121" s="324"/>
      <c r="W121" s="324"/>
      <c r="X121" s="324"/>
      <c r="Y121" s="324"/>
    </row>
    <row r="122" spans="2:25" s="3" customFormat="1" x14ac:dyDescent="0.35">
      <c r="B122" s="852" t="s">
        <v>49</v>
      </c>
      <c r="C122" s="147">
        <v>10357.318000000001</v>
      </c>
      <c r="D122" s="147">
        <v>5549.478000000001</v>
      </c>
      <c r="E122" s="147">
        <v>2109.3320000000003</v>
      </c>
      <c r="F122" s="147">
        <v>2973.6970000000001</v>
      </c>
      <c r="G122" s="147">
        <v>3641.9810000000002</v>
      </c>
      <c r="H122" s="147">
        <v>4651.1000000000004</v>
      </c>
      <c r="I122" s="147">
        <v>1101.8560000000002</v>
      </c>
      <c r="J122" s="147">
        <v>4890.6699999999992</v>
      </c>
      <c r="K122" s="147">
        <v>6537.860999999999</v>
      </c>
      <c r="L122" s="147">
        <v>4979.1640000000007</v>
      </c>
      <c r="M122" s="147">
        <v>2739.739</v>
      </c>
      <c r="N122" s="147">
        <v>1555.9970000000001</v>
      </c>
      <c r="O122" s="146">
        <v>51088.192999999999</v>
      </c>
      <c r="P122" s="324"/>
      <c r="Q122" s="324"/>
      <c r="R122" s="324"/>
      <c r="S122" s="324"/>
      <c r="T122" s="324"/>
      <c r="U122" s="324"/>
      <c r="V122" s="324"/>
      <c r="W122" s="324"/>
      <c r="X122" s="324"/>
      <c r="Y122" s="324"/>
    </row>
    <row r="123" spans="2:25" s="3" customFormat="1" x14ac:dyDescent="0.35">
      <c r="B123" s="852" t="s">
        <v>50</v>
      </c>
      <c r="C123" s="147">
        <v>8063.1840000000002</v>
      </c>
      <c r="D123" s="147">
        <v>7141.2559999999994</v>
      </c>
      <c r="E123" s="147">
        <v>13440.6</v>
      </c>
      <c r="F123" s="147">
        <v>5000.87</v>
      </c>
      <c r="G123" s="147">
        <v>11381.004999999999</v>
      </c>
      <c r="H123" s="147">
        <v>3149.7980000000002</v>
      </c>
      <c r="I123" s="147">
        <v>2269.9600000000005</v>
      </c>
      <c r="J123" s="147">
        <v>3391.223</v>
      </c>
      <c r="K123" s="147">
        <v>7102.9139999999989</v>
      </c>
      <c r="L123" s="147">
        <v>5331.3059999999996</v>
      </c>
      <c r="M123" s="147">
        <v>5250.585</v>
      </c>
      <c r="N123" s="147">
        <v>8585.6769999999979</v>
      </c>
      <c r="O123" s="146">
        <v>80108.377999999997</v>
      </c>
      <c r="P123" s="324"/>
      <c r="Q123" s="324"/>
      <c r="R123" s="324"/>
      <c r="S123" s="324"/>
      <c r="T123" s="324"/>
      <c r="U123" s="324"/>
      <c r="V123" s="324"/>
      <c r="W123" s="324"/>
      <c r="X123" s="324"/>
      <c r="Y123" s="324"/>
    </row>
    <row r="124" spans="2:25" s="3" customFormat="1" x14ac:dyDescent="0.35">
      <c r="B124" s="852" t="s">
        <v>51</v>
      </c>
      <c r="C124" s="147">
        <v>182.7405</v>
      </c>
      <c r="D124" s="147">
        <v>1551.5839999999998</v>
      </c>
      <c r="E124" s="147">
        <v>1207.3899999999999</v>
      </c>
      <c r="F124" s="147">
        <v>1139.1109999999999</v>
      </c>
      <c r="G124" s="147">
        <v>857.45299999999997</v>
      </c>
      <c r="H124" s="147">
        <v>500.64899999999994</v>
      </c>
      <c r="I124" s="147">
        <v>67.8185</v>
      </c>
      <c r="J124" s="147">
        <v>0</v>
      </c>
      <c r="K124" s="147">
        <v>3301.5239999999994</v>
      </c>
      <c r="L124" s="147">
        <v>3104.4865</v>
      </c>
      <c r="M124" s="147">
        <v>1470.5539999999999</v>
      </c>
      <c r="N124" s="147">
        <v>2214.5690000000004</v>
      </c>
      <c r="O124" s="146">
        <v>15597.879499999999</v>
      </c>
      <c r="P124" s="324"/>
      <c r="Q124" s="324"/>
      <c r="R124" s="324"/>
      <c r="S124" s="324"/>
      <c r="T124" s="324"/>
      <c r="U124" s="324"/>
      <c r="V124" s="324"/>
      <c r="W124" s="324"/>
      <c r="X124" s="324"/>
      <c r="Y124" s="324"/>
    </row>
    <row r="125" spans="2:25" s="3" customFormat="1" x14ac:dyDescent="0.35">
      <c r="B125" s="852" t="s">
        <v>52</v>
      </c>
      <c r="C125" s="147">
        <v>5030.6399999999994</v>
      </c>
      <c r="D125" s="147">
        <v>6338.8000000000011</v>
      </c>
      <c r="E125" s="147">
        <v>3644.3150000000005</v>
      </c>
      <c r="F125" s="147">
        <v>192.559</v>
      </c>
      <c r="G125" s="147">
        <v>3969.0249999999996</v>
      </c>
      <c r="H125" s="147">
        <v>5793.81</v>
      </c>
      <c r="I125" s="147">
        <v>5470.2249999999995</v>
      </c>
      <c r="J125" s="147">
        <v>8390.1650000000045</v>
      </c>
      <c r="K125" s="147">
        <v>9664.0449999999983</v>
      </c>
      <c r="L125" s="147">
        <v>6447.5999999999985</v>
      </c>
      <c r="M125" s="147">
        <v>7941.9899999999989</v>
      </c>
      <c r="N125" s="147">
        <v>5898.1200000000008</v>
      </c>
      <c r="O125" s="146">
        <v>68781.293999999994</v>
      </c>
      <c r="P125" s="324"/>
      <c r="Q125" s="324"/>
      <c r="R125" s="324"/>
      <c r="S125" s="324"/>
      <c r="T125" s="324"/>
      <c r="U125" s="324"/>
      <c r="V125" s="324"/>
      <c r="W125" s="324"/>
      <c r="X125" s="324"/>
      <c r="Y125" s="324"/>
    </row>
    <row r="126" spans="2:25" s="3" customFormat="1" x14ac:dyDescent="0.35">
      <c r="B126" s="852" t="s">
        <v>53</v>
      </c>
      <c r="C126" s="147">
        <v>15.4405</v>
      </c>
      <c r="D126" s="147">
        <v>30.516999999999996</v>
      </c>
      <c r="E126" s="147">
        <v>48.548999999999999</v>
      </c>
      <c r="F126" s="147">
        <v>45.568999999999988</v>
      </c>
      <c r="G126" s="147">
        <v>68</v>
      </c>
      <c r="H126" s="147">
        <v>52.54549999999999</v>
      </c>
      <c r="I126" s="147">
        <v>6.8170000000000002</v>
      </c>
      <c r="J126" s="147">
        <v>0</v>
      </c>
      <c r="K126" s="147">
        <v>54.736999999999988</v>
      </c>
      <c r="L126" s="147">
        <v>62.613</v>
      </c>
      <c r="M126" s="147">
        <v>59.435000000000009</v>
      </c>
      <c r="N126" s="147">
        <v>71.403500000000008</v>
      </c>
      <c r="O126" s="146">
        <v>515.62649999999996</v>
      </c>
      <c r="P126" s="324"/>
      <c r="Q126" s="324"/>
      <c r="R126" s="324"/>
      <c r="S126" s="324"/>
      <c r="T126" s="324"/>
      <c r="U126" s="324"/>
      <c r="V126" s="324"/>
      <c r="W126" s="324"/>
      <c r="X126" s="324"/>
      <c r="Y126" s="324"/>
    </row>
    <row r="127" spans="2:25" s="3" customFormat="1" x14ac:dyDescent="0.35">
      <c r="B127" s="852" t="s">
        <v>54</v>
      </c>
      <c r="C127" s="147">
        <v>0</v>
      </c>
      <c r="D127" s="147">
        <v>0</v>
      </c>
      <c r="E127" s="147">
        <v>0</v>
      </c>
      <c r="F127" s="147">
        <v>0</v>
      </c>
      <c r="G127" s="147">
        <v>0</v>
      </c>
      <c r="H127" s="147">
        <v>0</v>
      </c>
      <c r="I127" s="147">
        <v>0</v>
      </c>
      <c r="J127" s="147">
        <v>0</v>
      </c>
      <c r="K127" s="147">
        <v>0</v>
      </c>
      <c r="L127" s="147">
        <v>0</v>
      </c>
      <c r="M127" s="147">
        <v>0</v>
      </c>
      <c r="N127" s="147">
        <v>0</v>
      </c>
      <c r="O127" s="146">
        <v>0</v>
      </c>
      <c r="P127" s="324"/>
      <c r="Q127" s="324"/>
      <c r="R127" s="324"/>
      <c r="S127" s="324"/>
      <c r="T127" s="324"/>
      <c r="U127" s="324"/>
      <c r="V127" s="324"/>
      <c r="W127" s="324"/>
      <c r="X127" s="324"/>
      <c r="Y127" s="324"/>
    </row>
    <row r="128" spans="2:25" s="3" customFormat="1" x14ac:dyDescent="0.35">
      <c r="B128" s="852" t="s">
        <v>55</v>
      </c>
      <c r="C128" s="147">
        <v>0.98</v>
      </c>
      <c r="D128" s="147">
        <v>120.37</v>
      </c>
      <c r="E128" s="147">
        <v>0</v>
      </c>
      <c r="F128" s="147">
        <v>173.93800000000002</v>
      </c>
      <c r="G128" s="147">
        <v>0</v>
      </c>
      <c r="H128" s="147">
        <v>23.686</v>
      </c>
      <c r="I128" s="147">
        <v>0</v>
      </c>
      <c r="J128" s="147">
        <v>0</v>
      </c>
      <c r="K128" s="147">
        <v>0</v>
      </c>
      <c r="L128" s="147">
        <v>0</v>
      </c>
      <c r="M128" s="147">
        <v>0</v>
      </c>
      <c r="N128" s="147">
        <v>0</v>
      </c>
      <c r="O128" s="146">
        <v>318.97399999999999</v>
      </c>
      <c r="P128" s="324"/>
      <c r="Q128" s="324"/>
      <c r="R128" s="324"/>
      <c r="S128" s="324"/>
      <c r="T128" s="324"/>
      <c r="U128" s="324"/>
      <c r="V128" s="324"/>
      <c r="W128" s="324"/>
      <c r="X128" s="324"/>
      <c r="Y128" s="324"/>
    </row>
    <row r="129" spans="2:25" x14ac:dyDescent="0.35">
      <c r="B129" s="852" t="s">
        <v>11</v>
      </c>
      <c r="C129" s="632">
        <v>0</v>
      </c>
      <c r="D129" s="632">
        <v>0</v>
      </c>
      <c r="E129" s="632">
        <v>0</v>
      </c>
      <c r="F129" s="632">
        <v>0</v>
      </c>
      <c r="G129" s="632">
        <v>0</v>
      </c>
      <c r="H129" s="632">
        <v>0</v>
      </c>
      <c r="I129" s="632">
        <v>0</v>
      </c>
      <c r="J129" s="632">
        <v>0</v>
      </c>
      <c r="K129" s="632">
        <v>0</v>
      </c>
      <c r="L129" s="632">
        <v>0</v>
      </c>
      <c r="M129" s="632">
        <v>0</v>
      </c>
      <c r="N129" s="632">
        <v>0</v>
      </c>
      <c r="O129" s="148"/>
    </row>
    <row r="130" spans="2:25" s="3" customFormat="1" x14ac:dyDescent="0.35">
      <c r="B130" s="844" t="s">
        <v>56</v>
      </c>
      <c r="C130" s="845">
        <v>8266.4069999999992</v>
      </c>
      <c r="D130" s="845">
        <v>0</v>
      </c>
      <c r="E130" s="845">
        <v>1987.04</v>
      </c>
      <c r="F130" s="845">
        <v>2210.65</v>
      </c>
      <c r="G130" s="845">
        <v>0</v>
      </c>
      <c r="H130" s="845">
        <v>2200.12</v>
      </c>
      <c r="I130" s="845">
        <v>1852.0839999999998</v>
      </c>
      <c r="J130" s="845">
        <v>0</v>
      </c>
      <c r="K130" s="845">
        <v>1289.848</v>
      </c>
      <c r="L130" s="845">
        <v>1917.6599999999999</v>
      </c>
      <c r="M130" s="845">
        <v>0</v>
      </c>
      <c r="N130" s="845">
        <v>0</v>
      </c>
      <c r="O130" s="846">
        <v>19723.808999999997</v>
      </c>
      <c r="P130" s="324"/>
      <c r="Q130" s="324"/>
      <c r="R130" s="324"/>
      <c r="S130" s="324"/>
      <c r="T130" s="324"/>
      <c r="U130" s="324"/>
      <c r="V130" s="324"/>
      <c r="W130" s="324"/>
      <c r="X130" s="324"/>
      <c r="Y130" s="324"/>
    </row>
    <row r="131" spans="2:25" s="3" customFormat="1" x14ac:dyDescent="0.35">
      <c r="B131" s="269"/>
      <c r="C131" s="847"/>
      <c r="D131" s="848"/>
      <c r="E131" s="848"/>
      <c r="F131" s="848"/>
      <c r="G131" s="848"/>
      <c r="H131" s="848"/>
      <c r="I131" s="848"/>
      <c r="J131" s="848"/>
      <c r="K131" s="848"/>
      <c r="L131" s="848"/>
      <c r="M131" s="848"/>
      <c r="N131" s="848"/>
      <c r="O131" s="145"/>
      <c r="P131" s="324"/>
      <c r="Q131" s="324"/>
      <c r="R131" s="324"/>
      <c r="S131" s="324"/>
      <c r="T131" s="324"/>
      <c r="U131" s="324"/>
      <c r="V131" s="324"/>
      <c r="W131" s="324"/>
      <c r="X131" s="324"/>
      <c r="Y131" s="324"/>
    </row>
    <row r="132" spans="2:25" s="3" customFormat="1" x14ac:dyDescent="0.35">
      <c r="B132" s="849" t="s">
        <v>48</v>
      </c>
      <c r="C132" s="850">
        <v>8266.4069999999992</v>
      </c>
      <c r="D132" s="850">
        <v>0</v>
      </c>
      <c r="E132" s="850">
        <v>1987.04</v>
      </c>
      <c r="F132" s="850">
        <v>2210.65</v>
      </c>
      <c r="G132" s="850">
        <v>0</v>
      </c>
      <c r="H132" s="850">
        <v>2200.12</v>
      </c>
      <c r="I132" s="850">
        <v>1852.0839999999998</v>
      </c>
      <c r="J132" s="850">
        <v>0</v>
      </c>
      <c r="K132" s="850">
        <v>1289.848</v>
      </c>
      <c r="L132" s="850">
        <v>1917.6599999999999</v>
      </c>
      <c r="M132" s="850">
        <v>0</v>
      </c>
      <c r="N132" s="850">
        <v>0</v>
      </c>
      <c r="O132" s="851">
        <v>19723.808999999997</v>
      </c>
      <c r="P132" s="324"/>
      <c r="Q132" s="324"/>
      <c r="R132" s="324"/>
      <c r="S132" s="324"/>
      <c r="T132" s="324"/>
      <c r="U132" s="324"/>
      <c r="V132" s="324"/>
      <c r="W132" s="324"/>
      <c r="X132" s="324"/>
      <c r="Y132" s="324"/>
    </row>
    <row r="133" spans="2:25" s="3" customFormat="1" x14ac:dyDescent="0.35">
      <c r="B133" s="149"/>
      <c r="C133" s="184"/>
      <c r="D133" s="184"/>
      <c r="E133" s="184"/>
      <c r="F133" s="184"/>
      <c r="G133" s="184"/>
      <c r="H133" s="184"/>
      <c r="I133" s="184"/>
      <c r="J133" s="184"/>
      <c r="K133" s="184"/>
      <c r="L133" s="184"/>
      <c r="M133" s="184"/>
      <c r="N133" s="184"/>
      <c r="O133" s="148"/>
      <c r="P133" s="324"/>
      <c r="Q133" s="324"/>
      <c r="R133" s="324"/>
      <c r="S133" s="324"/>
      <c r="T133" s="324"/>
      <c r="U133" s="324"/>
      <c r="V133" s="324"/>
      <c r="W133" s="324"/>
      <c r="X133" s="324"/>
      <c r="Y133" s="324"/>
    </row>
    <row r="134" spans="2:25" s="3" customFormat="1" x14ac:dyDescent="0.35">
      <c r="B134" s="852" t="s">
        <v>49</v>
      </c>
      <c r="C134" s="147">
        <v>8266.4069999999992</v>
      </c>
      <c r="D134" s="147">
        <v>0</v>
      </c>
      <c r="E134" s="147">
        <v>1987.04</v>
      </c>
      <c r="F134" s="147">
        <v>2210.65</v>
      </c>
      <c r="G134" s="147">
        <v>0</v>
      </c>
      <c r="H134" s="147">
        <v>2200.12</v>
      </c>
      <c r="I134" s="147">
        <v>1852.0839999999998</v>
      </c>
      <c r="J134" s="147">
        <v>0</v>
      </c>
      <c r="K134" s="147">
        <v>1289.848</v>
      </c>
      <c r="L134" s="147">
        <v>1917.6599999999999</v>
      </c>
      <c r="M134" s="147">
        <v>0</v>
      </c>
      <c r="N134" s="147">
        <v>0</v>
      </c>
      <c r="O134" s="146">
        <v>19723.808999999997</v>
      </c>
      <c r="P134" s="324"/>
      <c r="Q134" s="324"/>
      <c r="R134" s="324"/>
      <c r="S134" s="324"/>
      <c r="T134" s="324"/>
      <c r="U134" s="324"/>
      <c r="V134" s="324"/>
      <c r="W134" s="324"/>
      <c r="X134" s="324"/>
      <c r="Y134" s="324"/>
    </row>
    <row r="135" spans="2:25" s="3" customFormat="1" x14ac:dyDescent="0.35">
      <c r="B135" s="852" t="s">
        <v>50</v>
      </c>
      <c r="C135" s="147">
        <v>0</v>
      </c>
      <c r="D135" s="147">
        <v>0</v>
      </c>
      <c r="E135" s="147">
        <v>0</v>
      </c>
      <c r="F135" s="147">
        <v>0</v>
      </c>
      <c r="G135" s="147">
        <v>0</v>
      </c>
      <c r="H135" s="147">
        <v>0</v>
      </c>
      <c r="I135" s="147">
        <v>0</v>
      </c>
      <c r="J135" s="147">
        <v>0</v>
      </c>
      <c r="K135" s="147">
        <v>0</v>
      </c>
      <c r="L135" s="147">
        <v>0</v>
      </c>
      <c r="M135" s="147">
        <v>0</v>
      </c>
      <c r="N135" s="147">
        <v>0</v>
      </c>
      <c r="O135" s="146">
        <v>0</v>
      </c>
      <c r="P135" s="324"/>
      <c r="Q135" s="324"/>
      <c r="R135" s="324"/>
      <c r="S135" s="324"/>
      <c r="T135" s="324"/>
      <c r="U135" s="324"/>
      <c r="V135" s="324"/>
      <c r="W135" s="324"/>
      <c r="X135" s="324"/>
      <c r="Y135" s="324"/>
    </row>
    <row r="136" spans="2:25" s="3" customFormat="1" x14ac:dyDescent="0.35">
      <c r="B136" s="852" t="s">
        <v>51</v>
      </c>
      <c r="C136" s="147">
        <v>0</v>
      </c>
      <c r="D136" s="147">
        <v>0</v>
      </c>
      <c r="E136" s="147">
        <v>0</v>
      </c>
      <c r="F136" s="147">
        <v>0</v>
      </c>
      <c r="G136" s="147">
        <v>0</v>
      </c>
      <c r="H136" s="147">
        <v>0</v>
      </c>
      <c r="I136" s="147">
        <v>0</v>
      </c>
      <c r="J136" s="147">
        <v>0</v>
      </c>
      <c r="K136" s="147">
        <v>0</v>
      </c>
      <c r="L136" s="147">
        <v>0</v>
      </c>
      <c r="M136" s="147">
        <v>0</v>
      </c>
      <c r="N136" s="147">
        <v>0</v>
      </c>
      <c r="O136" s="146">
        <v>0</v>
      </c>
      <c r="P136" s="324"/>
      <c r="Q136" s="324"/>
      <c r="R136" s="324"/>
      <c r="S136" s="324"/>
      <c r="T136" s="324"/>
      <c r="U136" s="324"/>
      <c r="V136" s="324"/>
      <c r="W136" s="324"/>
      <c r="X136" s="324"/>
      <c r="Y136" s="324"/>
    </row>
    <row r="137" spans="2:25" s="3" customFormat="1" x14ac:dyDescent="0.35">
      <c r="B137" s="852" t="s">
        <v>52</v>
      </c>
      <c r="C137" s="147">
        <v>0</v>
      </c>
      <c r="D137" s="147">
        <v>0</v>
      </c>
      <c r="E137" s="147">
        <v>0</v>
      </c>
      <c r="F137" s="147">
        <v>0</v>
      </c>
      <c r="G137" s="147">
        <v>0</v>
      </c>
      <c r="H137" s="147">
        <v>0</v>
      </c>
      <c r="I137" s="147">
        <v>0</v>
      </c>
      <c r="J137" s="147">
        <v>0</v>
      </c>
      <c r="K137" s="147">
        <v>0</v>
      </c>
      <c r="L137" s="147">
        <v>0</v>
      </c>
      <c r="M137" s="147">
        <v>0</v>
      </c>
      <c r="N137" s="147">
        <v>0</v>
      </c>
      <c r="O137" s="146">
        <v>0</v>
      </c>
      <c r="P137" s="324"/>
      <c r="Q137" s="324"/>
      <c r="R137" s="324"/>
      <c r="S137" s="324"/>
      <c r="T137" s="324"/>
      <c r="U137" s="324"/>
      <c r="V137" s="324"/>
      <c r="W137" s="324"/>
      <c r="X137" s="324"/>
      <c r="Y137" s="324"/>
    </row>
    <row r="138" spans="2:25" s="3" customFormat="1" x14ac:dyDescent="0.35">
      <c r="B138" s="852" t="s">
        <v>53</v>
      </c>
      <c r="C138" s="147">
        <v>0</v>
      </c>
      <c r="D138" s="147">
        <v>0</v>
      </c>
      <c r="E138" s="147">
        <v>0</v>
      </c>
      <c r="F138" s="147">
        <v>0</v>
      </c>
      <c r="G138" s="147">
        <v>0</v>
      </c>
      <c r="H138" s="147">
        <v>0</v>
      </c>
      <c r="I138" s="147">
        <v>0</v>
      </c>
      <c r="J138" s="147">
        <v>0</v>
      </c>
      <c r="K138" s="147">
        <v>0</v>
      </c>
      <c r="L138" s="147">
        <v>0</v>
      </c>
      <c r="M138" s="147">
        <v>0</v>
      </c>
      <c r="N138" s="147">
        <v>0</v>
      </c>
      <c r="O138" s="146">
        <v>0</v>
      </c>
      <c r="P138" s="324"/>
      <c r="Q138" s="324"/>
      <c r="R138" s="324"/>
      <c r="S138" s="324"/>
      <c r="T138" s="324"/>
      <c r="U138" s="324"/>
      <c r="V138" s="324"/>
      <c r="W138" s="324"/>
      <c r="X138" s="324"/>
      <c r="Y138" s="324"/>
    </row>
    <row r="139" spans="2:25" s="3" customFormat="1" x14ac:dyDescent="0.35">
      <c r="B139" s="852" t="s">
        <v>54</v>
      </c>
      <c r="C139" s="147">
        <v>0</v>
      </c>
      <c r="D139" s="147">
        <v>0</v>
      </c>
      <c r="E139" s="147">
        <v>0</v>
      </c>
      <c r="F139" s="147">
        <v>0</v>
      </c>
      <c r="G139" s="147">
        <v>0</v>
      </c>
      <c r="H139" s="147">
        <v>0</v>
      </c>
      <c r="I139" s="147">
        <v>0</v>
      </c>
      <c r="J139" s="147">
        <v>0</v>
      </c>
      <c r="K139" s="147">
        <v>0</v>
      </c>
      <c r="L139" s="147">
        <v>0</v>
      </c>
      <c r="M139" s="147">
        <v>0</v>
      </c>
      <c r="N139" s="147">
        <v>0</v>
      </c>
      <c r="O139" s="146">
        <v>0</v>
      </c>
      <c r="P139" s="324"/>
      <c r="Q139" s="324"/>
      <c r="R139" s="324"/>
      <c r="S139" s="324"/>
      <c r="T139" s="324"/>
      <c r="U139" s="324"/>
      <c r="V139" s="324"/>
      <c r="W139" s="324"/>
      <c r="X139" s="324"/>
      <c r="Y139" s="324"/>
    </row>
    <row r="140" spans="2:25" s="3" customFormat="1" x14ac:dyDescent="0.35">
      <c r="B140" s="852" t="s">
        <v>55</v>
      </c>
      <c r="C140" s="147">
        <v>0</v>
      </c>
      <c r="D140" s="147">
        <v>0</v>
      </c>
      <c r="E140" s="147">
        <v>0</v>
      </c>
      <c r="F140" s="147">
        <v>0</v>
      </c>
      <c r="G140" s="147">
        <v>0</v>
      </c>
      <c r="H140" s="147">
        <v>0</v>
      </c>
      <c r="I140" s="147">
        <v>0</v>
      </c>
      <c r="J140" s="147">
        <v>0</v>
      </c>
      <c r="K140" s="147">
        <v>0</v>
      </c>
      <c r="L140" s="147">
        <v>0</v>
      </c>
      <c r="M140" s="147">
        <v>0</v>
      </c>
      <c r="N140" s="147">
        <v>0</v>
      </c>
      <c r="O140" s="146">
        <v>0</v>
      </c>
      <c r="P140" s="324"/>
      <c r="Q140" s="324"/>
      <c r="R140" s="324"/>
      <c r="S140" s="324"/>
      <c r="T140" s="324"/>
      <c r="U140" s="324"/>
      <c r="V140" s="324"/>
      <c r="W140" s="324"/>
      <c r="X140" s="324"/>
      <c r="Y140" s="324"/>
    </row>
    <row r="141" spans="2:25" s="3" customFormat="1" x14ac:dyDescent="0.35">
      <c r="B141" s="852" t="s">
        <v>11</v>
      </c>
      <c r="C141" s="147" t="s">
        <v>11</v>
      </c>
      <c r="D141" s="853" t="s">
        <v>11</v>
      </c>
      <c r="E141" s="853" t="s">
        <v>11</v>
      </c>
      <c r="F141" s="853" t="s">
        <v>11</v>
      </c>
      <c r="G141" s="853" t="s">
        <v>11</v>
      </c>
      <c r="H141" s="853" t="s">
        <v>11</v>
      </c>
      <c r="I141" s="853"/>
      <c r="J141" s="853"/>
      <c r="K141" s="639"/>
      <c r="L141" s="639"/>
      <c r="M141" s="639"/>
      <c r="N141" s="639"/>
      <c r="O141" s="148"/>
      <c r="P141" s="324"/>
      <c r="Q141" s="324"/>
      <c r="R141" s="324"/>
      <c r="S141" s="324"/>
      <c r="T141" s="324"/>
      <c r="U141" s="324"/>
      <c r="V141" s="324"/>
      <c r="W141" s="324"/>
      <c r="X141" s="324"/>
      <c r="Y141" s="324"/>
    </row>
    <row r="142" spans="2:25" s="3" customFormat="1" x14ac:dyDescent="0.35">
      <c r="B142" s="431" t="s">
        <v>36</v>
      </c>
      <c r="C142" s="854">
        <v>31916.71</v>
      </c>
      <c r="D142" s="854">
        <v>20732.005000000001</v>
      </c>
      <c r="E142" s="854">
        <v>22437.226000000002</v>
      </c>
      <c r="F142" s="854">
        <v>11736.393999999998</v>
      </c>
      <c r="G142" s="854">
        <v>19917.464</v>
      </c>
      <c r="H142" s="854">
        <v>16371.708500000001</v>
      </c>
      <c r="I142" s="854">
        <v>10768.7605</v>
      </c>
      <c r="J142" s="854">
        <v>16672.058000000005</v>
      </c>
      <c r="K142" s="854">
        <v>27950.928999999996</v>
      </c>
      <c r="L142" s="854">
        <v>21842.8295</v>
      </c>
      <c r="M142" s="854">
        <v>17462.303</v>
      </c>
      <c r="N142" s="854">
        <v>18325.766499999998</v>
      </c>
      <c r="O142" s="855">
        <v>236134.15400000001</v>
      </c>
      <c r="P142" s="324"/>
      <c r="Q142" s="324"/>
      <c r="R142" s="324"/>
      <c r="S142" s="324"/>
      <c r="T142" s="324"/>
      <c r="U142" s="324"/>
      <c r="V142" s="324"/>
      <c r="W142" s="324"/>
      <c r="X142" s="324"/>
      <c r="Y142" s="324"/>
    </row>
    <row r="143" spans="2:25" s="3" customFormat="1" x14ac:dyDescent="0.35">
      <c r="B143" s="269"/>
      <c r="C143" s="847"/>
      <c r="D143" s="848"/>
      <c r="E143" s="848"/>
      <c r="F143" s="848"/>
      <c r="G143" s="848"/>
      <c r="H143" s="848"/>
      <c r="I143" s="848"/>
      <c r="J143" s="848"/>
      <c r="K143" s="848"/>
      <c r="L143" s="848"/>
      <c r="M143" s="848"/>
      <c r="N143" s="848"/>
      <c r="O143" s="145"/>
      <c r="P143" s="324"/>
      <c r="Q143" s="324"/>
      <c r="R143" s="324"/>
      <c r="S143" s="324"/>
      <c r="T143" s="324"/>
      <c r="U143" s="324"/>
      <c r="V143" s="324"/>
      <c r="W143" s="324"/>
      <c r="X143" s="324"/>
      <c r="Y143" s="324"/>
    </row>
    <row r="144" spans="2:25" s="3" customFormat="1" x14ac:dyDescent="0.35">
      <c r="B144" s="849" t="s">
        <v>48</v>
      </c>
      <c r="C144" s="856">
        <v>15792.563999999998</v>
      </c>
      <c r="D144" s="856">
        <v>4869.7950000000001</v>
      </c>
      <c r="E144" s="856">
        <v>3304.3450000000003</v>
      </c>
      <c r="F144" s="856">
        <v>4595.2380000000003</v>
      </c>
      <c r="G144" s="856">
        <v>2931.7950000000001</v>
      </c>
      <c r="H144" s="856">
        <v>4350.34</v>
      </c>
      <c r="I144" s="856">
        <v>2255.404</v>
      </c>
      <c r="J144" s="856">
        <v>2501.9380000000001</v>
      </c>
      <c r="K144" s="856">
        <v>5254.4979999999996</v>
      </c>
      <c r="L144" s="856">
        <v>4273.24</v>
      </c>
      <c r="M144" s="856">
        <v>1282.1660000000002</v>
      </c>
      <c r="N144" s="856">
        <v>1415</v>
      </c>
      <c r="O144" s="851">
        <v>52826.323000000004</v>
      </c>
      <c r="P144" s="324"/>
      <c r="Q144" s="324"/>
      <c r="R144" s="324"/>
      <c r="S144" s="324"/>
      <c r="T144" s="324"/>
      <c r="U144" s="324"/>
      <c r="V144" s="324"/>
      <c r="W144" s="324"/>
      <c r="X144" s="324"/>
      <c r="Y144" s="324"/>
    </row>
    <row r="145" spans="2:25" s="3" customFormat="1" x14ac:dyDescent="0.35">
      <c r="B145" s="849"/>
      <c r="C145" s="857"/>
      <c r="D145" s="856"/>
      <c r="E145" s="856"/>
      <c r="F145" s="856"/>
      <c r="G145" s="856"/>
      <c r="H145" s="856"/>
      <c r="I145" s="856"/>
      <c r="J145" s="856"/>
      <c r="K145" s="856"/>
      <c r="L145" s="856"/>
      <c r="M145" s="856"/>
      <c r="N145" s="856"/>
      <c r="O145" s="851"/>
      <c r="P145" s="324"/>
      <c r="Q145" s="324"/>
      <c r="R145" s="324"/>
      <c r="S145" s="324"/>
      <c r="T145" s="324"/>
      <c r="U145" s="324"/>
      <c r="V145" s="324"/>
      <c r="W145" s="324"/>
      <c r="X145" s="324"/>
      <c r="Y145" s="324"/>
    </row>
    <row r="146" spans="2:25" s="3" customFormat="1" x14ac:dyDescent="0.35">
      <c r="B146" s="852" t="s">
        <v>49</v>
      </c>
      <c r="C146" s="150">
        <v>18623.724999999999</v>
      </c>
      <c r="D146" s="150">
        <v>5549.478000000001</v>
      </c>
      <c r="E146" s="150">
        <v>4096.3720000000003</v>
      </c>
      <c r="F146" s="150">
        <v>5184.3469999999998</v>
      </c>
      <c r="G146" s="150">
        <v>3641.9810000000002</v>
      </c>
      <c r="H146" s="150">
        <v>6851.22</v>
      </c>
      <c r="I146" s="150">
        <v>2953.94</v>
      </c>
      <c r="J146" s="150">
        <v>4890.6699999999992</v>
      </c>
      <c r="K146" s="150">
        <v>7827.7089999999989</v>
      </c>
      <c r="L146" s="150">
        <v>6896.8240000000005</v>
      </c>
      <c r="M146" s="150">
        <v>2739.739</v>
      </c>
      <c r="N146" s="150">
        <v>1555.9970000000001</v>
      </c>
      <c r="O146" s="146">
        <v>70812.002000000008</v>
      </c>
      <c r="P146" s="324"/>
      <c r="Q146" s="324"/>
      <c r="R146" s="324"/>
      <c r="S146" s="324"/>
      <c r="T146" s="324"/>
      <c r="U146" s="324"/>
      <c r="V146" s="324"/>
      <c r="W146" s="324"/>
      <c r="X146" s="324"/>
      <c r="Y146" s="324"/>
    </row>
    <row r="147" spans="2:25" s="3" customFormat="1" x14ac:dyDescent="0.35">
      <c r="B147" s="852" t="s">
        <v>50</v>
      </c>
      <c r="C147" s="150">
        <v>8063.1840000000002</v>
      </c>
      <c r="D147" s="150">
        <v>7141.2559999999994</v>
      </c>
      <c r="E147" s="150">
        <v>13440.6</v>
      </c>
      <c r="F147" s="150">
        <v>5000.87</v>
      </c>
      <c r="G147" s="150">
        <v>11381.004999999999</v>
      </c>
      <c r="H147" s="150">
        <v>3149.7980000000002</v>
      </c>
      <c r="I147" s="150">
        <v>2269.9600000000005</v>
      </c>
      <c r="J147" s="150">
        <v>3391.223</v>
      </c>
      <c r="K147" s="150">
        <v>7102.9139999999989</v>
      </c>
      <c r="L147" s="150">
        <v>5331.3059999999996</v>
      </c>
      <c r="M147" s="150">
        <v>5250.585</v>
      </c>
      <c r="N147" s="150">
        <v>8585.6769999999979</v>
      </c>
      <c r="O147" s="148">
        <v>80108.377999999997</v>
      </c>
      <c r="P147" s="324"/>
      <c r="Q147" s="324"/>
      <c r="R147" s="324"/>
      <c r="S147" s="324"/>
      <c r="T147" s="324"/>
      <c r="U147" s="324"/>
      <c r="V147" s="324"/>
      <c r="W147" s="324"/>
      <c r="X147" s="324"/>
      <c r="Y147" s="324"/>
    </row>
    <row r="148" spans="2:25" s="3" customFormat="1" x14ac:dyDescent="0.35">
      <c r="B148" s="852" t="s">
        <v>51</v>
      </c>
      <c r="C148" s="150">
        <v>182.7405</v>
      </c>
      <c r="D148" s="150">
        <v>1551.5839999999998</v>
      </c>
      <c r="E148" s="150">
        <v>1207.3899999999999</v>
      </c>
      <c r="F148" s="150">
        <v>1139.1109999999999</v>
      </c>
      <c r="G148" s="150">
        <v>857.45299999999997</v>
      </c>
      <c r="H148" s="150">
        <v>500.64899999999994</v>
      </c>
      <c r="I148" s="150">
        <v>67.8185</v>
      </c>
      <c r="J148" s="150">
        <v>0</v>
      </c>
      <c r="K148" s="150">
        <v>3301.5239999999994</v>
      </c>
      <c r="L148" s="150">
        <v>3104.4865</v>
      </c>
      <c r="M148" s="150">
        <v>1470.5539999999999</v>
      </c>
      <c r="N148" s="150">
        <v>2214.5690000000004</v>
      </c>
      <c r="O148" s="148">
        <v>15597.879499999999</v>
      </c>
      <c r="P148" s="324"/>
      <c r="Q148" s="324"/>
      <c r="R148" s="324"/>
      <c r="S148" s="324"/>
      <c r="T148" s="324"/>
      <c r="U148" s="324"/>
      <c r="V148" s="324"/>
      <c r="W148" s="324"/>
      <c r="X148" s="324"/>
      <c r="Y148" s="324"/>
    </row>
    <row r="149" spans="2:25" s="3" customFormat="1" x14ac:dyDescent="0.35">
      <c r="B149" s="852" t="s">
        <v>52</v>
      </c>
      <c r="C149" s="150">
        <v>5030.6399999999994</v>
      </c>
      <c r="D149" s="150">
        <v>6338.8000000000011</v>
      </c>
      <c r="E149" s="150">
        <v>3644.3150000000005</v>
      </c>
      <c r="F149" s="150">
        <v>192.559</v>
      </c>
      <c r="G149" s="150">
        <v>3969.0249999999996</v>
      </c>
      <c r="H149" s="150">
        <v>5793.81</v>
      </c>
      <c r="I149" s="150">
        <v>5470.2249999999995</v>
      </c>
      <c r="J149" s="150">
        <v>8390.1650000000045</v>
      </c>
      <c r="K149" s="150">
        <v>9664.0449999999983</v>
      </c>
      <c r="L149" s="150">
        <v>6447.5999999999985</v>
      </c>
      <c r="M149" s="150">
        <v>7941.9899999999989</v>
      </c>
      <c r="N149" s="150">
        <v>5898.1200000000008</v>
      </c>
      <c r="O149" s="148">
        <v>68781.293999999994</v>
      </c>
      <c r="P149" s="324"/>
      <c r="Q149" s="324"/>
      <c r="R149" s="324"/>
      <c r="S149" s="324"/>
      <c r="T149" s="324"/>
      <c r="U149" s="324"/>
      <c r="V149" s="324"/>
      <c r="W149" s="324"/>
      <c r="X149" s="324"/>
      <c r="Y149" s="324"/>
    </row>
    <row r="150" spans="2:25" s="3" customFormat="1" x14ac:dyDescent="0.35">
      <c r="B150" s="852" t="s">
        <v>53</v>
      </c>
      <c r="C150" s="150">
        <v>15.4405</v>
      </c>
      <c r="D150" s="150">
        <v>30.516999999999996</v>
      </c>
      <c r="E150" s="150">
        <v>48.548999999999999</v>
      </c>
      <c r="F150" s="150">
        <v>45.568999999999988</v>
      </c>
      <c r="G150" s="150">
        <v>68</v>
      </c>
      <c r="H150" s="150">
        <v>52.54549999999999</v>
      </c>
      <c r="I150" s="150">
        <v>6.8170000000000002</v>
      </c>
      <c r="J150" s="150">
        <v>0</v>
      </c>
      <c r="K150" s="150">
        <v>54.736999999999988</v>
      </c>
      <c r="L150" s="150">
        <v>62.613</v>
      </c>
      <c r="M150" s="150">
        <v>59.435000000000009</v>
      </c>
      <c r="N150" s="150">
        <v>71.403500000000008</v>
      </c>
      <c r="O150" s="148">
        <v>515.62649999999996</v>
      </c>
      <c r="P150" s="324"/>
      <c r="Q150" s="324"/>
      <c r="R150" s="324"/>
      <c r="S150" s="324"/>
      <c r="T150" s="324"/>
      <c r="U150" s="324"/>
      <c r="V150" s="324"/>
      <c r="W150" s="324"/>
      <c r="X150" s="324"/>
      <c r="Y150" s="324"/>
    </row>
    <row r="151" spans="2:25" s="3" customFormat="1" x14ac:dyDescent="0.35">
      <c r="B151" s="852" t="s">
        <v>54</v>
      </c>
      <c r="C151" s="150">
        <v>0</v>
      </c>
      <c r="D151" s="150">
        <v>0</v>
      </c>
      <c r="E151" s="150">
        <v>0</v>
      </c>
      <c r="F151" s="150">
        <v>0</v>
      </c>
      <c r="G151" s="150">
        <v>0</v>
      </c>
      <c r="H151" s="150">
        <v>0</v>
      </c>
      <c r="I151" s="150">
        <v>0</v>
      </c>
      <c r="J151" s="150">
        <v>0</v>
      </c>
      <c r="K151" s="150">
        <v>0</v>
      </c>
      <c r="L151" s="150">
        <v>0</v>
      </c>
      <c r="M151" s="150">
        <v>0</v>
      </c>
      <c r="N151" s="150">
        <v>0</v>
      </c>
      <c r="O151" s="148">
        <v>0</v>
      </c>
      <c r="P151" s="324"/>
      <c r="Q151" s="324"/>
      <c r="R151" s="324"/>
      <c r="S151" s="324"/>
      <c r="T151" s="324"/>
      <c r="U151" s="324"/>
      <c r="V151" s="324"/>
      <c r="W151" s="324"/>
      <c r="X151" s="324"/>
      <c r="Y151" s="324"/>
    </row>
    <row r="152" spans="2:25" s="3" customFormat="1" x14ac:dyDescent="0.35">
      <c r="B152" s="858" t="s">
        <v>55</v>
      </c>
      <c r="C152" s="859">
        <v>0.98</v>
      </c>
      <c r="D152" s="859">
        <v>120.37</v>
      </c>
      <c r="E152" s="859">
        <v>0</v>
      </c>
      <c r="F152" s="859">
        <v>173.93800000000002</v>
      </c>
      <c r="G152" s="859">
        <v>0</v>
      </c>
      <c r="H152" s="859">
        <v>23.686</v>
      </c>
      <c r="I152" s="859">
        <v>0</v>
      </c>
      <c r="J152" s="859">
        <v>0</v>
      </c>
      <c r="K152" s="860">
        <v>0</v>
      </c>
      <c r="L152" s="860">
        <v>0</v>
      </c>
      <c r="M152" s="860">
        <v>0</v>
      </c>
      <c r="N152" s="860">
        <v>0</v>
      </c>
      <c r="O152" s="861">
        <v>318.97399999999999</v>
      </c>
      <c r="P152" s="324"/>
      <c r="Q152" s="324"/>
      <c r="R152" s="324"/>
      <c r="S152" s="324"/>
      <c r="T152" s="324"/>
      <c r="U152" s="324"/>
      <c r="V152" s="324"/>
      <c r="W152" s="324"/>
      <c r="X152" s="324"/>
      <c r="Y152" s="324"/>
    </row>
    <row r="153" spans="2:25" s="3" customFormat="1" x14ac:dyDescent="0.35">
      <c r="B153" s="6" t="s">
        <v>57</v>
      </c>
      <c r="C153" s="133"/>
      <c r="D153" s="133"/>
      <c r="E153" s="133"/>
      <c r="F153" s="133"/>
      <c r="G153" s="133"/>
      <c r="H153" s="133"/>
      <c r="I153" s="133"/>
      <c r="J153" s="133"/>
      <c r="K153" s="133"/>
      <c r="L153" s="133"/>
      <c r="M153" s="133"/>
      <c r="N153" s="133"/>
      <c r="O153" s="134"/>
      <c r="P153" s="324"/>
      <c r="Q153" s="324"/>
      <c r="R153" s="324"/>
      <c r="S153" s="324"/>
      <c r="T153" s="324"/>
      <c r="U153" s="324"/>
      <c r="V153" s="324"/>
      <c r="W153" s="324"/>
      <c r="X153" s="324"/>
      <c r="Y153" s="324"/>
    </row>
    <row r="154" spans="2:25" s="3" customFormat="1" ht="22.5" customHeight="1" x14ac:dyDescent="0.35">
      <c r="B154" s="1069" t="s">
        <v>364</v>
      </c>
      <c r="C154" s="1069"/>
      <c r="D154" s="1069"/>
      <c r="E154" s="1069"/>
      <c r="F154" s="1069"/>
      <c r="G154" s="1069"/>
      <c r="H154" s="1069"/>
      <c r="I154" s="1069"/>
      <c r="J154" s="1069"/>
      <c r="K154" s="1069"/>
      <c r="L154" s="1069"/>
      <c r="M154" s="555">
        <v>2025</v>
      </c>
      <c r="N154" s="125"/>
      <c r="O154" s="125"/>
      <c r="P154" s="324"/>
      <c r="Q154" s="324"/>
      <c r="R154" s="324"/>
      <c r="S154" s="324"/>
      <c r="T154" s="324"/>
      <c r="U154" s="324"/>
      <c r="V154" s="324"/>
      <c r="W154" s="324"/>
      <c r="X154" s="324"/>
      <c r="Y154" s="324"/>
    </row>
    <row r="155" spans="2:25" s="3" customFormat="1" x14ac:dyDescent="0.35">
      <c r="B155" s="8"/>
      <c r="C155" s="151"/>
      <c r="D155" s="151"/>
      <c r="E155" s="151"/>
      <c r="F155" s="151"/>
      <c r="G155" s="151"/>
      <c r="H155" s="151"/>
      <c r="I155" s="151"/>
      <c r="J155" s="151"/>
      <c r="K155" s="151"/>
      <c r="L155" s="151"/>
      <c r="M155" s="151"/>
      <c r="N155" s="151"/>
      <c r="O155" s="8"/>
      <c r="P155" s="324"/>
      <c r="Q155" s="324"/>
      <c r="R155" s="324"/>
      <c r="S155" s="324"/>
      <c r="T155" s="324"/>
      <c r="U155" s="324"/>
      <c r="V155" s="324"/>
      <c r="W155" s="324"/>
      <c r="X155" s="324"/>
      <c r="Y155" s="324"/>
    </row>
    <row r="156" spans="2:25" ht="15" customHeight="1" x14ac:dyDescent="0.35">
      <c r="B156" s="1074" t="s">
        <v>13</v>
      </c>
      <c r="C156" s="1070" t="s">
        <v>0</v>
      </c>
      <c r="D156" s="1070" t="s">
        <v>1</v>
      </c>
      <c r="E156" s="1070" t="s">
        <v>2</v>
      </c>
      <c r="F156" s="1070" t="s">
        <v>3</v>
      </c>
      <c r="G156" s="1070" t="s">
        <v>4</v>
      </c>
      <c r="H156" s="1070" t="s">
        <v>5</v>
      </c>
      <c r="I156" s="1070" t="s">
        <v>6</v>
      </c>
      <c r="J156" s="1070" t="s">
        <v>7</v>
      </c>
      <c r="K156" s="1070" t="s">
        <v>8</v>
      </c>
      <c r="L156" s="1070" t="s">
        <v>9</v>
      </c>
      <c r="M156" s="1070" t="s">
        <v>10</v>
      </c>
      <c r="N156" s="1070" t="s">
        <v>14</v>
      </c>
      <c r="O156" s="1074" t="s">
        <v>15</v>
      </c>
    </row>
    <row r="157" spans="2:25" ht="28.5" customHeight="1" x14ac:dyDescent="0.35">
      <c r="B157" s="1080"/>
      <c r="C157" s="1071"/>
      <c r="D157" s="1071"/>
      <c r="E157" s="1071"/>
      <c r="F157" s="1071"/>
      <c r="G157" s="1071"/>
      <c r="H157" s="1071"/>
      <c r="I157" s="1071"/>
      <c r="J157" s="1071"/>
      <c r="K157" s="1071"/>
      <c r="L157" s="1071"/>
      <c r="M157" s="1078"/>
      <c r="N157" s="1078"/>
      <c r="O157" s="1081"/>
    </row>
    <row r="158" spans="2:25" s="3" customFormat="1" x14ac:dyDescent="0.35">
      <c r="B158" s="152"/>
      <c r="C158" s="632">
        <v>0</v>
      </c>
      <c r="D158" s="632">
        <v>0</v>
      </c>
      <c r="E158" s="632">
        <v>0</v>
      </c>
      <c r="F158" s="632">
        <v>0</v>
      </c>
      <c r="G158" s="632">
        <v>0</v>
      </c>
      <c r="H158" s="632">
        <v>0</v>
      </c>
      <c r="I158" s="632">
        <v>0</v>
      </c>
      <c r="J158" s="632">
        <v>0</v>
      </c>
      <c r="K158" s="632">
        <v>0</v>
      </c>
      <c r="L158" s="632">
        <v>0</v>
      </c>
      <c r="M158" s="632">
        <v>0</v>
      </c>
      <c r="N158" s="632">
        <v>0</v>
      </c>
      <c r="O158" s="153"/>
      <c r="P158" s="324"/>
      <c r="Q158" s="324"/>
      <c r="R158" s="324"/>
      <c r="S158" s="324"/>
      <c r="T158" s="324"/>
      <c r="U158" s="324"/>
      <c r="V158" s="324"/>
      <c r="W158" s="324"/>
      <c r="X158" s="324"/>
      <c r="Y158" s="324"/>
    </row>
    <row r="159" spans="2:25" s="3" customFormat="1" x14ac:dyDescent="0.35">
      <c r="B159" s="844" t="s">
        <v>47</v>
      </c>
      <c r="C159" s="862">
        <v>60526.983310000069</v>
      </c>
      <c r="D159" s="845">
        <v>54949.757000000005</v>
      </c>
      <c r="E159" s="845">
        <v>55159.340809999921</v>
      </c>
      <c r="F159" s="845">
        <v>73122.503000000113</v>
      </c>
      <c r="G159" s="845">
        <v>76746.213880000229</v>
      </c>
      <c r="H159" s="845">
        <v>67639.877000000051</v>
      </c>
      <c r="I159" s="845">
        <v>55008.176999999872</v>
      </c>
      <c r="J159" s="845">
        <v>64020.707000000177</v>
      </c>
      <c r="K159" s="845">
        <v>50840.584000000053</v>
      </c>
      <c r="L159" s="845">
        <v>66584.351000000213</v>
      </c>
      <c r="M159" s="845">
        <v>61538.621000000261</v>
      </c>
      <c r="N159" s="845">
        <v>61847.33000000038</v>
      </c>
      <c r="O159" s="154">
        <v>747984.44500000135</v>
      </c>
      <c r="P159" s="324"/>
      <c r="Q159" s="324"/>
      <c r="R159" s="324"/>
      <c r="S159" s="324"/>
      <c r="T159" s="324"/>
      <c r="U159" s="324"/>
      <c r="V159" s="324"/>
      <c r="W159" s="324"/>
      <c r="X159" s="324"/>
      <c r="Y159" s="324"/>
    </row>
    <row r="160" spans="2:25" s="3" customFormat="1" x14ac:dyDescent="0.35">
      <c r="B160" s="269"/>
      <c r="C160" s="863"/>
      <c r="D160" s="848"/>
      <c r="E160" s="848"/>
      <c r="F160" s="848"/>
      <c r="G160" s="848"/>
      <c r="H160" s="848"/>
      <c r="I160" s="848"/>
      <c r="J160" s="848"/>
      <c r="K160" s="848"/>
      <c r="L160" s="848"/>
      <c r="M160" s="848"/>
      <c r="N160" s="848"/>
      <c r="O160" s="145"/>
      <c r="P160" s="324"/>
      <c r="Q160" s="324"/>
      <c r="R160" s="324"/>
      <c r="S160" s="324"/>
      <c r="T160" s="324"/>
      <c r="U160" s="324"/>
      <c r="V160" s="324"/>
      <c r="W160" s="324"/>
      <c r="X160" s="324"/>
      <c r="Y160" s="324"/>
    </row>
    <row r="161" spans="2:25" s="3" customFormat="1" x14ac:dyDescent="0.35">
      <c r="B161" s="852" t="s">
        <v>49</v>
      </c>
      <c r="C161" s="131">
        <v>2833.5489999999995</v>
      </c>
      <c r="D161" s="131">
        <v>2578.25</v>
      </c>
      <c r="E161" s="131">
        <v>2253.7439999999992</v>
      </c>
      <c r="F161" s="131">
        <v>388.76199999999994</v>
      </c>
      <c r="G161" s="131">
        <v>3400.3349999999982</v>
      </c>
      <c r="H161" s="131">
        <v>1572.6969999999997</v>
      </c>
      <c r="I161" s="131">
        <v>2401.2169999999987</v>
      </c>
      <c r="J161" s="131">
        <v>2784.8319999999999</v>
      </c>
      <c r="K161" s="131">
        <v>5031.2610000000004</v>
      </c>
      <c r="L161" s="131">
        <v>3859.24</v>
      </c>
      <c r="M161" s="131">
        <v>2695.5520000000006</v>
      </c>
      <c r="N161" s="131">
        <v>2795.0430000000006</v>
      </c>
      <c r="O161" s="148">
        <v>32594.481999999996</v>
      </c>
      <c r="P161" s="324"/>
      <c r="Q161" s="324"/>
      <c r="R161" s="324"/>
      <c r="S161" s="324"/>
      <c r="T161" s="324"/>
      <c r="U161" s="324"/>
      <c r="V161" s="324"/>
      <c r="W161" s="324"/>
      <c r="X161" s="324"/>
      <c r="Y161" s="324"/>
    </row>
    <row r="162" spans="2:25" s="3" customFormat="1" x14ac:dyDescent="0.35">
      <c r="B162" s="852" t="s">
        <v>50</v>
      </c>
      <c r="C162" s="131">
        <v>57622.70331000007</v>
      </c>
      <c r="D162" s="131">
        <v>52349.172000000006</v>
      </c>
      <c r="E162" s="131">
        <v>52854.59980999992</v>
      </c>
      <c r="F162" s="131">
        <v>72693.956000000107</v>
      </c>
      <c r="G162" s="131">
        <v>73317.712880000239</v>
      </c>
      <c r="H162" s="131">
        <v>65783.060000000056</v>
      </c>
      <c r="I162" s="131">
        <v>52557.132999999878</v>
      </c>
      <c r="J162" s="131">
        <v>61222.558000000172</v>
      </c>
      <c r="K162" s="131">
        <v>45615.541000000056</v>
      </c>
      <c r="L162" s="131">
        <v>62693.016000000207</v>
      </c>
      <c r="M162" s="131">
        <v>58824.039000000259</v>
      </c>
      <c r="N162" s="131">
        <v>58972.97200000038</v>
      </c>
      <c r="O162" s="148">
        <v>714506.46300000127</v>
      </c>
      <c r="P162" s="324"/>
      <c r="Q162" s="324"/>
      <c r="R162" s="324"/>
      <c r="S162" s="324"/>
      <c r="T162" s="324"/>
      <c r="U162" s="324"/>
      <c r="V162" s="324"/>
      <c r="W162" s="324"/>
      <c r="X162" s="324"/>
      <c r="Y162" s="324"/>
    </row>
    <row r="163" spans="2:25" s="3" customFormat="1" x14ac:dyDescent="0.35">
      <c r="B163" s="852" t="s">
        <v>51</v>
      </c>
      <c r="C163" s="131">
        <v>0</v>
      </c>
      <c r="D163" s="131">
        <v>0</v>
      </c>
      <c r="E163" s="131">
        <v>0</v>
      </c>
      <c r="F163" s="131">
        <v>0</v>
      </c>
      <c r="G163" s="131">
        <v>0</v>
      </c>
      <c r="H163" s="131">
        <v>0</v>
      </c>
      <c r="I163" s="131">
        <v>0</v>
      </c>
      <c r="J163" s="131">
        <v>0</v>
      </c>
      <c r="K163" s="131">
        <v>0</v>
      </c>
      <c r="L163" s="131">
        <v>0</v>
      </c>
      <c r="M163" s="131">
        <v>0</v>
      </c>
      <c r="N163" s="131">
        <v>0</v>
      </c>
      <c r="O163" s="148">
        <v>0</v>
      </c>
      <c r="P163" s="324"/>
      <c r="Q163" s="324"/>
      <c r="R163" s="324"/>
      <c r="S163" s="324"/>
      <c r="T163" s="324"/>
      <c r="U163" s="324"/>
      <c r="V163" s="324"/>
      <c r="W163" s="324"/>
      <c r="X163" s="324"/>
      <c r="Y163" s="324"/>
    </row>
    <row r="164" spans="2:25" s="3" customFormat="1" x14ac:dyDescent="0.35">
      <c r="B164" s="852" t="s">
        <v>52</v>
      </c>
      <c r="C164" s="131">
        <v>0</v>
      </c>
      <c r="D164" s="131">
        <v>0</v>
      </c>
      <c r="E164" s="131">
        <v>0</v>
      </c>
      <c r="F164" s="131">
        <v>0</v>
      </c>
      <c r="G164" s="131">
        <v>0</v>
      </c>
      <c r="H164" s="131">
        <v>0</v>
      </c>
      <c r="I164" s="131">
        <v>0</v>
      </c>
      <c r="J164" s="131">
        <v>0</v>
      </c>
      <c r="K164" s="131">
        <v>0</v>
      </c>
      <c r="L164" s="131">
        <v>0</v>
      </c>
      <c r="M164" s="131">
        <v>0</v>
      </c>
      <c r="N164" s="131">
        <v>0</v>
      </c>
      <c r="O164" s="148">
        <v>0</v>
      </c>
      <c r="P164" s="324"/>
      <c r="Q164" s="324"/>
      <c r="R164" s="324"/>
      <c r="S164" s="324"/>
      <c r="T164" s="324"/>
      <c r="U164" s="324"/>
      <c r="V164" s="324"/>
      <c r="W164" s="324"/>
      <c r="X164" s="324"/>
      <c r="Y164" s="324"/>
    </row>
    <row r="165" spans="2:25" s="3" customFormat="1" x14ac:dyDescent="0.35">
      <c r="B165" s="852" t="s">
        <v>53</v>
      </c>
      <c r="C165" s="131">
        <v>12.491</v>
      </c>
      <c r="D165" s="131">
        <v>22.335000000000001</v>
      </c>
      <c r="E165" s="131">
        <v>50.997</v>
      </c>
      <c r="F165" s="131">
        <v>39.784999999999997</v>
      </c>
      <c r="G165" s="131">
        <v>28.166</v>
      </c>
      <c r="H165" s="131">
        <v>28.477</v>
      </c>
      <c r="I165" s="131">
        <v>49.826999999999998</v>
      </c>
      <c r="J165" s="131">
        <v>13.317</v>
      </c>
      <c r="K165" s="131">
        <v>106.44199999999999</v>
      </c>
      <c r="L165" s="131">
        <v>32.094999999999999</v>
      </c>
      <c r="M165" s="131">
        <v>18.470999999999997</v>
      </c>
      <c r="N165" s="131">
        <v>50.97</v>
      </c>
      <c r="O165" s="148">
        <v>453.37300000000005</v>
      </c>
      <c r="P165" s="324"/>
      <c r="Q165" s="324"/>
      <c r="R165" s="324"/>
      <c r="S165" s="324"/>
      <c r="T165" s="324"/>
      <c r="U165" s="324"/>
      <c r="V165" s="324"/>
      <c r="W165" s="324"/>
      <c r="X165" s="324"/>
      <c r="Y165" s="324"/>
    </row>
    <row r="166" spans="2:25" s="3" customFormat="1" x14ac:dyDescent="0.35">
      <c r="B166" s="852" t="s">
        <v>54</v>
      </c>
      <c r="C166" s="131">
        <v>58.24</v>
      </c>
      <c r="D166" s="131">
        <v>0</v>
      </c>
      <c r="E166" s="131">
        <v>0</v>
      </c>
      <c r="F166" s="131">
        <v>0</v>
      </c>
      <c r="G166" s="131">
        <v>0</v>
      </c>
      <c r="H166" s="131">
        <v>255.643</v>
      </c>
      <c r="I166" s="131">
        <v>0</v>
      </c>
      <c r="J166" s="131">
        <v>0</v>
      </c>
      <c r="K166" s="131">
        <v>87.34</v>
      </c>
      <c r="L166" s="131">
        <v>0</v>
      </c>
      <c r="M166" s="131">
        <v>0.55900000000000005</v>
      </c>
      <c r="N166" s="131">
        <v>28.344999999999999</v>
      </c>
      <c r="O166" s="148">
        <v>430.12699999999995</v>
      </c>
      <c r="P166" s="324"/>
      <c r="Q166" s="324"/>
      <c r="R166" s="324"/>
      <c r="S166" s="324"/>
      <c r="T166" s="324"/>
      <c r="U166" s="324"/>
      <c r="V166" s="324"/>
      <c r="W166" s="324"/>
      <c r="X166" s="324"/>
      <c r="Y166" s="324"/>
    </row>
    <row r="167" spans="2:25" s="3" customFormat="1" x14ac:dyDescent="0.35">
      <c r="B167" s="852" t="s">
        <v>55</v>
      </c>
      <c r="C167" s="131">
        <v>0</v>
      </c>
      <c r="D167" s="131">
        <v>0</v>
      </c>
      <c r="E167" s="131">
        <v>0</v>
      </c>
      <c r="F167" s="131">
        <v>0</v>
      </c>
      <c r="G167" s="131">
        <v>0</v>
      </c>
      <c r="H167" s="131">
        <v>0</v>
      </c>
      <c r="I167" s="131">
        <v>0</v>
      </c>
      <c r="J167" s="131">
        <v>0</v>
      </c>
      <c r="K167" s="131">
        <v>0</v>
      </c>
      <c r="L167" s="131">
        <v>0</v>
      </c>
      <c r="M167" s="131">
        <v>0</v>
      </c>
      <c r="N167" s="131">
        <v>0</v>
      </c>
      <c r="O167" s="148">
        <v>0</v>
      </c>
      <c r="P167" s="324"/>
      <c r="Q167" s="324"/>
      <c r="R167" s="324"/>
      <c r="S167" s="324"/>
      <c r="T167" s="324"/>
      <c r="U167" s="324"/>
      <c r="V167" s="324"/>
      <c r="W167" s="324"/>
      <c r="X167" s="324"/>
      <c r="Y167" s="324"/>
    </row>
    <row r="168" spans="2:25" s="3" customFormat="1" x14ac:dyDescent="0.35">
      <c r="B168" s="852" t="s">
        <v>11</v>
      </c>
      <c r="C168" s="632">
        <v>0</v>
      </c>
      <c r="D168" s="632">
        <v>0</v>
      </c>
      <c r="E168" s="632">
        <v>0</v>
      </c>
      <c r="F168" s="632">
        <v>0</v>
      </c>
      <c r="G168" s="632">
        <v>0</v>
      </c>
      <c r="H168" s="632">
        <v>0</v>
      </c>
      <c r="I168" s="632">
        <v>0</v>
      </c>
      <c r="J168" s="632">
        <v>0</v>
      </c>
      <c r="K168" s="632">
        <v>0</v>
      </c>
      <c r="L168" s="632">
        <v>0</v>
      </c>
      <c r="M168" s="632">
        <v>0</v>
      </c>
      <c r="N168" s="632">
        <v>0</v>
      </c>
      <c r="O168" s="852" t="s">
        <v>11</v>
      </c>
      <c r="P168" s="324"/>
      <c r="Q168" s="324"/>
      <c r="R168" s="324"/>
      <c r="S168" s="324"/>
      <c r="T168" s="324"/>
      <c r="U168" s="324"/>
      <c r="V168" s="324"/>
      <c r="W168" s="324"/>
      <c r="X168" s="324"/>
      <c r="Y168" s="324"/>
    </row>
    <row r="169" spans="2:25" s="3" customFormat="1" x14ac:dyDescent="0.35">
      <c r="B169" s="844" t="s">
        <v>56</v>
      </c>
      <c r="C169" s="862">
        <v>469.6</v>
      </c>
      <c r="D169" s="845">
        <v>1544.9849999999999</v>
      </c>
      <c r="E169" s="845">
        <v>581.32000000000005</v>
      </c>
      <c r="F169" s="845">
        <v>139.44000000000003</v>
      </c>
      <c r="G169" s="845">
        <v>179.49</v>
      </c>
      <c r="H169" s="845">
        <v>454.13300000000004</v>
      </c>
      <c r="I169" s="845">
        <v>221.28</v>
      </c>
      <c r="J169" s="845">
        <v>384.84499999999997</v>
      </c>
      <c r="K169" s="845">
        <v>255.57</v>
      </c>
      <c r="L169" s="845">
        <v>2326.0529999999994</v>
      </c>
      <c r="M169" s="845">
        <v>311.13300000000004</v>
      </c>
      <c r="N169" s="845">
        <v>859.83699999999988</v>
      </c>
      <c r="O169" s="154">
        <v>7727.6859999999979</v>
      </c>
      <c r="P169" s="324"/>
      <c r="Q169" s="324"/>
      <c r="R169" s="324"/>
      <c r="S169" s="324"/>
      <c r="T169" s="324"/>
      <c r="U169" s="324"/>
      <c r="V169" s="324"/>
      <c r="W169" s="324"/>
      <c r="X169" s="324"/>
      <c r="Y169" s="324"/>
    </row>
    <row r="170" spans="2:25" s="3" customFormat="1" x14ac:dyDescent="0.35">
      <c r="B170" s="269"/>
      <c r="C170" s="847"/>
      <c r="D170" s="848"/>
      <c r="E170" s="848"/>
      <c r="F170" s="848"/>
      <c r="G170" s="848"/>
      <c r="H170" s="848"/>
      <c r="I170" s="848"/>
      <c r="J170" s="848"/>
      <c r="K170" s="848"/>
      <c r="L170" s="848"/>
      <c r="M170" s="848"/>
      <c r="N170" s="848"/>
      <c r="O170" s="145"/>
      <c r="P170" s="324"/>
      <c r="Q170" s="324"/>
      <c r="R170" s="324"/>
      <c r="S170" s="324"/>
      <c r="T170" s="324"/>
      <c r="U170" s="324"/>
      <c r="V170" s="324"/>
      <c r="W170" s="324"/>
      <c r="X170" s="324"/>
      <c r="Y170" s="324"/>
    </row>
    <row r="171" spans="2:25" s="3" customFormat="1" x14ac:dyDescent="0.35">
      <c r="B171" s="852" t="s">
        <v>49</v>
      </c>
      <c r="C171" s="131">
        <v>337.83000000000004</v>
      </c>
      <c r="D171" s="131">
        <v>1481.0969999999998</v>
      </c>
      <c r="E171" s="131">
        <v>525.67000000000007</v>
      </c>
      <c r="F171" s="131">
        <v>0.54</v>
      </c>
      <c r="G171" s="131">
        <v>123.645</v>
      </c>
      <c r="H171" s="131">
        <v>271.67500000000001</v>
      </c>
      <c r="I171" s="131">
        <v>221.28</v>
      </c>
      <c r="J171" s="131">
        <v>276.92499999999995</v>
      </c>
      <c r="K171" s="131">
        <v>199.04</v>
      </c>
      <c r="L171" s="131">
        <v>2119.7899999999995</v>
      </c>
      <c r="M171" s="131">
        <v>0</v>
      </c>
      <c r="N171" s="131">
        <v>621.84599999999989</v>
      </c>
      <c r="O171" s="148">
        <v>6179.3379999999997</v>
      </c>
      <c r="P171" s="324"/>
      <c r="Q171" s="324"/>
      <c r="R171" s="324"/>
      <c r="S171" s="324"/>
      <c r="T171" s="324"/>
      <c r="U171" s="324"/>
      <c r="V171" s="324"/>
      <c r="W171" s="324"/>
      <c r="X171" s="324"/>
      <c r="Y171" s="324"/>
    </row>
    <row r="172" spans="2:25" s="3" customFormat="1" x14ac:dyDescent="0.35">
      <c r="B172" s="852" t="s">
        <v>50</v>
      </c>
      <c r="C172" s="131">
        <v>93.504999999999995</v>
      </c>
      <c r="D172" s="131">
        <v>54.912000000000006</v>
      </c>
      <c r="E172" s="131">
        <v>55.650000000000006</v>
      </c>
      <c r="F172" s="131">
        <v>138.22500000000002</v>
      </c>
      <c r="G172" s="131">
        <v>55.683</v>
      </c>
      <c r="H172" s="131">
        <v>116.63499999999999</v>
      </c>
      <c r="I172" s="131">
        <v>0</v>
      </c>
      <c r="J172" s="131">
        <v>107.92</v>
      </c>
      <c r="K172" s="131">
        <v>28.62</v>
      </c>
      <c r="L172" s="131">
        <v>136.5</v>
      </c>
      <c r="M172" s="131">
        <v>264.15000000000003</v>
      </c>
      <c r="N172" s="131">
        <v>192.15</v>
      </c>
      <c r="O172" s="148">
        <v>1243.95</v>
      </c>
      <c r="P172" s="324"/>
      <c r="Q172" s="324"/>
      <c r="R172" s="324"/>
      <c r="S172" s="324"/>
      <c r="T172" s="324"/>
      <c r="U172" s="324"/>
      <c r="V172" s="324"/>
      <c r="W172" s="324"/>
      <c r="X172" s="324"/>
      <c r="Y172" s="324"/>
    </row>
    <row r="173" spans="2:25" s="3" customFormat="1" x14ac:dyDescent="0.35">
      <c r="B173" s="852" t="s">
        <v>51</v>
      </c>
      <c r="C173" s="131">
        <v>0</v>
      </c>
      <c r="D173" s="131">
        <v>0</v>
      </c>
      <c r="E173" s="131">
        <v>0</v>
      </c>
      <c r="F173" s="131">
        <v>0</v>
      </c>
      <c r="G173" s="131">
        <v>0</v>
      </c>
      <c r="H173" s="131">
        <v>0</v>
      </c>
      <c r="I173" s="131">
        <v>0</v>
      </c>
      <c r="J173" s="131">
        <v>0</v>
      </c>
      <c r="K173" s="131">
        <v>0</v>
      </c>
      <c r="L173" s="131">
        <v>0</v>
      </c>
      <c r="M173" s="131">
        <v>0</v>
      </c>
      <c r="N173" s="131">
        <v>0</v>
      </c>
      <c r="O173" s="148">
        <v>0</v>
      </c>
      <c r="P173" s="324"/>
      <c r="Q173" s="324"/>
      <c r="R173" s="324"/>
      <c r="S173" s="324"/>
      <c r="T173" s="324"/>
      <c r="U173" s="324"/>
      <c r="V173" s="324"/>
      <c r="W173" s="324"/>
      <c r="X173" s="324"/>
      <c r="Y173" s="324"/>
    </row>
    <row r="174" spans="2:25" s="3" customFormat="1" x14ac:dyDescent="0.35">
      <c r="B174" s="852" t="s">
        <v>52</v>
      </c>
      <c r="C174" s="131">
        <v>0</v>
      </c>
      <c r="D174" s="131">
        <v>0</v>
      </c>
      <c r="E174" s="131">
        <v>0</v>
      </c>
      <c r="F174" s="131">
        <v>0</v>
      </c>
      <c r="G174" s="131">
        <v>0</v>
      </c>
      <c r="H174" s="131">
        <v>0</v>
      </c>
      <c r="I174" s="131">
        <v>0</v>
      </c>
      <c r="J174" s="131">
        <v>0</v>
      </c>
      <c r="K174" s="131">
        <v>0</v>
      </c>
      <c r="L174" s="131">
        <v>0</v>
      </c>
      <c r="M174" s="131">
        <v>0</v>
      </c>
      <c r="N174" s="131">
        <v>0</v>
      </c>
      <c r="O174" s="148">
        <v>0</v>
      </c>
      <c r="P174" s="324"/>
      <c r="Q174" s="324"/>
      <c r="R174" s="324"/>
      <c r="S174" s="324"/>
      <c r="T174" s="324"/>
      <c r="U174" s="324"/>
      <c r="V174" s="324"/>
      <c r="W174" s="324"/>
      <c r="X174" s="324"/>
      <c r="Y174" s="324"/>
    </row>
    <row r="175" spans="2:25" s="3" customFormat="1" x14ac:dyDescent="0.35">
      <c r="B175" s="852" t="s">
        <v>53</v>
      </c>
      <c r="C175" s="131">
        <v>0</v>
      </c>
      <c r="D175" s="131">
        <v>0</v>
      </c>
      <c r="E175" s="131">
        <v>0</v>
      </c>
      <c r="F175" s="131">
        <v>0.40500000000000003</v>
      </c>
      <c r="G175" s="131">
        <v>0</v>
      </c>
      <c r="H175" s="131">
        <v>0</v>
      </c>
      <c r="I175" s="131">
        <v>0</v>
      </c>
      <c r="J175" s="131">
        <v>0</v>
      </c>
      <c r="K175" s="131">
        <v>0</v>
      </c>
      <c r="L175" s="131">
        <v>0</v>
      </c>
      <c r="M175" s="131">
        <v>0</v>
      </c>
      <c r="N175" s="131">
        <v>0</v>
      </c>
      <c r="O175" s="148">
        <v>0.40500000000000003</v>
      </c>
      <c r="P175" s="324"/>
      <c r="Q175" s="324"/>
      <c r="R175" s="324"/>
      <c r="S175" s="324"/>
      <c r="T175" s="324"/>
      <c r="U175" s="324"/>
      <c r="V175" s="324"/>
      <c r="W175" s="324"/>
      <c r="X175" s="324"/>
      <c r="Y175" s="324"/>
    </row>
    <row r="176" spans="2:25" s="3" customFormat="1" x14ac:dyDescent="0.35">
      <c r="B176" s="852" t="s">
        <v>54</v>
      </c>
      <c r="C176" s="131">
        <v>38.265000000000001</v>
      </c>
      <c r="D176" s="131">
        <v>8.9760000000000009</v>
      </c>
      <c r="E176" s="131">
        <v>0</v>
      </c>
      <c r="F176" s="131">
        <v>0.27</v>
      </c>
      <c r="G176" s="131">
        <v>0.16200000000000001</v>
      </c>
      <c r="H176" s="131">
        <v>65.823000000000008</v>
      </c>
      <c r="I176" s="131">
        <v>0</v>
      </c>
      <c r="J176" s="131">
        <v>0</v>
      </c>
      <c r="K176" s="131">
        <v>27.91</v>
      </c>
      <c r="L176" s="131">
        <v>69.763000000000005</v>
      </c>
      <c r="M176" s="131">
        <v>46.983000000000004</v>
      </c>
      <c r="N176" s="131">
        <v>45.841000000000001</v>
      </c>
      <c r="O176" s="148">
        <v>303.99300000000005</v>
      </c>
      <c r="P176" s="324"/>
      <c r="Q176" s="324"/>
      <c r="R176" s="324"/>
      <c r="S176" s="324"/>
      <c r="T176" s="324"/>
      <c r="U176" s="324"/>
      <c r="V176" s="324"/>
      <c r="W176" s="324"/>
      <c r="X176" s="324"/>
      <c r="Y176" s="324"/>
    </row>
    <row r="177" spans="1:25" s="3" customFormat="1" x14ac:dyDescent="0.35">
      <c r="B177" s="852" t="s">
        <v>55</v>
      </c>
      <c r="C177" s="131">
        <v>0</v>
      </c>
      <c r="D177" s="131">
        <v>0</v>
      </c>
      <c r="E177" s="131">
        <v>0</v>
      </c>
      <c r="F177" s="131">
        <v>0</v>
      </c>
      <c r="G177" s="131">
        <v>0</v>
      </c>
      <c r="H177" s="131">
        <v>0</v>
      </c>
      <c r="I177" s="131">
        <v>0</v>
      </c>
      <c r="J177" s="131">
        <v>0</v>
      </c>
      <c r="K177" s="131">
        <v>0</v>
      </c>
      <c r="L177" s="131">
        <v>0</v>
      </c>
      <c r="M177" s="131">
        <v>0</v>
      </c>
      <c r="N177" s="131">
        <v>0</v>
      </c>
      <c r="O177" s="148">
        <v>0</v>
      </c>
      <c r="P177" s="324"/>
      <c r="Q177" s="324"/>
      <c r="R177" s="324"/>
      <c r="S177" s="324"/>
      <c r="T177" s="324"/>
      <c r="U177" s="324"/>
      <c r="V177" s="324"/>
      <c r="W177" s="324"/>
      <c r="X177" s="324"/>
      <c r="Y177" s="324"/>
    </row>
    <row r="178" spans="1:25" s="3" customFormat="1" x14ac:dyDescent="0.35">
      <c r="B178" s="852" t="s">
        <v>11</v>
      </c>
      <c r="C178" s="147"/>
      <c r="D178" s="639"/>
      <c r="E178" s="639"/>
      <c r="F178" s="639"/>
      <c r="G178" s="639"/>
      <c r="H178" s="639"/>
      <c r="I178" s="639"/>
      <c r="J178" s="639"/>
      <c r="K178" s="639"/>
      <c r="L178" s="639"/>
      <c r="M178" s="639"/>
      <c r="N178" s="639"/>
      <c r="O178" s="864"/>
      <c r="P178" s="324"/>
      <c r="Q178" s="324"/>
      <c r="R178" s="324"/>
      <c r="S178" s="324"/>
      <c r="T178" s="324"/>
      <c r="U178" s="324"/>
      <c r="V178" s="324"/>
      <c r="W178" s="324"/>
      <c r="X178" s="324"/>
      <c r="Y178" s="324"/>
    </row>
    <row r="179" spans="1:25" s="3" customFormat="1" x14ac:dyDescent="0.35">
      <c r="A179" s="359"/>
      <c r="B179" s="431" t="s">
        <v>36</v>
      </c>
      <c r="C179" s="865">
        <v>60996.583310000067</v>
      </c>
      <c r="D179" s="865">
        <v>56494.742000000006</v>
      </c>
      <c r="E179" s="865">
        <v>55740.660809999921</v>
      </c>
      <c r="F179" s="865">
        <v>73261.943000000116</v>
      </c>
      <c r="G179" s="865">
        <v>76925.703880000234</v>
      </c>
      <c r="H179" s="865">
        <v>68094.010000000053</v>
      </c>
      <c r="I179" s="865">
        <v>55229.456999999871</v>
      </c>
      <c r="J179" s="865">
        <v>64405.552000000178</v>
      </c>
      <c r="K179" s="865">
        <v>51096.154000000053</v>
      </c>
      <c r="L179" s="865">
        <v>68910.404000000213</v>
      </c>
      <c r="M179" s="865">
        <v>61849.754000000263</v>
      </c>
      <c r="N179" s="865">
        <v>62707.16700000038</v>
      </c>
      <c r="O179" s="855">
        <v>755712.13100000145</v>
      </c>
      <c r="P179" s="324"/>
      <c r="Q179" s="324"/>
      <c r="R179" s="324"/>
      <c r="S179" s="324"/>
      <c r="T179" s="324"/>
      <c r="U179" s="324"/>
      <c r="V179" s="324"/>
      <c r="W179" s="324"/>
      <c r="X179" s="324"/>
      <c r="Y179" s="324"/>
    </row>
    <row r="180" spans="1:25" s="3" customFormat="1" x14ac:dyDescent="0.35">
      <c r="A180" s="359"/>
      <c r="B180" s="269"/>
      <c r="C180" s="847"/>
      <c r="D180" s="848"/>
      <c r="E180" s="848"/>
      <c r="F180" s="848"/>
      <c r="G180" s="848"/>
      <c r="H180" s="848"/>
      <c r="I180" s="848"/>
      <c r="J180" s="848"/>
      <c r="K180" s="848"/>
      <c r="L180" s="848"/>
      <c r="M180" s="848"/>
      <c r="N180" s="848"/>
      <c r="O180" s="145"/>
      <c r="P180" s="324"/>
      <c r="Q180" s="324"/>
      <c r="R180" s="324"/>
      <c r="S180" s="324"/>
      <c r="T180" s="324"/>
      <c r="U180" s="324"/>
      <c r="V180" s="324"/>
      <c r="W180" s="324"/>
      <c r="X180" s="324"/>
      <c r="Y180" s="324"/>
    </row>
    <row r="181" spans="1:25" s="3" customFormat="1" x14ac:dyDescent="0.35">
      <c r="B181" s="852" t="s">
        <v>49</v>
      </c>
      <c r="C181" s="147">
        <v>3171.3789999999995</v>
      </c>
      <c r="D181" s="639">
        <v>4059.3469999999998</v>
      </c>
      <c r="E181" s="639">
        <v>2779.4139999999993</v>
      </c>
      <c r="F181" s="639">
        <v>389.30199999999996</v>
      </c>
      <c r="G181" s="639">
        <v>3523.9799999999982</v>
      </c>
      <c r="H181" s="639">
        <v>1844.3719999999996</v>
      </c>
      <c r="I181" s="639">
        <v>2622.4969999999989</v>
      </c>
      <c r="J181" s="639">
        <v>3061.7569999999996</v>
      </c>
      <c r="K181" s="639">
        <v>5230.3010000000004</v>
      </c>
      <c r="L181" s="639">
        <v>5979.0299999999988</v>
      </c>
      <c r="M181" s="639">
        <v>2695.5520000000006</v>
      </c>
      <c r="N181" s="639">
        <v>3416.8890000000006</v>
      </c>
      <c r="O181" s="148">
        <v>38773.82</v>
      </c>
      <c r="P181" s="324"/>
      <c r="Q181" s="324"/>
      <c r="R181" s="324"/>
      <c r="S181" s="324"/>
      <c r="T181" s="324"/>
      <c r="U181" s="324"/>
      <c r="V181" s="324"/>
      <c r="W181" s="324"/>
      <c r="X181" s="324"/>
      <c r="Y181" s="324"/>
    </row>
    <row r="182" spans="1:25" s="3" customFormat="1" x14ac:dyDescent="0.35">
      <c r="B182" s="852" t="s">
        <v>50</v>
      </c>
      <c r="C182" s="147">
        <v>57716.208310000067</v>
      </c>
      <c r="D182" s="639">
        <v>52404.084000000003</v>
      </c>
      <c r="E182" s="639">
        <v>52910.249809999921</v>
      </c>
      <c r="F182" s="639">
        <v>72832.181000000113</v>
      </c>
      <c r="G182" s="639">
        <v>73373.395880000244</v>
      </c>
      <c r="H182" s="639">
        <v>65899.695000000051</v>
      </c>
      <c r="I182" s="639">
        <v>52557.132999999878</v>
      </c>
      <c r="J182" s="639">
        <v>61330.47800000017</v>
      </c>
      <c r="K182" s="639">
        <v>45644.161000000058</v>
      </c>
      <c r="L182" s="639">
        <v>62829.516000000207</v>
      </c>
      <c r="M182" s="639">
        <v>59088.18900000026</v>
      </c>
      <c r="N182" s="639">
        <v>59165.122000000381</v>
      </c>
      <c r="O182" s="148">
        <v>715750.41300000134</v>
      </c>
      <c r="P182" s="324"/>
      <c r="Q182" s="324"/>
      <c r="R182" s="324"/>
      <c r="S182" s="324"/>
      <c r="T182" s="324"/>
      <c r="U182" s="324"/>
      <c r="V182" s="324"/>
      <c r="W182" s="324"/>
      <c r="X182" s="324"/>
      <c r="Y182" s="324"/>
    </row>
    <row r="183" spans="1:25" s="3" customFormat="1" x14ac:dyDescent="0.35">
      <c r="B183" s="852" t="s">
        <v>51</v>
      </c>
      <c r="C183" s="147">
        <v>0</v>
      </c>
      <c r="D183" s="639">
        <v>0</v>
      </c>
      <c r="E183" s="639">
        <v>0</v>
      </c>
      <c r="F183" s="639">
        <v>0</v>
      </c>
      <c r="G183" s="639">
        <v>0</v>
      </c>
      <c r="H183" s="639">
        <v>0</v>
      </c>
      <c r="I183" s="639">
        <v>0</v>
      </c>
      <c r="J183" s="639">
        <v>0</v>
      </c>
      <c r="K183" s="639">
        <v>0</v>
      </c>
      <c r="L183" s="639">
        <v>0</v>
      </c>
      <c r="M183" s="639">
        <v>0</v>
      </c>
      <c r="N183" s="639">
        <v>0</v>
      </c>
      <c r="O183" s="148">
        <v>0</v>
      </c>
      <c r="P183" s="324"/>
      <c r="Q183" s="324"/>
      <c r="R183" s="324"/>
      <c r="S183" s="324"/>
      <c r="T183" s="324"/>
      <c r="U183" s="324"/>
      <c r="V183" s="324"/>
      <c r="W183" s="324"/>
      <c r="X183" s="324"/>
      <c r="Y183" s="324"/>
    </row>
    <row r="184" spans="1:25" s="3" customFormat="1" x14ac:dyDescent="0.35">
      <c r="B184" s="852" t="s">
        <v>52</v>
      </c>
      <c r="C184" s="147">
        <v>0</v>
      </c>
      <c r="D184" s="639">
        <v>0</v>
      </c>
      <c r="E184" s="639">
        <v>0</v>
      </c>
      <c r="F184" s="639">
        <v>0</v>
      </c>
      <c r="G184" s="639">
        <v>0</v>
      </c>
      <c r="H184" s="639">
        <v>0</v>
      </c>
      <c r="I184" s="639">
        <v>0</v>
      </c>
      <c r="J184" s="639">
        <v>0</v>
      </c>
      <c r="K184" s="639">
        <v>0</v>
      </c>
      <c r="L184" s="639">
        <v>0</v>
      </c>
      <c r="M184" s="639">
        <v>0</v>
      </c>
      <c r="N184" s="639">
        <v>0</v>
      </c>
      <c r="O184" s="148">
        <v>0</v>
      </c>
      <c r="P184" s="324"/>
      <c r="Q184" s="324"/>
      <c r="R184" s="324"/>
      <c r="S184" s="324"/>
      <c r="T184" s="324"/>
      <c r="U184" s="324"/>
      <c r="V184" s="324"/>
      <c r="W184" s="324"/>
      <c r="X184" s="324"/>
      <c r="Y184" s="324"/>
    </row>
    <row r="185" spans="1:25" s="3" customFormat="1" x14ac:dyDescent="0.35">
      <c r="B185" s="852" t="s">
        <v>53</v>
      </c>
      <c r="C185" s="147">
        <v>12.491</v>
      </c>
      <c r="D185" s="639">
        <v>22.335000000000001</v>
      </c>
      <c r="E185" s="639">
        <v>50.997</v>
      </c>
      <c r="F185" s="639">
        <v>40.19</v>
      </c>
      <c r="G185" s="639">
        <v>28.166</v>
      </c>
      <c r="H185" s="639">
        <v>28.477</v>
      </c>
      <c r="I185" s="639">
        <v>49.826999999999998</v>
      </c>
      <c r="J185" s="639">
        <v>13.317</v>
      </c>
      <c r="K185" s="639">
        <v>106.44199999999999</v>
      </c>
      <c r="L185" s="639">
        <v>32.094999999999999</v>
      </c>
      <c r="M185" s="639">
        <v>18.470999999999997</v>
      </c>
      <c r="N185" s="639">
        <v>50.97</v>
      </c>
      <c r="O185" s="148">
        <v>453.77800000000002</v>
      </c>
      <c r="P185" s="324"/>
      <c r="Q185" s="324"/>
      <c r="R185" s="324"/>
      <c r="S185" s="324"/>
      <c r="T185" s="324"/>
      <c r="U185" s="324"/>
      <c r="V185" s="324"/>
    </row>
    <row r="186" spans="1:25" s="3" customFormat="1" x14ac:dyDescent="0.35">
      <c r="B186" s="852" t="s">
        <v>54</v>
      </c>
      <c r="C186" s="147">
        <v>96.504999999999995</v>
      </c>
      <c r="D186" s="639">
        <v>8.9760000000000009</v>
      </c>
      <c r="E186" s="639">
        <v>0</v>
      </c>
      <c r="F186" s="639">
        <v>0.27</v>
      </c>
      <c r="G186" s="639">
        <v>0.16200000000000001</v>
      </c>
      <c r="H186" s="639">
        <v>321.46600000000001</v>
      </c>
      <c r="I186" s="639">
        <v>0</v>
      </c>
      <c r="J186" s="639">
        <v>0</v>
      </c>
      <c r="K186" s="639">
        <v>115.25</v>
      </c>
      <c r="L186" s="639">
        <v>69.763000000000005</v>
      </c>
      <c r="M186" s="639">
        <v>47.542000000000002</v>
      </c>
      <c r="N186" s="639">
        <v>74.186000000000007</v>
      </c>
      <c r="O186" s="148">
        <v>734.12000000000012</v>
      </c>
    </row>
    <row r="187" spans="1:25" s="3" customFormat="1" x14ac:dyDescent="0.35">
      <c r="B187" s="858" t="s">
        <v>55</v>
      </c>
      <c r="C187" s="866">
        <v>0</v>
      </c>
      <c r="D187" s="867">
        <v>0</v>
      </c>
      <c r="E187" s="867">
        <v>0</v>
      </c>
      <c r="F187" s="867">
        <v>0</v>
      </c>
      <c r="G187" s="867">
        <v>0</v>
      </c>
      <c r="H187" s="867">
        <v>0</v>
      </c>
      <c r="I187" s="867">
        <v>0</v>
      </c>
      <c r="J187" s="867">
        <v>0</v>
      </c>
      <c r="K187" s="867">
        <v>0</v>
      </c>
      <c r="L187" s="867">
        <v>0</v>
      </c>
      <c r="M187" s="867">
        <v>0</v>
      </c>
      <c r="N187" s="867">
        <v>0</v>
      </c>
      <c r="O187" s="861">
        <v>0</v>
      </c>
    </row>
    <row r="188" spans="1:25" s="3" customFormat="1" x14ac:dyDescent="0.35">
      <c r="B188" s="117"/>
      <c r="C188" s="133"/>
      <c r="D188" s="133"/>
      <c r="E188" s="133"/>
      <c r="F188" s="133"/>
      <c r="G188" s="133"/>
      <c r="H188" s="133"/>
      <c r="I188" s="133"/>
      <c r="J188" s="133"/>
      <c r="K188" s="133"/>
      <c r="L188" s="133"/>
      <c r="M188" s="133"/>
      <c r="N188" s="133"/>
      <c r="O188" s="134"/>
    </row>
    <row r="189" spans="1:25" s="3" customFormat="1" x14ac:dyDescent="0.35">
      <c r="B189" s="1069" t="s">
        <v>365</v>
      </c>
      <c r="C189" s="1069"/>
      <c r="D189" s="1069"/>
      <c r="E189" s="1069"/>
      <c r="F189" s="1069"/>
      <c r="G189" s="1069"/>
      <c r="H189" s="1069"/>
      <c r="I189" s="1069"/>
      <c r="J189" s="1069"/>
      <c r="K189" s="1069"/>
      <c r="L189" s="1069"/>
      <c r="M189" s="555">
        <v>2025</v>
      </c>
      <c r="N189" s="125"/>
      <c r="O189" s="125"/>
    </row>
    <row r="190" spans="1:25" s="3" customFormat="1" x14ac:dyDescent="0.35">
      <c r="B190" s="553"/>
      <c r="C190" s="155"/>
      <c r="D190" s="597"/>
      <c r="E190" s="597"/>
      <c r="F190" s="597"/>
      <c r="G190" s="597"/>
      <c r="H190" s="597"/>
      <c r="I190" s="597"/>
      <c r="J190" s="597"/>
      <c r="K190" s="597"/>
      <c r="L190" s="597"/>
      <c r="M190" s="597"/>
      <c r="N190" s="597"/>
      <c r="O190" s="156"/>
    </row>
    <row r="191" spans="1:25" s="3" customFormat="1" ht="15" customHeight="1" x14ac:dyDescent="0.35">
      <c r="B191" s="1074" t="s">
        <v>13</v>
      </c>
      <c r="C191" s="1070" t="s">
        <v>0</v>
      </c>
      <c r="D191" s="1070" t="s">
        <v>1</v>
      </c>
      <c r="E191" s="1070" t="s">
        <v>2</v>
      </c>
      <c r="F191" s="1070" t="s">
        <v>3</v>
      </c>
      <c r="G191" s="1070" t="s">
        <v>4</v>
      </c>
      <c r="H191" s="1070" t="s">
        <v>5</v>
      </c>
      <c r="I191" s="1070" t="s">
        <v>6</v>
      </c>
      <c r="J191" s="1070" t="s">
        <v>7</v>
      </c>
      <c r="K191" s="1070" t="s">
        <v>8</v>
      </c>
      <c r="L191" s="1070" t="s">
        <v>9</v>
      </c>
      <c r="M191" s="1070" t="s">
        <v>10</v>
      </c>
      <c r="N191" s="1070" t="s">
        <v>14</v>
      </c>
      <c r="O191" s="1074" t="s">
        <v>15</v>
      </c>
    </row>
    <row r="192" spans="1:25" s="3" customFormat="1" ht="15" customHeight="1" x14ac:dyDescent="0.35">
      <c r="B192" s="1080"/>
      <c r="C192" s="1071"/>
      <c r="D192" s="1071"/>
      <c r="E192" s="1071"/>
      <c r="F192" s="1071"/>
      <c r="G192" s="1071"/>
      <c r="H192" s="1071"/>
      <c r="I192" s="1071"/>
      <c r="J192" s="1071"/>
      <c r="K192" s="1071"/>
      <c r="L192" s="1071"/>
      <c r="M192" s="1078"/>
      <c r="N192" s="1078"/>
      <c r="O192" s="1081"/>
    </row>
    <row r="193" spans="2:22" s="3" customFormat="1" x14ac:dyDescent="0.35">
      <c r="B193" s="152"/>
      <c r="C193" s="632">
        <v>0</v>
      </c>
      <c r="D193" s="632">
        <v>0</v>
      </c>
      <c r="E193" s="632">
        <v>0</v>
      </c>
      <c r="F193" s="632">
        <v>0</v>
      </c>
      <c r="G193" s="632">
        <v>0</v>
      </c>
      <c r="H193" s="632">
        <v>0</v>
      </c>
      <c r="I193" s="632">
        <v>0</v>
      </c>
      <c r="J193" s="632">
        <v>0</v>
      </c>
      <c r="K193" s="632">
        <v>0</v>
      </c>
      <c r="L193" s="632">
        <v>0</v>
      </c>
      <c r="M193" s="632">
        <v>0</v>
      </c>
      <c r="N193" s="632">
        <v>0</v>
      </c>
      <c r="O193" s="157"/>
    </row>
    <row r="194" spans="2:22" s="3" customFormat="1" x14ac:dyDescent="0.35">
      <c r="B194" s="844" t="s">
        <v>47</v>
      </c>
      <c r="C194" s="868">
        <v>76651.129310000077</v>
      </c>
      <c r="D194" s="869">
        <v>70811.967000000004</v>
      </c>
      <c r="E194" s="869">
        <v>74292.22180999993</v>
      </c>
      <c r="F194" s="869">
        <v>80263.659000000116</v>
      </c>
      <c r="G194" s="869">
        <v>93731.882880000223</v>
      </c>
      <c r="H194" s="869">
        <v>79661.245500000048</v>
      </c>
      <c r="I194" s="869">
        <v>63521.533499999874</v>
      </c>
      <c r="J194" s="869">
        <v>78190.827000000179</v>
      </c>
      <c r="K194" s="869">
        <v>73537.015000000043</v>
      </c>
      <c r="L194" s="869">
        <v>84153.940500000215</v>
      </c>
      <c r="M194" s="869">
        <v>77718.758000000264</v>
      </c>
      <c r="N194" s="869">
        <v>78758.096500000378</v>
      </c>
      <c r="O194" s="846">
        <v>931292.27600000135</v>
      </c>
    </row>
    <row r="195" spans="2:22" s="3" customFormat="1" ht="22.5" customHeight="1" x14ac:dyDescent="0.35">
      <c r="B195" s="844"/>
      <c r="C195" s="868"/>
      <c r="D195" s="870"/>
      <c r="E195" s="870"/>
      <c r="F195" s="870"/>
      <c r="G195" s="870"/>
      <c r="H195" s="870"/>
      <c r="I195" s="870"/>
      <c r="J195" s="870"/>
      <c r="K195" s="870"/>
      <c r="L195" s="870"/>
      <c r="M195" s="870"/>
      <c r="N195" s="870"/>
      <c r="O195" s="846"/>
    </row>
    <row r="196" spans="2:22" s="3" customFormat="1" x14ac:dyDescent="0.35">
      <c r="B196" s="149" t="s">
        <v>58</v>
      </c>
      <c r="C196" s="871">
        <v>16124.146000000001</v>
      </c>
      <c r="D196" s="872">
        <v>15862.210000000001</v>
      </c>
      <c r="E196" s="872">
        <v>19132.881000000001</v>
      </c>
      <c r="F196" s="872">
        <v>7141.1559999999999</v>
      </c>
      <c r="G196" s="872">
        <v>16985.668999999998</v>
      </c>
      <c r="H196" s="872">
        <v>12021.3685</v>
      </c>
      <c r="I196" s="872">
        <v>8513.3564999999981</v>
      </c>
      <c r="J196" s="872">
        <v>14170.120000000004</v>
      </c>
      <c r="K196" s="872">
        <v>22696.430999999997</v>
      </c>
      <c r="L196" s="872">
        <v>17569.589499999998</v>
      </c>
      <c r="M196" s="872">
        <v>16180.136999999999</v>
      </c>
      <c r="N196" s="872">
        <v>16910.766499999998</v>
      </c>
      <c r="O196" s="154">
        <v>183307.83099999998</v>
      </c>
    </row>
    <row r="197" spans="2:22" ht="15" customHeight="1" x14ac:dyDescent="0.35">
      <c r="B197" s="269"/>
      <c r="C197" s="847"/>
      <c r="D197" s="848"/>
      <c r="E197" s="848"/>
      <c r="F197" s="848"/>
      <c r="G197" s="848"/>
      <c r="H197" s="848"/>
      <c r="I197" s="848"/>
      <c r="J197" s="848"/>
      <c r="K197" s="848"/>
      <c r="L197" s="848"/>
      <c r="M197" s="848"/>
      <c r="N197" s="848"/>
      <c r="O197" s="145"/>
      <c r="P197" s="3"/>
      <c r="Q197" s="3"/>
      <c r="R197" s="3"/>
      <c r="S197" s="3"/>
      <c r="T197" s="3"/>
      <c r="U197" s="3"/>
      <c r="V197" s="3"/>
    </row>
    <row r="198" spans="2:22" x14ac:dyDescent="0.35">
      <c r="B198" s="852" t="s">
        <v>49</v>
      </c>
      <c r="C198" s="147">
        <v>2832.1410000000005</v>
      </c>
      <c r="D198" s="147">
        <v>800.053</v>
      </c>
      <c r="E198" s="147">
        <v>792.02700000000004</v>
      </c>
      <c r="F198" s="147">
        <v>763.04700000000003</v>
      </c>
      <c r="G198" s="147">
        <v>710.18599999999992</v>
      </c>
      <c r="H198" s="147">
        <v>2524.5659999999998</v>
      </c>
      <c r="I198" s="147">
        <v>698.53600000000006</v>
      </c>
      <c r="J198" s="147">
        <v>2388.732</v>
      </c>
      <c r="K198" s="147">
        <v>2573.2109999999998</v>
      </c>
      <c r="L198" s="147">
        <v>2623.5839999999998</v>
      </c>
      <c r="M198" s="147">
        <v>1457.5730000000001</v>
      </c>
      <c r="N198" s="147">
        <v>140.99700000000001</v>
      </c>
      <c r="O198" s="148">
        <v>18304.652999999998</v>
      </c>
    </row>
    <row r="199" spans="2:22" s="3" customFormat="1" x14ac:dyDescent="0.35">
      <c r="B199" s="852" t="s">
        <v>50</v>
      </c>
      <c r="C199" s="147">
        <v>8063.1840000000002</v>
      </c>
      <c r="D199" s="147">
        <v>7141.2559999999994</v>
      </c>
      <c r="E199" s="147">
        <v>13440.6</v>
      </c>
      <c r="F199" s="147">
        <v>5000.87</v>
      </c>
      <c r="G199" s="147">
        <v>11381.004999999999</v>
      </c>
      <c r="H199" s="147">
        <v>3149.7980000000002</v>
      </c>
      <c r="I199" s="147">
        <v>2269.9600000000005</v>
      </c>
      <c r="J199" s="147">
        <v>3391.223</v>
      </c>
      <c r="K199" s="147">
        <v>7102.9139999999989</v>
      </c>
      <c r="L199" s="147">
        <v>5331.3059999999996</v>
      </c>
      <c r="M199" s="147">
        <v>5250.585</v>
      </c>
      <c r="N199" s="147">
        <v>8585.6769999999979</v>
      </c>
      <c r="O199" s="148">
        <v>80108.377999999997</v>
      </c>
      <c r="P199" s="324"/>
      <c r="Q199" s="324"/>
      <c r="R199" s="324"/>
      <c r="S199" s="324"/>
      <c r="T199" s="324"/>
      <c r="U199" s="324"/>
      <c r="V199" s="324"/>
    </row>
    <row r="200" spans="2:22" s="3" customFormat="1" x14ac:dyDescent="0.35">
      <c r="B200" s="852" t="s">
        <v>51</v>
      </c>
      <c r="C200" s="147">
        <v>182.7405</v>
      </c>
      <c r="D200" s="147">
        <v>1551.5839999999998</v>
      </c>
      <c r="E200" s="147">
        <v>1207.3899999999999</v>
      </c>
      <c r="F200" s="147">
        <v>1139.1109999999999</v>
      </c>
      <c r="G200" s="147">
        <v>857.45299999999997</v>
      </c>
      <c r="H200" s="147">
        <v>500.64899999999994</v>
      </c>
      <c r="I200" s="147">
        <v>67.8185</v>
      </c>
      <c r="J200" s="147">
        <v>0</v>
      </c>
      <c r="K200" s="147">
        <v>3301.5239999999994</v>
      </c>
      <c r="L200" s="147">
        <v>3104.4865</v>
      </c>
      <c r="M200" s="147">
        <v>1470.5539999999999</v>
      </c>
      <c r="N200" s="147">
        <v>2214.5690000000004</v>
      </c>
      <c r="O200" s="148">
        <v>15597.879499999999</v>
      </c>
    </row>
    <row r="201" spans="2:22" s="3" customFormat="1" x14ac:dyDescent="0.35">
      <c r="B201" s="852" t="s">
        <v>52</v>
      </c>
      <c r="C201" s="147">
        <v>5030.6399999999994</v>
      </c>
      <c r="D201" s="147">
        <v>6338.8000000000011</v>
      </c>
      <c r="E201" s="147">
        <v>3644.3150000000005</v>
      </c>
      <c r="F201" s="147">
        <v>192.559</v>
      </c>
      <c r="G201" s="147">
        <v>3969.0249999999996</v>
      </c>
      <c r="H201" s="147">
        <v>5793.81</v>
      </c>
      <c r="I201" s="147">
        <v>5470.2249999999995</v>
      </c>
      <c r="J201" s="147">
        <v>8390.1650000000045</v>
      </c>
      <c r="K201" s="147">
        <v>9664.0449999999983</v>
      </c>
      <c r="L201" s="147">
        <v>6447.5999999999985</v>
      </c>
      <c r="M201" s="147">
        <v>7941.9899999999989</v>
      </c>
      <c r="N201" s="147">
        <v>5898.1200000000008</v>
      </c>
      <c r="O201" s="148">
        <v>68781.293999999994</v>
      </c>
    </row>
    <row r="202" spans="2:22" s="3" customFormat="1" x14ac:dyDescent="0.35">
      <c r="B202" s="852" t="s">
        <v>53</v>
      </c>
      <c r="C202" s="147">
        <v>15.4405</v>
      </c>
      <c r="D202" s="147">
        <v>30.516999999999996</v>
      </c>
      <c r="E202" s="147">
        <v>48.548999999999999</v>
      </c>
      <c r="F202" s="147">
        <v>45.568999999999988</v>
      </c>
      <c r="G202" s="147">
        <v>68</v>
      </c>
      <c r="H202" s="147">
        <v>52.54549999999999</v>
      </c>
      <c r="I202" s="147">
        <v>6.8170000000000002</v>
      </c>
      <c r="J202" s="147">
        <v>0</v>
      </c>
      <c r="K202" s="147">
        <v>54.736999999999988</v>
      </c>
      <c r="L202" s="147">
        <v>62.613</v>
      </c>
      <c r="M202" s="147">
        <v>59.435000000000009</v>
      </c>
      <c r="N202" s="147">
        <v>71.403500000000008</v>
      </c>
      <c r="O202" s="148">
        <v>515.62649999999996</v>
      </c>
    </row>
    <row r="203" spans="2:22" s="3" customFormat="1" x14ac:dyDescent="0.35">
      <c r="B203" s="852" t="s">
        <v>54</v>
      </c>
      <c r="C203" s="147">
        <v>0</v>
      </c>
      <c r="D203" s="147">
        <v>0</v>
      </c>
      <c r="E203" s="147">
        <v>0</v>
      </c>
      <c r="F203" s="147">
        <v>0</v>
      </c>
      <c r="G203" s="147">
        <v>0</v>
      </c>
      <c r="H203" s="147">
        <v>0</v>
      </c>
      <c r="I203" s="147">
        <v>0</v>
      </c>
      <c r="J203" s="147">
        <v>0</v>
      </c>
      <c r="K203" s="147">
        <v>0</v>
      </c>
      <c r="L203" s="147">
        <v>0</v>
      </c>
      <c r="M203" s="147">
        <v>0</v>
      </c>
      <c r="N203" s="147">
        <v>0</v>
      </c>
      <c r="O203" s="148">
        <v>0</v>
      </c>
    </row>
    <row r="204" spans="2:22" s="3" customFormat="1" x14ac:dyDescent="0.35">
      <c r="B204" s="852" t="s">
        <v>55</v>
      </c>
      <c r="C204" s="147">
        <v>0</v>
      </c>
      <c r="D204" s="147">
        <v>0</v>
      </c>
      <c r="E204" s="147">
        <v>0</v>
      </c>
      <c r="F204" s="147">
        <v>0</v>
      </c>
      <c r="G204" s="147">
        <v>0</v>
      </c>
      <c r="H204" s="147">
        <v>0</v>
      </c>
      <c r="I204" s="147">
        <v>0</v>
      </c>
      <c r="J204" s="147">
        <v>0</v>
      </c>
      <c r="K204" s="147">
        <v>0</v>
      </c>
      <c r="L204" s="147">
        <v>0</v>
      </c>
      <c r="M204" s="147">
        <v>0</v>
      </c>
      <c r="N204" s="147">
        <v>0</v>
      </c>
      <c r="O204" s="148">
        <v>0</v>
      </c>
    </row>
    <row r="205" spans="2:22" s="3" customFormat="1" x14ac:dyDescent="0.35">
      <c r="B205" s="873"/>
      <c r="C205" s="874"/>
      <c r="D205" s="874"/>
      <c r="E205" s="874"/>
      <c r="F205" s="874"/>
      <c r="G205" s="874"/>
      <c r="H205" s="874"/>
      <c r="I205" s="874"/>
      <c r="J205" s="874"/>
      <c r="K205" s="874"/>
      <c r="L205" s="874"/>
      <c r="M205" s="874"/>
      <c r="N205" s="874"/>
      <c r="O205" s="148"/>
    </row>
    <row r="206" spans="2:22" s="3" customFormat="1" x14ac:dyDescent="0.35">
      <c r="B206" s="149" t="s">
        <v>59</v>
      </c>
      <c r="C206" s="871">
        <v>60526.983310000069</v>
      </c>
      <c r="D206" s="872">
        <v>54949.757000000005</v>
      </c>
      <c r="E206" s="872">
        <v>55159.340809999921</v>
      </c>
      <c r="F206" s="872">
        <v>73122.503000000113</v>
      </c>
      <c r="G206" s="872">
        <v>76746.213880000229</v>
      </c>
      <c r="H206" s="872">
        <v>67639.877000000051</v>
      </c>
      <c r="I206" s="872">
        <v>55008.176999999872</v>
      </c>
      <c r="J206" s="872">
        <v>64020.707000000177</v>
      </c>
      <c r="K206" s="872">
        <v>50840.584000000053</v>
      </c>
      <c r="L206" s="872">
        <v>66584.351000000213</v>
      </c>
      <c r="M206" s="872">
        <v>61538.621000000261</v>
      </c>
      <c r="N206" s="872">
        <v>61847.33000000038</v>
      </c>
      <c r="O206" s="154">
        <v>747984.44500000135</v>
      </c>
    </row>
    <row r="207" spans="2:22" s="3" customFormat="1" x14ac:dyDescent="0.35">
      <c r="B207" s="269"/>
      <c r="C207" s="847"/>
      <c r="D207" s="848"/>
      <c r="E207" s="848"/>
      <c r="F207" s="848"/>
      <c r="G207" s="848"/>
      <c r="H207" s="848"/>
      <c r="I207" s="848"/>
      <c r="J207" s="848"/>
      <c r="K207" s="848"/>
      <c r="L207" s="848"/>
      <c r="M207" s="848"/>
      <c r="N207" s="848"/>
      <c r="O207" s="145"/>
    </row>
    <row r="208" spans="2:22" s="3" customFormat="1" x14ac:dyDescent="0.35">
      <c r="B208" s="852" t="s">
        <v>49</v>
      </c>
      <c r="C208" s="139">
        <v>2833.5489999999995</v>
      </c>
      <c r="D208" s="139">
        <v>2578.25</v>
      </c>
      <c r="E208" s="139">
        <v>2253.7439999999992</v>
      </c>
      <c r="F208" s="139">
        <v>388.76199999999994</v>
      </c>
      <c r="G208" s="139">
        <v>3400.3349999999982</v>
      </c>
      <c r="H208" s="139">
        <v>1572.6969999999997</v>
      </c>
      <c r="I208" s="139">
        <v>2401.2169999999987</v>
      </c>
      <c r="J208" s="139">
        <v>2784.8319999999999</v>
      </c>
      <c r="K208" s="139">
        <v>5031.2610000000004</v>
      </c>
      <c r="L208" s="139">
        <v>3859.24</v>
      </c>
      <c r="M208" s="139">
        <v>2695.5520000000006</v>
      </c>
      <c r="N208" s="139">
        <v>2795.0430000000006</v>
      </c>
      <c r="O208" s="148">
        <v>32594.481999999996</v>
      </c>
    </row>
    <row r="209" spans="2:15" s="3" customFormat="1" x14ac:dyDescent="0.35">
      <c r="B209" s="852" t="s">
        <v>50</v>
      </c>
      <c r="C209" s="139">
        <v>57622.70331000007</v>
      </c>
      <c r="D209" s="139">
        <v>52349.172000000006</v>
      </c>
      <c r="E209" s="139">
        <v>52854.59980999992</v>
      </c>
      <c r="F209" s="139">
        <v>72693.956000000107</v>
      </c>
      <c r="G209" s="139">
        <v>73317.712880000239</v>
      </c>
      <c r="H209" s="139">
        <v>65783.060000000056</v>
      </c>
      <c r="I209" s="139">
        <v>52557.132999999878</v>
      </c>
      <c r="J209" s="139">
        <v>61222.558000000172</v>
      </c>
      <c r="K209" s="139">
        <v>45615.541000000056</v>
      </c>
      <c r="L209" s="139">
        <v>62693.016000000207</v>
      </c>
      <c r="M209" s="139">
        <v>58824.039000000259</v>
      </c>
      <c r="N209" s="139">
        <v>58972.97200000038</v>
      </c>
      <c r="O209" s="148">
        <v>714506.46300000127</v>
      </c>
    </row>
    <row r="210" spans="2:15" s="3" customFormat="1" x14ac:dyDescent="0.35">
      <c r="B210" s="852" t="s">
        <v>51</v>
      </c>
      <c r="C210" s="139">
        <v>0</v>
      </c>
      <c r="D210" s="139">
        <v>0</v>
      </c>
      <c r="E210" s="139">
        <v>0</v>
      </c>
      <c r="F210" s="139">
        <v>0</v>
      </c>
      <c r="G210" s="139">
        <v>0</v>
      </c>
      <c r="H210" s="139">
        <v>0</v>
      </c>
      <c r="I210" s="139">
        <v>0</v>
      </c>
      <c r="J210" s="139">
        <v>0</v>
      </c>
      <c r="K210" s="139">
        <v>0</v>
      </c>
      <c r="L210" s="139">
        <v>0</v>
      </c>
      <c r="M210" s="139">
        <v>0</v>
      </c>
      <c r="N210" s="139">
        <v>0</v>
      </c>
      <c r="O210" s="148">
        <v>0</v>
      </c>
    </row>
    <row r="211" spans="2:15" s="3" customFormat="1" x14ac:dyDescent="0.35">
      <c r="B211" s="852" t="s">
        <v>52</v>
      </c>
      <c r="C211" s="139">
        <v>0</v>
      </c>
      <c r="D211" s="139">
        <v>0</v>
      </c>
      <c r="E211" s="139">
        <v>0</v>
      </c>
      <c r="F211" s="139">
        <v>0</v>
      </c>
      <c r="G211" s="139">
        <v>0</v>
      </c>
      <c r="H211" s="139">
        <v>0</v>
      </c>
      <c r="I211" s="139">
        <v>0</v>
      </c>
      <c r="J211" s="139">
        <v>0</v>
      </c>
      <c r="K211" s="139">
        <v>0</v>
      </c>
      <c r="L211" s="139">
        <v>0</v>
      </c>
      <c r="M211" s="139">
        <v>0</v>
      </c>
      <c r="N211" s="139">
        <v>0</v>
      </c>
      <c r="O211" s="148">
        <v>0</v>
      </c>
    </row>
    <row r="212" spans="2:15" s="3" customFormat="1" x14ac:dyDescent="0.35">
      <c r="B212" s="852" t="s">
        <v>53</v>
      </c>
      <c r="C212" s="139">
        <v>12.491</v>
      </c>
      <c r="D212" s="139">
        <v>22.335000000000001</v>
      </c>
      <c r="E212" s="139">
        <v>50.997</v>
      </c>
      <c r="F212" s="139">
        <v>39.784999999999997</v>
      </c>
      <c r="G212" s="139">
        <v>28.166</v>
      </c>
      <c r="H212" s="139">
        <v>28.477</v>
      </c>
      <c r="I212" s="139">
        <v>49.826999999999998</v>
      </c>
      <c r="J212" s="139">
        <v>13.317</v>
      </c>
      <c r="K212" s="139">
        <v>106.44199999999999</v>
      </c>
      <c r="L212" s="139">
        <v>32.094999999999999</v>
      </c>
      <c r="M212" s="139">
        <v>18.470999999999997</v>
      </c>
      <c r="N212" s="139">
        <v>50.97</v>
      </c>
      <c r="O212" s="148">
        <v>453.37300000000005</v>
      </c>
    </row>
    <row r="213" spans="2:15" s="3" customFormat="1" x14ac:dyDescent="0.35">
      <c r="B213" s="852" t="s">
        <v>54</v>
      </c>
      <c r="C213" s="139">
        <v>58.24</v>
      </c>
      <c r="D213" s="139">
        <v>0</v>
      </c>
      <c r="E213" s="139">
        <v>0</v>
      </c>
      <c r="F213" s="139">
        <v>0</v>
      </c>
      <c r="G213" s="139">
        <v>0</v>
      </c>
      <c r="H213" s="139">
        <v>255.643</v>
      </c>
      <c r="I213" s="139">
        <v>0</v>
      </c>
      <c r="J213" s="139">
        <v>0</v>
      </c>
      <c r="K213" s="139">
        <v>87.34</v>
      </c>
      <c r="L213" s="139">
        <v>0</v>
      </c>
      <c r="M213" s="139">
        <v>0.55900000000000005</v>
      </c>
      <c r="N213" s="139">
        <v>28.344999999999999</v>
      </c>
      <c r="O213" s="148">
        <v>430.12699999999995</v>
      </c>
    </row>
    <row r="214" spans="2:15" s="3" customFormat="1" x14ac:dyDescent="0.35">
      <c r="B214" s="852" t="s">
        <v>55</v>
      </c>
      <c r="C214" s="139">
        <v>0</v>
      </c>
      <c r="D214" s="139">
        <v>0</v>
      </c>
      <c r="E214" s="139">
        <v>0</v>
      </c>
      <c r="F214" s="139">
        <v>0</v>
      </c>
      <c r="G214" s="139">
        <v>0</v>
      </c>
      <c r="H214" s="139">
        <v>0</v>
      </c>
      <c r="I214" s="139">
        <v>0</v>
      </c>
      <c r="J214" s="139">
        <v>0</v>
      </c>
      <c r="K214" s="139">
        <v>0</v>
      </c>
      <c r="L214" s="139">
        <v>0</v>
      </c>
      <c r="M214" s="139">
        <v>0</v>
      </c>
      <c r="N214" s="139">
        <v>0</v>
      </c>
      <c r="O214" s="148">
        <v>0</v>
      </c>
    </row>
    <row r="215" spans="2:15" s="3" customFormat="1" x14ac:dyDescent="0.35">
      <c r="B215" s="852" t="s">
        <v>11</v>
      </c>
      <c r="C215" s="632">
        <v>0</v>
      </c>
      <c r="D215" s="632">
        <v>0</v>
      </c>
      <c r="E215" s="632">
        <v>0</v>
      </c>
      <c r="F215" s="632">
        <v>0</v>
      </c>
      <c r="G215" s="632">
        <v>0</v>
      </c>
      <c r="H215" s="632">
        <v>0</v>
      </c>
      <c r="I215" s="632">
        <v>0</v>
      </c>
      <c r="J215" s="632">
        <v>0</v>
      </c>
      <c r="K215" s="632">
        <v>0</v>
      </c>
      <c r="L215" s="632">
        <v>0</v>
      </c>
      <c r="M215" s="632">
        <v>0</v>
      </c>
      <c r="N215" s="632">
        <v>0</v>
      </c>
      <c r="O215" s="875"/>
    </row>
    <row r="216" spans="2:15" s="3" customFormat="1" x14ac:dyDescent="0.35">
      <c r="B216" s="844" t="s">
        <v>56</v>
      </c>
      <c r="C216" s="868">
        <v>469.6</v>
      </c>
      <c r="D216" s="869">
        <v>1544.9849999999999</v>
      </c>
      <c r="E216" s="869">
        <v>581.32000000000005</v>
      </c>
      <c r="F216" s="869">
        <v>139.44000000000003</v>
      </c>
      <c r="G216" s="869">
        <v>179.49</v>
      </c>
      <c r="H216" s="869">
        <v>454.13300000000004</v>
      </c>
      <c r="I216" s="869">
        <v>221.28</v>
      </c>
      <c r="J216" s="869">
        <v>384.84499999999997</v>
      </c>
      <c r="K216" s="869">
        <v>255.57</v>
      </c>
      <c r="L216" s="869">
        <v>2326.0529999999994</v>
      </c>
      <c r="M216" s="869">
        <v>311.13300000000004</v>
      </c>
      <c r="N216" s="869">
        <v>859.83699999999988</v>
      </c>
      <c r="O216" s="846">
        <v>7727.6859999999979</v>
      </c>
    </row>
    <row r="217" spans="2:15" s="3" customFormat="1" x14ac:dyDescent="0.35">
      <c r="B217" s="844"/>
      <c r="C217" s="868"/>
      <c r="D217" s="869"/>
      <c r="E217" s="869"/>
      <c r="F217" s="869"/>
      <c r="G217" s="869"/>
      <c r="H217" s="869"/>
      <c r="I217" s="869"/>
      <c r="J217" s="869"/>
      <c r="K217" s="869"/>
      <c r="L217" s="869"/>
      <c r="M217" s="869"/>
      <c r="N217" s="869"/>
      <c r="O217" s="846"/>
    </row>
    <row r="218" spans="2:15" s="3" customFormat="1" x14ac:dyDescent="0.35">
      <c r="B218" s="149" t="s">
        <v>58</v>
      </c>
      <c r="C218" s="871">
        <v>0</v>
      </c>
      <c r="D218" s="872">
        <v>0</v>
      </c>
      <c r="E218" s="872">
        <v>0</v>
      </c>
      <c r="F218" s="872">
        <v>0</v>
      </c>
      <c r="G218" s="872">
        <v>0</v>
      </c>
      <c r="H218" s="872">
        <v>0</v>
      </c>
      <c r="I218" s="872">
        <v>0</v>
      </c>
      <c r="J218" s="872">
        <v>0</v>
      </c>
      <c r="K218" s="872">
        <v>0</v>
      </c>
      <c r="L218" s="872">
        <v>0</v>
      </c>
      <c r="M218" s="872">
        <v>0</v>
      </c>
      <c r="N218" s="872">
        <v>0</v>
      </c>
      <c r="O218" s="154">
        <v>0</v>
      </c>
    </row>
    <row r="219" spans="2:15" s="3" customFormat="1" x14ac:dyDescent="0.35">
      <c r="B219" s="269"/>
      <c r="C219" s="847"/>
      <c r="D219" s="848"/>
      <c r="E219" s="848"/>
      <c r="F219" s="848"/>
      <c r="G219" s="848"/>
      <c r="H219" s="848"/>
      <c r="I219" s="848"/>
      <c r="J219" s="848"/>
      <c r="K219" s="848"/>
      <c r="L219" s="848"/>
      <c r="M219" s="848"/>
      <c r="N219" s="848"/>
      <c r="O219" s="145"/>
    </row>
    <row r="220" spans="2:15" s="3" customFormat="1" x14ac:dyDescent="0.35">
      <c r="B220" s="852" t="s">
        <v>49</v>
      </c>
      <c r="C220" s="147">
        <v>0</v>
      </c>
      <c r="D220" s="147">
        <v>0</v>
      </c>
      <c r="E220" s="147">
        <v>0</v>
      </c>
      <c r="F220" s="147">
        <v>0</v>
      </c>
      <c r="G220" s="147">
        <v>0</v>
      </c>
      <c r="H220" s="147">
        <v>0</v>
      </c>
      <c r="I220" s="147">
        <v>0</v>
      </c>
      <c r="J220" s="147">
        <v>0</v>
      </c>
      <c r="K220" s="147">
        <v>0</v>
      </c>
      <c r="L220" s="147">
        <v>0</v>
      </c>
      <c r="M220" s="147">
        <v>0</v>
      </c>
      <c r="N220" s="147">
        <v>0</v>
      </c>
      <c r="O220" s="148">
        <v>0</v>
      </c>
    </row>
    <row r="221" spans="2:15" s="3" customFormat="1" x14ac:dyDescent="0.35">
      <c r="B221" s="852" t="s">
        <v>50</v>
      </c>
      <c r="C221" s="147">
        <v>0</v>
      </c>
      <c r="D221" s="147">
        <v>0</v>
      </c>
      <c r="E221" s="147">
        <v>0</v>
      </c>
      <c r="F221" s="147">
        <v>0</v>
      </c>
      <c r="G221" s="147">
        <v>0</v>
      </c>
      <c r="H221" s="147">
        <v>0</v>
      </c>
      <c r="I221" s="147">
        <v>0</v>
      </c>
      <c r="J221" s="147">
        <v>0</v>
      </c>
      <c r="K221" s="147">
        <v>0</v>
      </c>
      <c r="L221" s="147">
        <v>0</v>
      </c>
      <c r="M221" s="147">
        <v>0</v>
      </c>
      <c r="N221" s="147">
        <v>0</v>
      </c>
      <c r="O221" s="148">
        <v>0</v>
      </c>
    </row>
    <row r="222" spans="2:15" s="3" customFormat="1" x14ac:dyDescent="0.35">
      <c r="B222" s="852" t="s">
        <v>51</v>
      </c>
      <c r="C222" s="147">
        <v>0</v>
      </c>
      <c r="D222" s="147">
        <v>0</v>
      </c>
      <c r="E222" s="147">
        <v>0</v>
      </c>
      <c r="F222" s="147">
        <v>0</v>
      </c>
      <c r="G222" s="147">
        <v>0</v>
      </c>
      <c r="H222" s="147">
        <v>0</v>
      </c>
      <c r="I222" s="147">
        <v>0</v>
      </c>
      <c r="J222" s="147">
        <v>0</v>
      </c>
      <c r="K222" s="147">
        <v>0</v>
      </c>
      <c r="L222" s="147">
        <v>0</v>
      </c>
      <c r="M222" s="147">
        <v>0</v>
      </c>
      <c r="N222" s="147">
        <v>0</v>
      </c>
      <c r="O222" s="148">
        <v>0</v>
      </c>
    </row>
    <row r="223" spans="2:15" s="3" customFormat="1" x14ac:dyDescent="0.35">
      <c r="B223" s="852" t="s">
        <v>52</v>
      </c>
      <c r="C223" s="147">
        <v>0</v>
      </c>
      <c r="D223" s="147">
        <v>0</v>
      </c>
      <c r="E223" s="147">
        <v>0</v>
      </c>
      <c r="F223" s="147">
        <v>0</v>
      </c>
      <c r="G223" s="147">
        <v>0</v>
      </c>
      <c r="H223" s="147">
        <v>0</v>
      </c>
      <c r="I223" s="147">
        <v>0</v>
      </c>
      <c r="J223" s="147">
        <v>0</v>
      </c>
      <c r="K223" s="147">
        <v>0</v>
      </c>
      <c r="L223" s="147">
        <v>0</v>
      </c>
      <c r="M223" s="147">
        <v>0</v>
      </c>
      <c r="N223" s="147">
        <v>0</v>
      </c>
      <c r="O223" s="148">
        <v>0</v>
      </c>
    </row>
    <row r="224" spans="2:15" s="3" customFormat="1" x14ac:dyDescent="0.35">
      <c r="B224" s="852" t="s">
        <v>53</v>
      </c>
      <c r="C224" s="147">
        <v>0</v>
      </c>
      <c r="D224" s="147">
        <v>0</v>
      </c>
      <c r="E224" s="147">
        <v>0</v>
      </c>
      <c r="F224" s="147">
        <v>0</v>
      </c>
      <c r="G224" s="147">
        <v>0</v>
      </c>
      <c r="H224" s="147">
        <v>0</v>
      </c>
      <c r="I224" s="147">
        <v>0</v>
      </c>
      <c r="J224" s="147">
        <v>0</v>
      </c>
      <c r="K224" s="147">
        <v>0</v>
      </c>
      <c r="L224" s="147">
        <v>0</v>
      </c>
      <c r="M224" s="147">
        <v>0</v>
      </c>
      <c r="N224" s="147">
        <v>0</v>
      </c>
      <c r="O224" s="148">
        <v>0</v>
      </c>
    </row>
    <row r="225" spans="2:17" s="3" customFormat="1" x14ac:dyDescent="0.35">
      <c r="B225" s="852" t="s">
        <v>54</v>
      </c>
      <c r="C225" s="147">
        <v>0</v>
      </c>
      <c r="D225" s="147">
        <v>0</v>
      </c>
      <c r="E225" s="147">
        <v>0</v>
      </c>
      <c r="F225" s="147">
        <v>0</v>
      </c>
      <c r="G225" s="147">
        <v>0</v>
      </c>
      <c r="H225" s="147">
        <v>0</v>
      </c>
      <c r="I225" s="147">
        <v>0</v>
      </c>
      <c r="J225" s="147">
        <v>0</v>
      </c>
      <c r="K225" s="147">
        <v>0</v>
      </c>
      <c r="L225" s="147">
        <v>0</v>
      </c>
      <c r="M225" s="147">
        <v>0</v>
      </c>
      <c r="N225" s="147">
        <v>0</v>
      </c>
      <c r="O225" s="148">
        <v>0</v>
      </c>
    </row>
    <row r="226" spans="2:17" s="3" customFormat="1" x14ac:dyDescent="0.35">
      <c r="B226" s="852" t="s">
        <v>55</v>
      </c>
      <c r="C226" s="147">
        <v>0</v>
      </c>
      <c r="D226" s="147">
        <v>0</v>
      </c>
      <c r="E226" s="147">
        <v>0</v>
      </c>
      <c r="F226" s="147">
        <v>0</v>
      </c>
      <c r="G226" s="147">
        <v>0</v>
      </c>
      <c r="H226" s="147">
        <v>0</v>
      </c>
      <c r="I226" s="147">
        <v>0</v>
      </c>
      <c r="J226" s="147">
        <v>0</v>
      </c>
      <c r="K226" s="147">
        <v>0</v>
      </c>
      <c r="L226" s="147">
        <v>0</v>
      </c>
      <c r="M226" s="147">
        <v>0</v>
      </c>
      <c r="N226" s="147">
        <v>0</v>
      </c>
      <c r="O226" s="148">
        <v>0</v>
      </c>
    </row>
    <row r="227" spans="2:17" s="3" customFormat="1" x14ac:dyDescent="0.35">
      <c r="B227" s="852"/>
      <c r="C227" s="876"/>
      <c r="D227" s="877"/>
      <c r="E227" s="877"/>
      <c r="F227" s="877"/>
      <c r="G227" s="877"/>
      <c r="H227" s="877"/>
      <c r="I227" s="877"/>
      <c r="J227" s="877"/>
      <c r="K227" s="877"/>
      <c r="L227" s="877"/>
      <c r="M227" s="877"/>
      <c r="N227" s="877"/>
      <c r="O227" s="148"/>
    </row>
    <row r="228" spans="2:17" s="3" customFormat="1" x14ac:dyDescent="0.35">
      <c r="B228" s="149" t="s">
        <v>59</v>
      </c>
      <c r="C228" s="871">
        <v>469.6</v>
      </c>
      <c r="D228" s="872">
        <v>1544.9849999999999</v>
      </c>
      <c r="E228" s="872">
        <v>581.32000000000005</v>
      </c>
      <c r="F228" s="872">
        <v>139.44000000000003</v>
      </c>
      <c r="G228" s="872">
        <v>179.49</v>
      </c>
      <c r="H228" s="872">
        <v>454.13300000000004</v>
      </c>
      <c r="I228" s="872">
        <v>221.28</v>
      </c>
      <c r="J228" s="872">
        <v>384.84499999999997</v>
      </c>
      <c r="K228" s="872">
        <v>255.57</v>
      </c>
      <c r="L228" s="872">
        <v>2326.0529999999994</v>
      </c>
      <c r="M228" s="872">
        <v>311.13300000000004</v>
      </c>
      <c r="N228" s="872">
        <v>859.83699999999988</v>
      </c>
      <c r="O228" s="154">
        <v>7727.6859999999979</v>
      </c>
    </row>
    <row r="229" spans="2:17" s="3" customFormat="1" x14ac:dyDescent="0.35">
      <c r="B229" s="269"/>
      <c r="C229" s="847"/>
      <c r="D229" s="848"/>
      <c r="E229" s="848"/>
      <c r="F229" s="848"/>
      <c r="G229" s="848"/>
      <c r="H229" s="848"/>
      <c r="I229" s="848"/>
      <c r="J229" s="848"/>
      <c r="K229" s="848"/>
      <c r="L229" s="848"/>
      <c r="M229" s="848"/>
      <c r="N229" s="848"/>
      <c r="O229" s="145"/>
    </row>
    <row r="230" spans="2:17" s="3" customFormat="1" x14ac:dyDescent="0.35">
      <c r="B230" s="852" t="s">
        <v>49</v>
      </c>
      <c r="C230" s="139">
        <v>337.83000000000004</v>
      </c>
      <c r="D230" s="139">
        <v>1481.0969999999998</v>
      </c>
      <c r="E230" s="139">
        <v>525.67000000000007</v>
      </c>
      <c r="F230" s="139">
        <v>0.54</v>
      </c>
      <c r="G230" s="139">
        <v>123.645</v>
      </c>
      <c r="H230" s="139">
        <v>271.67500000000001</v>
      </c>
      <c r="I230" s="139">
        <v>221.28</v>
      </c>
      <c r="J230" s="139">
        <v>276.92499999999995</v>
      </c>
      <c r="K230" s="139">
        <v>199.04</v>
      </c>
      <c r="L230" s="139">
        <v>2119.7899999999995</v>
      </c>
      <c r="M230" s="139">
        <v>0</v>
      </c>
      <c r="N230" s="139">
        <v>621.84599999999989</v>
      </c>
      <c r="O230" s="148">
        <v>6179.3379999999997</v>
      </c>
    </row>
    <row r="231" spans="2:17" s="3" customFormat="1" x14ac:dyDescent="0.35">
      <c r="B231" s="852" t="s">
        <v>50</v>
      </c>
      <c r="C231" s="139">
        <v>93.504999999999995</v>
      </c>
      <c r="D231" s="139">
        <v>54.912000000000006</v>
      </c>
      <c r="E231" s="139">
        <v>55.650000000000006</v>
      </c>
      <c r="F231" s="139">
        <v>138.22500000000002</v>
      </c>
      <c r="G231" s="139">
        <v>55.683</v>
      </c>
      <c r="H231" s="139">
        <v>116.63499999999999</v>
      </c>
      <c r="I231" s="139">
        <v>0</v>
      </c>
      <c r="J231" s="139">
        <v>107.92</v>
      </c>
      <c r="K231" s="139">
        <v>28.62</v>
      </c>
      <c r="L231" s="139">
        <v>136.5</v>
      </c>
      <c r="M231" s="139">
        <v>264.15000000000003</v>
      </c>
      <c r="N231" s="139">
        <v>192.15</v>
      </c>
      <c r="O231" s="148">
        <v>1243.95</v>
      </c>
    </row>
    <row r="232" spans="2:17" s="3" customFormat="1" x14ac:dyDescent="0.35">
      <c r="B232" s="852" t="s">
        <v>51</v>
      </c>
      <c r="C232" s="139">
        <v>0</v>
      </c>
      <c r="D232" s="139">
        <v>0</v>
      </c>
      <c r="E232" s="139">
        <v>0</v>
      </c>
      <c r="F232" s="139">
        <v>0</v>
      </c>
      <c r="G232" s="139">
        <v>0</v>
      </c>
      <c r="H232" s="139">
        <v>0</v>
      </c>
      <c r="I232" s="139">
        <v>0</v>
      </c>
      <c r="J232" s="139">
        <v>0</v>
      </c>
      <c r="K232" s="139">
        <v>0</v>
      </c>
      <c r="L232" s="139">
        <v>0</v>
      </c>
      <c r="M232" s="139">
        <v>0</v>
      </c>
      <c r="N232" s="139">
        <v>0</v>
      </c>
      <c r="O232" s="148">
        <v>0</v>
      </c>
    </row>
    <row r="233" spans="2:17" s="3" customFormat="1" x14ac:dyDescent="0.35">
      <c r="B233" s="852" t="s">
        <v>52</v>
      </c>
      <c r="C233" s="139">
        <v>0</v>
      </c>
      <c r="D233" s="139">
        <v>0</v>
      </c>
      <c r="E233" s="139">
        <v>0</v>
      </c>
      <c r="F233" s="139">
        <v>0</v>
      </c>
      <c r="G233" s="139">
        <v>0</v>
      </c>
      <c r="H233" s="139">
        <v>0</v>
      </c>
      <c r="I233" s="139">
        <v>0</v>
      </c>
      <c r="J233" s="139">
        <v>0</v>
      </c>
      <c r="K233" s="139">
        <v>0</v>
      </c>
      <c r="L233" s="139">
        <v>0</v>
      </c>
      <c r="M233" s="139">
        <v>0</v>
      </c>
      <c r="N233" s="139">
        <v>0</v>
      </c>
      <c r="O233" s="148">
        <v>0</v>
      </c>
    </row>
    <row r="234" spans="2:17" s="3" customFormat="1" x14ac:dyDescent="0.35">
      <c r="B234" s="852" t="s">
        <v>53</v>
      </c>
      <c r="C234" s="139">
        <v>0</v>
      </c>
      <c r="D234" s="139">
        <v>0</v>
      </c>
      <c r="E234" s="139">
        <v>0</v>
      </c>
      <c r="F234" s="139">
        <v>0.40500000000000003</v>
      </c>
      <c r="G234" s="139">
        <v>0</v>
      </c>
      <c r="H234" s="139">
        <v>0</v>
      </c>
      <c r="I234" s="139">
        <v>0</v>
      </c>
      <c r="J234" s="139">
        <v>0</v>
      </c>
      <c r="K234" s="139">
        <v>0</v>
      </c>
      <c r="L234" s="139">
        <v>0</v>
      </c>
      <c r="M234" s="139">
        <v>0</v>
      </c>
      <c r="N234" s="139">
        <v>0</v>
      </c>
      <c r="O234" s="148">
        <v>0.40500000000000003</v>
      </c>
    </row>
    <row r="235" spans="2:17" s="3" customFormat="1" x14ac:dyDescent="0.35">
      <c r="B235" s="852" t="s">
        <v>54</v>
      </c>
      <c r="C235" s="139">
        <v>38.265000000000001</v>
      </c>
      <c r="D235" s="139">
        <v>8.9760000000000009</v>
      </c>
      <c r="E235" s="139">
        <v>0</v>
      </c>
      <c r="F235" s="139">
        <v>0.27</v>
      </c>
      <c r="G235" s="139">
        <v>0.16200000000000001</v>
      </c>
      <c r="H235" s="139">
        <v>65.823000000000008</v>
      </c>
      <c r="I235" s="139">
        <v>0</v>
      </c>
      <c r="J235" s="139">
        <v>0</v>
      </c>
      <c r="K235" s="139">
        <v>27.91</v>
      </c>
      <c r="L235" s="139">
        <v>69.763000000000005</v>
      </c>
      <c r="M235" s="139">
        <v>46.983000000000004</v>
      </c>
      <c r="N235" s="139">
        <v>45.841000000000001</v>
      </c>
      <c r="O235" s="148">
        <v>303.99300000000005</v>
      </c>
    </row>
    <row r="236" spans="2:17" s="3" customFormat="1" x14ac:dyDescent="0.35">
      <c r="B236" s="852" t="s">
        <v>55</v>
      </c>
      <c r="C236" s="139">
        <v>0</v>
      </c>
      <c r="D236" s="139">
        <v>0</v>
      </c>
      <c r="E236" s="139">
        <v>0</v>
      </c>
      <c r="F236" s="139">
        <v>0</v>
      </c>
      <c r="G236" s="139">
        <v>0</v>
      </c>
      <c r="H236" s="139">
        <v>0</v>
      </c>
      <c r="I236" s="139">
        <v>0</v>
      </c>
      <c r="J236" s="139">
        <v>0</v>
      </c>
      <c r="K236" s="139">
        <v>0</v>
      </c>
      <c r="L236" s="139">
        <v>0</v>
      </c>
      <c r="M236" s="139">
        <v>0</v>
      </c>
      <c r="N236" s="139">
        <v>0</v>
      </c>
      <c r="O236" s="148">
        <v>0</v>
      </c>
    </row>
    <row r="237" spans="2:17" s="3" customFormat="1" x14ac:dyDescent="0.35">
      <c r="B237" s="852" t="s">
        <v>11</v>
      </c>
      <c r="C237" s="876"/>
      <c r="D237" s="874"/>
      <c r="E237" s="874"/>
      <c r="F237" s="874"/>
      <c r="G237" s="874"/>
      <c r="H237" s="874"/>
      <c r="I237" s="874"/>
      <c r="J237" s="874"/>
      <c r="K237" s="874"/>
      <c r="L237" s="874"/>
      <c r="M237" s="874"/>
      <c r="N237" s="874"/>
      <c r="O237" s="148"/>
    </row>
    <row r="238" spans="2:17" s="3" customFormat="1" x14ac:dyDescent="0.35">
      <c r="B238" s="431" t="s">
        <v>36</v>
      </c>
      <c r="C238" s="878">
        <v>77120.729310000082</v>
      </c>
      <c r="D238" s="878">
        <v>72356.952000000005</v>
      </c>
      <c r="E238" s="878">
        <v>74873.541809999937</v>
      </c>
      <c r="F238" s="878">
        <v>80403.099000000118</v>
      </c>
      <c r="G238" s="878">
        <v>93911.372880000228</v>
      </c>
      <c r="H238" s="878">
        <v>80115.37850000005</v>
      </c>
      <c r="I238" s="878">
        <v>63742.813499999873</v>
      </c>
      <c r="J238" s="878">
        <v>78575.672000000181</v>
      </c>
      <c r="K238" s="878">
        <v>73792.58500000005</v>
      </c>
      <c r="L238" s="878">
        <v>86479.993500000215</v>
      </c>
      <c r="M238" s="878">
        <v>78029.891000000265</v>
      </c>
      <c r="N238" s="878">
        <v>79617.933500000378</v>
      </c>
      <c r="O238" s="855">
        <v>939019.96200000145</v>
      </c>
      <c r="Q238" s="449">
        <f>O238+O144</f>
        <v>991846.28500000143</v>
      </c>
    </row>
    <row r="239" spans="2:17" s="3" customFormat="1" x14ac:dyDescent="0.35">
      <c r="B239" s="149"/>
      <c r="C239" s="871"/>
      <c r="D239" s="872"/>
      <c r="E239" s="872"/>
      <c r="F239" s="872"/>
      <c r="G239" s="872"/>
      <c r="H239" s="872"/>
      <c r="I239" s="872"/>
      <c r="J239" s="872"/>
      <c r="K239" s="872"/>
      <c r="L239" s="872"/>
      <c r="M239" s="872"/>
      <c r="N239" s="872"/>
      <c r="O239" s="154"/>
    </row>
    <row r="240" spans="2:17" s="3" customFormat="1" x14ac:dyDescent="0.35">
      <c r="B240" s="149" t="s">
        <v>58</v>
      </c>
      <c r="C240" s="871">
        <v>16124.146000000001</v>
      </c>
      <c r="D240" s="871">
        <v>15862.210000000001</v>
      </c>
      <c r="E240" s="871">
        <v>19132.881000000001</v>
      </c>
      <c r="F240" s="871">
        <v>7141.1559999999999</v>
      </c>
      <c r="G240" s="871">
        <v>16985.668999999998</v>
      </c>
      <c r="H240" s="871">
        <v>12021.3685</v>
      </c>
      <c r="I240" s="871">
        <v>8513.3564999999981</v>
      </c>
      <c r="J240" s="871">
        <v>14170.120000000004</v>
      </c>
      <c r="K240" s="871">
        <v>22696.430999999997</v>
      </c>
      <c r="L240" s="871">
        <v>17569.589499999998</v>
      </c>
      <c r="M240" s="871">
        <v>16180.136999999999</v>
      </c>
      <c r="N240" s="871">
        <v>16910.766499999998</v>
      </c>
      <c r="O240" s="154">
        <v>183307.83099999998</v>
      </c>
    </row>
    <row r="241" spans="2:15" s="3" customFormat="1" x14ac:dyDescent="0.35">
      <c r="B241" s="269"/>
      <c r="C241" s="847"/>
      <c r="D241" s="848"/>
      <c r="E241" s="848"/>
      <c r="F241" s="848"/>
      <c r="G241" s="848"/>
      <c r="H241" s="848"/>
      <c r="I241" s="848"/>
      <c r="J241" s="848"/>
      <c r="K241" s="848"/>
      <c r="L241" s="848"/>
      <c r="M241" s="848"/>
      <c r="N241" s="848"/>
      <c r="O241" s="145"/>
    </row>
    <row r="242" spans="2:15" s="3" customFormat="1" x14ac:dyDescent="0.35">
      <c r="B242" s="852" t="s">
        <v>49</v>
      </c>
      <c r="C242" s="876">
        <v>2832.1410000000005</v>
      </c>
      <c r="D242" s="874">
        <v>800.053</v>
      </c>
      <c r="E242" s="874">
        <v>792.02700000000004</v>
      </c>
      <c r="F242" s="874">
        <v>763.04700000000003</v>
      </c>
      <c r="G242" s="874">
        <v>710.18599999999992</v>
      </c>
      <c r="H242" s="874">
        <v>2524.5659999999998</v>
      </c>
      <c r="I242" s="874">
        <v>698.53600000000006</v>
      </c>
      <c r="J242" s="874">
        <v>2388.732</v>
      </c>
      <c r="K242" s="874">
        <v>2573.2109999999998</v>
      </c>
      <c r="L242" s="874">
        <v>2623.5839999999998</v>
      </c>
      <c r="M242" s="874">
        <v>1457.5730000000001</v>
      </c>
      <c r="N242" s="874">
        <v>140.99700000000001</v>
      </c>
      <c r="O242" s="148">
        <v>18304.652999999998</v>
      </c>
    </row>
    <row r="243" spans="2:15" s="3" customFormat="1" x14ac:dyDescent="0.35">
      <c r="B243" s="852" t="s">
        <v>50</v>
      </c>
      <c r="C243" s="876">
        <v>8063.1840000000002</v>
      </c>
      <c r="D243" s="874">
        <v>7141.2559999999994</v>
      </c>
      <c r="E243" s="874">
        <v>13440.6</v>
      </c>
      <c r="F243" s="874">
        <v>5000.87</v>
      </c>
      <c r="G243" s="874">
        <v>11381.004999999999</v>
      </c>
      <c r="H243" s="874">
        <v>3149.7980000000002</v>
      </c>
      <c r="I243" s="874">
        <v>2269.9600000000005</v>
      </c>
      <c r="J243" s="874">
        <v>3391.223</v>
      </c>
      <c r="K243" s="874">
        <v>7102.9139999999989</v>
      </c>
      <c r="L243" s="874">
        <v>5331.3059999999996</v>
      </c>
      <c r="M243" s="874">
        <v>5250.585</v>
      </c>
      <c r="N243" s="874">
        <v>8585.6769999999979</v>
      </c>
      <c r="O243" s="148">
        <v>80108.377999999997</v>
      </c>
    </row>
    <row r="244" spans="2:15" s="3" customFormat="1" x14ac:dyDescent="0.35">
      <c r="B244" s="852" t="s">
        <v>51</v>
      </c>
      <c r="C244" s="876">
        <v>182.7405</v>
      </c>
      <c r="D244" s="874">
        <v>1551.5839999999998</v>
      </c>
      <c r="E244" s="874">
        <v>1207.3899999999999</v>
      </c>
      <c r="F244" s="874">
        <v>1139.1109999999999</v>
      </c>
      <c r="G244" s="874">
        <v>857.45299999999997</v>
      </c>
      <c r="H244" s="874">
        <v>500.64899999999994</v>
      </c>
      <c r="I244" s="874">
        <v>67.8185</v>
      </c>
      <c r="J244" s="874">
        <v>0</v>
      </c>
      <c r="K244" s="874">
        <v>3301.5239999999994</v>
      </c>
      <c r="L244" s="874">
        <v>3104.4865</v>
      </c>
      <c r="M244" s="874">
        <v>1470.5539999999999</v>
      </c>
      <c r="N244" s="874">
        <v>2214.5690000000004</v>
      </c>
      <c r="O244" s="148">
        <v>15597.879499999999</v>
      </c>
    </row>
    <row r="245" spans="2:15" s="3" customFormat="1" x14ac:dyDescent="0.35">
      <c r="B245" s="852" t="s">
        <v>52</v>
      </c>
      <c r="C245" s="876">
        <v>5030.6399999999994</v>
      </c>
      <c r="D245" s="874">
        <v>6338.8000000000011</v>
      </c>
      <c r="E245" s="874">
        <v>3644.3150000000005</v>
      </c>
      <c r="F245" s="874">
        <v>192.559</v>
      </c>
      <c r="G245" s="874">
        <v>3969.0249999999996</v>
      </c>
      <c r="H245" s="874">
        <v>5793.81</v>
      </c>
      <c r="I245" s="874">
        <v>5470.2249999999995</v>
      </c>
      <c r="J245" s="874">
        <v>8390.1650000000045</v>
      </c>
      <c r="K245" s="874">
        <v>9664.0449999999983</v>
      </c>
      <c r="L245" s="874">
        <v>6447.5999999999985</v>
      </c>
      <c r="M245" s="874">
        <v>7941.9899999999989</v>
      </c>
      <c r="N245" s="874">
        <v>5898.1200000000008</v>
      </c>
      <c r="O245" s="148">
        <v>68781.293999999994</v>
      </c>
    </row>
    <row r="246" spans="2:15" s="3" customFormat="1" x14ac:dyDescent="0.35">
      <c r="B246" s="852" t="s">
        <v>53</v>
      </c>
      <c r="C246" s="876">
        <v>15.4405</v>
      </c>
      <c r="D246" s="874">
        <v>30.516999999999996</v>
      </c>
      <c r="E246" s="874">
        <v>48.548999999999999</v>
      </c>
      <c r="F246" s="874">
        <v>45.568999999999988</v>
      </c>
      <c r="G246" s="874">
        <v>68</v>
      </c>
      <c r="H246" s="874">
        <v>52.54549999999999</v>
      </c>
      <c r="I246" s="874">
        <v>6.8170000000000002</v>
      </c>
      <c r="J246" s="874">
        <v>0</v>
      </c>
      <c r="K246" s="874">
        <v>54.736999999999988</v>
      </c>
      <c r="L246" s="874">
        <v>62.613</v>
      </c>
      <c r="M246" s="874">
        <v>59.435000000000009</v>
      </c>
      <c r="N246" s="874">
        <v>71.403500000000008</v>
      </c>
      <c r="O246" s="148">
        <v>515.62649999999996</v>
      </c>
    </row>
    <row r="247" spans="2:15" s="3" customFormat="1" x14ac:dyDescent="0.35">
      <c r="B247" s="852" t="s">
        <v>54</v>
      </c>
      <c r="C247" s="876">
        <v>0</v>
      </c>
      <c r="D247" s="874">
        <v>0</v>
      </c>
      <c r="E247" s="874">
        <v>0</v>
      </c>
      <c r="F247" s="874">
        <v>0</v>
      </c>
      <c r="G247" s="874">
        <v>0</v>
      </c>
      <c r="H247" s="874">
        <v>0</v>
      </c>
      <c r="I247" s="874">
        <v>0</v>
      </c>
      <c r="J247" s="874">
        <v>0</v>
      </c>
      <c r="K247" s="874">
        <v>0</v>
      </c>
      <c r="L247" s="874">
        <v>0</v>
      </c>
      <c r="M247" s="874">
        <v>0</v>
      </c>
      <c r="N247" s="874">
        <v>0</v>
      </c>
      <c r="O247" s="148">
        <v>0</v>
      </c>
    </row>
    <row r="248" spans="2:15" s="3" customFormat="1" x14ac:dyDescent="0.35">
      <c r="B248" s="852" t="s">
        <v>55</v>
      </c>
      <c r="C248" s="876">
        <v>0</v>
      </c>
      <c r="D248" s="874">
        <v>0</v>
      </c>
      <c r="E248" s="874">
        <v>0</v>
      </c>
      <c r="F248" s="874">
        <v>0</v>
      </c>
      <c r="G248" s="874">
        <v>0</v>
      </c>
      <c r="H248" s="874">
        <v>0</v>
      </c>
      <c r="I248" s="874">
        <v>0</v>
      </c>
      <c r="J248" s="874">
        <v>0</v>
      </c>
      <c r="K248" s="874">
        <v>0</v>
      </c>
      <c r="L248" s="874">
        <v>0</v>
      </c>
      <c r="M248" s="874">
        <v>0</v>
      </c>
      <c r="N248" s="874">
        <v>0</v>
      </c>
      <c r="O248" s="148">
        <v>0</v>
      </c>
    </row>
    <row r="249" spans="2:15" s="3" customFormat="1" x14ac:dyDescent="0.35">
      <c r="B249" s="852"/>
      <c r="C249" s="876"/>
      <c r="D249" s="874"/>
      <c r="E249" s="874"/>
      <c r="F249" s="874"/>
      <c r="G249" s="874"/>
      <c r="H249" s="874"/>
      <c r="I249" s="874"/>
      <c r="J249" s="874"/>
      <c r="K249" s="874"/>
      <c r="L249" s="874"/>
      <c r="M249" s="874"/>
      <c r="N249" s="874"/>
      <c r="O249" s="148"/>
    </row>
    <row r="250" spans="2:15" s="3" customFormat="1" x14ac:dyDescent="0.35">
      <c r="B250" s="149" t="s">
        <v>59</v>
      </c>
      <c r="C250" s="871">
        <v>60996.583310000067</v>
      </c>
      <c r="D250" s="872">
        <v>56494.742000000006</v>
      </c>
      <c r="E250" s="872">
        <v>55740.660809999921</v>
      </c>
      <c r="F250" s="872">
        <v>73261.943000000116</v>
      </c>
      <c r="G250" s="872">
        <v>76925.703880000234</v>
      </c>
      <c r="H250" s="872">
        <v>68094.010000000053</v>
      </c>
      <c r="I250" s="872">
        <v>55229.456999999871</v>
      </c>
      <c r="J250" s="872">
        <v>64405.552000000178</v>
      </c>
      <c r="K250" s="872">
        <v>51096.154000000053</v>
      </c>
      <c r="L250" s="872">
        <v>68910.404000000213</v>
      </c>
      <c r="M250" s="872">
        <v>61849.754000000263</v>
      </c>
      <c r="N250" s="872">
        <v>62707.16700000038</v>
      </c>
      <c r="O250" s="154">
        <v>755712.13100000145</v>
      </c>
    </row>
    <row r="251" spans="2:15" s="3" customFormat="1" x14ac:dyDescent="0.35">
      <c r="B251" s="269"/>
      <c r="C251" s="847"/>
      <c r="D251" s="848"/>
      <c r="E251" s="848"/>
      <c r="F251" s="848"/>
      <c r="G251" s="848"/>
      <c r="H251" s="848"/>
      <c r="I251" s="848"/>
      <c r="J251" s="848"/>
      <c r="K251" s="848"/>
      <c r="L251" s="848"/>
      <c r="M251" s="848"/>
      <c r="N251" s="848"/>
      <c r="O251" s="145"/>
    </row>
    <row r="252" spans="2:15" s="3" customFormat="1" x14ac:dyDescent="0.35">
      <c r="B252" s="852" t="s">
        <v>49</v>
      </c>
      <c r="C252" s="876">
        <v>3171.3789999999995</v>
      </c>
      <c r="D252" s="874">
        <v>4059.3469999999998</v>
      </c>
      <c r="E252" s="874">
        <v>2779.4139999999993</v>
      </c>
      <c r="F252" s="874">
        <v>389.30199999999996</v>
      </c>
      <c r="G252" s="874">
        <v>3523.9799999999982</v>
      </c>
      <c r="H252" s="874">
        <v>1844.3719999999996</v>
      </c>
      <c r="I252" s="874">
        <v>2622.4969999999989</v>
      </c>
      <c r="J252" s="874">
        <v>3061.7569999999996</v>
      </c>
      <c r="K252" s="874">
        <v>5230.3010000000004</v>
      </c>
      <c r="L252" s="874">
        <v>5979.0299999999988</v>
      </c>
      <c r="M252" s="874">
        <v>2695.5520000000006</v>
      </c>
      <c r="N252" s="874">
        <v>3416.8890000000006</v>
      </c>
      <c r="O252" s="148">
        <v>38773.82</v>
      </c>
    </row>
    <row r="253" spans="2:15" s="3" customFormat="1" x14ac:dyDescent="0.35">
      <c r="B253" s="852" t="s">
        <v>50</v>
      </c>
      <c r="C253" s="876">
        <v>57716.208310000067</v>
      </c>
      <c r="D253" s="874">
        <v>52404.084000000003</v>
      </c>
      <c r="E253" s="874">
        <v>52910.249809999921</v>
      </c>
      <c r="F253" s="874">
        <v>72832.181000000113</v>
      </c>
      <c r="G253" s="874">
        <v>73373.395880000244</v>
      </c>
      <c r="H253" s="874">
        <v>65899.695000000051</v>
      </c>
      <c r="I253" s="874">
        <v>52557.132999999878</v>
      </c>
      <c r="J253" s="874">
        <v>61330.47800000017</v>
      </c>
      <c r="K253" s="874">
        <v>45644.161000000058</v>
      </c>
      <c r="L253" s="874">
        <v>62829.516000000207</v>
      </c>
      <c r="M253" s="874">
        <v>59088.18900000026</v>
      </c>
      <c r="N253" s="874">
        <v>59165.122000000381</v>
      </c>
      <c r="O253" s="148">
        <v>715750.41300000134</v>
      </c>
    </row>
    <row r="254" spans="2:15" s="3" customFormat="1" x14ac:dyDescent="0.35">
      <c r="B254" s="852" t="s">
        <v>51</v>
      </c>
      <c r="C254" s="876">
        <v>0</v>
      </c>
      <c r="D254" s="874">
        <v>0</v>
      </c>
      <c r="E254" s="874">
        <v>0</v>
      </c>
      <c r="F254" s="874">
        <v>0</v>
      </c>
      <c r="G254" s="874">
        <v>0</v>
      </c>
      <c r="H254" s="874">
        <v>0</v>
      </c>
      <c r="I254" s="874">
        <v>0</v>
      </c>
      <c r="J254" s="874">
        <v>0</v>
      </c>
      <c r="K254" s="874">
        <v>0</v>
      </c>
      <c r="L254" s="874">
        <v>0</v>
      </c>
      <c r="M254" s="874">
        <v>0</v>
      </c>
      <c r="N254" s="874">
        <v>0</v>
      </c>
      <c r="O254" s="148">
        <v>0</v>
      </c>
    </row>
    <row r="255" spans="2:15" s="3" customFormat="1" x14ac:dyDescent="0.35">
      <c r="B255" s="852" t="s">
        <v>52</v>
      </c>
      <c r="C255" s="876">
        <v>0</v>
      </c>
      <c r="D255" s="874">
        <v>0</v>
      </c>
      <c r="E255" s="874">
        <v>0</v>
      </c>
      <c r="F255" s="874">
        <v>0</v>
      </c>
      <c r="G255" s="874">
        <v>0</v>
      </c>
      <c r="H255" s="874">
        <v>0</v>
      </c>
      <c r="I255" s="874">
        <v>0</v>
      </c>
      <c r="J255" s="874">
        <v>0</v>
      </c>
      <c r="K255" s="874">
        <v>0</v>
      </c>
      <c r="L255" s="874">
        <v>0</v>
      </c>
      <c r="M255" s="874">
        <v>0</v>
      </c>
      <c r="N255" s="874">
        <v>0</v>
      </c>
      <c r="O255" s="148">
        <v>0</v>
      </c>
    </row>
    <row r="256" spans="2:15" s="3" customFormat="1" x14ac:dyDescent="0.35">
      <c r="B256" s="852" t="s">
        <v>53</v>
      </c>
      <c r="C256" s="876">
        <v>12.491</v>
      </c>
      <c r="D256" s="874">
        <v>22.335000000000001</v>
      </c>
      <c r="E256" s="874">
        <v>50.997</v>
      </c>
      <c r="F256" s="874">
        <v>40.19</v>
      </c>
      <c r="G256" s="874">
        <v>28.166</v>
      </c>
      <c r="H256" s="874">
        <v>28.477</v>
      </c>
      <c r="I256" s="874">
        <v>49.826999999999998</v>
      </c>
      <c r="J256" s="874">
        <v>13.317</v>
      </c>
      <c r="K256" s="874">
        <v>106.44199999999999</v>
      </c>
      <c r="L256" s="874">
        <v>32.094999999999999</v>
      </c>
      <c r="M256" s="874">
        <v>18.470999999999997</v>
      </c>
      <c r="N256" s="874">
        <v>50.97</v>
      </c>
      <c r="O256" s="148">
        <v>453.77800000000002</v>
      </c>
    </row>
    <row r="257" spans="2:15" s="3" customFormat="1" x14ac:dyDescent="0.35">
      <c r="B257" s="852" t="s">
        <v>54</v>
      </c>
      <c r="C257" s="876">
        <v>96.504999999999995</v>
      </c>
      <c r="D257" s="874">
        <v>8.9760000000000009</v>
      </c>
      <c r="E257" s="874">
        <v>0</v>
      </c>
      <c r="F257" s="874">
        <v>0.27</v>
      </c>
      <c r="G257" s="874">
        <v>0.16200000000000001</v>
      </c>
      <c r="H257" s="874">
        <v>321.46600000000001</v>
      </c>
      <c r="I257" s="874">
        <v>0</v>
      </c>
      <c r="J257" s="874">
        <v>0</v>
      </c>
      <c r="K257" s="874">
        <v>115.25</v>
      </c>
      <c r="L257" s="874">
        <v>69.763000000000005</v>
      </c>
      <c r="M257" s="874">
        <v>47.542000000000002</v>
      </c>
      <c r="N257" s="874">
        <v>74.186000000000007</v>
      </c>
      <c r="O257" s="148">
        <v>734.12000000000012</v>
      </c>
    </row>
    <row r="258" spans="2:15" s="3" customFormat="1" x14ac:dyDescent="0.35">
      <c r="B258" s="858" t="s">
        <v>55</v>
      </c>
      <c r="C258" s="879">
        <v>0</v>
      </c>
      <c r="D258" s="880">
        <v>0</v>
      </c>
      <c r="E258" s="880">
        <v>0</v>
      </c>
      <c r="F258" s="880">
        <v>0</v>
      </c>
      <c r="G258" s="880">
        <v>0</v>
      </c>
      <c r="H258" s="880">
        <v>0</v>
      </c>
      <c r="I258" s="880">
        <v>0</v>
      </c>
      <c r="J258" s="880">
        <v>0</v>
      </c>
      <c r="K258" s="880">
        <v>0</v>
      </c>
      <c r="L258" s="880">
        <v>0</v>
      </c>
      <c r="M258" s="880">
        <v>0</v>
      </c>
      <c r="N258" s="880">
        <v>0</v>
      </c>
      <c r="O258" s="861">
        <v>0</v>
      </c>
    </row>
    <row r="259" spans="2:15" s="3" customFormat="1" x14ac:dyDescent="0.35">
      <c r="B259" s="117"/>
      <c r="C259" s="133"/>
      <c r="D259" s="133"/>
      <c r="E259" s="133"/>
      <c r="F259" s="133"/>
      <c r="G259" s="133"/>
      <c r="H259" s="133"/>
      <c r="I259" s="133"/>
      <c r="J259" s="133"/>
      <c r="K259" s="133"/>
      <c r="L259" s="133"/>
      <c r="M259" s="133"/>
      <c r="N259" s="133"/>
      <c r="O259" s="134"/>
    </row>
    <row r="260" spans="2:15" s="3" customFormat="1" x14ac:dyDescent="0.35">
      <c r="B260" s="1069" t="s">
        <v>366</v>
      </c>
      <c r="C260" s="1069"/>
      <c r="D260" s="1069"/>
      <c r="E260" s="1069"/>
      <c r="F260" s="1069"/>
      <c r="G260" s="1069"/>
      <c r="H260" s="1069"/>
      <c r="I260" s="1069"/>
      <c r="J260" s="1069"/>
      <c r="K260" s="1069"/>
      <c r="L260" s="555">
        <v>2025</v>
      </c>
      <c r="M260" s="125"/>
      <c r="N260" s="125"/>
      <c r="O260" s="125"/>
    </row>
    <row r="261" spans="2:15" s="3" customFormat="1" x14ac:dyDescent="0.35">
      <c r="B261" s="8"/>
      <c r="C261" s="106"/>
      <c r="D261" s="554"/>
      <c r="E261" s="554"/>
      <c r="F261" s="554"/>
      <c r="G261" s="554"/>
      <c r="H261" s="554"/>
      <c r="I261" s="554"/>
      <c r="J261" s="554"/>
      <c r="K261" s="554"/>
      <c r="L261" s="554"/>
      <c r="M261" s="554"/>
      <c r="N261" s="554"/>
      <c r="O261" s="8"/>
    </row>
    <row r="262" spans="2:15" s="3" customFormat="1" ht="15" customHeight="1" x14ac:dyDescent="0.35">
      <c r="B262" s="1074" t="s">
        <v>13</v>
      </c>
      <c r="C262" s="1070" t="s">
        <v>0</v>
      </c>
      <c r="D262" s="1070" t="s">
        <v>1</v>
      </c>
      <c r="E262" s="1070" t="s">
        <v>2</v>
      </c>
      <c r="F262" s="1070" t="s">
        <v>3</v>
      </c>
      <c r="G262" s="1070" t="s">
        <v>4</v>
      </c>
      <c r="H262" s="1070" t="s">
        <v>5</v>
      </c>
      <c r="I262" s="1070" t="s">
        <v>6</v>
      </c>
      <c r="J262" s="1070" t="s">
        <v>7</v>
      </c>
      <c r="K262" s="1070" t="s">
        <v>8</v>
      </c>
      <c r="L262" s="1070" t="s">
        <v>9</v>
      </c>
      <c r="M262" s="1070" t="s">
        <v>10</v>
      </c>
      <c r="N262" s="1070" t="s">
        <v>14</v>
      </c>
      <c r="O262" s="1074" t="s">
        <v>15</v>
      </c>
    </row>
    <row r="263" spans="2:15" s="3" customFormat="1" ht="15" customHeight="1" x14ac:dyDescent="0.35">
      <c r="B263" s="1080"/>
      <c r="C263" s="1071"/>
      <c r="D263" s="1071"/>
      <c r="E263" s="1071"/>
      <c r="F263" s="1071"/>
      <c r="G263" s="1071"/>
      <c r="H263" s="1071"/>
      <c r="I263" s="1071"/>
      <c r="J263" s="1071"/>
      <c r="K263" s="1071"/>
      <c r="L263" s="1071"/>
      <c r="M263" s="1089"/>
      <c r="N263" s="1089"/>
      <c r="O263" s="1081"/>
    </row>
    <row r="264" spans="2:15" s="3" customFormat="1" x14ac:dyDescent="0.35">
      <c r="B264" s="447"/>
      <c r="C264" s="632">
        <v>0</v>
      </c>
      <c r="D264" s="632">
        <v>0</v>
      </c>
      <c r="E264" s="632">
        <v>0</v>
      </c>
      <c r="F264" s="632">
        <v>0</v>
      </c>
      <c r="G264" s="632">
        <v>0</v>
      </c>
      <c r="H264" s="632">
        <v>0</v>
      </c>
      <c r="I264" s="632">
        <v>0</v>
      </c>
      <c r="J264" s="632">
        <v>0</v>
      </c>
      <c r="K264" s="632">
        <v>0</v>
      </c>
      <c r="L264" s="632">
        <v>0</v>
      </c>
      <c r="M264" s="632">
        <v>0</v>
      </c>
      <c r="N264" s="632">
        <v>0</v>
      </c>
      <c r="O264" s="144"/>
    </row>
    <row r="265" spans="2:15" s="3" customFormat="1" x14ac:dyDescent="0.35">
      <c r="B265" s="844" t="s">
        <v>47</v>
      </c>
      <c r="C265" s="862">
        <v>76651.129310000077</v>
      </c>
      <c r="D265" s="845">
        <v>70811.967000000004</v>
      </c>
      <c r="E265" s="845">
        <v>74292.221809999915</v>
      </c>
      <c r="F265" s="845">
        <v>80263.659000000102</v>
      </c>
      <c r="G265" s="845">
        <v>93731.882880000223</v>
      </c>
      <c r="H265" s="845">
        <v>79661.245500000048</v>
      </c>
      <c r="I265" s="845">
        <v>63521.533499999874</v>
      </c>
      <c r="J265" s="845">
        <v>78190.827000000179</v>
      </c>
      <c r="K265" s="845">
        <v>73537.015000000043</v>
      </c>
      <c r="L265" s="845">
        <v>84153.940500000186</v>
      </c>
      <c r="M265" s="845">
        <v>77718.758000000264</v>
      </c>
      <c r="N265" s="845">
        <v>78758.096500000378</v>
      </c>
      <c r="O265" s="846">
        <v>931292.27600000123</v>
      </c>
    </row>
    <row r="266" spans="2:15" s="3" customFormat="1" x14ac:dyDescent="0.35">
      <c r="B266" s="269"/>
      <c r="C266" s="847"/>
      <c r="D266" s="848"/>
      <c r="E266" s="848"/>
      <c r="F266" s="848"/>
      <c r="G266" s="848"/>
      <c r="H266" s="848"/>
      <c r="I266" s="848"/>
      <c r="J266" s="848"/>
      <c r="K266" s="848"/>
      <c r="L266" s="848"/>
      <c r="M266" s="848"/>
      <c r="N266" s="848"/>
      <c r="O266" s="145"/>
    </row>
    <row r="267" spans="2:15" s="3" customFormat="1" x14ac:dyDescent="0.35">
      <c r="B267" s="852" t="s">
        <v>49</v>
      </c>
      <c r="C267" s="147">
        <v>5665.6900000000005</v>
      </c>
      <c r="D267" s="147">
        <v>3378.3029999999999</v>
      </c>
      <c r="E267" s="147">
        <v>3045.7709999999993</v>
      </c>
      <c r="F267" s="147">
        <v>1151.809</v>
      </c>
      <c r="G267" s="147">
        <v>4110.5209999999979</v>
      </c>
      <c r="H267" s="147">
        <v>4097.262999999999</v>
      </c>
      <c r="I267" s="147">
        <v>3099.7529999999988</v>
      </c>
      <c r="J267" s="147">
        <v>5173.5640000000003</v>
      </c>
      <c r="K267" s="147">
        <v>7604.4719999999998</v>
      </c>
      <c r="L267" s="147">
        <v>6482.8239999999996</v>
      </c>
      <c r="M267" s="147">
        <v>4153.1250000000009</v>
      </c>
      <c r="N267" s="147">
        <v>2936.0400000000004</v>
      </c>
      <c r="O267" s="148">
        <v>50899.134999999995</v>
      </c>
    </row>
    <row r="268" spans="2:15" s="3" customFormat="1" x14ac:dyDescent="0.35">
      <c r="B268" s="852" t="s">
        <v>50</v>
      </c>
      <c r="C268" s="147">
        <v>65685.887310000064</v>
      </c>
      <c r="D268" s="147">
        <v>59490.428000000007</v>
      </c>
      <c r="E268" s="147">
        <v>66295.199809999918</v>
      </c>
      <c r="F268" s="147">
        <v>77694.826000000103</v>
      </c>
      <c r="G268" s="147">
        <v>84698.717880000244</v>
      </c>
      <c r="H268" s="147">
        <v>68932.858000000051</v>
      </c>
      <c r="I268" s="147">
        <v>54827.092999999877</v>
      </c>
      <c r="J268" s="147">
        <v>64613.78100000017</v>
      </c>
      <c r="K268" s="147">
        <v>52718.455000000053</v>
      </c>
      <c r="L268" s="147">
        <v>68024.322000000204</v>
      </c>
      <c r="M268" s="147">
        <v>64074.624000000258</v>
      </c>
      <c r="N268" s="147">
        <v>67558.649000000383</v>
      </c>
      <c r="O268" s="148">
        <v>794614.84100000141</v>
      </c>
    </row>
    <row r="269" spans="2:15" s="3" customFormat="1" x14ac:dyDescent="0.35">
      <c r="B269" s="852" t="s">
        <v>51</v>
      </c>
      <c r="C269" s="147">
        <v>182.7405</v>
      </c>
      <c r="D269" s="147">
        <v>1551.5839999999998</v>
      </c>
      <c r="E269" s="147">
        <v>1207.3899999999999</v>
      </c>
      <c r="F269" s="147">
        <v>1139.1109999999999</v>
      </c>
      <c r="G269" s="147">
        <v>857.45299999999997</v>
      </c>
      <c r="H269" s="147">
        <v>500.64899999999994</v>
      </c>
      <c r="I269" s="147">
        <v>67.8185</v>
      </c>
      <c r="J269" s="147">
        <v>0</v>
      </c>
      <c r="K269" s="147">
        <v>3301.5239999999994</v>
      </c>
      <c r="L269" s="147">
        <v>3104.4865</v>
      </c>
      <c r="M269" s="147">
        <v>1470.5539999999999</v>
      </c>
      <c r="N269" s="147">
        <v>2214.5690000000004</v>
      </c>
      <c r="O269" s="148">
        <v>15597.879499999999</v>
      </c>
    </row>
    <row r="270" spans="2:15" s="3" customFormat="1" x14ac:dyDescent="0.35">
      <c r="B270" s="852" t="s">
        <v>52</v>
      </c>
      <c r="C270" s="147">
        <v>5030.6399999999994</v>
      </c>
      <c r="D270" s="147">
        <v>6338.8000000000011</v>
      </c>
      <c r="E270" s="147">
        <v>3644.3150000000005</v>
      </c>
      <c r="F270" s="147">
        <v>192.559</v>
      </c>
      <c r="G270" s="147">
        <v>3969.0249999999996</v>
      </c>
      <c r="H270" s="147">
        <v>5793.81</v>
      </c>
      <c r="I270" s="147">
        <v>5470.2249999999995</v>
      </c>
      <c r="J270" s="147">
        <v>8390.1650000000045</v>
      </c>
      <c r="K270" s="147">
        <v>9664.0449999999983</v>
      </c>
      <c r="L270" s="147">
        <v>6447.5999999999985</v>
      </c>
      <c r="M270" s="147">
        <v>7941.9899999999989</v>
      </c>
      <c r="N270" s="147">
        <v>5898.1200000000008</v>
      </c>
      <c r="O270" s="148">
        <v>68781.293999999994</v>
      </c>
    </row>
    <row r="271" spans="2:15" s="3" customFormat="1" x14ac:dyDescent="0.35">
      <c r="B271" s="852" t="s">
        <v>53</v>
      </c>
      <c r="C271" s="147">
        <v>27.9315</v>
      </c>
      <c r="D271" s="147">
        <v>52.851999999999997</v>
      </c>
      <c r="E271" s="147">
        <v>99.545999999999992</v>
      </c>
      <c r="F271" s="147">
        <v>85.353999999999985</v>
      </c>
      <c r="G271" s="147">
        <v>96.165999999999997</v>
      </c>
      <c r="H271" s="147">
        <v>81.022499999999994</v>
      </c>
      <c r="I271" s="147">
        <v>56.643999999999998</v>
      </c>
      <c r="J271" s="147">
        <v>13.317</v>
      </c>
      <c r="K271" s="147">
        <v>161.17899999999997</v>
      </c>
      <c r="L271" s="147">
        <v>94.707999999999998</v>
      </c>
      <c r="M271" s="147">
        <v>77.906000000000006</v>
      </c>
      <c r="N271" s="147">
        <v>122.37350000000001</v>
      </c>
      <c r="O271" s="148">
        <v>968.99950000000001</v>
      </c>
    </row>
    <row r="272" spans="2:15" s="3" customFormat="1" x14ac:dyDescent="0.35">
      <c r="B272" s="852" t="s">
        <v>54</v>
      </c>
      <c r="C272" s="147">
        <v>58.24</v>
      </c>
      <c r="D272" s="147">
        <v>0</v>
      </c>
      <c r="E272" s="147">
        <v>0</v>
      </c>
      <c r="F272" s="147">
        <v>0</v>
      </c>
      <c r="G272" s="147">
        <v>0</v>
      </c>
      <c r="H272" s="147">
        <v>255.643</v>
      </c>
      <c r="I272" s="147">
        <v>0</v>
      </c>
      <c r="J272" s="147">
        <v>0</v>
      </c>
      <c r="K272" s="147">
        <v>87.34</v>
      </c>
      <c r="L272" s="147">
        <v>0</v>
      </c>
      <c r="M272" s="147">
        <v>0.55900000000000005</v>
      </c>
      <c r="N272" s="147">
        <v>28.344999999999999</v>
      </c>
      <c r="O272" s="148">
        <v>430.12699999999995</v>
      </c>
    </row>
    <row r="273" spans="2:23" s="3" customFormat="1" x14ac:dyDescent="0.35">
      <c r="B273" s="852" t="s">
        <v>55</v>
      </c>
      <c r="C273" s="147">
        <v>0</v>
      </c>
      <c r="D273" s="147">
        <v>0</v>
      </c>
      <c r="E273" s="147">
        <v>0</v>
      </c>
      <c r="F273" s="147">
        <v>0</v>
      </c>
      <c r="G273" s="147">
        <v>0</v>
      </c>
      <c r="H273" s="147">
        <v>0</v>
      </c>
      <c r="I273" s="147">
        <v>0</v>
      </c>
      <c r="J273" s="147">
        <v>0</v>
      </c>
      <c r="K273" s="147">
        <v>0</v>
      </c>
      <c r="L273" s="147">
        <v>0</v>
      </c>
      <c r="M273" s="147">
        <v>0</v>
      </c>
      <c r="N273" s="147">
        <v>0</v>
      </c>
      <c r="O273" s="148">
        <v>0</v>
      </c>
    </row>
    <row r="274" spans="2:23" s="3" customFormat="1" x14ac:dyDescent="0.35">
      <c r="B274" s="852" t="s">
        <v>11</v>
      </c>
      <c r="C274" s="632">
        <v>0</v>
      </c>
      <c r="D274" s="632">
        <v>0</v>
      </c>
      <c r="E274" s="632">
        <v>0</v>
      </c>
      <c r="F274" s="632">
        <v>0</v>
      </c>
      <c r="G274" s="632">
        <v>0</v>
      </c>
      <c r="H274" s="632">
        <v>0</v>
      </c>
      <c r="I274" s="632">
        <v>0</v>
      </c>
      <c r="J274" s="632">
        <v>0</v>
      </c>
      <c r="K274" s="632">
        <v>0</v>
      </c>
      <c r="L274" s="632">
        <v>0</v>
      </c>
      <c r="M274" s="632">
        <v>0</v>
      </c>
      <c r="N274" s="632">
        <v>0</v>
      </c>
      <c r="O274" s="148"/>
    </row>
    <row r="275" spans="2:23" s="3" customFormat="1" x14ac:dyDescent="0.35">
      <c r="B275" s="844" t="s">
        <v>56</v>
      </c>
      <c r="C275" s="862">
        <v>469.6</v>
      </c>
      <c r="D275" s="845">
        <v>1544.9849999999999</v>
      </c>
      <c r="E275" s="845">
        <v>581.32000000000005</v>
      </c>
      <c r="F275" s="845">
        <v>139.44000000000003</v>
      </c>
      <c r="G275" s="845">
        <v>179.49</v>
      </c>
      <c r="H275" s="845">
        <v>454.13300000000004</v>
      </c>
      <c r="I275" s="845">
        <v>221.28</v>
      </c>
      <c r="J275" s="845">
        <v>384.84499999999997</v>
      </c>
      <c r="K275" s="845">
        <v>255.57</v>
      </c>
      <c r="L275" s="845">
        <v>2326.0529999999994</v>
      </c>
      <c r="M275" s="845">
        <v>311.13300000000004</v>
      </c>
      <c r="N275" s="845">
        <v>859.83699999999988</v>
      </c>
      <c r="O275" s="846">
        <v>7727.6859999999979</v>
      </c>
    </row>
    <row r="276" spans="2:23" s="3" customFormat="1" x14ac:dyDescent="0.35">
      <c r="B276" s="269"/>
      <c r="C276" s="847"/>
      <c r="D276" s="848"/>
      <c r="E276" s="848"/>
      <c r="F276" s="848"/>
      <c r="G276" s="848"/>
      <c r="H276" s="848"/>
      <c r="I276" s="848"/>
      <c r="J276" s="848"/>
      <c r="K276" s="848"/>
      <c r="L276" s="848"/>
      <c r="M276" s="848"/>
      <c r="N276" s="848"/>
      <c r="O276" s="145"/>
    </row>
    <row r="277" spans="2:23" s="3" customFormat="1" x14ac:dyDescent="0.35">
      <c r="B277" s="852" t="s">
        <v>49</v>
      </c>
      <c r="C277" s="147">
        <v>337.83000000000004</v>
      </c>
      <c r="D277" s="147">
        <v>1481.0969999999998</v>
      </c>
      <c r="E277" s="147">
        <v>525.67000000000007</v>
      </c>
      <c r="F277" s="147">
        <v>0.54</v>
      </c>
      <c r="G277" s="147">
        <v>123.645</v>
      </c>
      <c r="H277" s="147">
        <v>271.67500000000001</v>
      </c>
      <c r="I277" s="147">
        <v>221.28</v>
      </c>
      <c r="J277" s="147">
        <v>276.92499999999995</v>
      </c>
      <c r="K277" s="147">
        <v>199.04</v>
      </c>
      <c r="L277" s="147">
        <v>2119.7899999999995</v>
      </c>
      <c r="M277" s="147">
        <v>0</v>
      </c>
      <c r="N277" s="147">
        <v>621.84599999999989</v>
      </c>
      <c r="O277" s="148">
        <v>6179.3379999999997</v>
      </c>
    </row>
    <row r="278" spans="2:23" s="3" customFormat="1" ht="22.5" customHeight="1" x14ac:dyDescent="0.35">
      <c r="B278" s="852" t="s">
        <v>50</v>
      </c>
      <c r="C278" s="147">
        <v>93.504999999999995</v>
      </c>
      <c r="D278" s="147">
        <v>54.912000000000006</v>
      </c>
      <c r="E278" s="147">
        <v>55.650000000000006</v>
      </c>
      <c r="F278" s="147">
        <v>138.22500000000002</v>
      </c>
      <c r="G278" s="147">
        <v>55.683</v>
      </c>
      <c r="H278" s="147">
        <v>116.63499999999999</v>
      </c>
      <c r="I278" s="147">
        <v>0</v>
      </c>
      <c r="J278" s="147">
        <v>107.92</v>
      </c>
      <c r="K278" s="147">
        <v>28.62</v>
      </c>
      <c r="L278" s="147">
        <v>136.5</v>
      </c>
      <c r="M278" s="147">
        <v>264.15000000000003</v>
      </c>
      <c r="N278" s="147">
        <v>192.15</v>
      </c>
      <c r="O278" s="148">
        <v>1243.95</v>
      </c>
    </row>
    <row r="279" spans="2:23" s="3" customFormat="1" x14ac:dyDescent="0.35">
      <c r="B279" s="852" t="s">
        <v>51</v>
      </c>
      <c r="C279" s="147">
        <v>0</v>
      </c>
      <c r="D279" s="147">
        <v>0</v>
      </c>
      <c r="E279" s="147">
        <v>0</v>
      </c>
      <c r="F279" s="147">
        <v>0</v>
      </c>
      <c r="G279" s="147">
        <v>0</v>
      </c>
      <c r="H279" s="147">
        <v>0</v>
      </c>
      <c r="I279" s="147">
        <v>0</v>
      </c>
      <c r="J279" s="147">
        <v>0</v>
      </c>
      <c r="K279" s="147">
        <v>0</v>
      </c>
      <c r="L279" s="147">
        <v>0</v>
      </c>
      <c r="M279" s="147">
        <v>0</v>
      </c>
      <c r="N279" s="147">
        <v>0</v>
      </c>
      <c r="O279" s="148">
        <v>0</v>
      </c>
    </row>
    <row r="280" spans="2:23" ht="15" customHeight="1" x14ac:dyDescent="0.35">
      <c r="B280" s="852" t="s">
        <v>52</v>
      </c>
      <c r="C280" s="147">
        <v>0</v>
      </c>
      <c r="D280" s="147">
        <v>0</v>
      </c>
      <c r="E280" s="147">
        <v>0</v>
      </c>
      <c r="F280" s="147">
        <v>0</v>
      </c>
      <c r="G280" s="147">
        <v>0</v>
      </c>
      <c r="H280" s="147">
        <v>0</v>
      </c>
      <c r="I280" s="147">
        <v>0</v>
      </c>
      <c r="J280" s="147">
        <v>0</v>
      </c>
      <c r="K280" s="147">
        <v>0</v>
      </c>
      <c r="L280" s="147">
        <v>0</v>
      </c>
      <c r="M280" s="147">
        <v>0</v>
      </c>
      <c r="N280" s="147">
        <v>0</v>
      </c>
      <c r="O280" s="148">
        <v>0</v>
      </c>
      <c r="P280" s="3"/>
      <c r="Q280" s="3"/>
      <c r="R280" s="3"/>
      <c r="S280" s="3"/>
      <c r="T280" s="3"/>
      <c r="U280" s="3"/>
      <c r="V280" s="3"/>
    </row>
    <row r="281" spans="2:23" x14ac:dyDescent="0.35">
      <c r="B281" s="852" t="s">
        <v>53</v>
      </c>
      <c r="C281" s="147">
        <v>0</v>
      </c>
      <c r="D281" s="147">
        <v>0</v>
      </c>
      <c r="E281" s="147">
        <v>0</v>
      </c>
      <c r="F281" s="147">
        <v>0.40500000000000003</v>
      </c>
      <c r="G281" s="147">
        <v>0</v>
      </c>
      <c r="H281" s="147">
        <v>0</v>
      </c>
      <c r="I281" s="147">
        <v>0</v>
      </c>
      <c r="J281" s="147">
        <v>0</v>
      </c>
      <c r="K281" s="147">
        <v>0</v>
      </c>
      <c r="L281" s="147">
        <v>0</v>
      </c>
      <c r="M281" s="147">
        <v>0</v>
      </c>
      <c r="N281" s="147">
        <v>0</v>
      </c>
      <c r="O281" s="148">
        <v>0.40500000000000003</v>
      </c>
    </row>
    <row r="282" spans="2:23" s="3" customFormat="1" x14ac:dyDescent="0.35">
      <c r="B282" s="852" t="s">
        <v>54</v>
      </c>
      <c r="C282" s="147">
        <v>38.265000000000001</v>
      </c>
      <c r="D282" s="147">
        <v>8.9760000000000009</v>
      </c>
      <c r="E282" s="147">
        <v>0</v>
      </c>
      <c r="F282" s="147">
        <v>0.27</v>
      </c>
      <c r="G282" s="147">
        <v>0.16200000000000001</v>
      </c>
      <c r="H282" s="147">
        <v>65.823000000000008</v>
      </c>
      <c r="I282" s="147">
        <v>0</v>
      </c>
      <c r="J282" s="147">
        <v>0</v>
      </c>
      <c r="K282" s="147">
        <v>27.91</v>
      </c>
      <c r="L282" s="147">
        <v>69.763000000000005</v>
      </c>
      <c r="M282" s="147">
        <v>46.983000000000004</v>
      </c>
      <c r="N282" s="147">
        <v>45.841000000000001</v>
      </c>
      <c r="O282" s="148">
        <v>303.99300000000005</v>
      </c>
      <c r="P282" s="324"/>
      <c r="Q282" s="324"/>
      <c r="R282" s="324"/>
      <c r="S282" s="324"/>
      <c r="T282" s="324"/>
      <c r="U282" s="324"/>
      <c r="V282" s="324"/>
    </row>
    <row r="283" spans="2:23" s="3" customFormat="1" x14ac:dyDescent="0.35">
      <c r="B283" s="852" t="s">
        <v>55</v>
      </c>
      <c r="C283" s="147">
        <v>0</v>
      </c>
      <c r="D283" s="147">
        <v>0</v>
      </c>
      <c r="E283" s="147">
        <v>0</v>
      </c>
      <c r="F283" s="147">
        <v>0</v>
      </c>
      <c r="G283" s="147">
        <v>0</v>
      </c>
      <c r="H283" s="147">
        <v>0</v>
      </c>
      <c r="I283" s="147">
        <v>0</v>
      </c>
      <c r="J283" s="147">
        <v>0</v>
      </c>
      <c r="K283" s="147">
        <v>0</v>
      </c>
      <c r="L283" s="147">
        <v>0</v>
      </c>
      <c r="M283" s="147">
        <v>0</v>
      </c>
      <c r="N283" s="147">
        <v>0</v>
      </c>
      <c r="O283" s="148">
        <v>0</v>
      </c>
    </row>
    <row r="284" spans="2:23" s="3" customFormat="1" x14ac:dyDescent="0.35">
      <c r="B284" s="852"/>
      <c r="C284" s="147"/>
      <c r="D284" s="639"/>
      <c r="E284" s="639"/>
      <c r="F284" s="639"/>
      <c r="G284" s="639"/>
      <c r="H284" s="639"/>
      <c r="I284" s="639"/>
      <c r="J284" s="639"/>
      <c r="K284" s="639"/>
      <c r="L284" s="639"/>
      <c r="M284" s="639"/>
      <c r="N284" s="639"/>
      <c r="O284" s="148"/>
    </row>
    <row r="285" spans="2:23" s="3" customFormat="1" x14ac:dyDescent="0.35">
      <c r="B285" s="431" t="s">
        <v>36</v>
      </c>
      <c r="C285" s="865">
        <v>77120.729310000082</v>
      </c>
      <c r="D285" s="854">
        <v>72356.952000000005</v>
      </c>
      <c r="E285" s="854">
        <v>74873.541809999922</v>
      </c>
      <c r="F285" s="854">
        <v>80403.099000000104</v>
      </c>
      <c r="G285" s="854">
        <v>93911.372880000228</v>
      </c>
      <c r="H285" s="854">
        <v>80115.37850000005</v>
      </c>
      <c r="I285" s="865">
        <v>63742.813499999873</v>
      </c>
      <c r="J285" s="865">
        <v>78575.672000000181</v>
      </c>
      <c r="K285" s="865">
        <v>73792.58500000005</v>
      </c>
      <c r="L285" s="865">
        <v>86479.993500000186</v>
      </c>
      <c r="M285" s="865">
        <v>78029.891000000265</v>
      </c>
      <c r="N285" s="865">
        <v>79617.933500000378</v>
      </c>
      <c r="O285" s="855">
        <v>939019.96200000134</v>
      </c>
      <c r="P285" s="328">
        <f>C285+C144</f>
        <v>92913.293310000081</v>
      </c>
      <c r="Q285" s="328">
        <f>D285+D144</f>
        <v>77226.747000000003</v>
      </c>
      <c r="R285" s="328">
        <f>E285+E144</f>
        <v>78177.886809999924</v>
      </c>
      <c r="S285" s="328">
        <f>F285+F144</f>
        <v>84998.337000000101</v>
      </c>
      <c r="T285" s="328">
        <f>G285+G144</f>
        <v>96843.167880000226</v>
      </c>
      <c r="U285" s="328">
        <f t="shared" ref="U285" si="0">H285+H144</f>
        <v>84465.718500000046</v>
      </c>
      <c r="V285" s="328">
        <f>I285+I144</f>
        <v>65998.217499999868</v>
      </c>
      <c r="W285" s="328">
        <f>SUM(P285:V285)</f>
        <v>580623.36800000037</v>
      </c>
    </row>
    <row r="286" spans="2:23" s="3" customFormat="1" x14ac:dyDescent="0.35">
      <c r="B286" s="269"/>
      <c r="C286" s="847"/>
      <c r="D286" s="848"/>
      <c r="E286" s="848"/>
      <c r="F286" s="848"/>
      <c r="G286" s="848"/>
      <c r="H286" s="848"/>
      <c r="I286" s="848"/>
      <c r="J286" s="848"/>
      <c r="K286" s="848"/>
      <c r="L286" s="848"/>
      <c r="M286" s="848"/>
      <c r="N286" s="848"/>
      <c r="O286" s="145"/>
      <c r="U286" s="329"/>
      <c r="W286" s="329">
        <f>W285/O73</f>
        <v>1.2370638795708221E-2</v>
      </c>
    </row>
    <row r="287" spans="2:23" s="3" customFormat="1" x14ac:dyDescent="0.35">
      <c r="B287" s="852" t="s">
        <v>49</v>
      </c>
      <c r="C287" s="147">
        <v>6003.52</v>
      </c>
      <c r="D287" s="639">
        <v>4859.3999999999996</v>
      </c>
      <c r="E287" s="639">
        <v>3571.4409999999993</v>
      </c>
      <c r="F287" s="639">
        <v>1152.3489999999999</v>
      </c>
      <c r="G287" s="639">
        <v>4234.1659999999983</v>
      </c>
      <c r="H287" s="639">
        <v>4368.9379999999992</v>
      </c>
      <c r="I287" s="639">
        <v>3321.032999999999</v>
      </c>
      <c r="J287" s="639">
        <v>5450.4890000000005</v>
      </c>
      <c r="K287" s="639">
        <v>7803.5119999999997</v>
      </c>
      <c r="L287" s="639">
        <v>8602.6139999999996</v>
      </c>
      <c r="M287" s="639">
        <v>4153.1250000000009</v>
      </c>
      <c r="N287" s="639">
        <v>3557.8860000000004</v>
      </c>
      <c r="O287" s="148">
        <v>57078.472999999998</v>
      </c>
    </row>
    <row r="288" spans="2:23" s="3" customFormat="1" x14ac:dyDescent="0.35">
      <c r="B288" s="852" t="s">
        <v>50</v>
      </c>
      <c r="C288" s="147">
        <v>65779.392310000068</v>
      </c>
      <c r="D288" s="639">
        <v>59545.340000000004</v>
      </c>
      <c r="E288" s="639">
        <v>66350.849809999912</v>
      </c>
      <c r="F288" s="639">
        <v>77833.051000000109</v>
      </c>
      <c r="G288" s="639">
        <v>84754.400880000248</v>
      </c>
      <c r="H288" s="639">
        <v>69049.493000000046</v>
      </c>
      <c r="I288" s="639">
        <v>54827.092999999877</v>
      </c>
      <c r="J288" s="639">
        <v>64721.701000000168</v>
      </c>
      <c r="K288" s="639">
        <v>52747.075000000055</v>
      </c>
      <c r="L288" s="639">
        <v>68160.822000000204</v>
      </c>
      <c r="M288" s="639">
        <v>64338.77400000026</v>
      </c>
      <c r="N288" s="639">
        <v>67750.799000000377</v>
      </c>
      <c r="O288" s="148">
        <v>795858.79100000113</v>
      </c>
    </row>
    <row r="289" spans="2:15" s="3" customFormat="1" x14ac:dyDescent="0.35">
      <c r="B289" s="852" t="s">
        <v>51</v>
      </c>
      <c r="C289" s="147">
        <v>182.7405</v>
      </c>
      <c r="D289" s="639">
        <v>1551.5839999999998</v>
      </c>
      <c r="E289" s="639">
        <v>1207.3899999999999</v>
      </c>
      <c r="F289" s="639">
        <v>1139.1109999999999</v>
      </c>
      <c r="G289" s="639">
        <v>857.45299999999997</v>
      </c>
      <c r="H289" s="639">
        <v>500.64899999999994</v>
      </c>
      <c r="I289" s="639">
        <v>67.8185</v>
      </c>
      <c r="J289" s="639">
        <v>0</v>
      </c>
      <c r="K289" s="639">
        <v>3301.5239999999994</v>
      </c>
      <c r="L289" s="639">
        <v>3104.4865</v>
      </c>
      <c r="M289" s="639">
        <v>1470.5539999999999</v>
      </c>
      <c r="N289" s="639">
        <v>2214.5690000000004</v>
      </c>
      <c r="O289" s="148">
        <v>15597.879499999999</v>
      </c>
    </row>
    <row r="290" spans="2:15" s="3" customFormat="1" x14ac:dyDescent="0.35">
      <c r="B290" s="852" t="s">
        <v>52</v>
      </c>
      <c r="C290" s="147">
        <v>5030.6399999999994</v>
      </c>
      <c r="D290" s="639">
        <v>6338.8000000000011</v>
      </c>
      <c r="E290" s="639">
        <v>3644.3150000000005</v>
      </c>
      <c r="F290" s="639">
        <v>192.559</v>
      </c>
      <c r="G290" s="639">
        <v>3969.0249999999996</v>
      </c>
      <c r="H290" s="639">
        <v>5793.81</v>
      </c>
      <c r="I290" s="639">
        <v>5470.2249999999995</v>
      </c>
      <c r="J290" s="639">
        <v>8390.1650000000045</v>
      </c>
      <c r="K290" s="639">
        <v>9664.0449999999983</v>
      </c>
      <c r="L290" s="639">
        <v>6447.5999999999985</v>
      </c>
      <c r="M290" s="639">
        <v>7941.9899999999989</v>
      </c>
      <c r="N290" s="639">
        <v>5898.1200000000008</v>
      </c>
      <c r="O290" s="148">
        <v>68781.293999999994</v>
      </c>
    </row>
    <row r="291" spans="2:15" s="3" customFormat="1" x14ac:dyDescent="0.35">
      <c r="B291" s="852" t="s">
        <v>53</v>
      </c>
      <c r="C291" s="147">
        <v>27.9315</v>
      </c>
      <c r="D291" s="639">
        <v>52.851999999999997</v>
      </c>
      <c r="E291" s="639">
        <v>99.545999999999992</v>
      </c>
      <c r="F291" s="639">
        <v>85.758999999999986</v>
      </c>
      <c r="G291" s="639">
        <v>96.165999999999997</v>
      </c>
      <c r="H291" s="639">
        <v>81.022499999999994</v>
      </c>
      <c r="I291" s="639">
        <v>56.643999999999998</v>
      </c>
      <c r="J291" s="639">
        <v>13.317</v>
      </c>
      <c r="K291" s="639">
        <v>161.17899999999997</v>
      </c>
      <c r="L291" s="639">
        <v>94.707999999999998</v>
      </c>
      <c r="M291" s="639">
        <v>77.906000000000006</v>
      </c>
      <c r="N291" s="639">
        <v>122.37350000000001</v>
      </c>
      <c r="O291" s="148">
        <v>969.40449999999998</v>
      </c>
    </row>
    <row r="292" spans="2:15" s="3" customFormat="1" x14ac:dyDescent="0.35">
      <c r="B292" s="852" t="s">
        <v>54</v>
      </c>
      <c r="C292" s="147">
        <v>96.504999999999995</v>
      </c>
      <c r="D292" s="639">
        <v>8.9760000000000009</v>
      </c>
      <c r="E292" s="639">
        <v>0</v>
      </c>
      <c r="F292" s="639">
        <v>0.27</v>
      </c>
      <c r="G292" s="639">
        <v>0.16200000000000001</v>
      </c>
      <c r="H292" s="639">
        <v>321.46600000000001</v>
      </c>
      <c r="I292" s="639">
        <v>0</v>
      </c>
      <c r="J292" s="639">
        <v>0</v>
      </c>
      <c r="K292" s="639">
        <v>115.25</v>
      </c>
      <c r="L292" s="639">
        <v>69.763000000000005</v>
      </c>
      <c r="M292" s="639">
        <v>47.542000000000002</v>
      </c>
      <c r="N292" s="639">
        <v>74.186000000000007</v>
      </c>
      <c r="O292" s="148">
        <v>734.12000000000012</v>
      </c>
    </row>
    <row r="293" spans="2:15" s="3" customFormat="1" x14ac:dyDescent="0.35">
      <c r="B293" s="858" t="s">
        <v>55</v>
      </c>
      <c r="C293" s="866">
        <v>0</v>
      </c>
      <c r="D293" s="867">
        <v>0</v>
      </c>
      <c r="E293" s="867">
        <v>0</v>
      </c>
      <c r="F293" s="867">
        <v>0</v>
      </c>
      <c r="G293" s="867">
        <v>0</v>
      </c>
      <c r="H293" s="867">
        <v>0</v>
      </c>
      <c r="I293" s="867">
        <v>0</v>
      </c>
      <c r="J293" s="867">
        <v>0</v>
      </c>
      <c r="K293" s="867">
        <v>0</v>
      </c>
      <c r="L293" s="867">
        <v>0</v>
      </c>
      <c r="M293" s="867">
        <v>0</v>
      </c>
      <c r="N293" s="867">
        <v>0</v>
      </c>
      <c r="O293" s="861">
        <v>0</v>
      </c>
    </row>
    <row r="294" spans="2:15" s="3" customFormat="1" x14ac:dyDescent="0.35">
      <c r="B294" s="117"/>
      <c r="C294" s="133"/>
      <c r="D294" s="133"/>
      <c r="E294" s="133"/>
      <c r="F294" s="133"/>
      <c r="G294" s="133"/>
      <c r="H294" s="133"/>
      <c r="I294" s="133"/>
      <c r="J294" s="133"/>
      <c r="K294" s="133"/>
      <c r="L294" s="133"/>
      <c r="M294" s="133"/>
      <c r="N294" s="133"/>
      <c r="O294" s="134"/>
    </row>
    <row r="295" spans="2:15" s="3" customFormat="1" x14ac:dyDescent="0.35">
      <c r="B295" s="1069" t="s">
        <v>367</v>
      </c>
      <c r="C295" s="1069"/>
      <c r="D295" s="1069"/>
      <c r="E295" s="1069"/>
      <c r="F295" s="1069"/>
      <c r="G295" s="1069"/>
      <c r="H295" s="1069"/>
      <c r="I295" s="1069"/>
      <c r="J295" s="1069"/>
      <c r="K295" s="1069"/>
      <c r="L295" s="1069"/>
      <c r="M295" s="555">
        <v>2025</v>
      </c>
      <c r="N295" s="125"/>
      <c r="O295" s="125"/>
    </row>
    <row r="296" spans="2:15" s="3" customFormat="1" x14ac:dyDescent="0.35">
      <c r="B296" s="158"/>
      <c r="C296" s="159"/>
      <c r="D296" s="159"/>
      <c r="E296" s="159"/>
      <c r="F296" s="159"/>
      <c r="G296" s="159"/>
      <c r="H296" s="159"/>
      <c r="I296" s="159"/>
      <c r="J296" s="159"/>
      <c r="K296" s="159"/>
      <c r="L296" s="159"/>
      <c r="M296" s="159"/>
      <c r="N296" s="159"/>
      <c r="O296" s="160"/>
    </row>
    <row r="297" spans="2:15" s="3" customFormat="1" ht="15" customHeight="1" x14ac:dyDescent="0.35">
      <c r="B297" s="1074" t="s">
        <v>13</v>
      </c>
      <c r="C297" s="1074" t="s">
        <v>0</v>
      </c>
      <c r="D297" s="1074" t="s">
        <v>1</v>
      </c>
      <c r="E297" s="1074" t="s">
        <v>2</v>
      </c>
      <c r="F297" s="1074" t="s">
        <v>3</v>
      </c>
      <c r="G297" s="1074" t="s">
        <v>4</v>
      </c>
      <c r="H297" s="1074" t="s">
        <v>5</v>
      </c>
      <c r="I297" s="1074" t="s">
        <v>6</v>
      </c>
      <c r="J297" s="1074" t="s">
        <v>7</v>
      </c>
      <c r="K297" s="1074" t="s">
        <v>8</v>
      </c>
      <c r="L297" s="1074" t="s">
        <v>9</v>
      </c>
      <c r="M297" s="1074" t="s">
        <v>10</v>
      </c>
      <c r="N297" s="1074" t="s">
        <v>14</v>
      </c>
      <c r="O297" s="1074" t="s">
        <v>15</v>
      </c>
    </row>
    <row r="298" spans="2:15" s="3" customFormat="1" ht="15" customHeight="1" x14ac:dyDescent="0.35">
      <c r="B298" s="1080"/>
      <c r="C298" s="1080"/>
      <c r="D298" s="1080"/>
      <c r="E298" s="1080"/>
      <c r="F298" s="1080"/>
      <c r="G298" s="1080"/>
      <c r="H298" s="1080"/>
      <c r="I298" s="1080"/>
      <c r="J298" s="1080"/>
      <c r="K298" s="1080"/>
      <c r="L298" s="1080"/>
      <c r="M298" s="1079"/>
      <c r="N298" s="1079"/>
      <c r="O298" s="1081"/>
    </row>
    <row r="299" spans="2:15" s="3" customFormat="1" x14ac:dyDescent="0.35">
      <c r="B299" s="107"/>
      <c r="C299" s="632">
        <v>0</v>
      </c>
      <c r="D299" s="632">
        <v>0</v>
      </c>
      <c r="E299" s="632">
        <v>0</v>
      </c>
      <c r="F299" s="632">
        <v>0</v>
      </c>
      <c r="G299" s="632">
        <v>-2.0372681319713593E-10</v>
      </c>
      <c r="H299" s="632">
        <v>0</v>
      </c>
      <c r="I299" s="632">
        <v>0</v>
      </c>
      <c r="J299" s="632">
        <v>0</v>
      </c>
      <c r="K299" s="632">
        <v>-1.3096723705530167E-10</v>
      </c>
      <c r="L299" s="632">
        <v>0</v>
      </c>
      <c r="M299" s="632">
        <v>0</v>
      </c>
      <c r="N299" s="632">
        <v>0</v>
      </c>
      <c r="O299" s="161"/>
    </row>
    <row r="300" spans="2:15" s="3" customFormat="1" x14ac:dyDescent="0.35">
      <c r="B300" s="647" t="s">
        <v>47</v>
      </c>
      <c r="C300" s="162">
        <v>76651.129310000062</v>
      </c>
      <c r="D300" s="162">
        <v>70811.967000000019</v>
      </c>
      <c r="E300" s="162">
        <v>74292.221809999886</v>
      </c>
      <c r="F300" s="162">
        <v>80263.659000000072</v>
      </c>
      <c r="G300" s="162">
        <v>93731.882880000019</v>
      </c>
      <c r="H300" s="162">
        <v>79661.245500000019</v>
      </c>
      <c r="I300" s="162">
        <v>63521.53349999983</v>
      </c>
      <c r="J300" s="162">
        <v>78190.827000000136</v>
      </c>
      <c r="K300" s="162">
        <v>73537.014999999912</v>
      </c>
      <c r="L300" s="162">
        <v>84153.940500000215</v>
      </c>
      <c r="M300" s="162">
        <v>77718.758000000249</v>
      </c>
      <c r="N300" s="162">
        <v>78758.096500000363</v>
      </c>
      <c r="O300" s="163">
        <v>931292.27600000089</v>
      </c>
    </row>
    <row r="301" spans="2:15" s="3" customFormat="1" x14ac:dyDescent="0.35">
      <c r="B301" s="676"/>
      <c r="C301" s="881"/>
      <c r="D301" s="881"/>
      <c r="E301" s="881"/>
      <c r="F301" s="881"/>
      <c r="G301" s="881"/>
      <c r="H301" s="881"/>
      <c r="I301" s="882"/>
      <c r="J301" s="882"/>
      <c r="K301" s="882"/>
      <c r="L301" s="882"/>
      <c r="M301" s="882"/>
      <c r="N301" s="882"/>
      <c r="O301" s="164"/>
    </row>
    <row r="302" spans="2:15" s="3" customFormat="1" x14ac:dyDescent="0.35">
      <c r="B302" s="650" t="s">
        <v>60</v>
      </c>
      <c r="C302" s="139">
        <v>75220.757310000059</v>
      </c>
      <c r="D302" s="139">
        <v>67821.050000000017</v>
      </c>
      <c r="E302" s="139">
        <v>72766.09780999989</v>
      </c>
      <c r="F302" s="139">
        <v>78011.55500000008</v>
      </c>
      <c r="G302" s="139">
        <v>91405.368880000024</v>
      </c>
      <c r="H302" s="139">
        <v>77741.815500000026</v>
      </c>
      <c r="I302" s="139">
        <v>61345.769499999835</v>
      </c>
      <c r="J302" s="139">
        <v>75450.246000000145</v>
      </c>
      <c r="K302" s="139">
        <v>71465.282999999908</v>
      </c>
      <c r="L302" s="139">
        <v>80845.326500000214</v>
      </c>
      <c r="M302" s="139">
        <v>75125.242000000246</v>
      </c>
      <c r="N302" s="139">
        <v>75262.751500000362</v>
      </c>
      <c r="O302" s="164">
        <v>902461.26300000085</v>
      </c>
    </row>
    <row r="303" spans="2:15" s="3" customFormat="1" x14ac:dyDescent="0.35">
      <c r="B303" s="653" t="s">
        <v>218</v>
      </c>
      <c r="C303" s="131">
        <v>59096.611310000058</v>
      </c>
      <c r="D303" s="131">
        <v>51958.840000000018</v>
      </c>
      <c r="E303" s="131">
        <v>53633.216809999889</v>
      </c>
      <c r="F303" s="131">
        <v>70870.399000000078</v>
      </c>
      <c r="G303" s="131">
        <v>74419.699880000015</v>
      </c>
      <c r="H303" s="131">
        <v>65720.447000000029</v>
      </c>
      <c r="I303" s="131">
        <v>52832.412999999833</v>
      </c>
      <c r="J303" s="131">
        <v>61280.126000000142</v>
      </c>
      <c r="K303" s="131">
        <v>48768.851999999919</v>
      </c>
      <c r="L303" s="131">
        <v>63275.737000000212</v>
      </c>
      <c r="M303" s="131">
        <v>58945.105000000243</v>
      </c>
      <c r="N303" s="131">
        <v>58351.985000000357</v>
      </c>
      <c r="O303" s="165">
        <v>719153.43200000073</v>
      </c>
    </row>
    <row r="304" spans="2:15" s="3" customFormat="1" x14ac:dyDescent="0.35">
      <c r="B304" s="653" t="s">
        <v>219</v>
      </c>
      <c r="C304" s="166">
        <v>16124.146000000001</v>
      </c>
      <c r="D304" s="166">
        <v>15862.210000000001</v>
      </c>
      <c r="E304" s="166">
        <v>19132.881000000001</v>
      </c>
      <c r="F304" s="166">
        <v>7141.155999999999</v>
      </c>
      <c r="G304" s="166">
        <v>16985.669000000002</v>
      </c>
      <c r="H304" s="166">
        <v>12021.3685</v>
      </c>
      <c r="I304" s="166">
        <v>8513.3564999999999</v>
      </c>
      <c r="J304" s="166">
        <v>14170.120000000004</v>
      </c>
      <c r="K304" s="166">
        <v>22696.430999999997</v>
      </c>
      <c r="L304" s="166">
        <v>17569.589500000002</v>
      </c>
      <c r="M304" s="166">
        <v>16180.136999999999</v>
      </c>
      <c r="N304" s="166">
        <v>16910.766499999998</v>
      </c>
      <c r="O304" s="165">
        <v>183307.83099999998</v>
      </c>
    </row>
    <row r="305" spans="2:15" s="3" customFormat="1" x14ac:dyDescent="0.35">
      <c r="B305" s="650" t="s">
        <v>61</v>
      </c>
      <c r="C305" s="139">
        <v>1430.3719999999996</v>
      </c>
      <c r="D305" s="139">
        <v>2990.9169999999986</v>
      </c>
      <c r="E305" s="139">
        <v>1526.1239999999991</v>
      </c>
      <c r="F305" s="139">
        <v>2252.1039999999989</v>
      </c>
      <c r="G305" s="139">
        <v>2326.5139999999992</v>
      </c>
      <c r="H305" s="139">
        <v>1919.4299999999992</v>
      </c>
      <c r="I305" s="139">
        <v>2175.7639999999983</v>
      </c>
      <c r="J305" s="139">
        <v>2740.5809999999979</v>
      </c>
      <c r="K305" s="139">
        <v>2071.7319999999995</v>
      </c>
      <c r="L305" s="139">
        <v>3308.6139999999991</v>
      </c>
      <c r="M305" s="139">
        <v>2593.5159999999983</v>
      </c>
      <c r="N305" s="139">
        <v>3495.344999999998</v>
      </c>
      <c r="O305" s="164">
        <v>28831.012999999984</v>
      </c>
    </row>
    <row r="306" spans="2:15" s="3" customFormat="1" x14ac:dyDescent="0.35">
      <c r="B306" s="653" t="s">
        <v>218</v>
      </c>
      <c r="C306" s="131">
        <v>1430.3719999999996</v>
      </c>
      <c r="D306" s="131">
        <v>2990.9169999999986</v>
      </c>
      <c r="E306" s="131">
        <v>1526.1239999999991</v>
      </c>
      <c r="F306" s="131">
        <v>2252.1039999999989</v>
      </c>
      <c r="G306" s="131">
        <v>2326.5139999999992</v>
      </c>
      <c r="H306" s="131">
        <v>1919.4299999999992</v>
      </c>
      <c r="I306" s="131">
        <v>2175.7639999999983</v>
      </c>
      <c r="J306" s="131">
        <v>2740.5809999999979</v>
      </c>
      <c r="K306" s="131">
        <v>2071.7319999999995</v>
      </c>
      <c r="L306" s="131">
        <v>3308.6139999999991</v>
      </c>
      <c r="M306" s="131">
        <v>2593.5159999999983</v>
      </c>
      <c r="N306" s="131">
        <v>3495.344999999998</v>
      </c>
      <c r="O306" s="165">
        <v>28831.012999999984</v>
      </c>
    </row>
    <row r="307" spans="2:15" s="3" customFormat="1" x14ac:dyDescent="0.35">
      <c r="B307" s="653" t="s">
        <v>219</v>
      </c>
      <c r="C307" s="883">
        <v>0</v>
      </c>
      <c r="D307" s="883">
        <v>0</v>
      </c>
      <c r="E307" s="883">
        <v>0</v>
      </c>
      <c r="F307" s="883">
        <v>0</v>
      </c>
      <c r="G307" s="883">
        <v>0</v>
      </c>
      <c r="H307" s="883">
        <v>0</v>
      </c>
      <c r="I307" s="883">
        <v>0</v>
      </c>
      <c r="J307" s="883">
        <v>0</v>
      </c>
      <c r="K307" s="883">
        <v>0</v>
      </c>
      <c r="L307" s="883">
        <v>0</v>
      </c>
      <c r="M307" s="883">
        <v>0</v>
      </c>
      <c r="N307" s="883">
        <v>0</v>
      </c>
      <c r="O307" s="165">
        <v>0</v>
      </c>
    </row>
    <row r="308" spans="2:15" s="3" customFormat="1" x14ac:dyDescent="0.35">
      <c r="B308" s="653"/>
      <c r="C308" s="632">
        <v>0</v>
      </c>
      <c r="D308" s="632">
        <v>0</v>
      </c>
      <c r="E308" s="632">
        <v>0</v>
      </c>
      <c r="F308" s="632">
        <v>0</v>
      </c>
      <c r="G308" s="632">
        <v>0</v>
      </c>
      <c r="H308" s="632">
        <v>0</v>
      </c>
      <c r="I308" s="632">
        <v>0</v>
      </c>
      <c r="J308" s="632">
        <v>0</v>
      </c>
      <c r="K308" s="632">
        <v>0</v>
      </c>
      <c r="L308" s="632">
        <v>0</v>
      </c>
      <c r="M308" s="632">
        <v>0</v>
      </c>
      <c r="N308" s="632">
        <v>0</v>
      </c>
      <c r="O308" s="884"/>
    </row>
    <row r="309" spans="2:15" s="3" customFormat="1" x14ac:dyDescent="0.35">
      <c r="B309" s="647" t="s">
        <v>56</v>
      </c>
      <c r="C309" s="162">
        <v>469.60000000000014</v>
      </c>
      <c r="D309" s="162">
        <v>1544.9849999999999</v>
      </c>
      <c r="E309" s="162">
        <v>581.32000000000005</v>
      </c>
      <c r="F309" s="162">
        <v>139.44000000000003</v>
      </c>
      <c r="G309" s="162">
        <v>179.49</v>
      </c>
      <c r="H309" s="162">
        <v>454.13300000000004</v>
      </c>
      <c r="I309" s="162">
        <v>221.28</v>
      </c>
      <c r="J309" s="162">
        <v>384.84499999999997</v>
      </c>
      <c r="K309" s="162">
        <v>255.57</v>
      </c>
      <c r="L309" s="162">
        <v>2326.0529999999999</v>
      </c>
      <c r="M309" s="162">
        <v>311.13300000000004</v>
      </c>
      <c r="N309" s="162">
        <v>859.83699999999999</v>
      </c>
      <c r="O309" s="163">
        <v>7727.6859999999997</v>
      </c>
    </row>
    <row r="310" spans="2:15" s="3" customFormat="1" x14ac:dyDescent="0.35">
      <c r="B310" s="676"/>
      <c r="C310" s="881"/>
      <c r="D310" s="881"/>
      <c r="E310" s="881"/>
      <c r="F310" s="881"/>
      <c r="G310" s="881"/>
      <c r="H310" s="881"/>
      <c r="I310" s="882"/>
      <c r="J310" s="882"/>
      <c r="K310" s="882"/>
      <c r="L310" s="882"/>
      <c r="M310" s="882"/>
      <c r="N310" s="882"/>
      <c r="O310" s="164"/>
    </row>
    <row r="311" spans="2:15" s="3" customFormat="1" x14ac:dyDescent="0.35">
      <c r="B311" s="650" t="s">
        <v>60</v>
      </c>
      <c r="C311" s="139">
        <v>469.60000000000014</v>
      </c>
      <c r="D311" s="139">
        <v>1544.9849999999999</v>
      </c>
      <c r="E311" s="139">
        <v>581.32000000000005</v>
      </c>
      <c r="F311" s="139">
        <v>139.44000000000003</v>
      </c>
      <c r="G311" s="139">
        <v>179.49</v>
      </c>
      <c r="H311" s="139">
        <v>454.13300000000004</v>
      </c>
      <c r="I311" s="139">
        <v>221.28</v>
      </c>
      <c r="J311" s="139">
        <v>384.84499999999997</v>
      </c>
      <c r="K311" s="139">
        <v>255.57</v>
      </c>
      <c r="L311" s="139">
        <v>2326.0529999999999</v>
      </c>
      <c r="M311" s="139">
        <v>311.13300000000004</v>
      </c>
      <c r="N311" s="139">
        <v>859.83699999999999</v>
      </c>
      <c r="O311" s="164">
        <v>7727.6859999999997</v>
      </c>
    </row>
    <row r="312" spans="2:15" s="3" customFormat="1" x14ac:dyDescent="0.35">
      <c r="B312" s="653" t="s">
        <v>218</v>
      </c>
      <c r="C312" s="131">
        <v>469.60000000000014</v>
      </c>
      <c r="D312" s="131">
        <v>1544.9849999999999</v>
      </c>
      <c r="E312" s="131">
        <v>581.32000000000005</v>
      </c>
      <c r="F312" s="131">
        <v>139.44000000000003</v>
      </c>
      <c r="G312" s="131">
        <v>179.49</v>
      </c>
      <c r="H312" s="131">
        <v>454.13300000000004</v>
      </c>
      <c r="I312" s="131">
        <v>221.28</v>
      </c>
      <c r="J312" s="131">
        <v>384.84499999999997</v>
      </c>
      <c r="K312" s="131">
        <v>255.57</v>
      </c>
      <c r="L312" s="131">
        <v>2326.0529999999999</v>
      </c>
      <c r="M312" s="131">
        <v>311.13300000000004</v>
      </c>
      <c r="N312" s="131">
        <v>859.83699999999999</v>
      </c>
      <c r="O312" s="165">
        <v>7727.6859999999997</v>
      </c>
    </row>
    <row r="313" spans="2:15" s="3" customFormat="1" x14ac:dyDescent="0.35">
      <c r="B313" s="653" t="s">
        <v>219</v>
      </c>
      <c r="C313" s="166">
        <v>0</v>
      </c>
      <c r="D313" s="166">
        <v>0</v>
      </c>
      <c r="E313" s="166">
        <v>0</v>
      </c>
      <c r="F313" s="166">
        <v>0</v>
      </c>
      <c r="G313" s="166">
        <v>0</v>
      </c>
      <c r="H313" s="166">
        <v>0</v>
      </c>
      <c r="I313" s="166">
        <v>0</v>
      </c>
      <c r="J313" s="166">
        <v>0</v>
      </c>
      <c r="K313" s="166">
        <v>0</v>
      </c>
      <c r="L313" s="166">
        <v>0</v>
      </c>
      <c r="M313" s="166">
        <v>0</v>
      </c>
      <c r="N313" s="166">
        <v>0</v>
      </c>
      <c r="O313" s="165">
        <v>0</v>
      </c>
    </row>
    <row r="314" spans="2:15" s="3" customFormat="1" x14ac:dyDescent="0.35">
      <c r="B314" s="650" t="s">
        <v>61</v>
      </c>
      <c r="C314" s="139">
        <v>0</v>
      </c>
      <c r="D314" s="139">
        <v>0</v>
      </c>
      <c r="E314" s="139">
        <v>0</v>
      </c>
      <c r="F314" s="139">
        <v>0</v>
      </c>
      <c r="G314" s="139">
        <v>0</v>
      </c>
      <c r="H314" s="139">
        <v>0</v>
      </c>
      <c r="I314" s="139">
        <v>0</v>
      </c>
      <c r="J314" s="139">
        <v>0</v>
      </c>
      <c r="K314" s="139">
        <v>0</v>
      </c>
      <c r="L314" s="139">
        <v>0</v>
      </c>
      <c r="M314" s="139">
        <v>0</v>
      </c>
      <c r="N314" s="139">
        <v>0</v>
      </c>
      <c r="O314" s="164">
        <v>0</v>
      </c>
    </row>
    <row r="315" spans="2:15" s="3" customFormat="1" x14ac:dyDescent="0.35">
      <c r="B315" s="653" t="s">
        <v>218</v>
      </c>
      <c r="C315" s="131">
        <v>0</v>
      </c>
      <c r="D315" s="131">
        <v>0</v>
      </c>
      <c r="E315" s="131">
        <v>0</v>
      </c>
      <c r="F315" s="131">
        <v>0</v>
      </c>
      <c r="G315" s="131">
        <v>0</v>
      </c>
      <c r="H315" s="131">
        <v>0</v>
      </c>
      <c r="I315" s="131">
        <v>0</v>
      </c>
      <c r="J315" s="131">
        <v>0</v>
      </c>
      <c r="K315" s="131">
        <v>0</v>
      </c>
      <c r="L315" s="131">
        <v>0</v>
      </c>
      <c r="M315" s="131">
        <v>0</v>
      </c>
      <c r="N315" s="131">
        <v>0</v>
      </c>
      <c r="O315" s="165">
        <v>0</v>
      </c>
    </row>
    <row r="316" spans="2:15" s="3" customFormat="1" x14ac:dyDescent="0.35">
      <c r="B316" s="653" t="s">
        <v>219</v>
      </c>
      <c r="C316" s="883">
        <v>0</v>
      </c>
      <c r="D316" s="883">
        <v>0</v>
      </c>
      <c r="E316" s="883">
        <v>0</v>
      </c>
      <c r="F316" s="883">
        <v>0</v>
      </c>
      <c r="G316" s="883">
        <v>0</v>
      </c>
      <c r="H316" s="883">
        <v>0</v>
      </c>
      <c r="I316" s="883">
        <v>0</v>
      </c>
      <c r="J316" s="883">
        <v>0</v>
      </c>
      <c r="K316" s="883">
        <v>0</v>
      </c>
      <c r="L316" s="883">
        <v>0</v>
      </c>
      <c r="M316" s="883">
        <v>0</v>
      </c>
      <c r="N316" s="883">
        <v>0</v>
      </c>
      <c r="O316" s="165">
        <v>0</v>
      </c>
    </row>
    <row r="317" spans="2:15" s="3" customFormat="1" x14ac:dyDescent="0.35">
      <c r="B317" s="653"/>
      <c r="C317" s="168"/>
      <c r="D317" s="168"/>
      <c r="E317" s="168"/>
      <c r="F317" s="168"/>
      <c r="G317" s="168"/>
      <c r="H317" s="168"/>
      <c r="I317" s="168"/>
      <c r="J317" s="168"/>
      <c r="K317" s="168"/>
      <c r="L317" s="168"/>
      <c r="M317" s="168"/>
      <c r="N317" s="168"/>
      <c r="O317" s="165"/>
    </row>
    <row r="318" spans="2:15" s="3" customFormat="1" x14ac:dyDescent="0.35">
      <c r="B318" s="431" t="s">
        <v>36</v>
      </c>
      <c r="C318" s="178">
        <v>77120.729310000068</v>
      </c>
      <c r="D318" s="178">
        <v>72356.952000000019</v>
      </c>
      <c r="E318" s="178">
        <v>74873.541809999893</v>
      </c>
      <c r="F318" s="178">
        <v>80403.099000000075</v>
      </c>
      <c r="G318" s="178">
        <v>93911.372880000024</v>
      </c>
      <c r="H318" s="178">
        <v>80115.378500000021</v>
      </c>
      <c r="I318" s="178">
        <v>63742.813499999829</v>
      </c>
      <c r="J318" s="178">
        <v>78575.672000000137</v>
      </c>
      <c r="K318" s="178">
        <v>73792.584999999919</v>
      </c>
      <c r="L318" s="178">
        <v>86479.993500000215</v>
      </c>
      <c r="M318" s="178">
        <v>78029.891000000251</v>
      </c>
      <c r="N318" s="178">
        <v>79617.933500000363</v>
      </c>
      <c r="O318" s="179">
        <v>939019.96200000087</v>
      </c>
    </row>
    <row r="319" spans="2:15" s="3" customFormat="1" x14ac:dyDescent="0.35">
      <c r="B319" s="318"/>
      <c r="C319" s="169"/>
      <c r="D319" s="169"/>
      <c r="E319" s="169"/>
      <c r="F319" s="169"/>
      <c r="G319" s="169"/>
      <c r="H319" s="169"/>
      <c r="I319" s="169"/>
      <c r="J319" s="169"/>
      <c r="K319" s="169"/>
      <c r="L319" s="169"/>
      <c r="M319" s="169"/>
      <c r="N319" s="169"/>
      <c r="O319" s="130"/>
    </row>
    <row r="320" spans="2:15" s="3" customFormat="1" x14ac:dyDescent="0.35">
      <c r="B320" s="650" t="s">
        <v>60</v>
      </c>
      <c r="C320" s="139">
        <v>75690.357310000065</v>
      </c>
      <c r="D320" s="139">
        <v>69366.035000000018</v>
      </c>
      <c r="E320" s="139">
        <v>73347.417809999897</v>
      </c>
      <c r="F320" s="139">
        <v>78150.995000000083</v>
      </c>
      <c r="G320" s="139">
        <v>91584.858880000029</v>
      </c>
      <c r="H320" s="139">
        <v>78195.948500000028</v>
      </c>
      <c r="I320" s="139">
        <v>61567.049499999834</v>
      </c>
      <c r="J320" s="139">
        <v>75835.091000000146</v>
      </c>
      <c r="K320" s="139">
        <v>71720.852999999915</v>
      </c>
      <c r="L320" s="139">
        <v>83171.379500000214</v>
      </c>
      <c r="M320" s="139">
        <v>75436.375000000247</v>
      </c>
      <c r="N320" s="139">
        <v>76122.588500000362</v>
      </c>
      <c r="O320" s="164">
        <v>910188.94900000072</v>
      </c>
    </row>
    <row r="321" spans="2:22" ht="15" customHeight="1" x14ac:dyDescent="0.35">
      <c r="B321" s="653" t="s">
        <v>218</v>
      </c>
      <c r="C321" s="166">
        <v>59566.211310000057</v>
      </c>
      <c r="D321" s="166">
        <v>53503.825000000019</v>
      </c>
      <c r="E321" s="166">
        <v>54214.536809999889</v>
      </c>
      <c r="F321" s="166">
        <v>71009.83900000008</v>
      </c>
      <c r="G321" s="166">
        <v>74599.18988000002</v>
      </c>
      <c r="H321" s="166">
        <v>66174.580000000031</v>
      </c>
      <c r="I321" s="166">
        <v>53053.692999999832</v>
      </c>
      <c r="J321" s="166">
        <v>61664.971000000143</v>
      </c>
      <c r="K321" s="166">
        <v>49024.421999999919</v>
      </c>
      <c r="L321" s="166">
        <v>65601.790000000212</v>
      </c>
      <c r="M321" s="166">
        <v>59256.238000000245</v>
      </c>
      <c r="N321" s="166">
        <v>59211.822000000357</v>
      </c>
      <c r="O321" s="165">
        <v>726881.11800000083</v>
      </c>
      <c r="P321" s="3"/>
      <c r="Q321" s="3"/>
      <c r="R321" s="3"/>
      <c r="S321" s="3"/>
      <c r="T321" s="3"/>
      <c r="U321" s="3"/>
      <c r="V321" s="3"/>
    </row>
    <row r="322" spans="2:22" ht="28.5" customHeight="1" x14ac:dyDescent="0.35">
      <c r="B322" s="653" t="s">
        <v>219</v>
      </c>
      <c r="C322" s="166">
        <v>16124.146000000001</v>
      </c>
      <c r="D322" s="166">
        <v>15862.210000000001</v>
      </c>
      <c r="E322" s="166">
        <v>19132.881000000001</v>
      </c>
      <c r="F322" s="166">
        <v>7141.155999999999</v>
      </c>
      <c r="G322" s="166">
        <v>16985.669000000002</v>
      </c>
      <c r="H322" s="166">
        <v>12021.3685</v>
      </c>
      <c r="I322" s="166">
        <v>8513.3564999999999</v>
      </c>
      <c r="J322" s="166">
        <v>14170.120000000004</v>
      </c>
      <c r="K322" s="166">
        <v>22696.430999999997</v>
      </c>
      <c r="L322" s="166">
        <v>17569.589500000002</v>
      </c>
      <c r="M322" s="166">
        <v>16180.136999999999</v>
      </c>
      <c r="N322" s="166">
        <v>16910.766499999998</v>
      </c>
      <c r="O322" s="165">
        <v>183307.83099999998</v>
      </c>
    </row>
    <row r="323" spans="2:22" s="3" customFormat="1" x14ac:dyDescent="0.35">
      <c r="B323" s="650" t="s">
        <v>61</v>
      </c>
      <c r="C323" s="139">
        <v>1430.3719999999996</v>
      </c>
      <c r="D323" s="139">
        <v>2990.9169999999986</v>
      </c>
      <c r="E323" s="139">
        <v>1526.1239999999991</v>
      </c>
      <c r="F323" s="139">
        <v>2252.1039999999989</v>
      </c>
      <c r="G323" s="139">
        <v>2326.5139999999992</v>
      </c>
      <c r="H323" s="139">
        <v>1919.4299999999992</v>
      </c>
      <c r="I323" s="139">
        <v>2175.7639999999983</v>
      </c>
      <c r="J323" s="139">
        <v>2740.5809999999979</v>
      </c>
      <c r="K323" s="139">
        <v>2071.7319999999995</v>
      </c>
      <c r="L323" s="139">
        <v>3308.6139999999991</v>
      </c>
      <c r="M323" s="139">
        <v>2593.5159999999983</v>
      </c>
      <c r="N323" s="139">
        <v>3495.344999999998</v>
      </c>
      <c r="O323" s="164">
        <v>28831.012999999984</v>
      </c>
      <c r="P323" s="324"/>
      <c r="Q323" s="324"/>
      <c r="R323" s="324"/>
      <c r="S323" s="324"/>
      <c r="T323" s="324"/>
      <c r="U323" s="324"/>
      <c r="V323" s="324"/>
    </row>
    <row r="324" spans="2:22" s="3" customFormat="1" x14ac:dyDescent="0.35">
      <c r="B324" s="653" t="s">
        <v>218</v>
      </c>
      <c r="C324" s="166">
        <v>1430.3719999999996</v>
      </c>
      <c r="D324" s="166">
        <v>2990.9169999999986</v>
      </c>
      <c r="E324" s="166">
        <v>1526.1239999999991</v>
      </c>
      <c r="F324" s="166">
        <v>2252.1039999999989</v>
      </c>
      <c r="G324" s="166">
        <v>2326.5139999999992</v>
      </c>
      <c r="H324" s="166">
        <v>1919.4299999999992</v>
      </c>
      <c r="I324" s="166">
        <v>2175.7639999999983</v>
      </c>
      <c r="J324" s="166">
        <v>2740.5809999999979</v>
      </c>
      <c r="K324" s="166">
        <v>2071.7319999999995</v>
      </c>
      <c r="L324" s="166">
        <v>3308.6139999999991</v>
      </c>
      <c r="M324" s="166">
        <v>2593.5159999999983</v>
      </c>
      <c r="N324" s="166">
        <v>3495.344999999998</v>
      </c>
      <c r="O324" s="165">
        <v>28831.012999999984</v>
      </c>
    </row>
    <row r="325" spans="2:22" s="3" customFormat="1" x14ac:dyDescent="0.35">
      <c r="B325" s="653" t="s">
        <v>219</v>
      </c>
      <c r="C325" s="166">
        <v>0</v>
      </c>
      <c r="D325" s="166">
        <v>0</v>
      </c>
      <c r="E325" s="166">
        <v>0</v>
      </c>
      <c r="F325" s="166">
        <v>0</v>
      </c>
      <c r="G325" s="166">
        <v>0</v>
      </c>
      <c r="H325" s="166">
        <v>0</v>
      </c>
      <c r="I325" s="166">
        <v>0</v>
      </c>
      <c r="J325" s="166">
        <v>0</v>
      </c>
      <c r="K325" s="166">
        <v>0</v>
      </c>
      <c r="L325" s="166">
        <v>0</v>
      </c>
      <c r="M325" s="166">
        <v>0</v>
      </c>
      <c r="N325" s="166">
        <v>0</v>
      </c>
      <c r="O325" s="165">
        <v>0</v>
      </c>
    </row>
    <row r="326" spans="2:22" s="3" customFormat="1" x14ac:dyDescent="0.35">
      <c r="B326" s="170"/>
      <c r="C326" s="885"/>
      <c r="D326" s="886"/>
      <c r="E326" s="886"/>
      <c r="F326" s="886"/>
      <c r="G326" s="886"/>
      <c r="H326" s="886"/>
      <c r="I326" s="885"/>
      <c r="J326" s="886"/>
      <c r="K326" s="886"/>
      <c r="L326" s="886"/>
      <c r="M326" s="886"/>
      <c r="N326" s="886"/>
      <c r="O326" s="170"/>
    </row>
    <row r="327" spans="2:22" s="3" customFormat="1" x14ac:dyDescent="0.35">
      <c r="B327" s="117"/>
      <c r="C327" s="171">
        <f>+C318+C144</f>
        <v>92913.293310000066</v>
      </c>
      <c r="D327" s="171">
        <f t="shared" ref="D327:N327" si="1">+D318+D144</f>
        <v>77226.747000000018</v>
      </c>
      <c r="E327" s="171">
        <f t="shared" si="1"/>
        <v>78177.886809999894</v>
      </c>
      <c r="F327" s="171">
        <f t="shared" si="1"/>
        <v>84998.337000000072</v>
      </c>
      <c r="G327" s="171">
        <f t="shared" si="1"/>
        <v>96843.167880000023</v>
      </c>
      <c r="H327" s="171">
        <f t="shared" si="1"/>
        <v>84465.718500000017</v>
      </c>
      <c r="I327" s="171">
        <f t="shared" si="1"/>
        <v>65998.217499999824</v>
      </c>
      <c r="J327" s="171">
        <f t="shared" si="1"/>
        <v>81077.610000000132</v>
      </c>
      <c r="K327" s="171">
        <f t="shared" si="1"/>
        <v>79047.082999999926</v>
      </c>
      <c r="L327" s="171">
        <f t="shared" si="1"/>
        <v>90753.23350000022</v>
      </c>
      <c r="M327" s="171">
        <f t="shared" si="1"/>
        <v>79312.057000000248</v>
      </c>
      <c r="N327" s="171">
        <f t="shared" si="1"/>
        <v>81032.933500000363</v>
      </c>
      <c r="O327" s="172"/>
    </row>
    <row r="328" spans="2:22" s="3" customFormat="1" x14ac:dyDescent="0.35">
      <c r="B328" s="1069" t="s">
        <v>220</v>
      </c>
      <c r="C328" s="1069"/>
      <c r="D328" s="1069"/>
      <c r="E328" s="1069"/>
      <c r="F328" s="1069"/>
      <c r="G328" s="1069"/>
      <c r="H328" s="1069"/>
      <c r="I328" s="1069"/>
      <c r="J328" s="1069"/>
      <c r="K328" s="1069"/>
      <c r="L328" s="1069"/>
      <c r="M328" s="1069"/>
      <c r="N328" s="1069"/>
      <c r="O328" s="1069"/>
    </row>
    <row r="329" spans="2:22" s="3" customFormat="1" x14ac:dyDescent="0.35">
      <c r="B329" s="125"/>
      <c r="C329" s="106"/>
      <c r="D329" s="554"/>
      <c r="E329" s="554"/>
      <c r="F329" s="554"/>
      <c r="G329" s="554"/>
      <c r="H329" s="554"/>
      <c r="I329" s="554"/>
      <c r="J329" s="554"/>
      <c r="K329" s="554"/>
      <c r="L329" s="554"/>
      <c r="M329" s="554"/>
      <c r="N329" s="554"/>
      <c r="O329" s="8"/>
    </row>
    <row r="330" spans="2:22" s="3" customFormat="1" x14ac:dyDescent="0.35">
      <c r="B330" s="1069" t="s">
        <v>368</v>
      </c>
      <c r="C330" s="1069"/>
      <c r="D330" s="1069"/>
      <c r="E330" s="1069"/>
      <c r="F330" s="1069"/>
      <c r="G330" s="1069"/>
      <c r="H330" s="1069"/>
      <c r="I330" s="1069"/>
      <c r="J330" s="1069"/>
      <c r="K330" s="1069"/>
      <c r="L330" s="555">
        <v>2025</v>
      </c>
      <c r="M330" s="125"/>
      <c r="N330" s="125"/>
      <c r="O330" s="125"/>
    </row>
    <row r="331" spans="2:22" s="3" customFormat="1" x14ac:dyDescent="0.35">
      <c r="B331" s="125"/>
      <c r="C331" s="174"/>
      <c r="D331" s="611"/>
      <c r="E331" s="611"/>
      <c r="F331" s="611"/>
      <c r="G331" s="611"/>
      <c r="H331" s="611"/>
      <c r="I331" s="611"/>
      <c r="J331" s="612"/>
      <c r="K331" s="612"/>
      <c r="L331" s="612"/>
      <c r="M331" s="612"/>
      <c r="N331" s="612"/>
      <c r="O331" s="8"/>
    </row>
    <row r="332" spans="2:22" s="3" customFormat="1" ht="15" customHeight="1" x14ac:dyDescent="0.35">
      <c r="B332" s="1074" t="s">
        <v>13</v>
      </c>
      <c r="C332" s="1070" t="s">
        <v>0</v>
      </c>
      <c r="D332" s="1070" t="s">
        <v>1</v>
      </c>
      <c r="E332" s="1070" t="s">
        <v>2</v>
      </c>
      <c r="F332" s="1070" t="s">
        <v>3</v>
      </c>
      <c r="G332" s="1070" t="s">
        <v>4</v>
      </c>
      <c r="H332" s="1070" t="s">
        <v>5</v>
      </c>
      <c r="I332" s="1070" t="s">
        <v>6</v>
      </c>
      <c r="J332" s="1070" t="s">
        <v>7</v>
      </c>
      <c r="K332" s="1070" t="s">
        <v>8</v>
      </c>
      <c r="L332" s="1070" t="s">
        <v>9</v>
      </c>
      <c r="M332" s="1070" t="s">
        <v>10</v>
      </c>
      <c r="N332" s="1070" t="s">
        <v>14</v>
      </c>
      <c r="O332" s="1074" t="s">
        <v>15</v>
      </c>
    </row>
    <row r="333" spans="2:22" s="3" customFormat="1" ht="15" customHeight="1" x14ac:dyDescent="0.35">
      <c r="B333" s="1080"/>
      <c r="C333" s="1071"/>
      <c r="D333" s="1071"/>
      <c r="E333" s="1071"/>
      <c r="F333" s="1071"/>
      <c r="G333" s="1071"/>
      <c r="H333" s="1071"/>
      <c r="I333" s="1071"/>
      <c r="J333" s="1071"/>
      <c r="K333" s="1071"/>
      <c r="L333" s="1071"/>
      <c r="M333" s="1078"/>
      <c r="N333" s="1078"/>
      <c r="O333" s="1081"/>
    </row>
    <row r="334" spans="2:22" s="3" customFormat="1" x14ac:dyDescent="0.35">
      <c r="B334" s="107"/>
      <c r="C334" s="632">
        <v>0</v>
      </c>
      <c r="D334" s="632">
        <v>0</v>
      </c>
      <c r="E334" s="632">
        <v>6.7520886659622192E-9</v>
      </c>
      <c r="F334" s="632">
        <v>1.7229467630386353E-8</v>
      </c>
      <c r="G334" s="632">
        <v>-3.4924596548080444E-9</v>
      </c>
      <c r="H334" s="632">
        <v>-1.3969838619232178E-8</v>
      </c>
      <c r="I334" s="632">
        <v>-5.8207660913467407E-9</v>
      </c>
      <c r="J334" s="632">
        <v>-2.1187588572502136E-8</v>
      </c>
      <c r="K334" s="632">
        <v>1.0011717677116394E-8</v>
      </c>
      <c r="L334" s="632">
        <v>-8.8475644588470459E-9</v>
      </c>
      <c r="M334" s="632">
        <v>-1.6763806343078613E-8</v>
      </c>
      <c r="N334" s="632">
        <v>-5.8207660913467407E-9</v>
      </c>
      <c r="O334" s="161"/>
    </row>
    <row r="335" spans="2:22" s="3" customFormat="1" x14ac:dyDescent="0.35">
      <c r="B335" s="647" t="s">
        <v>47</v>
      </c>
      <c r="C335" s="175">
        <v>1308301.9967019951</v>
      </c>
      <c r="D335" s="175">
        <v>1639267.6424410017</v>
      </c>
      <c r="E335" s="175">
        <v>1502083.7566830022</v>
      </c>
      <c r="F335" s="175">
        <v>1678854.9535770111</v>
      </c>
      <c r="G335" s="175">
        <v>1678106.7332620076</v>
      </c>
      <c r="H335" s="175">
        <v>1428314.8027709969</v>
      </c>
      <c r="I335" s="175">
        <v>1855291.8866900024</v>
      </c>
      <c r="J335" s="175">
        <v>1893069.0925200137</v>
      </c>
      <c r="K335" s="175">
        <v>1599791.1638300165</v>
      </c>
      <c r="L335" s="175">
        <v>1794311.9134459933</v>
      </c>
      <c r="M335" s="175">
        <v>1612146.1376800076</v>
      </c>
      <c r="N335" s="175">
        <v>1638228.8045490168</v>
      </c>
      <c r="O335" s="163">
        <v>19627768.884151064</v>
      </c>
    </row>
    <row r="336" spans="2:22" s="3" customFormat="1" x14ac:dyDescent="0.35">
      <c r="B336" s="676"/>
      <c r="C336" s="887"/>
      <c r="D336" s="887"/>
      <c r="E336" s="887"/>
      <c r="F336" s="887"/>
      <c r="G336" s="887"/>
      <c r="H336" s="887"/>
      <c r="I336" s="888"/>
      <c r="J336" s="888"/>
      <c r="K336" s="888"/>
      <c r="L336" s="888"/>
      <c r="M336" s="888"/>
      <c r="N336" s="888"/>
      <c r="O336" s="164"/>
    </row>
    <row r="337" spans="2:15" s="3" customFormat="1" x14ac:dyDescent="0.35">
      <c r="B337" s="650" t="s">
        <v>60</v>
      </c>
      <c r="C337" s="131">
        <v>1007053.815679995</v>
      </c>
      <c r="D337" s="131">
        <v>1369918.4995510031</v>
      </c>
      <c r="E337" s="131">
        <v>1345638.7475630024</v>
      </c>
      <c r="F337" s="131">
        <v>1282145.8141970106</v>
      </c>
      <c r="G337" s="131">
        <v>1356821.0803920068</v>
      </c>
      <c r="H337" s="131">
        <v>1198241.683460997</v>
      </c>
      <c r="I337" s="131">
        <v>1449759.6579300012</v>
      </c>
      <c r="J337" s="131">
        <v>1566696.4875200118</v>
      </c>
      <c r="K337" s="131">
        <v>1374922.5988300156</v>
      </c>
      <c r="L337" s="131">
        <v>1506847.473735993</v>
      </c>
      <c r="M337" s="131">
        <v>1418219.0821800078</v>
      </c>
      <c r="N337" s="131">
        <v>1373091.9633490164</v>
      </c>
      <c r="O337" s="164">
        <v>16249356.904389063</v>
      </c>
    </row>
    <row r="338" spans="2:15" s="3" customFormat="1" x14ac:dyDescent="0.35">
      <c r="B338" s="650" t="s">
        <v>61</v>
      </c>
      <c r="C338" s="889">
        <v>301248.18102200015</v>
      </c>
      <c r="D338" s="889">
        <v>269349.14288999868</v>
      </c>
      <c r="E338" s="889">
        <v>156445.00911999977</v>
      </c>
      <c r="F338" s="889">
        <v>396709.13938000053</v>
      </c>
      <c r="G338" s="889">
        <v>321285.65287000086</v>
      </c>
      <c r="H338" s="889">
        <v>230073.11930999986</v>
      </c>
      <c r="I338" s="889">
        <v>405532.22876000125</v>
      </c>
      <c r="J338" s="889">
        <v>326372.6050000019</v>
      </c>
      <c r="K338" s="889">
        <v>224868.56500000079</v>
      </c>
      <c r="L338" s="889">
        <v>287464.43971000018</v>
      </c>
      <c r="M338" s="889">
        <v>193927.05549999978</v>
      </c>
      <c r="N338" s="889">
        <v>265136.84120000032</v>
      </c>
      <c r="O338" s="164">
        <v>3378411.9797620038</v>
      </c>
    </row>
    <row r="339" spans="2:15" s="3" customFormat="1" x14ac:dyDescent="0.35">
      <c r="B339" s="653" t="s">
        <v>62</v>
      </c>
      <c r="C339" s="131">
        <v>203453.78830200006</v>
      </c>
      <c r="D339" s="131">
        <v>197657.47788999873</v>
      </c>
      <c r="E339" s="131">
        <v>100707.56611999971</v>
      </c>
      <c r="F339" s="131">
        <v>303755.51738000044</v>
      </c>
      <c r="G339" s="131">
        <v>219467.02462000059</v>
      </c>
      <c r="H339" s="131">
        <v>179517.69699999978</v>
      </c>
      <c r="I339" s="131">
        <v>273645.96726000146</v>
      </c>
      <c r="J339" s="131">
        <v>227624.832000002</v>
      </c>
      <c r="K339" s="131">
        <v>132391.15600000089</v>
      </c>
      <c r="L339" s="131">
        <v>155015.5007100004</v>
      </c>
      <c r="M339" s="131">
        <v>99896.356499999471</v>
      </c>
      <c r="N339" s="131">
        <v>174099.98420000044</v>
      </c>
      <c r="O339" s="164">
        <v>2267232.8679820043</v>
      </c>
    </row>
    <row r="340" spans="2:15" s="3" customFormat="1" x14ac:dyDescent="0.35">
      <c r="B340" s="653" t="s">
        <v>63</v>
      </c>
      <c r="C340" s="131">
        <v>95373.409720000112</v>
      </c>
      <c r="D340" s="131">
        <v>69389.625999999975</v>
      </c>
      <c r="E340" s="131">
        <v>54253.750000000058</v>
      </c>
      <c r="F340" s="131">
        <v>92571.606000000087</v>
      </c>
      <c r="G340" s="131">
        <v>99692.462250000259</v>
      </c>
      <c r="H340" s="131">
        <v>47467.841310000076</v>
      </c>
      <c r="I340" s="131">
        <v>115894.97449999978</v>
      </c>
      <c r="J340" s="131">
        <v>97332.687999999864</v>
      </c>
      <c r="K340" s="131">
        <v>90089.366999999897</v>
      </c>
      <c r="L340" s="131">
        <v>128352.79099999979</v>
      </c>
      <c r="M340" s="131">
        <v>91101.581000000282</v>
      </c>
      <c r="N340" s="131">
        <v>86635.086999999883</v>
      </c>
      <c r="O340" s="164">
        <v>1068155.1837799998</v>
      </c>
    </row>
    <row r="341" spans="2:15" s="3" customFormat="1" x14ac:dyDescent="0.35">
      <c r="B341" s="653" t="s">
        <v>64</v>
      </c>
      <c r="C341" s="131">
        <v>43.558999999999997</v>
      </c>
      <c r="D341" s="131">
        <v>0</v>
      </c>
      <c r="E341" s="131">
        <v>0</v>
      </c>
      <c r="F341" s="131">
        <v>3.56</v>
      </c>
      <c r="G341" s="131">
        <v>0</v>
      </c>
      <c r="H341" s="131">
        <v>7.62</v>
      </c>
      <c r="I341" s="131">
        <v>0</v>
      </c>
      <c r="J341" s="131">
        <v>23</v>
      </c>
      <c r="K341" s="131">
        <v>0</v>
      </c>
      <c r="L341" s="131">
        <v>0</v>
      </c>
      <c r="M341" s="131">
        <v>8.6</v>
      </c>
      <c r="N341" s="131">
        <v>0</v>
      </c>
      <c r="O341" s="164">
        <v>86.338999999999999</v>
      </c>
    </row>
    <row r="342" spans="2:15" s="3" customFormat="1" x14ac:dyDescent="0.35">
      <c r="B342" s="653" t="s">
        <v>65</v>
      </c>
      <c r="C342" s="131">
        <v>2377.4240000000004</v>
      </c>
      <c r="D342" s="131">
        <v>2302.0390000000002</v>
      </c>
      <c r="E342" s="131">
        <v>1483.6929999999998</v>
      </c>
      <c r="F342" s="131">
        <v>378.45600000000002</v>
      </c>
      <c r="G342" s="131">
        <v>2126.1659999999997</v>
      </c>
      <c r="H342" s="131">
        <v>3079.9610000000002</v>
      </c>
      <c r="I342" s="131">
        <v>15991.287000000002</v>
      </c>
      <c r="J342" s="131">
        <v>1392.0849999999996</v>
      </c>
      <c r="K342" s="131">
        <v>2388.0420000000004</v>
      </c>
      <c r="L342" s="131">
        <v>4096.1480000000001</v>
      </c>
      <c r="M342" s="131">
        <v>2920.5179999999996</v>
      </c>
      <c r="N342" s="131">
        <v>4401.7700000000004</v>
      </c>
      <c r="O342" s="164">
        <v>42937.589000000007</v>
      </c>
    </row>
    <row r="343" spans="2:15" s="3" customFormat="1" x14ac:dyDescent="0.35">
      <c r="B343" s="653"/>
      <c r="C343" s="632">
        <v>0</v>
      </c>
      <c r="D343" s="632">
        <v>-7.5669959187507629E-10</v>
      </c>
      <c r="E343" s="632">
        <v>0</v>
      </c>
      <c r="F343" s="632">
        <v>0</v>
      </c>
      <c r="G343" s="632">
        <v>2.7939677238464355E-9</v>
      </c>
      <c r="H343" s="632">
        <v>3.14321368932724E-9</v>
      </c>
      <c r="I343" s="632">
        <v>0</v>
      </c>
      <c r="J343" s="632">
        <v>-1.1641532182693481E-9</v>
      </c>
      <c r="K343" s="632">
        <v>0</v>
      </c>
      <c r="L343" s="632">
        <v>7.3341652750968933E-9</v>
      </c>
      <c r="M343" s="632">
        <v>0</v>
      </c>
      <c r="N343" s="632">
        <v>-6.7520886659622192E-9</v>
      </c>
      <c r="O343" s="884"/>
    </row>
    <row r="344" spans="2:15" s="3" customFormat="1" x14ac:dyDescent="0.35">
      <c r="B344" s="647" t="s">
        <v>56</v>
      </c>
      <c r="C344" s="175">
        <v>415351.37978000229</v>
      </c>
      <c r="D344" s="175">
        <v>448758.30520000251</v>
      </c>
      <c r="E344" s="175">
        <v>426417.06000000163</v>
      </c>
      <c r="F344" s="175">
        <v>557020.660340006</v>
      </c>
      <c r="G344" s="175">
        <v>640033.52200000419</v>
      </c>
      <c r="H344" s="175">
        <v>581107.96100000083</v>
      </c>
      <c r="I344" s="175">
        <v>478025.08800000453</v>
      </c>
      <c r="J344" s="175">
        <v>567415.29200000328</v>
      </c>
      <c r="K344" s="175">
        <v>583919.58300000813</v>
      </c>
      <c r="L344" s="175">
        <v>615202.32000000251</v>
      </c>
      <c r="M344" s="175">
        <v>477454.16600000265</v>
      </c>
      <c r="N344" s="175">
        <v>694109.44150001707</v>
      </c>
      <c r="O344" s="163">
        <v>6484814.7788200565</v>
      </c>
    </row>
    <row r="345" spans="2:15" s="3" customFormat="1" x14ac:dyDescent="0.35">
      <c r="B345" s="650"/>
      <c r="C345" s="887"/>
      <c r="D345" s="662"/>
      <c r="E345" s="662"/>
      <c r="F345" s="662"/>
      <c r="G345" s="662"/>
      <c r="H345" s="662"/>
      <c r="I345" s="662"/>
      <c r="J345" s="662"/>
      <c r="K345" s="662"/>
      <c r="L345" s="662"/>
      <c r="M345" s="662"/>
      <c r="N345" s="662"/>
      <c r="O345" s="164"/>
    </row>
    <row r="346" spans="2:15" s="3" customFormat="1" x14ac:dyDescent="0.35">
      <c r="B346" s="650" t="s">
        <v>60</v>
      </c>
      <c r="C346" s="131">
        <v>405214.89337000228</v>
      </c>
      <c r="D346" s="131">
        <v>435605.93020000251</v>
      </c>
      <c r="E346" s="131">
        <v>409749.64300000161</v>
      </c>
      <c r="F346" s="131">
        <v>543358.00034000596</v>
      </c>
      <c r="G346" s="131">
        <v>625423.12700000417</v>
      </c>
      <c r="H346" s="131">
        <v>485644.58800000075</v>
      </c>
      <c r="I346" s="131">
        <v>465724.04200000456</v>
      </c>
      <c r="J346" s="131">
        <v>550414.70600000327</v>
      </c>
      <c r="K346" s="131">
        <v>522600.99100000813</v>
      </c>
      <c r="L346" s="131">
        <v>475248.55000000249</v>
      </c>
      <c r="M346" s="131">
        <v>461980.03700000263</v>
      </c>
      <c r="N346" s="131">
        <v>592802.67210001708</v>
      </c>
      <c r="O346" s="164">
        <v>5973767.1800100552</v>
      </c>
    </row>
    <row r="347" spans="2:15" s="3" customFormat="1" x14ac:dyDescent="0.35">
      <c r="B347" s="650" t="s">
        <v>61</v>
      </c>
      <c r="C347" s="889">
        <v>10136.486410000001</v>
      </c>
      <c r="D347" s="889">
        <v>13152.375</v>
      </c>
      <c r="E347" s="889">
        <v>16667.41699999999</v>
      </c>
      <c r="F347" s="889">
        <v>13662.660000000002</v>
      </c>
      <c r="G347" s="889">
        <v>14610.394999999997</v>
      </c>
      <c r="H347" s="889">
        <v>95463.373000000123</v>
      </c>
      <c r="I347" s="889">
        <v>12301.045999999995</v>
      </c>
      <c r="J347" s="889">
        <v>17000.585999999992</v>
      </c>
      <c r="K347" s="889">
        <v>61318.59199999999</v>
      </c>
      <c r="L347" s="889">
        <v>139953.77000000005</v>
      </c>
      <c r="M347" s="889">
        <v>15474.128999999995</v>
      </c>
      <c r="N347" s="889">
        <v>101306.76940000003</v>
      </c>
      <c r="O347" s="164">
        <v>511047.59881000023</v>
      </c>
    </row>
    <row r="348" spans="2:15" s="3" customFormat="1" x14ac:dyDescent="0.35">
      <c r="B348" s="653" t="s">
        <v>62</v>
      </c>
      <c r="C348" s="131">
        <v>6133.5364099999997</v>
      </c>
      <c r="D348" s="131">
        <v>9050.2849999999999</v>
      </c>
      <c r="E348" s="131">
        <v>11056.81699999999</v>
      </c>
      <c r="F348" s="131">
        <v>6327.572000000001</v>
      </c>
      <c r="G348" s="131">
        <v>6579.4500000000053</v>
      </c>
      <c r="H348" s="131">
        <v>7106.8659999999973</v>
      </c>
      <c r="I348" s="131">
        <v>8958.0759999999955</v>
      </c>
      <c r="J348" s="131">
        <v>8958.1119999999919</v>
      </c>
      <c r="K348" s="131">
        <v>4886.5720000000001</v>
      </c>
      <c r="L348" s="131">
        <v>3689.0440000000003</v>
      </c>
      <c r="M348" s="131">
        <v>3599.2490000000012</v>
      </c>
      <c r="N348" s="131">
        <v>3402.3493999999996</v>
      </c>
      <c r="O348" s="165">
        <v>79747.928809999969</v>
      </c>
    </row>
    <row r="349" spans="2:15" s="3" customFormat="1" x14ac:dyDescent="0.35">
      <c r="B349" s="653" t="s">
        <v>63</v>
      </c>
      <c r="C349" s="131">
        <v>4002.9500000000007</v>
      </c>
      <c r="D349" s="131">
        <v>4102.09</v>
      </c>
      <c r="E349" s="131">
        <v>5610.5999999999995</v>
      </c>
      <c r="F349" s="131">
        <v>7335.0880000000006</v>
      </c>
      <c r="G349" s="131">
        <v>8030.9449999999924</v>
      </c>
      <c r="H349" s="131">
        <v>88356.507000000129</v>
      </c>
      <c r="I349" s="131">
        <v>3342.9699999999993</v>
      </c>
      <c r="J349" s="131">
        <v>8042.4740000000011</v>
      </c>
      <c r="K349" s="131">
        <v>56432.01999999999</v>
      </c>
      <c r="L349" s="131">
        <v>136264.72600000005</v>
      </c>
      <c r="M349" s="131">
        <v>11874.879999999994</v>
      </c>
      <c r="N349" s="131">
        <v>97904.420000000027</v>
      </c>
      <c r="O349" s="165">
        <v>431299.67000000022</v>
      </c>
    </row>
    <row r="350" spans="2:15" s="3" customFormat="1" x14ac:dyDescent="0.35">
      <c r="B350" s="653" t="s">
        <v>64</v>
      </c>
      <c r="C350" s="131">
        <v>0</v>
      </c>
      <c r="D350" s="131">
        <v>0</v>
      </c>
      <c r="E350" s="131">
        <v>0</v>
      </c>
      <c r="F350" s="131">
        <v>0</v>
      </c>
      <c r="G350" s="131">
        <v>0</v>
      </c>
      <c r="H350" s="131">
        <v>0</v>
      </c>
      <c r="I350" s="131">
        <v>0</v>
      </c>
      <c r="J350" s="131">
        <v>0</v>
      </c>
      <c r="K350" s="131">
        <v>0</v>
      </c>
      <c r="L350" s="131">
        <v>0</v>
      </c>
      <c r="M350" s="131">
        <v>0</v>
      </c>
      <c r="N350" s="131">
        <v>0</v>
      </c>
      <c r="O350" s="165">
        <v>0</v>
      </c>
    </row>
    <row r="351" spans="2:15" s="3" customFormat="1" x14ac:dyDescent="0.35">
      <c r="B351" s="653" t="s">
        <v>65</v>
      </c>
      <c r="C351" s="131">
        <v>0</v>
      </c>
      <c r="D351" s="131">
        <v>0</v>
      </c>
      <c r="E351" s="131">
        <v>0</v>
      </c>
      <c r="F351" s="131">
        <v>0</v>
      </c>
      <c r="G351" s="131">
        <v>0</v>
      </c>
      <c r="H351" s="131">
        <v>0</v>
      </c>
      <c r="I351" s="131">
        <v>0</v>
      </c>
      <c r="J351" s="131">
        <v>0</v>
      </c>
      <c r="K351" s="131">
        <v>0</v>
      </c>
      <c r="L351" s="131">
        <v>0</v>
      </c>
      <c r="M351" s="131">
        <v>0</v>
      </c>
      <c r="N351" s="131">
        <v>0</v>
      </c>
      <c r="O351" s="165">
        <v>0</v>
      </c>
    </row>
    <row r="352" spans="2:15" s="3" customFormat="1" x14ac:dyDescent="0.35">
      <c r="B352" s="653"/>
      <c r="C352" s="177"/>
      <c r="D352" s="177"/>
      <c r="E352" s="177"/>
      <c r="F352" s="177"/>
      <c r="G352" s="177"/>
      <c r="H352" s="177"/>
      <c r="I352" s="177"/>
      <c r="J352" s="177"/>
      <c r="K352" s="177"/>
      <c r="L352" s="177"/>
      <c r="M352" s="177"/>
      <c r="N352" s="177"/>
      <c r="O352" s="165"/>
    </row>
    <row r="353" spans="2:15" s="3" customFormat="1" x14ac:dyDescent="0.35">
      <c r="B353" s="431" t="s">
        <v>36</v>
      </c>
      <c r="C353" s="178">
        <v>1723653.3764819973</v>
      </c>
      <c r="D353" s="178">
        <v>2088025.9476410043</v>
      </c>
      <c r="E353" s="178">
        <v>1928500.8166830039</v>
      </c>
      <c r="F353" s="178">
        <v>2235875.6139170174</v>
      </c>
      <c r="G353" s="178">
        <v>2318140.2552620117</v>
      </c>
      <c r="H353" s="178">
        <v>2009422.7637709978</v>
      </c>
      <c r="I353" s="178">
        <v>2333316.974690007</v>
      </c>
      <c r="J353" s="178">
        <v>2460484.3845200171</v>
      </c>
      <c r="K353" s="178">
        <v>2183710.7468300248</v>
      </c>
      <c r="L353" s="178">
        <v>2409514.233445996</v>
      </c>
      <c r="M353" s="178">
        <v>2089600.3036800101</v>
      </c>
      <c r="N353" s="178">
        <v>2332338.2460490339</v>
      </c>
      <c r="O353" s="179">
        <v>26112583.66297112</v>
      </c>
    </row>
    <row r="354" spans="2:15" s="3" customFormat="1" x14ac:dyDescent="0.35">
      <c r="B354" s="318"/>
      <c r="C354" s="890"/>
      <c r="D354" s="890"/>
      <c r="E354" s="890"/>
      <c r="F354" s="890"/>
      <c r="G354" s="890"/>
      <c r="H354" s="890"/>
      <c r="I354" s="890"/>
      <c r="J354" s="890"/>
      <c r="K354" s="890"/>
      <c r="L354" s="890"/>
      <c r="M354" s="890"/>
      <c r="N354" s="890"/>
      <c r="O354" s="130"/>
    </row>
    <row r="355" spans="2:15" s="3" customFormat="1" x14ac:dyDescent="0.35">
      <c r="B355" s="650" t="s">
        <v>60</v>
      </c>
      <c r="C355" s="177">
        <v>1412268.7090499974</v>
      </c>
      <c r="D355" s="177">
        <v>1805524.4297510055</v>
      </c>
      <c r="E355" s="177">
        <v>1755388.390563004</v>
      </c>
      <c r="F355" s="177">
        <v>1825503.8145370167</v>
      </c>
      <c r="G355" s="177">
        <v>1982244.2073920108</v>
      </c>
      <c r="H355" s="177">
        <v>1683886.2714609976</v>
      </c>
      <c r="I355" s="177">
        <v>1915483.6999300057</v>
      </c>
      <c r="J355" s="177">
        <v>2117111.1935200151</v>
      </c>
      <c r="K355" s="177">
        <v>1897523.5898300237</v>
      </c>
      <c r="L355" s="177">
        <v>1982096.0237359954</v>
      </c>
      <c r="M355" s="177">
        <v>1880199.1191800104</v>
      </c>
      <c r="N355" s="177">
        <v>1965894.6354490335</v>
      </c>
      <c r="O355" s="164">
        <v>22223124.084399115</v>
      </c>
    </row>
    <row r="356" spans="2:15" s="3" customFormat="1" x14ac:dyDescent="0.35">
      <c r="B356" s="650" t="s">
        <v>61</v>
      </c>
      <c r="C356" s="168">
        <v>311384.66743200016</v>
      </c>
      <c r="D356" s="168">
        <v>282501.51788999868</v>
      </c>
      <c r="E356" s="168">
        <v>173112.42611999976</v>
      </c>
      <c r="F356" s="168">
        <v>410371.79938000051</v>
      </c>
      <c r="G356" s="168">
        <v>335896.04787000088</v>
      </c>
      <c r="H356" s="168">
        <v>325536.49231</v>
      </c>
      <c r="I356" s="168">
        <v>417833.27476000122</v>
      </c>
      <c r="J356" s="168">
        <v>343373.19100000191</v>
      </c>
      <c r="K356" s="168">
        <v>286187.15700000076</v>
      </c>
      <c r="L356" s="168">
        <v>427418.2097100002</v>
      </c>
      <c r="M356" s="168">
        <v>209401.18449999977</v>
      </c>
      <c r="N356" s="168">
        <v>366443.61060000036</v>
      </c>
      <c r="O356" s="164">
        <v>3889459.5785720041</v>
      </c>
    </row>
    <row r="357" spans="2:15" s="3" customFormat="1" x14ac:dyDescent="0.35">
      <c r="B357" s="653" t="s">
        <v>62</v>
      </c>
      <c r="C357" s="177">
        <v>209587.32471200006</v>
      </c>
      <c r="D357" s="177">
        <v>206707.76288999873</v>
      </c>
      <c r="E357" s="177">
        <v>111764.38311999971</v>
      </c>
      <c r="F357" s="177">
        <v>310083.08938000043</v>
      </c>
      <c r="G357" s="177">
        <v>226046.4746200006</v>
      </c>
      <c r="H357" s="177">
        <v>186624.56299999979</v>
      </c>
      <c r="I357" s="177">
        <v>282604.04326000146</v>
      </c>
      <c r="J357" s="177">
        <v>236582.944000002</v>
      </c>
      <c r="K357" s="177">
        <v>137277.72800000088</v>
      </c>
      <c r="L357" s="177">
        <v>158704.54471000039</v>
      </c>
      <c r="M357" s="177">
        <v>103495.60549999947</v>
      </c>
      <c r="N357" s="177">
        <v>177502.33360000045</v>
      </c>
      <c r="O357" s="164">
        <v>2346980.7967920043</v>
      </c>
    </row>
    <row r="358" spans="2:15" s="3" customFormat="1" x14ac:dyDescent="0.35">
      <c r="B358" s="653" t="s">
        <v>63</v>
      </c>
      <c r="C358" s="177">
        <v>99376.35972000011</v>
      </c>
      <c r="D358" s="177">
        <v>73491.715999999971</v>
      </c>
      <c r="E358" s="177">
        <v>59864.350000000057</v>
      </c>
      <c r="F358" s="177">
        <v>99906.69400000009</v>
      </c>
      <c r="G358" s="177">
        <v>107723.40725000025</v>
      </c>
      <c r="H358" s="177">
        <v>135824.3483100002</v>
      </c>
      <c r="I358" s="177">
        <v>119237.94449999978</v>
      </c>
      <c r="J358" s="177">
        <v>105375.16199999987</v>
      </c>
      <c r="K358" s="177">
        <v>146521.38699999987</v>
      </c>
      <c r="L358" s="177">
        <v>264617.51699999988</v>
      </c>
      <c r="M358" s="177">
        <v>102976.46100000027</v>
      </c>
      <c r="N358" s="177">
        <v>184539.50699999993</v>
      </c>
      <c r="O358" s="164">
        <v>1499454.8537800005</v>
      </c>
    </row>
    <row r="359" spans="2:15" s="3" customFormat="1" x14ac:dyDescent="0.35">
      <c r="B359" s="653" t="s">
        <v>64</v>
      </c>
      <c r="C359" s="177">
        <v>43.558999999999997</v>
      </c>
      <c r="D359" s="177">
        <v>0</v>
      </c>
      <c r="E359" s="177">
        <v>0</v>
      </c>
      <c r="F359" s="177">
        <v>3.56</v>
      </c>
      <c r="G359" s="177">
        <v>0</v>
      </c>
      <c r="H359" s="177">
        <v>7.62</v>
      </c>
      <c r="I359" s="177">
        <v>0</v>
      </c>
      <c r="J359" s="177">
        <v>23</v>
      </c>
      <c r="K359" s="177">
        <v>0</v>
      </c>
      <c r="L359" s="177">
        <v>0</v>
      </c>
      <c r="M359" s="177">
        <v>8.6</v>
      </c>
      <c r="N359" s="177">
        <v>0</v>
      </c>
      <c r="O359" s="164">
        <v>86.338999999999999</v>
      </c>
    </row>
    <row r="360" spans="2:15" s="3" customFormat="1" x14ac:dyDescent="0.35">
      <c r="B360" s="653" t="s">
        <v>65</v>
      </c>
      <c r="C360" s="177">
        <v>2377.4240000000004</v>
      </c>
      <c r="D360" s="177">
        <v>2302.0390000000002</v>
      </c>
      <c r="E360" s="177">
        <v>1483.6929999999998</v>
      </c>
      <c r="F360" s="177">
        <v>378.45600000000002</v>
      </c>
      <c r="G360" s="177">
        <v>2126.1659999999997</v>
      </c>
      <c r="H360" s="177">
        <v>3079.9610000000002</v>
      </c>
      <c r="I360" s="177">
        <v>15991.287000000002</v>
      </c>
      <c r="J360" s="177">
        <v>1392.0849999999996</v>
      </c>
      <c r="K360" s="177">
        <v>2388.0420000000004</v>
      </c>
      <c r="L360" s="177">
        <v>4096.1480000000001</v>
      </c>
      <c r="M360" s="177">
        <v>2920.5179999999996</v>
      </c>
      <c r="N360" s="177">
        <v>4401.7700000000004</v>
      </c>
      <c r="O360" s="164">
        <v>42937.589000000007</v>
      </c>
    </row>
    <row r="361" spans="2:15" s="3" customFormat="1" x14ac:dyDescent="0.35">
      <c r="B361" s="170"/>
      <c r="C361" s="891"/>
      <c r="D361" s="892"/>
      <c r="E361" s="892"/>
      <c r="F361" s="892"/>
      <c r="G361" s="892"/>
      <c r="H361" s="892"/>
      <c r="I361" s="891"/>
      <c r="J361" s="892"/>
      <c r="K361" s="892"/>
      <c r="L361" s="892"/>
      <c r="M361" s="892"/>
      <c r="N361" s="892"/>
      <c r="O361" s="170"/>
    </row>
    <row r="362" spans="2:15" s="3" customFormat="1" x14ac:dyDescent="0.35">
      <c r="B362" s="8"/>
      <c r="C362" s="180"/>
      <c r="D362" s="612"/>
      <c r="E362" s="612"/>
      <c r="F362" s="612"/>
      <c r="G362" s="612"/>
      <c r="H362" s="612"/>
      <c r="I362" s="180"/>
      <c r="J362" s="612"/>
      <c r="K362" s="612"/>
      <c r="L362" s="612" t="s">
        <v>11</v>
      </c>
      <c r="M362" s="612"/>
      <c r="N362" s="612"/>
      <c r="O362" s="8"/>
    </row>
    <row r="363" spans="2:15" s="3" customFormat="1" x14ac:dyDescent="0.35">
      <c r="B363" s="1068" t="s">
        <v>369</v>
      </c>
      <c r="C363" s="1068"/>
      <c r="D363" s="1068"/>
      <c r="E363" s="1068"/>
      <c r="F363" s="1068"/>
      <c r="G363" s="1068"/>
      <c r="H363" s="1068"/>
      <c r="I363" s="1068"/>
      <c r="J363" s="1068"/>
      <c r="K363" s="555">
        <v>2025</v>
      </c>
      <c r="L363" s="173"/>
      <c r="M363" s="173"/>
      <c r="N363" s="173"/>
      <c r="O363" s="173"/>
    </row>
    <row r="364" spans="2:15" s="3" customFormat="1" x14ac:dyDescent="0.35">
      <c r="B364" s="617"/>
      <c r="C364" s="182"/>
      <c r="D364" s="182"/>
      <c r="E364" s="182"/>
      <c r="F364" s="182"/>
      <c r="G364" s="183"/>
      <c r="H364" s="183"/>
      <c r="I364" s="183"/>
      <c r="J364" s="183"/>
      <c r="K364" s="183"/>
      <c r="L364" s="618"/>
      <c r="M364" s="183"/>
      <c r="N364" s="183"/>
      <c r="O364" s="181"/>
    </row>
    <row r="365" spans="2:15" s="3" customFormat="1" ht="15" customHeight="1" x14ac:dyDescent="0.35">
      <c r="B365" s="1077" t="s">
        <v>13</v>
      </c>
      <c r="C365" s="1070" t="s">
        <v>0</v>
      </c>
      <c r="D365" s="1070" t="s">
        <v>1</v>
      </c>
      <c r="E365" s="1070" t="s">
        <v>2</v>
      </c>
      <c r="F365" s="1070" t="s">
        <v>3</v>
      </c>
      <c r="G365" s="1070" t="s">
        <v>4</v>
      </c>
      <c r="H365" s="1070" t="s">
        <v>5</v>
      </c>
      <c r="I365" s="1070" t="s">
        <v>6</v>
      </c>
      <c r="J365" s="1070" t="s">
        <v>7</v>
      </c>
      <c r="K365" s="1070" t="s">
        <v>8</v>
      </c>
      <c r="L365" s="1070" t="s">
        <v>9</v>
      </c>
      <c r="M365" s="1070" t="s">
        <v>10</v>
      </c>
      <c r="N365" s="1070" t="s">
        <v>14</v>
      </c>
      <c r="O365" s="1074" t="s">
        <v>15</v>
      </c>
    </row>
    <row r="366" spans="2:15" s="3" customFormat="1" ht="15" customHeight="1" x14ac:dyDescent="0.35">
      <c r="B366" s="1088"/>
      <c r="C366" s="1071"/>
      <c r="D366" s="1071"/>
      <c r="E366" s="1071"/>
      <c r="F366" s="1071"/>
      <c r="G366" s="1071"/>
      <c r="H366" s="1071"/>
      <c r="I366" s="1071"/>
      <c r="J366" s="1071"/>
      <c r="K366" s="1071"/>
      <c r="L366" s="1071"/>
      <c r="M366" s="1078"/>
      <c r="N366" s="1078"/>
      <c r="O366" s="1079"/>
    </row>
    <row r="367" spans="2:15" s="3" customFormat="1" x14ac:dyDescent="0.35">
      <c r="B367" s="893"/>
      <c r="C367" s="632">
        <v>0</v>
      </c>
      <c r="D367" s="632">
        <v>0</v>
      </c>
      <c r="E367" s="632">
        <v>0</v>
      </c>
      <c r="F367" s="632">
        <v>0</v>
      </c>
      <c r="G367" s="632">
        <v>0</v>
      </c>
      <c r="H367" s="632">
        <v>0</v>
      </c>
      <c r="I367" s="632">
        <v>0</v>
      </c>
      <c r="J367" s="632">
        <v>0</v>
      </c>
      <c r="K367" s="632">
        <v>0</v>
      </c>
      <c r="L367" s="632">
        <v>0</v>
      </c>
      <c r="M367" s="632">
        <v>0</v>
      </c>
      <c r="N367" s="632">
        <v>0</v>
      </c>
      <c r="O367" s="894"/>
    </row>
    <row r="368" spans="2:15" s="3" customFormat="1" x14ac:dyDescent="0.35">
      <c r="B368" s="895" t="s">
        <v>47</v>
      </c>
      <c r="C368" s="184">
        <v>1007053.815679995</v>
      </c>
      <c r="D368" s="184">
        <v>1369918.4995510031</v>
      </c>
      <c r="E368" s="184">
        <v>1345638.7475630024</v>
      </c>
      <c r="F368" s="184">
        <v>1282145.8141970106</v>
      </c>
      <c r="G368" s="184">
        <v>1356821.0803920068</v>
      </c>
      <c r="H368" s="184">
        <v>1198241.683460997</v>
      </c>
      <c r="I368" s="184">
        <v>1449759.6579300012</v>
      </c>
      <c r="J368" s="184">
        <v>1566696.4875200118</v>
      </c>
      <c r="K368" s="184">
        <v>1374922.5988300156</v>
      </c>
      <c r="L368" s="184">
        <v>1506847.473735993</v>
      </c>
      <c r="M368" s="184">
        <v>1418219.0821800078</v>
      </c>
      <c r="N368" s="184">
        <v>1373091.9633490164</v>
      </c>
      <c r="O368" s="896">
        <v>16249356.904389063</v>
      </c>
    </row>
    <row r="369" spans="2:22" s="3" customFormat="1" x14ac:dyDescent="0.35">
      <c r="B369" s="893"/>
      <c r="C369" s="897"/>
      <c r="D369" s="897"/>
      <c r="E369" s="897"/>
      <c r="F369" s="897"/>
      <c r="G369" s="897"/>
      <c r="H369" s="897"/>
      <c r="I369" s="897"/>
      <c r="J369" s="897"/>
      <c r="K369" s="897"/>
      <c r="L369" s="897"/>
      <c r="M369" s="897"/>
      <c r="N369" s="894"/>
      <c r="O369" s="898"/>
    </row>
    <row r="370" spans="2:22" ht="15" customHeight="1" x14ac:dyDescent="0.35">
      <c r="B370" s="875" t="s">
        <v>66</v>
      </c>
      <c r="C370" s="131">
        <v>297567.54300000001</v>
      </c>
      <c r="D370" s="131">
        <v>497148.82800000004</v>
      </c>
      <c r="E370" s="131">
        <v>627044.55000000005</v>
      </c>
      <c r="F370" s="131">
        <v>424311.28200000001</v>
      </c>
      <c r="G370" s="131">
        <v>505025.39199999999</v>
      </c>
      <c r="H370" s="131">
        <v>524721.51699999999</v>
      </c>
      <c r="I370" s="131">
        <v>440228.29399999994</v>
      </c>
      <c r="J370" s="131">
        <v>663654.799</v>
      </c>
      <c r="K370" s="131">
        <v>569041.57999999996</v>
      </c>
      <c r="L370" s="131">
        <v>631755.09199999995</v>
      </c>
      <c r="M370" s="131">
        <v>450475.02699999994</v>
      </c>
      <c r="N370" s="131">
        <v>557412.81200000003</v>
      </c>
      <c r="O370" s="898">
        <v>6188386.716</v>
      </c>
      <c r="P370" s="3"/>
      <c r="Q370" s="3"/>
      <c r="R370" s="3"/>
      <c r="S370" s="3"/>
      <c r="T370" s="3"/>
      <c r="U370" s="3"/>
      <c r="V370" s="3"/>
    </row>
    <row r="371" spans="2:22" x14ac:dyDescent="0.35">
      <c r="B371" s="875" t="s">
        <v>67</v>
      </c>
      <c r="C371" s="131">
        <v>204137.58964000104</v>
      </c>
      <c r="D371" s="131">
        <v>181508.51500000025</v>
      </c>
      <c r="E371" s="131">
        <v>95307.397000000114</v>
      </c>
      <c r="F371" s="131">
        <v>224520.00799999986</v>
      </c>
      <c r="G371" s="131">
        <v>133665.35999999969</v>
      </c>
      <c r="H371" s="131">
        <v>73534.002200000032</v>
      </c>
      <c r="I371" s="131">
        <v>184465.55100000097</v>
      </c>
      <c r="J371" s="131">
        <v>195643.76500000048</v>
      </c>
      <c r="K371" s="131">
        <v>163053.86899999963</v>
      </c>
      <c r="L371" s="131">
        <v>106077.74800000008</v>
      </c>
      <c r="M371" s="131">
        <v>221504.17299999882</v>
      </c>
      <c r="N371" s="131">
        <v>167683.11900000006</v>
      </c>
      <c r="O371" s="898">
        <v>1951101.0968400007</v>
      </c>
    </row>
    <row r="372" spans="2:22" s="3" customFormat="1" x14ac:dyDescent="0.35">
      <c r="B372" s="875" t="s">
        <v>68</v>
      </c>
      <c r="C372" s="131">
        <v>14482.55</v>
      </c>
      <c r="D372" s="131">
        <v>114049.63499999999</v>
      </c>
      <c r="E372" s="131">
        <v>60380.627</v>
      </c>
      <c r="F372" s="131">
        <v>44067.785000000003</v>
      </c>
      <c r="G372" s="131">
        <v>57684.586000000003</v>
      </c>
      <c r="H372" s="131">
        <v>46000</v>
      </c>
      <c r="I372" s="131">
        <v>119121.18000000001</v>
      </c>
      <c r="J372" s="131">
        <v>67903.475000000006</v>
      </c>
      <c r="K372" s="131">
        <v>71000.740999999995</v>
      </c>
      <c r="L372" s="131">
        <v>80442.636999999988</v>
      </c>
      <c r="M372" s="131">
        <v>86773.23</v>
      </c>
      <c r="N372" s="131">
        <v>57913.307000000001</v>
      </c>
      <c r="O372" s="898">
        <v>819819.75300000003</v>
      </c>
      <c r="P372" s="324"/>
      <c r="Q372" s="324"/>
      <c r="R372" s="324"/>
      <c r="S372" s="324"/>
      <c r="T372" s="324"/>
      <c r="U372" s="324"/>
      <c r="V372" s="324"/>
    </row>
    <row r="373" spans="2:22" s="3" customFormat="1" x14ac:dyDescent="0.35">
      <c r="B373" s="875" t="s">
        <v>69</v>
      </c>
      <c r="C373" s="131">
        <v>33574.05042</v>
      </c>
      <c r="D373" s="131">
        <v>34879.186000000038</v>
      </c>
      <c r="E373" s="131">
        <v>46940.049049999987</v>
      </c>
      <c r="F373" s="131">
        <v>50163.585800000001</v>
      </c>
      <c r="G373" s="131">
        <v>50791.378200000108</v>
      </c>
      <c r="H373" s="131">
        <v>38051.794800000018</v>
      </c>
      <c r="I373" s="131">
        <v>52702.241060000175</v>
      </c>
      <c r="J373" s="131">
        <v>55481.946469999821</v>
      </c>
      <c r="K373" s="131">
        <v>43122.095000000052</v>
      </c>
      <c r="L373" s="131">
        <v>53974.885859999915</v>
      </c>
      <c r="M373" s="131">
        <v>47817.673999999934</v>
      </c>
      <c r="N373" s="131">
        <v>46778.536000000102</v>
      </c>
      <c r="O373" s="898">
        <v>554277.42266000016</v>
      </c>
    </row>
    <row r="374" spans="2:22" s="3" customFormat="1" x14ac:dyDescent="0.35">
      <c r="B374" s="899" t="s">
        <v>70</v>
      </c>
      <c r="C374" s="131">
        <v>43824.11</v>
      </c>
      <c r="D374" s="131">
        <v>51696.345000000008</v>
      </c>
      <c r="E374" s="131">
        <v>63582.924999999923</v>
      </c>
      <c r="F374" s="131">
        <v>90410.889000000083</v>
      </c>
      <c r="G374" s="131">
        <v>74967.858000000007</v>
      </c>
      <c r="H374" s="131">
        <v>32031.123000000003</v>
      </c>
      <c r="I374" s="131">
        <v>39966.431999999993</v>
      </c>
      <c r="J374" s="131">
        <v>43312.958999999988</v>
      </c>
      <c r="K374" s="131">
        <v>42717.343000000052</v>
      </c>
      <c r="L374" s="131">
        <v>19944.402000000002</v>
      </c>
      <c r="M374" s="131">
        <v>5148.7869999999948</v>
      </c>
      <c r="N374" s="131">
        <v>52232.886999999995</v>
      </c>
      <c r="O374" s="898">
        <v>559836.06000000006</v>
      </c>
    </row>
    <row r="375" spans="2:22" s="3" customFormat="1" x14ac:dyDescent="0.35">
      <c r="B375" s="899" t="s">
        <v>75</v>
      </c>
      <c r="C375" s="131">
        <v>31601.874600000003</v>
      </c>
      <c r="D375" s="131">
        <v>25007.180999999939</v>
      </c>
      <c r="E375" s="131">
        <v>28139.055499999897</v>
      </c>
      <c r="F375" s="131">
        <v>36917.349300000074</v>
      </c>
      <c r="G375" s="131">
        <v>26297.559999999998</v>
      </c>
      <c r="H375" s="131">
        <v>30922.205400000046</v>
      </c>
      <c r="I375" s="131">
        <v>40388.35500000044</v>
      </c>
      <c r="J375" s="131">
        <v>37283.052000000032</v>
      </c>
      <c r="K375" s="131">
        <v>38531.162999999811</v>
      </c>
      <c r="L375" s="131">
        <v>40562.23599999967</v>
      </c>
      <c r="M375" s="131">
        <v>31040.875999999971</v>
      </c>
      <c r="N375" s="131">
        <v>34027.637999999773</v>
      </c>
      <c r="O375" s="898">
        <v>400718.54579999973</v>
      </c>
    </row>
    <row r="376" spans="2:22" s="3" customFormat="1" x14ac:dyDescent="0.35">
      <c r="B376" s="899" t="s">
        <v>71</v>
      </c>
      <c r="C376" s="131">
        <v>14873.988000000012</v>
      </c>
      <c r="D376" s="131">
        <v>19863.452000000019</v>
      </c>
      <c r="E376" s="131">
        <v>23429.13099999995</v>
      </c>
      <c r="F376" s="131">
        <v>28509.497999999981</v>
      </c>
      <c r="G376" s="131">
        <v>21102.65600000005</v>
      </c>
      <c r="H376" s="131">
        <v>27909.458000000006</v>
      </c>
      <c r="I376" s="131">
        <v>28479.930000000139</v>
      </c>
      <c r="J376" s="131">
        <v>26700.445000000193</v>
      </c>
      <c r="K376" s="131">
        <v>27158.823000000037</v>
      </c>
      <c r="L376" s="131">
        <v>48182.539000000186</v>
      </c>
      <c r="M376" s="131">
        <v>21275.602999999963</v>
      </c>
      <c r="N376" s="131">
        <v>19747.771499999966</v>
      </c>
      <c r="O376" s="898">
        <v>307233.29450000048</v>
      </c>
    </row>
    <row r="377" spans="2:22" s="3" customFormat="1" x14ac:dyDescent="0.35">
      <c r="B377" s="899" t="s">
        <v>77</v>
      </c>
      <c r="C377" s="131">
        <v>33227.192199999969</v>
      </c>
      <c r="D377" s="131">
        <v>18518.173400000011</v>
      </c>
      <c r="E377" s="131">
        <v>26849.226669999993</v>
      </c>
      <c r="F377" s="131">
        <v>15134.890000000009</v>
      </c>
      <c r="G377" s="131">
        <v>15146.624000000022</v>
      </c>
      <c r="H377" s="131">
        <v>19285.489999999987</v>
      </c>
      <c r="I377" s="131">
        <v>26722.240000000002</v>
      </c>
      <c r="J377" s="131">
        <v>50167.83699999989</v>
      </c>
      <c r="K377" s="131">
        <v>45697.57699999991</v>
      </c>
      <c r="L377" s="131">
        <v>50889.256000000103</v>
      </c>
      <c r="M377" s="131">
        <v>56004.128999999986</v>
      </c>
      <c r="N377" s="131">
        <v>42095.909011999938</v>
      </c>
      <c r="O377" s="898">
        <v>399738.54428199981</v>
      </c>
    </row>
    <row r="378" spans="2:22" s="3" customFormat="1" x14ac:dyDescent="0.35">
      <c r="B378" s="899" t="s">
        <v>73</v>
      </c>
      <c r="C378" s="131">
        <v>25208.145800000009</v>
      </c>
      <c r="D378" s="131">
        <v>24096.444099999997</v>
      </c>
      <c r="E378" s="131">
        <v>23907.537999999971</v>
      </c>
      <c r="F378" s="131">
        <v>23350.586399999989</v>
      </c>
      <c r="G378" s="131">
        <v>19857.815569999977</v>
      </c>
      <c r="H378" s="131">
        <v>30122.57320000001</v>
      </c>
      <c r="I378" s="131">
        <v>28375.324300000037</v>
      </c>
      <c r="J378" s="131">
        <v>27139.122000000069</v>
      </c>
      <c r="K378" s="131">
        <v>25529.861999999957</v>
      </c>
      <c r="L378" s="131">
        <v>31160.484299999982</v>
      </c>
      <c r="M378" s="131">
        <v>27053.203000000012</v>
      </c>
      <c r="N378" s="131">
        <v>22515.669500000076</v>
      </c>
      <c r="O378" s="898">
        <v>308316.76817000011</v>
      </c>
    </row>
    <row r="379" spans="2:22" s="3" customFormat="1" x14ac:dyDescent="0.35">
      <c r="B379" s="899" t="s">
        <v>78</v>
      </c>
      <c r="C379" s="131">
        <v>24500.821068000008</v>
      </c>
      <c r="D379" s="131">
        <v>20042.417833</v>
      </c>
      <c r="E379" s="131">
        <v>25230.854110999975</v>
      </c>
      <c r="F379" s="131">
        <v>21937.894018999996</v>
      </c>
      <c r="G379" s="131">
        <v>22010.286989999971</v>
      </c>
      <c r="H379" s="131">
        <v>21229.221210000018</v>
      </c>
      <c r="I379" s="131">
        <v>19332.882700000031</v>
      </c>
      <c r="J379" s="131">
        <v>20734.529999999959</v>
      </c>
      <c r="K379" s="131">
        <v>21763.171830000003</v>
      </c>
      <c r="L379" s="131">
        <v>22730.992759999972</v>
      </c>
      <c r="M379" s="131">
        <v>26327.43399999999</v>
      </c>
      <c r="N379" s="131">
        <v>30242.488999999983</v>
      </c>
      <c r="O379" s="898">
        <v>276082.99552099995</v>
      </c>
    </row>
    <row r="380" spans="2:22" s="3" customFormat="1" x14ac:dyDescent="0.35">
      <c r="B380" s="899" t="s">
        <v>74</v>
      </c>
      <c r="C380" s="131">
        <v>12715.902000000004</v>
      </c>
      <c r="D380" s="131">
        <v>57407.368000000009</v>
      </c>
      <c r="E380" s="131">
        <v>2728.1040000000007</v>
      </c>
      <c r="F380" s="131">
        <v>19108.717000000001</v>
      </c>
      <c r="G380" s="131">
        <v>20815.200999999997</v>
      </c>
      <c r="H380" s="131">
        <v>13620.521000000001</v>
      </c>
      <c r="I380" s="131">
        <v>22336.920000000006</v>
      </c>
      <c r="J380" s="131">
        <v>44528.989999999991</v>
      </c>
      <c r="K380" s="131">
        <v>4461.5430000000015</v>
      </c>
      <c r="L380" s="131">
        <v>18238.724000000009</v>
      </c>
      <c r="M380" s="131">
        <v>40626.219999999994</v>
      </c>
      <c r="N380" s="131">
        <v>1399.0289999999998</v>
      </c>
      <c r="O380" s="898">
        <v>257987.23900000006</v>
      </c>
    </row>
    <row r="381" spans="2:22" s="3" customFormat="1" x14ac:dyDescent="0.35">
      <c r="B381" s="899" t="s">
        <v>470</v>
      </c>
      <c r="C381" s="131">
        <v>11842.145000000002</v>
      </c>
      <c r="D381" s="131">
        <v>23250.920000000002</v>
      </c>
      <c r="E381" s="131">
        <v>12315.771000000001</v>
      </c>
      <c r="F381" s="131">
        <v>12734.486000000003</v>
      </c>
      <c r="G381" s="131">
        <v>21212.034</v>
      </c>
      <c r="H381" s="131">
        <v>575.6</v>
      </c>
      <c r="I381" s="131">
        <v>93000.915000000023</v>
      </c>
      <c r="J381" s="131">
        <v>15211.011</v>
      </c>
      <c r="K381" s="131">
        <v>6791.9500000000007</v>
      </c>
      <c r="L381" s="131">
        <v>13744.513999999997</v>
      </c>
      <c r="M381" s="131">
        <v>6517.7889999999998</v>
      </c>
      <c r="N381" s="131">
        <v>19511.444000000003</v>
      </c>
      <c r="O381" s="898">
        <v>236708.57900000003</v>
      </c>
    </row>
    <row r="382" spans="2:22" s="3" customFormat="1" x14ac:dyDescent="0.35">
      <c r="B382" s="899" t="s">
        <v>72</v>
      </c>
      <c r="C382" s="131">
        <v>9627.1038599999974</v>
      </c>
      <c r="D382" s="131">
        <v>13468.765999999998</v>
      </c>
      <c r="E382" s="131">
        <v>15969.561000000009</v>
      </c>
      <c r="F382" s="131">
        <v>16881.966999999993</v>
      </c>
      <c r="G382" s="131">
        <v>12142.606919999998</v>
      </c>
      <c r="H382" s="131">
        <v>14858.506000000003</v>
      </c>
      <c r="I382" s="131">
        <v>16225.243000000002</v>
      </c>
      <c r="J382" s="131">
        <v>21216.494000000024</v>
      </c>
      <c r="K382" s="131">
        <v>12312.536000000002</v>
      </c>
      <c r="L382" s="131">
        <v>19436.077000000016</v>
      </c>
      <c r="M382" s="131">
        <v>16496.308000000015</v>
      </c>
      <c r="N382" s="131">
        <v>16126.703000000018</v>
      </c>
      <c r="O382" s="898">
        <v>184761.87178000007</v>
      </c>
    </row>
    <row r="383" spans="2:22" s="3" customFormat="1" x14ac:dyDescent="0.35">
      <c r="B383" s="899" t="s">
        <v>79</v>
      </c>
      <c r="C383" s="131">
        <v>14919.519400000003</v>
      </c>
      <c r="D383" s="131">
        <v>6758.2460000000065</v>
      </c>
      <c r="E383" s="131">
        <v>9266.1720000000078</v>
      </c>
      <c r="F383" s="131">
        <v>12043.329</v>
      </c>
      <c r="G383" s="131">
        <v>13390.403000000009</v>
      </c>
      <c r="H383" s="131">
        <v>10449.793999999971</v>
      </c>
      <c r="I383" s="131">
        <v>8977.2659999999923</v>
      </c>
      <c r="J383" s="131">
        <v>9809.7619999999824</v>
      </c>
      <c r="K383" s="131">
        <v>12784.725000000028</v>
      </c>
      <c r="L383" s="131">
        <v>16392.36100000007</v>
      </c>
      <c r="M383" s="131">
        <v>10198.797000000013</v>
      </c>
      <c r="N383" s="131">
        <v>10498.710999999974</v>
      </c>
      <c r="O383" s="898">
        <v>135489.08540000007</v>
      </c>
    </row>
    <row r="384" spans="2:22" x14ac:dyDescent="0.35">
      <c r="B384" s="899" t="s">
        <v>85</v>
      </c>
      <c r="C384" s="131">
        <v>3762.134</v>
      </c>
      <c r="D384" s="131">
        <v>6399.0539999999992</v>
      </c>
      <c r="E384" s="131">
        <v>4378.8979999999992</v>
      </c>
      <c r="F384" s="131">
        <v>2540.5529999999999</v>
      </c>
      <c r="G384" s="131">
        <v>10108.832</v>
      </c>
      <c r="H384" s="131">
        <v>2186.5139999999997</v>
      </c>
      <c r="I384" s="131">
        <v>24812.370999999985</v>
      </c>
      <c r="J384" s="131">
        <v>1021.46</v>
      </c>
      <c r="K384" s="131">
        <v>3298.3129999999996</v>
      </c>
      <c r="L384" s="131">
        <v>15443.802</v>
      </c>
      <c r="M384" s="131">
        <v>9903.7899999999991</v>
      </c>
      <c r="N384" s="131">
        <v>6252.0590000000002</v>
      </c>
      <c r="O384" s="898">
        <v>90107.77999999997</v>
      </c>
      <c r="P384" s="3"/>
      <c r="Q384" s="3"/>
      <c r="R384" s="3"/>
      <c r="S384" s="3"/>
      <c r="T384" s="3"/>
      <c r="U384" s="3"/>
      <c r="V384" s="3"/>
    </row>
    <row r="385" spans="2:22" s="3" customFormat="1" x14ac:dyDescent="0.35">
      <c r="B385" s="899" t="s">
        <v>80</v>
      </c>
      <c r="C385" s="131">
        <v>8638.1068999999916</v>
      </c>
      <c r="D385" s="131">
        <v>14013.798999999992</v>
      </c>
      <c r="E385" s="131">
        <v>12925.074199999992</v>
      </c>
      <c r="F385" s="131">
        <v>9234.5583999999926</v>
      </c>
      <c r="G385" s="131">
        <v>16664.877540000005</v>
      </c>
      <c r="H385" s="131">
        <v>17068.763999999988</v>
      </c>
      <c r="I385" s="131">
        <v>10223.664000000015</v>
      </c>
      <c r="J385" s="131">
        <v>11483.744999999997</v>
      </c>
      <c r="K385" s="131">
        <v>8318.6860000000033</v>
      </c>
      <c r="L385" s="131">
        <v>6647.0259999999998</v>
      </c>
      <c r="M385" s="131">
        <v>7546.7490000000016</v>
      </c>
      <c r="N385" s="131">
        <v>7180.60700000001</v>
      </c>
      <c r="O385" s="898">
        <v>129945.65703999996</v>
      </c>
      <c r="P385" s="324"/>
      <c r="Q385" s="324"/>
      <c r="R385" s="324"/>
      <c r="S385" s="324"/>
      <c r="T385" s="324"/>
      <c r="U385" s="324"/>
      <c r="V385" s="324"/>
    </row>
    <row r="386" spans="2:22" s="3" customFormat="1" x14ac:dyDescent="0.35">
      <c r="B386" s="899" t="s">
        <v>471</v>
      </c>
      <c r="C386" s="131">
        <v>856.16000000000008</v>
      </c>
      <c r="D386" s="131">
        <v>1442.2089999999996</v>
      </c>
      <c r="E386" s="131">
        <v>25934.978000000006</v>
      </c>
      <c r="F386" s="131">
        <v>29974.802000000011</v>
      </c>
      <c r="G386" s="131">
        <v>2985.9570000000003</v>
      </c>
      <c r="H386" s="131">
        <v>11734.203</v>
      </c>
      <c r="I386" s="131">
        <v>22305.913999999997</v>
      </c>
      <c r="J386" s="131">
        <v>12380.388999999996</v>
      </c>
      <c r="K386" s="131">
        <v>15698.25</v>
      </c>
      <c r="L386" s="131">
        <v>3568.7029999999995</v>
      </c>
      <c r="M386" s="131">
        <v>8756.8809999999994</v>
      </c>
      <c r="N386" s="131">
        <v>2607.0960000000014</v>
      </c>
      <c r="O386" s="898">
        <v>138245.54200000002</v>
      </c>
    </row>
    <row r="387" spans="2:22" s="3" customFormat="1" x14ac:dyDescent="0.35">
      <c r="B387" s="899" t="s">
        <v>76</v>
      </c>
      <c r="C387" s="131">
        <v>0</v>
      </c>
      <c r="D387" s="131">
        <v>5823.5910000000003</v>
      </c>
      <c r="E387" s="131">
        <v>5823.5910000000003</v>
      </c>
      <c r="F387" s="131">
        <v>12045.07</v>
      </c>
      <c r="G387" s="131">
        <v>14355.967000000001</v>
      </c>
      <c r="H387" s="131">
        <v>8423.2189999999991</v>
      </c>
      <c r="I387" s="131">
        <v>0</v>
      </c>
      <c r="J387" s="131">
        <v>0</v>
      </c>
      <c r="K387" s="131">
        <v>0</v>
      </c>
      <c r="L387" s="131">
        <v>1151.96</v>
      </c>
      <c r="M387" s="131">
        <v>4673.9299999999994</v>
      </c>
      <c r="N387" s="131">
        <v>8993.4849999999988</v>
      </c>
      <c r="O387" s="898">
        <v>61290.812999999995</v>
      </c>
    </row>
    <row r="388" spans="2:22" s="3" customFormat="1" x14ac:dyDescent="0.35">
      <c r="B388" s="875" t="s">
        <v>82</v>
      </c>
      <c r="C388" s="131">
        <v>4188.22</v>
      </c>
      <c r="D388" s="131">
        <v>18009.333999999995</v>
      </c>
      <c r="E388" s="131">
        <v>3922.7049999999986</v>
      </c>
      <c r="F388" s="131">
        <v>2764.7079999999996</v>
      </c>
      <c r="G388" s="131">
        <v>3737.5909999999981</v>
      </c>
      <c r="H388" s="131">
        <v>1638.9169999999999</v>
      </c>
      <c r="I388" s="131">
        <v>803.83899999999994</v>
      </c>
      <c r="J388" s="131">
        <v>109.97499999999999</v>
      </c>
      <c r="K388" s="131">
        <v>833.14599999999996</v>
      </c>
      <c r="L388" s="131">
        <v>2090.5619999999981</v>
      </c>
      <c r="M388" s="131">
        <v>10485.368999999999</v>
      </c>
      <c r="N388" s="131">
        <v>1620.0199999999991</v>
      </c>
      <c r="O388" s="898">
        <v>50204.385999999984</v>
      </c>
    </row>
    <row r="389" spans="2:22" s="3" customFormat="1" x14ac:dyDescent="0.35">
      <c r="B389" s="899" t="s">
        <v>89</v>
      </c>
      <c r="C389" s="131">
        <v>5853.0460000000121</v>
      </c>
      <c r="D389" s="131">
        <v>4945.375599</v>
      </c>
      <c r="E389" s="131">
        <v>5782.2464490000048</v>
      </c>
      <c r="F389" s="131">
        <v>5716.1931709999817</v>
      </c>
      <c r="G389" s="131">
        <v>4668.6469999999981</v>
      </c>
      <c r="H389" s="131">
        <v>4006.0909999999999</v>
      </c>
      <c r="I389" s="131">
        <v>4799.6920000000027</v>
      </c>
      <c r="J389" s="131">
        <v>6253.4820000000018</v>
      </c>
      <c r="K389" s="131">
        <v>6386.6659999999865</v>
      </c>
      <c r="L389" s="131">
        <v>4347.3170000000027</v>
      </c>
      <c r="M389" s="131">
        <v>5425.4309999999996</v>
      </c>
      <c r="N389" s="131">
        <v>4425.6519999999991</v>
      </c>
      <c r="O389" s="898">
        <v>62609.839218999994</v>
      </c>
    </row>
    <row r="390" spans="2:22" s="3" customFormat="1" x14ac:dyDescent="0.35">
      <c r="B390" s="875" t="s">
        <v>81</v>
      </c>
      <c r="C390" s="131">
        <v>4822.4447999999984</v>
      </c>
      <c r="D390" s="131">
        <v>4810.8191600000027</v>
      </c>
      <c r="E390" s="131">
        <v>5890.1150000000034</v>
      </c>
      <c r="F390" s="131">
        <v>5657.693737999999</v>
      </c>
      <c r="G390" s="131">
        <v>6810.7030099999965</v>
      </c>
      <c r="H390" s="131">
        <v>4251.7639999999992</v>
      </c>
      <c r="I390" s="131">
        <v>6578.4029999999993</v>
      </c>
      <c r="J390" s="131">
        <v>5837.5839999999971</v>
      </c>
      <c r="K390" s="131">
        <v>4961.5879999999988</v>
      </c>
      <c r="L390" s="131">
        <v>4107.8595239999995</v>
      </c>
      <c r="M390" s="131">
        <v>5082.2919999999967</v>
      </c>
      <c r="N390" s="131">
        <v>4489.9922909999977</v>
      </c>
      <c r="O390" s="898">
        <v>63301.258522999982</v>
      </c>
    </row>
    <row r="391" spans="2:22" s="3" customFormat="1" x14ac:dyDescent="0.35">
      <c r="B391" s="875" t="s">
        <v>221</v>
      </c>
      <c r="C391" s="131">
        <v>5712.2837800000043</v>
      </c>
      <c r="D391" s="131">
        <v>6089.6680000000024</v>
      </c>
      <c r="E391" s="131">
        <v>5905.9670000000015</v>
      </c>
      <c r="F391" s="131">
        <v>3203.831403999995</v>
      </c>
      <c r="G391" s="131">
        <v>5582.5475760000036</v>
      </c>
      <c r="H391" s="131">
        <v>4524.3715000000057</v>
      </c>
      <c r="I391" s="131">
        <v>4400.3560000000052</v>
      </c>
      <c r="J391" s="131">
        <v>4981.627000000014</v>
      </c>
      <c r="K391" s="131">
        <v>4802.1900000000032</v>
      </c>
      <c r="L391" s="131">
        <v>4483.6550300000054</v>
      </c>
      <c r="M391" s="131">
        <v>4331.5639999999976</v>
      </c>
      <c r="N391" s="131">
        <v>2777.5773699999995</v>
      </c>
      <c r="O391" s="898">
        <v>56795.638660000041</v>
      </c>
    </row>
    <row r="392" spans="2:22" s="3" customFormat="1" x14ac:dyDescent="0.35">
      <c r="B392" s="875" t="s">
        <v>83</v>
      </c>
      <c r="C392" s="131">
        <v>4016.9129999999991</v>
      </c>
      <c r="D392" s="131">
        <v>8901.7610000000059</v>
      </c>
      <c r="E392" s="131">
        <v>2879.6430000000009</v>
      </c>
      <c r="F392" s="131">
        <v>3699.0879999999997</v>
      </c>
      <c r="G392" s="131">
        <v>7252.7620000000006</v>
      </c>
      <c r="H392" s="131">
        <v>4916.1450000000013</v>
      </c>
      <c r="I392" s="131">
        <v>5652.2840000000033</v>
      </c>
      <c r="J392" s="131">
        <v>7452.4659999999985</v>
      </c>
      <c r="K392" s="131">
        <v>4863.021999999999</v>
      </c>
      <c r="L392" s="131">
        <v>7396.9749999999985</v>
      </c>
      <c r="M392" s="131">
        <v>11099.505000000003</v>
      </c>
      <c r="N392" s="131">
        <v>5759.2260000000024</v>
      </c>
      <c r="O392" s="898">
        <v>73889.790000000008</v>
      </c>
    </row>
    <row r="393" spans="2:22" s="3" customFormat="1" x14ac:dyDescent="0.35">
      <c r="B393" s="875" t="s">
        <v>87</v>
      </c>
      <c r="C393" s="131">
        <v>3572.4512010000021</v>
      </c>
      <c r="D393" s="131">
        <v>4918.7484600000007</v>
      </c>
      <c r="E393" s="131">
        <v>8453.4849999999969</v>
      </c>
      <c r="F393" s="131">
        <v>6844.9720000000061</v>
      </c>
      <c r="G393" s="131">
        <v>5547.1910000000053</v>
      </c>
      <c r="H393" s="131">
        <v>3824.258440000001</v>
      </c>
      <c r="I393" s="131">
        <v>4751.7649999999949</v>
      </c>
      <c r="J393" s="131">
        <v>6329.6989999999942</v>
      </c>
      <c r="K393" s="131">
        <v>5253.4649999999992</v>
      </c>
      <c r="L393" s="131">
        <v>8431.2550000000028</v>
      </c>
      <c r="M393" s="131">
        <v>6230.8670000000011</v>
      </c>
      <c r="N393" s="131">
        <v>4049.7549800000006</v>
      </c>
      <c r="O393" s="898">
        <v>68207.912081000002</v>
      </c>
    </row>
    <row r="394" spans="2:22" s="3" customFormat="1" x14ac:dyDescent="0.35">
      <c r="B394" s="875" t="s">
        <v>84</v>
      </c>
      <c r="C394" s="131">
        <v>4809.3021999999992</v>
      </c>
      <c r="D394" s="131">
        <v>5515.9270000000024</v>
      </c>
      <c r="E394" s="131">
        <v>4627.7210000000014</v>
      </c>
      <c r="F394" s="131">
        <v>3302.4730000000004</v>
      </c>
      <c r="G394" s="131">
        <v>4811.9590000000007</v>
      </c>
      <c r="H394" s="131">
        <v>5464.4259999999977</v>
      </c>
      <c r="I394" s="131">
        <v>4640.7810000000045</v>
      </c>
      <c r="J394" s="131">
        <v>2518.9689999999987</v>
      </c>
      <c r="K394" s="131">
        <v>3517.9160000000006</v>
      </c>
      <c r="L394" s="131">
        <v>5438.8109999999988</v>
      </c>
      <c r="M394" s="131">
        <v>4753.5459999999975</v>
      </c>
      <c r="N394" s="131">
        <v>4949.4380000000001</v>
      </c>
      <c r="O394" s="898">
        <v>54351.269200000002</v>
      </c>
    </row>
    <row r="395" spans="2:22" s="3" customFormat="1" x14ac:dyDescent="0.35">
      <c r="B395" s="875" t="s">
        <v>90</v>
      </c>
      <c r="C395" s="131">
        <v>5357.4899300000043</v>
      </c>
      <c r="D395" s="131">
        <v>3753.7879999999996</v>
      </c>
      <c r="E395" s="131">
        <v>4391.6186800000005</v>
      </c>
      <c r="F395" s="131">
        <v>5232.7711930000078</v>
      </c>
      <c r="G395" s="131">
        <v>3436.8609999999999</v>
      </c>
      <c r="H395" s="131">
        <v>3830.3030749999994</v>
      </c>
      <c r="I395" s="131">
        <v>4034.0970000000002</v>
      </c>
      <c r="J395" s="131">
        <v>5247.4160000000038</v>
      </c>
      <c r="K395" s="131">
        <v>3559.7279999999973</v>
      </c>
      <c r="L395" s="131">
        <v>5010.5280800000019</v>
      </c>
      <c r="M395" s="131">
        <v>4213.4190000000035</v>
      </c>
      <c r="N395" s="131">
        <v>3082.7996599999969</v>
      </c>
      <c r="O395" s="898">
        <v>51150.819618000016</v>
      </c>
    </row>
    <row r="396" spans="2:22" s="3" customFormat="1" x14ac:dyDescent="0.35">
      <c r="B396" s="875" t="s">
        <v>115</v>
      </c>
      <c r="C396" s="131">
        <v>4563.3025180000004</v>
      </c>
      <c r="D396" s="131">
        <v>5059.7549999999983</v>
      </c>
      <c r="E396" s="131">
        <v>4974.9757999999993</v>
      </c>
      <c r="F396" s="131">
        <v>4018.6760000000027</v>
      </c>
      <c r="G396" s="131">
        <v>4288.903800000001</v>
      </c>
      <c r="H396" s="131">
        <v>5009.1439999999975</v>
      </c>
      <c r="I396" s="131">
        <v>5220.6240000000016</v>
      </c>
      <c r="J396" s="131">
        <v>5103.306999999998</v>
      </c>
      <c r="K396" s="131">
        <v>4447.8629999999985</v>
      </c>
      <c r="L396" s="131">
        <v>6879.0478800000028</v>
      </c>
      <c r="M396" s="131">
        <v>4668.0869999999986</v>
      </c>
      <c r="N396" s="131">
        <v>4955.5742599999994</v>
      </c>
      <c r="O396" s="898">
        <v>59189.260258000002</v>
      </c>
    </row>
    <row r="397" spans="2:22" s="3" customFormat="1" x14ac:dyDescent="0.35">
      <c r="B397" s="875" t="s">
        <v>394</v>
      </c>
      <c r="C397" s="131">
        <v>4391.175878999994</v>
      </c>
      <c r="D397" s="131">
        <v>2436.991</v>
      </c>
      <c r="E397" s="131">
        <v>7255.2549999999828</v>
      </c>
      <c r="F397" s="131">
        <v>7395.9619999999786</v>
      </c>
      <c r="G397" s="131">
        <v>4169.641999999998</v>
      </c>
      <c r="H397" s="131">
        <v>2768.9589999999998</v>
      </c>
      <c r="I397" s="131">
        <v>2260.8869999999993</v>
      </c>
      <c r="J397" s="131">
        <v>2962.5109999999981</v>
      </c>
      <c r="K397" s="131">
        <v>2161.8239999999983</v>
      </c>
      <c r="L397" s="131">
        <v>5249.093606999998</v>
      </c>
      <c r="M397" s="131">
        <v>6984.1379999999963</v>
      </c>
      <c r="N397" s="131">
        <v>10569.111999999943</v>
      </c>
      <c r="O397" s="898">
        <v>58605.550485999884</v>
      </c>
    </row>
    <row r="398" spans="2:22" s="3" customFormat="1" x14ac:dyDescent="0.35">
      <c r="B398" s="875" t="s">
        <v>88</v>
      </c>
      <c r="C398" s="131">
        <v>3122.3219999999988</v>
      </c>
      <c r="D398" s="131">
        <v>3688.1069999999995</v>
      </c>
      <c r="E398" s="131">
        <v>3274.9680000000012</v>
      </c>
      <c r="F398" s="131">
        <v>3876.2300000000005</v>
      </c>
      <c r="G398" s="131">
        <v>5152.9309999999996</v>
      </c>
      <c r="H398" s="131">
        <v>4145.2889999999998</v>
      </c>
      <c r="I398" s="131">
        <v>4445.1900000000005</v>
      </c>
      <c r="J398" s="131">
        <v>3749.3179999999993</v>
      </c>
      <c r="K398" s="131">
        <v>5126.28</v>
      </c>
      <c r="L398" s="131">
        <v>6089.5680000000038</v>
      </c>
      <c r="M398" s="131">
        <v>7769.9429999999984</v>
      </c>
      <c r="N398" s="131">
        <v>6903.9999999999991</v>
      </c>
      <c r="O398" s="898">
        <v>57344.146000000008</v>
      </c>
    </row>
    <row r="399" spans="2:22" s="3" customFormat="1" x14ac:dyDescent="0.35">
      <c r="B399" s="875" t="s">
        <v>86</v>
      </c>
      <c r="C399" s="131">
        <v>3831.954000000002</v>
      </c>
      <c r="D399" s="131">
        <v>5435.997999999985</v>
      </c>
      <c r="E399" s="131">
        <v>3708.4379999999996</v>
      </c>
      <c r="F399" s="131">
        <v>3393.002</v>
      </c>
      <c r="G399" s="131">
        <v>6083.3270000000011</v>
      </c>
      <c r="H399" s="131">
        <v>5773.4950000000044</v>
      </c>
      <c r="I399" s="131">
        <v>3725.5120000000006</v>
      </c>
      <c r="J399" s="131">
        <v>2475.4080000000004</v>
      </c>
      <c r="K399" s="131">
        <v>4102.9310000000014</v>
      </c>
      <c r="L399" s="131">
        <v>2161.3760000000002</v>
      </c>
      <c r="M399" s="131">
        <v>4547.9310000000014</v>
      </c>
      <c r="N399" s="131">
        <v>3127.1549999999988</v>
      </c>
      <c r="O399" s="898">
        <v>48366.527000000009</v>
      </c>
    </row>
    <row r="400" spans="2:22" s="3" customFormat="1" x14ac:dyDescent="0.35">
      <c r="B400" s="875" t="s">
        <v>91</v>
      </c>
      <c r="C400" s="147">
        <v>167453.97448399372</v>
      </c>
      <c r="D400" s="147">
        <v>180978.09699900332</v>
      </c>
      <c r="E400" s="147">
        <v>174418.10710300249</v>
      </c>
      <c r="F400" s="147">
        <v>153152.96377201029</v>
      </c>
      <c r="G400" s="147">
        <v>257052.6197860064</v>
      </c>
      <c r="H400" s="147">
        <v>225364.01463599701</v>
      </c>
      <c r="I400" s="147">
        <v>220781.5048699989</v>
      </c>
      <c r="J400" s="147">
        <v>210000.94405001123</v>
      </c>
      <c r="K400" s="147">
        <v>213623.75200001593</v>
      </c>
      <c r="L400" s="147">
        <v>264817.98569499329</v>
      </c>
      <c r="M400" s="147">
        <v>264486.39018000918</v>
      </c>
      <c r="N400" s="147">
        <v>213162.38977601659</v>
      </c>
      <c r="O400" s="875">
        <v>2545292.7433510581</v>
      </c>
    </row>
    <row r="401" spans="2:15" s="3" customFormat="1" x14ac:dyDescent="0.35">
      <c r="B401" s="900"/>
      <c r="C401" s="632">
        <v>0</v>
      </c>
      <c r="D401" s="632">
        <v>0</v>
      </c>
      <c r="E401" s="632">
        <v>0</v>
      </c>
      <c r="F401" s="632">
        <v>0</v>
      </c>
      <c r="G401" s="632">
        <v>0</v>
      </c>
      <c r="H401" s="632">
        <v>0</v>
      </c>
      <c r="I401" s="632">
        <v>0</v>
      </c>
      <c r="J401" s="632">
        <v>0</v>
      </c>
      <c r="K401" s="632">
        <v>0</v>
      </c>
      <c r="L401" s="632">
        <v>0</v>
      </c>
      <c r="M401" s="632">
        <v>0</v>
      </c>
      <c r="N401" s="632">
        <v>0</v>
      </c>
      <c r="O401" s="901"/>
    </row>
    <row r="402" spans="2:15" s="3" customFormat="1" x14ac:dyDescent="0.35">
      <c r="B402" s="895" t="s">
        <v>56</v>
      </c>
      <c r="C402" s="184">
        <v>405214.89337000228</v>
      </c>
      <c r="D402" s="184">
        <v>435605.93020000251</v>
      </c>
      <c r="E402" s="184">
        <v>409749.64300000161</v>
      </c>
      <c r="F402" s="184">
        <v>543358.00034000596</v>
      </c>
      <c r="G402" s="184">
        <v>625423.12700000417</v>
      </c>
      <c r="H402" s="184">
        <v>485644.58800000075</v>
      </c>
      <c r="I402" s="184">
        <v>465724.04200000456</v>
      </c>
      <c r="J402" s="184">
        <v>550414.70600000327</v>
      </c>
      <c r="K402" s="184">
        <v>522600.99100000813</v>
      </c>
      <c r="L402" s="184">
        <v>475248.55000000249</v>
      </c>
      <c r="M402" s="184">
        <v>461980.03700000263</v>
      </c>
      <c r="N402" s="184">
        <v>592802.67210001708</v>
      </c>
      <c r="O402" s="896">
        <v>5973767.1800100552</v>
      </c>
    </row>
    <row r="403" spans="2:15" s="3" customFormat="1" x14ac:dyDescent="0.35">
      <c r="B403" s="901"/>
      <c r="C403" s="185"/>
      <c r="D403" s="185"/>
      <c r="E403" s="185"/>
      <c r="F403" s="185"/>
      <c r="G403" s="185"/>
      <c r="H403" s="185"/>
      <c r="I403" s="185"/>
      <c r="J403" s="902"/>
      <c r="K403" s="902"/>
      <c r="L403" s="902"/>
      <c r="M403" s="902"/>
      <c r="N403" s="903"/>
      <c r="O403" s="901"/>
    </row>
    <row r="404" spans="2:15" s="3" customFormat="1" x14ac:dyDescent="0.35">
      <c r="B404" s="875" t="s">
        <v>94</v>
      </c>
      <c r="C404" s="131">
        <v>99965.925999998988</v>
      </c>
      <c r="D404" s="131">
        <v>106218.74399999996</v>
      </c>
      <c r="E404" s="131">
        <v>93314.238999999783</v>
      </c>
      <c r="F404" s="131">
        <v>100689.47299999958</v>
      </c>
      <c r="G404" s="131">
        <v>85311.353999999221</v>
      </c>
      <c r="H404" s="131">
        <v>73802.718999999663</v>
      </c>
      <c r="I404" s="131">
        <v>97101.275999999663</v>
      </c>
      <c r="J404" s="131">
        <v>134912.80799999984</v>
      </c>
      <c r="K404" s="131">
        <v>117026.78799999929</v>
      </c>
      <c r="L404" s="131">
        <v>133499.1419999997</v>
      </c>
      <c r="M404" s="131">
        <v>103530.95599999992</v>
      </c>
      <c r="N404" s="131">
        <v>115409.92399999811</v>
      </c>
      <c r="O404" s="898">
        <v>1260783.3489999936</v>
      </c>
    </row>
    <row r="405" spans="2:15" s="3" customFormat="1" x14ac:dyDescent="0.35">
      <c r="B405" s="875" t="s">
        <v>95</v>
      </c>
      <c r="C405" s="131">
        <v>5816.7809999999999</v>
      </c>
      <c r="D405" s="131">
        <v>4582.4450000000006</v>
      </c>
      <c r="E405" s="131">
        <v>24855.668000000023</v>
      </c>
      <c r="F405" s="131">
        <v>99966.682000000073</v>
      </c>
      <c r="G405" s="131">
        <v>214482.97900000002</v>
      </c>
      <c r="H405" s="131">
        <v>197832.11000000002</v>
      </c>
      <c r="I405" s="131">
        <v>148874.94699999949</v>
      </c>
      <c r="J405" s="131">
        <v>170567.48000000019</v>
      </c>
      <c r="K405" s="131">
        <v>70123.634999999966</v>
      </c>
      <c r="L405" s="131">
        <v>89178.69000000041</v>
      </c>
      <c r="M405" s="131">
        <v>50328.664000000004</v>
      </c>
      <c r="N405" s="131">
        <v>27663.971000000027</v>
      </c>
      <c r="O405" s="898">
        <v>1104274.0520000004</v>
      </c>
    </row>
    <row r="406" spans="2:15" s="3" customFormat="1" ht="15.75" customHeight="1" x14ac:dyDescent="0.35">
      <c r="B406" s="904" t="s">
        <v>472</v>
      </c>
      <c r="C406" s="131">
        <v>51700.495999999999</v>
      </c>
      <c r="D406" s="131">
        <v>54654.245000000003</v>
      </c>
      <c r="E406" s="131">
        <v>45080.6</v>
      </c>
      <c r="F406" s="131">
        <v>114614.463</v>
      </c>
      <c r="G406" s="131">
        <v>54750.506999999998</v>
      </c>
      <c r="H406" s="131">
        <v>55322.2</v>
      </c>
      <c r="I406" s="131">
        <v>106850.247</v>
      </c>
      <c r="J406" s="131">
        <v>103155.69099999999</v>
      </c>
      <c r="K406" s="131">
        <v>158319.05900000001</v>
      </c>
      <c r="L406" s="131">
        <v>112168.098</v>
      </c>
      <c r="M406" s="131">
        <v>108564.36</v>
      </c>
      <c r="N406" s="131">
        <v>156550.94</v>
      </c>
      <c r="O406" s="898">
        <v>1121730.906</v>
      </c>
    </row>
    <row r="407" spans="2:15" s="3" customFormat="1" ht="15" customHeight="1" x14ac:dyDescent="0.35">
      <c r="B407" s="875" t="s">
        <v>92</v>
      </c>
      <c r="C407" s="131">
        <v>50854.656000000003</v>
      </c>
      <c r="D407" s="131">
        <v>83572.085999999996</v>
      </c>
      <c r="E407" s="131">
        <v>50199.463000000003</v>
      </c>
      <c r="F407" s="131">
        <v>50403.550999999999</v>
      </c>
      <c r="G407" s="131">
        <v>118420.91899999999</v>
      </c>
      <c r="H407" s="131">
        <v>54600.269</v>
      </c>
      <c r="I407" s="131">
        <v>0</v>
      </c>
      <c r="J407" s="131">
        <v>32770.767999999996</v>
      </c>
      <c r="K407" s="131">
        <v>52126.235999999997</v>
      </c>
      <c r="L407" s="131">
        <v>0</v>
      </c>
      <c r="M407" s="131">
        <v>54734.468000000001</v>
      </c>
      <c r="N407" s="131">
        <v>50601.800999999999</v>
      </c>
      <c r="O407" s="898">
        <v>598284.21699999995</v>
      </c>
    </row>
    <row r="408" spans="2:15" s="3" customFormat="1" x14ac:dyDescent="0.35">
      <c r="B408" s="875" t="s">
        <v>93</v>
      </c>
      <c r="C408" s="131">
        <v>94239.528500000102</v>
      </c>
      <c r="D408" s="131">
        <v>86735.971000000296</v>
      </c>
      <c r="E408" s="131">
        <v>72121.508000000525</v>
      </c>
      <c r="F408" s="131">
        <v>51339.05900000019</v>
      </c>
      <c r="G408" s="131">
        <v>26695.964999999942</v>
      </c>
      <c r="H408" s="131">
        <v>8023.5970000000052</v>
      </c>
      <c r="I408" s="131">
        <v>4957.4610000000021</v>
      </c>
      <c r="J408" s="131">
        <v>4484.0260000000035</v>
      </c>
      <c r="K408" s="131">
        <v>6417.4310000000087</v>
      </c>
      <c r="L408" s="131">
        <v>2765.1519999999996</v>
      </c>
      <c r="M408" s="131">
        <v>30932.20300000007</v>
      </c>
      <c r="N408" s="131">
        <v>107740.05399999897</v>
      </c>
      <c r="O408" s="898">
        <v>496451.95550000016</v>
      </c>
    </row>
    <row r="409" spans="2:15" s="3" customFormat="1" x14ac:dyDescent="0.35">
      <c r="B409" s="875" t="s">
        <v>96</v>
      </c>
      <c r="C409" s="131">
        <v>24904.449999999972</v>
      </c>
      <c r="D409" s="131">
        <v>27805.437000000064</v>
      </c>
      <c r="E409" s="131">
        <v>30048.295000000042</v>
      </c>
      <c r="F409" s="131">
        <v>32827.926000000021</v>
      </c>
      <c r="G409" s="131">
        <v>28501.812000000024</v>
      </c>
      <c r="H409" s="131">
        <v>28948.135000000071</v>
      </c>
      <c r="I409" s="131">
        <v>25459.342000000055</v>
      </c>
      <c r="J409" s="131">
        <v>32090.762000000173</v>
      </c>
      <c r="K409" s="131">
        <v>34840.991000000125</v>
      </c>
      <c r="L409" s="131">
        <v>36673.334000000104</v>
      </c>
      <c r="M409" s="131">
        <v>36173.191000000159</v>
      </c>
      <c r="N409" s="131">
        <v>31600.030000000155</v>
      </c>
      <c r="O409" s="898">
        <v>369873.70500000095</v>
      </c>
    </row>
    <row r="410" spans="2:15" s="3" customFormat="1" x14ac:dyDescent="0.35">
      <c r="B410" s="904" t="s">
        <v>97</v>
      </c>
      <c r="C410" s="131">
        <v>30776.529000000057</v>
      </c>
      <c r="D410" s="131">
        <v>28300.29599999998</v>
      </c>
      <c r="E410" s="131">
        <v>23363.279999999977</v>
      </c>
      <c r="F410" s="131">
        <v>21920.687999999933</v>
      </c>
      <c r="G410" s="131">
        <v>21168.034999999982</v>
      </c>
      <c r="H410" s="131">
        <v>22992.563999999897</v>
      </c>
      <c r="I410" s="131">
        <v>25660.533000000036</v>
      </c>
      <c r="J410" s="131">
        <v>17459.341000000026</v>
      </c>
      <c r="K410" s="131">
        <v>19224.792999999991</v>
      </c>
      <c r="L410" s="131">
        <v>15330.959999999992</v>
      </c>
      <c r="M410" s="131">
        <v>22179.830999999955</v>
      </c>
      <c r="N410" s="131">
        <v>31068.764999999803</v>
      </c>
      <c r="O410" s="898">
        <v>279445.61499999958</v>
      </c>
    </row>
    <row r="411" spans="2:15" s="3" customFormat="1" x14ac:dyDescent="0.35">
      <c r="B411" s="875" t="s">
        <v>100</v>
      </c>
      <c r="C411" s="131">
        <v>9413.4540000000015</v>
      </c>
      <c r="D411" s="131">
        <v>6993.3709999999955</v>
      </c>
      <c r="E411" s="131">
        <v>9978.0510000000031</v>
      </c>
      <c r="F411" s="131">
        <v>6988.6099999999979</v>
      </c>
      <c r="G411" s="131">
        <v>8634.6830000000009</v>
      </c>
      <c r="H411" s="131">
        <v>7178.1539999999977</v>
      </c>
      <c r="I411" s="131">
        <v>8812.6880000000019</v>
      </c>
      <c r="J411" s="131">
        <v>7996.3530000000019</v>
      </c>
      <c r="K411" s="131">
        <v>12593.699000000008</v>
      </c>
      <c r="L411" s="131">
        <v>14124.422999999997</v>
      </c>
      <c r="M411" s="131">
        <v>10505.589000000007</v>
      </c>
      <c r="N411" s="131">
        <v>11989.198999999999</v>
      </c>
      <c r="O411" s="898">
        <v>115208.27399999999</v>
      </c>
    </row>
    <row r="412" spans="2:15" s="3" customFormat="1" x14ac:dyDescent="0.35">
      <c r="B412" s="875" t="s">
        <v>98</v>
      </c>
      <c r="C412" s="131">
        <v>4151.5339999999997</v>
      </c>
      <c r="D412" s="131">
        <v>7319.4399999999969</v>
      </c>
      <c r="E412" s="131">
        <v>10365.790000000003</v>
      </c>
      <c r="F412" s="131">
        <v>4207.472999999999</v>
      </c>
      <c r="G412" s="131">
        <v>3239.9500000000003</v>
      </c>
      <c r="H412" s="131">
        <v>2776.3950000000004</v>
      </c>
      <c r="I412" s="131">
        <v>3397.12</v>
      </c>
      <c r="J412" s="131">
        <v>2866.9799999999996</v>
      </c>
      <c r="K412" s="131">
        <v>6868.7999999999965</v>
      </c>
      <c r="L412" s="131">
        <v>7100.9819999999963</v>
      </c>
      <c r="M412" s="131">
        <v>4886.2019999999939</v>
      </c>
      <c r="N412" s="131">
        <v>519.29</v>
      </c>
      <c r="O412" s="898">
        <v>57699.955999999984</v>
      </c>
    </row>
    <row r="413" spans="2:15" s="3" customFormat="1" x14ac:dyDescent="0.35">
      <c r="B413" s="875" t="s">
        <v>76</v>
      </c>
      <c r="C413" s="131">
        <v>734.77499999999998</v>
      </c>
      <c r="D413" s="131">
        <v>410.78999999999996</v>
      </c>
      <c r="E413" s="131">
        <v>12365.441999999999</v>
      </c>
      <c r="F413" s="131">
        <v>3190.81</v>
      </c>
      <c r="G413" s="131">
        <v>6488.43</v>
      </c>
      <c r="H413" s="131">
        <v>0</v>
      </c>
      <c r="I413" s="131">
        <v>336.40000000000003</v>
      </c>
      <c r="J413" s="131">
        <v>25.86</v>
      </c>
      <c r="K413" s="131">
        <v>253.14</v>
      </c>
      <c r="L413" s="131">
        <v>127.90999999999998</v>
      </c>
      <c r="M413" s="131">
        <v>86.23</v>
      </c>
      <c r="N413" s="131">
        <v>91.789999999999992</v>
      </c>
      <c r="O413" s="898">
        <v>24111.577000000001</v>
      </c>
    </row>
    <row r="414" spans="2:15" s="3" customFormat="1" x14ac:dyDescent="0.35">
      <c r="B414" s="875" t="s">
        <v>99</v>
      </c>
      <c r="C414" s="131">
        <v>1544.5129999999995</v>
      </c>
      <c r="D414" s="131">
        <v>1358.5129999999997</v>
      </c>
      <c r="E414" s="131">
        <v>613.29099999999983</v>
      </c>
      <c r="F414" s="131">
        <v>715.92699999999957</v>
      </c>
      <c r="G414" s="131">
        <v>978.53200000000004</v>
      </c>
      <c r="H414" s="131">
        <v>3105.7439999999997</v>
      </c>
      <c r="I414" s="131">
        <v>1913.1270000000006</v>
      </c>
      <c r="J414" s="131">
        <v>205.69400000000002</v>
      </c>
      <c r="K414" s="131">
        <v>285.202</v>
      </c>
      <c r="L414" s="131">
        <v>1165.0900000000001</v>
      </c>
      <c r="M414" s="131">
        <v>24.248000000000001</v>
      </c>
      <c r="N414" s="131">
        <v>230.072</v>
      </c>
      <c r="O414" s="898">
        <v>12139.952999999996</v>
      </c>
    </row>
    <row r="415" spans="2:15" s="3" customFormat="1" x14ac:dyDescent="0.35">
      <c r="B415" s="875" t="s">
        <v>102</v>
      </c>
      <c r="C415" s="131">
        <v>2102.873</v>
      </c>
      <c r="D415" s="131">
        <v>3105.2019999999998</v>
      </c>
      <c r="E415" s="131">
        <v>24.063000000000002</v>
      </c>
      <c r="F415" s="131">
        <v>133.39699999999999</v>
      </c>
      <c r="G415" s="131">
        <v>0</v>
      </c>
      <c r="H415" s="131">
        <v>0</v>
      </c>
      <c r="I415" s="131">
        <v>0</v>
      </c>
      <c r="J415" s="131">
        <v>0</v>
      </c>
      <c r="K415" s="131">
        <v>13</v>
      </c>
      <c r="L415" s="131">
        <v>0</v>
      </c>
      <c r="M415" s="131">
        <v>0</v>
      </c>
      <c r="N415" s="131">
        <v>0</v>
      </c>
      <c r="O415" s="898">
        <v>5378.5349999999999</v>
      </c>
    </row>
    <row r="416" spans="2:15" s="3" customFormat="1" x14ac:dyDescent="0.35">
      <c r="B416" s="875" t="s">
        <v>104</v>
      </c>
      <c r="C416" s="131">
        <v>635.60300000000007</v>
      </c>
      <c r="D416" s="131">
        <v>0</v>
      </c>
      <c r="E416" s="131">
        <v>8365.7799999999988</v>
      </c>
      <c r="F416" s="131">
        <v>492.04</v>
      </c>
      <c r="G416" s="131">
        <v>7737.08</v>
      </c>
      <c r="H416" s="131">
        <v>519.86</v>
      </c>
      <c r="I416" s="131">
        <v>7342.6</v>
      </c>
      <c r="J416" s="131">
        <v>9152.0700000000015</v>
      </c>
      <c r="K416" s="131">
        <v>0</v>
      </c>
      <c r="L416" s="131">
        <v>9488.7199999999993</v>
      </c>
      <c r="M416" s="131">
        <v>530.70000000000005</v>
      </c>
      <c r="N416" s="131">
        <v>518.72</v>
      </c>
      <c r="O416" s="898">
        <v>44783.172999999995</v>
      </c>
    </row>
    <row r="417" spans="2:15" s="3" customFormat="1" x14ac:dyDescent="0.35">
      <c r="B417" s="875" t="s">
        <v>101</v>
      </c>
      <c r="C417" s="131">
        <v>9229.244999999999</v>
      </c>
      <c r="D417" s="131">
        <v>0</v>
      </c>
      <c r="E417" s="131">
        <v>2628.1990000000001</v>
      </c>
      <c r="F417" s="131">
        <v>8116.3959999999997</v>
      </c>
      <c r="G417" s="131">
        <v>6013.4290000000001</v>
      </c>
      <c r="H417" s="131">
        <v>4229.3050000000003</v>
      </c>
      <c r="I417" s="131">
        <v>9679.5810000000001</v>
      </c>
      <c r="J417" s="131">
        <v>0</v>
      </c>
      <c r="K417" s="131">
        <v>11646.311</v>
      </c>
      <c r="L417" s="131">
        <v>0</v>
      </c>
      <c r="M417" s="131">
        <v>9961.6640000000007</v>
      </c>
      <c r="N417" s="131">
        <v>0</v>
      </c>
      <c r="O417" s="898">
        <v>61504.130000000005</v>
      </c>
    </row>
    <row r="418" spans="2:15" s="3" customFormat="1" x14ac:dyDescent="0.35">
      <c r="B418" s="875" t="s">
        <v>77</v>
      </c>
      <c r="C418" s="131">
        <v>210.87100000000001</v>
      </c>
      <c r="D418" s="131">
        <v>192.39800000000002</v>
      </c>
      <c r="E418" s="131">
        <v>84.467999999999989</v>
      </c>
      <c r="F418" s="131">
        <v>25369.724999999846</v>
      </c>
      <c r="G418" s="131">
        <v>11990.818999999967</v>
      </c>
      <c r="H418" s="131">
        <v>233.06900000000002</v>
      </c>
      <c r="I418" s="131">
        <v>47.334000000000003</v>
      </c>
      <c r="J418" s="131">
        <v>156.01400000000001</v>
      </c>
      <c r="K418" s="131">
        <v>20.974</v>
      </c>
      <c r="L418" s="131">
        <v>68.117999999999995</v>
      </c>
      <c r="M418" s="131">
        <v>17.219000000000001</v>
      </c>
      <c r="N418" s="131">
        <v>23.040999999999997</v>
      </c>
      <c r="O418" s="898">
        <v>38414.049999999821</v>
      </c>
    </row>
    <row r="419" spans="2:15" s="3" customFormat="1" x14ac:dyDescent="0.35">
      <c r="B419" s="875" t="s">
        <v>105</v>
      </c>
      <c r="C419" s="131">
        <v>714.92</v>
      </c>
      <c r="D419" s="131">
        <v>1085.8659999999998</v>
      </c>
      <c r="E419" s="131">
        <v>479.44999999999993</v>
      </c>
      <c r="F419" s="131">
        <v>392.26900000000001</v>
      </c>
      <c r="G419" s="131">
        <v>109.879</v>
      </c>
      <c r="H419" s="131">
        <v>122.452</v>
      </c>
      <c r="I419" s="131">
        <v>1091.7629999999997</v>
      </c>
      <c r="J419" s="131">
        <v>437.72700000000003</v>
      </c>
      <c r="K419" s="131">
        <v>654.69599999999991</v>
      </c>
      <c r="L419" s="131">
        <v>1887.1159999999998</v>
      </c>
      <c r="M419" s="131">
        <v>633.0999999999998</v>
      </c>
      <c r="N419" s="131">
        <v>746.44599999999991</v>
      </c>
      <c r="O419" s="898">
        <v>8355.6839999999975</v>
      </c>
    </row>
    <row r="420" spans="2:15" s="3" customFormat="1" x14ac:dyDescent="0.35">
      <c r="B420" s="875" t="s">
        <v>108</v>
      </c>
      <c r="C420" s="131">
        <v>2281.4810000000002</v>
      </c>
      <c r="D420" s="131">
        <v>1612.8270000000002</v>
      </c>
      <c r="E420" s="131">
        <v>2454.5210000000002</v>
      </c>
      <c r="F420" s="131">
        <v>2188.3589999999999</v>
      </c>
      <c r="G420" s="131">
        <v>3034.4519999999989</v>
      </c>
      <c r="H420" s="131">
        <v>2126.3899999999994</v>
      </c>
      <c r="I420" s="131">
        <v>2602.0629999999987</v>
      </c>
      <c r="J420" s="131">
        <v>4170.0469999999987</v>
      </c>
      <c r="K420" s="131">
        <v>3125.7350000000006</v>
      </c>
      <c r="L420" s="131">
        <v>3050.9810000000002</v>
      </c>
      <c r="M420" s="131">
        <v>3688.0390000000007</v>
      </c>
      <c r="N420" s="131">
        <v>3375.6620000000016</v>
      </c>
      <c r="O420" s="898">
        <v>33710.557000000001</v>
      </c>
    </row>
    <row r="421" spans="2:15" s="3" customFormat="1" x14ac:dyDescent="0.35">
      <c r="B421" s="875" t="s">
        <v>109</v>
      </c>
      <c r="C421" s="131">
        <v>498.38400000000007</v>
      </c>
      <c r="D421" s="131">
        <v>261.39200000000005</v>
      </c>
      <c r="E421" s="131">
        <v>649.59299999999985</v>
      </c>
      <c r="F421" s="131">
        <v>1359.5859999999998</v>
      </c>
      <c r="G421" s="131">
        <v>1249.6370000000006</v>
      </c>
      <c r="H421" s="131">
        <v>779.71100000000024</v>
      </c>
      <c r="I421" s="131">
        <v>987.23500000000058</v>
      </c>
      <c r="J421" s="131">
        <v>1342.1759999999995</v>
      </c>
      <c r="K421" s="131">
        <v>2038.2039999999997</v>
      </c>
      <c r="L421" s="131">
        <v>2235.123</v>
      </c>
      <c r="M421" s="131">
        <v>771.44099999999992</v>
      </c>
      <c r="N421" s="131">
        <v>1647.7</v>
      </c>
      <c r="O421" s="898">
        <v>13820.182000000003</v>
      </c>
    </row>
    <row r="422" spans="2:15" s="3" customFormat="1" x14ac:dyDescent="0.35">
      <c r="B422" s="875" t="s">
        <v>103</v>
      </c>
      <c r="C422" s="131">
        <v>1150.9500000000003</v>
      </c>
      <c r="D422" s="131">
        <v>1895.8899999999999</v>
      </c>
      <c r="E422" s="131">
        <v>2331.4139999999993</v>
      </c>
      <c r="F422" s="131">
        <v>2134.9110000000001</v>
      </c>
      <c r="G422" s="131">
        <v>2731.6889999999999</v>
      </c>
      <c r="H422" s="131">
        <v>2847.6849999999999</v>
      </c>
      <c r="I422" s="131">
        <v>1848.1669999999999</v>
      </c>
      <c r="J422" s="131">
        <v>2361.6409999999996</v>
      </c>
      <c r="K422" s="131">
        <v>1751.2470000000003</v>
      </c>
      <c r="L422" s="131">
        <v>1304.3</v>
      </c>
      <c r="M422" s="131">
        <v>907.53000000000009</v>
      </c>
      <c r="N422" s="131">
        <v>2055.1629999999996</v>
      </c>
      <c r="O422" s="898">
        <v>23320.586999999996</v>
      </c>
    </row>
    <row r="423" spans="2:15" s="3" customFormat="1" x14ac:dyDescent="0.35">
      <c r="B423" s="875" t="s">
        <v>111</v>
      </c>
      <c r="C423" s="131">
        <v>185.416</v>
      </c>
      <c r="D423" s="131">
        <v>658.74700000000018</v>
      </c>
      <c r="E423" s="131">
        <v>743.12</v>
      </c>
      <c r="F423" s="131">
        <v>240.32499999999999</v>
      </c>
      <c r="G423" s="131">
        <v>706.15199999999993</v>
      </c>
      <c r="H423" s="131">
        <v>515.58199999999999</v>
      </c>
      <c r="I423" s="131">
        <v>650.29200000000003</v>
      </c>
      <c r="J423" s="131">
        <v>700.97199999999998</v>
      </c>
      <c r="K423" s="131">
        <v>844.44800000000043</v>
      </c>
      <c r="L423" s="131">
        <v>757.02600000000029</v>
      </c>
      <c r="M423" s="131">
        <v>699.03499999999985</v>
      </c>
      <c r="N423" s="131">
        <v>1090.8450000000003</v>
      </c>
      <c r="O423" s="898">
        <v>7791.96</v>
      </c>
    </row>
    <row r="424" spans="2:15" s="3" customFormat="1" x14ac:dyDescent="0.35">
      <c r="B424" s="875" t="s">
        <v>107</v>
      </c>
      <c r="C424" s="131">
        <v>551.44399999999996</v>
      </c>
      <c r="D424" s="131">
        <v>1603.8999999999999</v>
      </c>
      <c r="E424" s="131">
        <v>1089.7860000000001</v>
      </c>
      <c r="F424" s="131">
        <v>565.49099999999999</v>
      </c>
      <c r="G424" s="131">
        <v>1088.232</v>
      </c>
      <c r="H424" s="131">
        <v>1218.6210000000001</v>
      </c>
      <c r="I424" s="131">
        <v>804.0179999999998</v>
      </c>
      <c r="J424" s="131">
        <v>1938.5300000000016</v>
      </c>
      <c r="K424" s="131">
        <v>1295.0820000000006</v>
      </c>
      <c r="L424" s="131">
        <v>1672.3210000000006</v>
      </c>
      <c r="M424" s="131">
        <v>996.93799999999987</v>
      </c>
      <c r="N424" s="131">
        <v>1178.4659999999999</v>
      </c>
      <c r="O424" s="898">
        <v>14002.829000000002</v>
      </c>
    </row>
    <row r="425" spans="2:15" s="3" customFormat="1" x14ac:dyDescent="0.35">
      <c r="B425" s="875" t="s">
        <v>106</v>
      </c>
      <c r="C425" s="131">
        <v>794.2349999999999</v>
      </c>
      <c r="D425" s="131">
        <v>1234.8320000000001</v>
      </c>
      <c r="E425" s="131">
        <v>1596.8169999999998</v>
      </c>
      <c r="F425" s="131">
        <v>1732.6099999999997</v>
      </c>
      <c r="G425" s="131">
        <v>1605.2239999999999</v>
      </c>
      <c r="H425" s="131">
        <v>1433.8320000000003</v>
      </c>
      <c r="I425" s="131">
        <v>1394.624</v>
      </c>
      <c r="J425" s="131">
        <v>1378.4199999999998</v>
      </c>
      <c r="K425" s="131">
        <v>1328.1330000000003</v>
      </c>
      <c r="L425" s="131">
        <v>1726.098</v>
      </c>
      <c r="M425" s="131">
        <v>1984.9959999999996</v>
      </c>
      <c r="N425" s="131">
        <v>1976.8009999999999</v>
      </c>
      <c r="O425" s="898">
        <v>18186.621999999999</v>
      </c>
    </row>
    <row r="426" spans="2:15" s="3" customFormat="1" x14ac:dyDescent="0.35">
      <c r="B426" s="875" t="s">
        <v>113</v>
      </c>
      <c r="C426" s="131">
        <v>0</v>
      </c>
      <c r="D426" s="131">
        <v>0</v>
      </c>
      <c r="E426" s="131">
        <v>0</v>
      </c>
      <c r="F426" s="131">
        <v>1187.5000000000002</v>
      </c>
      <c r="G426" s="131">
        <v>1428.24</v>
      </c>
      <c r="H426" s="131">
        <v>481.46699999999987</v>
      </c>
      <c r="I426" s="131">
        <v>150.12</v>
      </c>
      <c r="J426" s="131">
        <v>648.47299999999973</v>
      </c>
      <c r="K426" s="131">
        <v>0</v>
      </c>
      <c r="L426" s="131">
        <v>24.200000000000003</v>
      </c>
      <c r="M426" s="131">
        <v>22.800999999999998</v>
      </c>
      <c r="N426" s="131">
        <v>0</v>
      </c>
      <c r="O426" s="898">
        <v>3942.8009999999999</v>
      </c>
    </row>
    <row r="427" spans="2:15" s="3" customFormat="1" x14ac:dyDescent="0.35">
      <c r="B427" s="875" t="s">
        <v>110</v>
      </c>
      <c r="C427" s="131">
        <v>619.30500000000006</v>
      </c>
      <c r="D427" s="131">
        <v>910.84199999999998</v>
      </c>
      <c r="E427" s="131">
        <v>637.66599999999994</v>
      </c>
      <c r="F427" s="131">
        <v>619.81999999999994</v>
      </c>
      <c r="G427" s="131">
        <v>774.76999999999987</v>
      </c>
      <c r="H427" s="131">
        <v>533.47500000000002</v>
      </c>
      <c r="I427" s="131">
        <v>301.05999999999995</v>
      </c>
      <c r="J427" s="131">
        <v>1090.0989999999999</v>
      </c>
      <c r="K427" s="131">
        <v>529.59500000000003</v>
      </c>
      <c r="L427" s="131">
        <v>852.44999999999993</v>
      </c>
      <c r="M427" s="131">
        <v>493.30999999999995</v>
      </c>
      <c r="N427" s="131">
        <v>608.64499999999987</v>
      </c>
      <c r="O427" s="898">
        <v>7971.0369999999994</v>
      </c>
    </row>
    <row r="428" spans="2:15" s="3" customFormat="1" x14ac:dyDescent="0.35">
      <c r="B428" s="875" t="s">
        <v>262</v>
      </c>
      <c r="C428" s="131">
        <v>944.46</v>
      </c>
      <c r="D428" s="131">
        <v>539.44000000000005</v>
      </c>
      <c r="E428" s="131">
        <v>157.995</v>
      </c>
      <c r="F428" s="131">
        <v>501.27</v>
      </c>
      <c r="G428" s="131">
        <v>384</v>
      </c>
      <c r="H428" s="131">
        <v>599.55200000000002</v>
      </c>
      <c r="I428" s="131">
        <v>1571.7360000000001</v>
      </c>
      <c r="J428" s="131">
        <v>810.2170000000001</v>
      </c>
      <c r="K428" s="131">
        <v>378.98</v>
      </c>
      <c r="L428" s="131">
        <v>1754.51</v>
      </c>
      <c r="M428" s="131">
        <v>41.43</v>
      </c>
      <c r="N428" s="131">
        <v>81.102000000000004</v>
      </c>
      <c r="O428" s="898">
        <v>7764.692</v>
      </c>
    </row>
    <row r="429" spans="2:15" s="3" customFormat="1" x14ac:dyDescent="0.35">
      <c r="B429" s="875" t="s">
        <v>112</v>
      </c>
      <c r="C429" s="131">
        <v>337.62399999999997</v>
      </c>
      <c r="D429" s="131">
        <v>1157.5679999999995</v>
      </c>
      <c r="E429" s="131">
        <v>988.75599999999986</v>
      </c>
      <c r="F429" s="131">
        <v>978.69600000000014</v>
      </c>
      <c r="G429" s="131">
        <v>1411.7919999999995</v>
      </c>
      <c r="H429" s="131">
        <v>434.08799999999991</v>
      </c>
      <c r="I429" s="131">
        <v>579.86799999999994</v>
      </c>
      <c r="J429" s="131">
        <v>1222.1799999999996</v>
      </c>
      <c r="K429" s="131">
        <v>786.7879999999999</v>
      </c>
      <c r="L429" s="131">
        <v>844.05999999999972</v>
      </c>
      <c r="M429" s="131">
        <v>691.35999999999979</v>
      </c>
      <c r="N429" s="131">
        <v>684.0999999999998</v>
      </c>
      <c r="O429" s="898">
        <v>10116.879999999997</v>
      </c>
    </row>
    <row r="430" spans="2:15" s="3" customFormat="1" x14ac:dyDescent="0.35">
      <c r="B430" s="875" t="s">
        <v>73</v>
      </c>
      <c r="C430" s="131">
        <v>1062.3679999999999</v>
      </c>
      <c r="D430" s="131">
        <v>294.79399999999998</v>
      </c>
      <c r="E430" s="131">
        <v>752.24700000000007</v>
      </c>
      <c r="F430" s="131">
        <v>299.06134000000009</v>
      </c>
      <c r="G430" s="131">
        <v>416.01200000000006</v>
      </c>
      <c r="H430" s="131">
        <v>951.505</v>
      </c>
      <c r="I430" s="131">
        <v>706.25400000000002</v>
      </c>
      <c r="J430" s="131">
        <v>1254.9650000000015</v>
      </c>
      <c r="K430" s="131">
        <v>826.94799999999975</v>
      </c>
      <c r="L430" s="131">
        <v>883.99800000000005</v>
      </c>
      <c r="M430" s="131">
        <v>670.23799999999983</v>
      </c>
      <c r="N430" s="131">
        <v>641.30295999999998</v>
      </c>
      <c r="O430" s="898">
        <v>8759.6933000000026</v>
      </c>
    </row>
    <row r="431" spans="2:15" s="3" customFormat="1" x14ac:dyDescent="0.35">
      <c r="B431" s="875" t="s">
        <v>473</v>
      </c>
      <c r="C431" s="131">
        <v>0</v>
      </c>
      <c r="D431" s="131">
        <v>192.56</v>
      </c>
      <c r="E431" s="131">
        <v>2431.4520000000002</v>
      </c>
      <c r="F431" s="131">
        <v>695.83000000000015</v>
      </c>
      <c r="G431" s="131">
        <v>2245.6200000000003</v>
      </c>
      <c r="H431" s="131">
        <v>1200.01</v>
      </c>
      <c r="I431" s="131">
        <v>2795.2729999999997</v>
      </c>
      <c r="J431" s="131">
        <v>1866.7799999999997</v>
      </c>
      <c r="K431" s="131">
        <v>1296.2929999999999</v>
      </c>
      <c r="L431" s="131">
        <v>2047.8889999999999</v>
      </c>
      <c r="M431" s="131">
        <v>1000.03</v>
      </c>
      <c r="N431" s="131">
        <v>1147.9259999999999</v>
      </c>
      <c r="O431" s="898">
        <v>16919.663</v>
      </c>
    </row>
    <row r="432" spans="2:15" s="3" customFormat="1" x14ac:dyDescent="0.35">
      <c r="B432" s="875" t="s">
        <v>395</v>
      </c>
      <c r="C432" s="131">
        <v>812.34900000000016</v>
      </c>
      <c r="D432" s="131">
        <v>494.3780000000001</v>
      </c>
      <c r="E432" s="131">
        <v>741.85</v>
      </c>
      <c r="F432" s="131">
        <v>458.24</v>
      </c>
      <c r="G432" s="131">
        <v>714.71900000000028</v>
      </c>
      <c r="H432" s="131">
        <v>483.64400000000006</v>
      </c>
      <c r="I432" s="131">
        <v>377.01</v>
      </c>
      <c r="J432" s="131">
        <v>861.73500000000013</v>
      </c>
      <c r="K432" s="131">
        <v>538.46399999999994</v>
      </c>
      <c r="L432" s="131">
        <v>616.1400000000001</v>
      </c>
      <c r="M432" s="131">
        <v>815.79800000000012</v>
      </c>
      <c r="N432" s="131">
        <v>569.47</v>
      </c>
      <c r="O432" s="898">
        <v>7483.7970000000014</v>
      </c>
    </row>
    <row r="433" spans="2:15" s="3" customFormat="1" x14ac:dyDescent="0.35">
      <c r="B433" s="875" t="s">
        <v>144</v>
      </c>
      <c r="C433" s="131">
        <v>41.731000000000009</v>
      </c>
      <c r="D433" s="131">
        <v>331.63</v>
      </c>
      <c r="E433" s="131">
        <v>119.83899999999998</v>
      </c>
      <c r="F433" s="131">
        <v>619.72199999999998</v>
      </c>
      <c r="G433" s="131">
        <v>756.77599999999995</v>
      </c>
      <c r="H433" s="131">
        <v>57.313000000000002</v>
      </c>
      <c r="I433" s="131">
        <v>79.69</v>
      </c>
      <c r="J433" s="131">
        <v>272.99399999999997</v>
      </c>
      <c r="K433" s="131">
        <v>766.24399999999991</v>
      </c>
      <c r="L433" s="131">
        <v>131.64900000000003</v>
      </c>
      <c r="M433" s="131">
        <v>691.01</v>
      </c>
      <c r="N433" s="131">
        <v>1107.066</v>
      </c>
      <c r="O433" s="898">
        <v>4975.6639999999998</v>
      </c>
    </row>
    <row r="434" spans="2:15" s="3" customFormat="1" x14ac:dyDescent="0.35">
      <c r="B434" s="875" t="s">
        <v>91</v>
      </c>
      <c r="C434" s="905">
        <v>8938.9918700029957</v>
      </c>
      <c r="D434" s="905">
        <v>12082.326200002281</v>
      </c>
      <c r="E434" s="905">
        <v>11167.000000001339</v>
      </c>
      <c r="F434" s="905">
        <v>8408.0900000066031</v>
      </c>
      <c r="G434" s="905">
        <v>12351.439000005019</v>
      </c>
      <c r="H434" s="905">
        <v>12295.140000001062</v>
      </c>
      <c r="I434" s="905">
        <v>9352.2130000052857</v>
      </c>
      <c r="J434" s="905">
        <v>14213.90300000296</v>
      </c>
      <c r="K434" s="905">
        <v>16680.075000008976</v>
      </c>
      <c r="L434" s="905">
        <v>33770.070000002219</v>
      </c>
      <c r="M434" s="905">
        <v>15417.456000002567</v>
      </c>
      <c r="N434" s="905">
        <v>41884.380140020279</v>
      </c>
      <c r="O434" s="875">
        <v>196561.08421006158</v>
      </c>
    </row>
    <row r="435" spans="2:15" s="3" customFormat="1" x14ac:dyDescent="0.35">
      <c r="B435" s="875"/>
      <c r="C435" s="185"/>
      <c r="D435" s="185"/>
      <c r="E435" s="185"/>
      <c r="F435" s="185"/>
      <c r="G435" s="185"/>
      <c r="H435" s="185"/>
      <c r="I435" s="185"/>
      <c r="J435" s="902"/>
      <c r="K435" s="902"/>
      <c r="L435" s="902"/>
      <c r="M435" s="902"/>
      <c r="N435" s="903"/>
      <c r="O435" s="901"/>
    </row>
    <row r="436" spans="2:15" s="3" customFormat="1" x14ac:dyDescent="0.35">
      <c r="B436" s="432" t="s">
        <v>36</v>
      </c>
      <c r="C436" s="906">
        <v>1412268.7090499974</v>
      </c>
      <c r="D436" s="906">
        <v>1805524.4297510055</v>
      </c>
      <c r="E436" s="906">
        <v>1755388.390563004</v>
      </c>
      <c r="F436" s="906">
        <v>1825503.8145370167</v>
      </c>
      <c r="G436" s="906">
        <v>1982244.2073920108</v>
      </c>
      <c r="H436" s="906">
        <v>1683886.2714609976</v>
      </c>
      <c r="I436" s="906">
        <v>1915483.6999300057</v>
      </c>
      <c r="J436" s="906">
        <v>2117111.1935200151</v>
      </c>
      <c r="K436" s="906">
        <v>1897523.5898300237</v>
      </c>
      <c r="L436" s="906">
        <v>1982096.0237359954</v>
      </c>
      <c r="M436" s="906">
        <v>1880199.1191800104</v>
      </c>
      <c r="N436" s="907">
        <v>1965894.6354490335</v>
      </c>
      <c r="O436" s="908">
        <v>22223124.084399115</v>
      </c>
    </row>
    <row r="437" spans="2:15" s="3" customFormat="1" x14ac:dyDescent="0.35">
      <c r="B437" s="186"/>
      <c r="C437" s="183"/>
      <c r="D437" s="183"/>
      <c r="E437" s="183"/>
      <c r="F437" s="183"/>
      <c r="G437" s="183"/>
      <c r="H437" s="183"/>
      <c r="I437" s="183"/>
      <c r="J437" s="183"/>
      <c r="K437" s="183"/>
      <c r="L437" s="183"/>
      <c r="M437" s="183"/>
      <c r="N437" s="183"/>
      <c r="O437" s="187"/>
    </row>
    <row r="438" spans="2:15" s="3" customFormat="1" x14ac:dyDescent="0.35">
      <c r="B438" s="1068" t="s">
        <v>370</v>
      </c>
      <c r="C438" s="1068"/>
      <c r="D438" s="1068"/>
      <c r="E438" s="1068"/>
      <c r="F438" s="1068"/>
      <c r="G438" s="1068"/>
      <c r="H438" s="1068"/>
      <c r="I438" s="1068"/>
      <c r="J438" s="1068"/>
      <c r="K438" s="555">
        <v>2025</v>
      </c>
      <c r="L438" s="173"/>
      <c r="M438" s="173"/>
      <c r="N438" s="173"/>
      <c r="O438" s="173"/>
    </row>
    <row r="439" spans="2:15" s="3" customFormat="1" x14ac:dyDescent="0.35">
      <c r="B439" s="181"/>
      <c r="C439" s="182"/>
      <c r="D439" s="182"/>
      <c r="E439" s="182"/>
      <c r="F439" s="182"/>
      <c r="G439" s="183"/>
      <c r="H439" s="183"/>
      <c r="I439" s="183"/>
      <c r="J439" s="183"/>
      <c r="K439" s="183"/>
      <c r="L439" s="618"/>
      <c r="M439" s="183"/>
      <c r="N439" s="183"/>
      <c r="O439" s="181"/>
    </row>
    <row r="440" spans="2:15" s="3" customFormat="1" ht="15" customHeight="1" x14ac:dyDescent="0.35">
      <c r="B440" s="1077" t="s">
        <v>13</v>
      </c>
      <c r="C440" s="1070" t="s">
        <v>0</v>
      </c>
      <c r="D440" s="1070" t="s">
        <v>1</v>
      </c>
      <c r="E440" s="1070" t="s">
        <v>2</v>
      </c>
      <c r="F440" s="1070" t="s">
        <v>3</v>
      </c>
      <c r="G440" s="1070" t="s">
        <v>4</v>
      </c>
      <c r="H440" s="1070" t="s">
        <v>5</v>
      </c>
      <c r="I440" s="1070" t="s">
        <v>6</v>
      </c>
      <c r="J440" s="1070" t="s">
        <v>7</v>
      </c>
      <c r="K440" s="1070" t="s">
        <v>8</v>
      </c>
      <c r="L440" s="1070" t="s">
        <v>9</v>
      </c>
      <c r="M440" s="1070" t="s">
        <v>10</v>
      </c>
      <c r="N440" s="1070" t="s">
        <v>14</v>
      </c>
      <c r="O440" s="1074" t="s">
        <v>15</v>
      </c>
    </row>
    <row r="441" spans="2:15" s="3" customFormat="1" ht="15" customHeight="1" x14ac:dyDescent="0.35">
      <c r="B441" s="1088"/>
      <c r="C441" s="1071"/>
      <c r="D441" s="1071"/>
      <c r="E441" s="1071"/>
      <c r="F441" s="1071"/>
      <c r="G441" s="1071"/>
      <c r="H441" s="1071"/>
      <c r="I441" s="1071"/>
      <c r="J441" s="1071"/>
      <c r="K441" s="1071"/>
      <c r="L441" s="1071"/>
      <c r="M441" s="1078"/>
      <c r="N441" s="1078"/>
      <c r="O441" s="1079"/>
    </row>
    <row r="442" spans="2:15" s="3" customFormat="1" x14ac:dyDescent="0.35">
      <c r="B442" s="893"/>
      <c r="C442" s="632">
        <v>0</v>
      </c>
      <c r="D442" s="632">
        <v>0</v>
      </c>
      <c r="E442" s="632">
        <v>0</v>
      </c>
      <c r="F442" s="632">
        <v>0</v>
      </c>
      <c r="G442" s="632">
        <v>0</v>
      </c>
      <c r="H442" s="632">
        <v>0</v>
      </c>
      <c r="I442" s="632">
        <v>0</v>
      </c>
      <c r="J442" s="632">
        <v>0</v>
      </c>
      <c r="K442" s="632">
        <v>0</v>
      </c>
      <c r="L442" s="632">
        <v>0</v>
      </c>
      <c r="M442" s="632">
        <v>0</v>
      </c>
      <c r="N442" s="632">
        <v>0</v>
      </c>
      <c r="O442" s="894"/>
    </row>
    <row r="443" spans="2:15" s="3" customFormat="1" x14ac:dyDescent="0.35">
      <c r="B443" s="895" t="s">
        <v>47</v>
      </c>
      <c r="C443" s="184">
        <v>301248.18102200015</v>
      </c>
      <c r="D443" s="184">
        <v>269349.14288999868</v>
      </c>
      <c r="E443" s="184">
        <v>156445.00911999977</v>
      </c>
      <c r="F443" s="184">
        <v>396709.13938000053</v>
      </c>
      <c r="G443" s="184">
        <v>321285.65287000086</v>
      </c>
      <c r="H443" s="184">
        <v>230073.11930999986</v>
      </c>
      <c r="I443" s="184">
        <v>405532.22876000125</v>
      </c>
      <c r="J443" s="184">
        <v>326372.6050000019</v>
      </c>
      <c r="K443" s="184">
        <v>224868.56500000079</v>
      </c>
      <c r="L443" s="184">
        <v>287464.43971000018</v>
      </c>
      <c r="M443" s="184">
        <v>193927.05549999978</v>
      </c>
      <c r="N443" s="184">
        <v>265136.84120000032</v>
      </c>
      <c r="O443" s="896">
        <v>3378411.9797620038</v>
      </c>
    </row>
    <row r="444" spans="2:15" s="3" customFormat="1" x14ac:dyDescent="0.35">
      <c r="B444" s="893"/>
      <c r="C444" s="897"/>
      <c r="D444" s="897"/>
      <c r="E444" s="897"/>
      <c r="F444" s="897"/>
      <c r="G444" s="897"/>
      <c r="H444" s="897"/>
      <c r="I444" s="897"/>
      <c r="J444" s="897"/>
      <c r="K444" s="897"/>
      <c r="L444" s="897"/>
      <c r="M444" s="897"/>
      <c r="N444" s="897"/>
      <c r="O444" s="898"/>
    </row>
    <row r="445" spans="2:15" s="3" customFormat="1" x14ac:dyDescent="0.35">
      <c r="B445" s="909" t="s">
        <v>66</v>
      </c>
      <c r="C445" s="131">
        <v>26003.698</v>
      </c>
      <c r="D445" s="131">
        <v>141668.75899999999</v>
      </c>
      <c r="E445" s="131">
        <v>15326.254999999999</v>
      </c>
      <c r="F445" s="131">
        <v>176216.44099999999</v>
      </c>
      <c r="G445" s="131">
        <v>97308.03899999999</v>
      </c>
      <c r="H445" s="131">
        <v>112300.689</v>
      </c>
      <c r="I445" s="131">
        <v>147599.78800000003</v>
      </c>
      <c r="J445" s="131">
        <v>117507.489</v>
      </c>
      <c r="K445" s="131">
        <v>50896.476000000002</v>
      </c>
      <c r="L445" s="131">
        <v>63043.313999999998</v>
      </c>
      <c r="M445" s="131">
        <v>21681.25</v>
      </c>
      <c r="N445" s="131">
        <v>101897.57800000001</v>
      </c>
      <c r="O445" s="898">
        <v>1071449.7760000001</v>
      </c>
    </row>
    <row r="446" spans="2:15" s="3" customFormat="1" x14ac:dyDescent="0.35">
      <c r="B446" s="909" t="s">
        <v>67</v>
      </c>
      <c r="C446" s="131">
        <v>121116.01799999994</v>
      </c>
      <c r="D446" s="131">
        <v>26605.463640000042</v>
      </c>
      <c r="E446" s="131">
        <v>6196.8610000000017</v>
      </c>
      <c r="F446" s="131">
        <v>69983.353999999919</v>
      </c>
      <c r="G446" s="131">
        <v>65120.824399999998</v>
      </c>
      <c r="H446" s="131">
        <v>5650.7740000000003</v>
      </c>
      <c r="I446" s="131">
        <v>57605.078000000052</v>
      </c>
      <c r="J446" s="131">
        <v>29752.054999999986</v>
      </c>
      <c r="K446" s="131">
        <v>27029.263999999897</v>
      </c>
      <c r="L446" s="131">
        <v>35721.048999999955</v>
      </c>
      <c r="M446" s="131">
        <v>19582.32399999999</v>
      </c>
      <c r="N446" s="131">
        <v>23206.347999999962</v>
      </c>
      <c r="O446" s="898">
        <v>487569.41303999966</v>
      </c>
    </row>
    <row r="447" spans="2:15" s="3" customFormat="1" x14ac:dyDescent="0.35">
      <c r="B447" s="909" t="s">
        <v>68</v>
      </c>
      <c r="C447" s="131">
        <v>46499.97</v>
      </c>
      <c r="D447" s="131">
        <v>26015.46</v>
      </c>
      <c r="E447" s="131">
        <v>57106.524999999994</v>
      </c>
      <c r="F447" s="131">
        <v>56541.031999999999</v>
      </c>
      <c r="G447" s="131">
        <v>32707.039000000001</v>
      </c>
      <c r="H447" s="131">
        <v>8000</v>
      </c>
      <c r="I447" s="131">
        <v>65364.184999999998</v>
      </c>
      <c r="J447" s="131">
        <v>42481.891000000003</v>
      </c>
      <c r="K447" s="131">
        <v>48451.880000000005</v>
      </c>
      <c r="L447" s="131">
        <v>69250</v>
      </c>
      <c r="M447" s="131">
        <v>41276.51</v>
      </c>
      <c r="N447" s="131">
        <v>42725.010999999999</v>
      </c>
      <c r="O447" s="898">
        <v>536419.50300000003</v>
      </c>
    </row>
    <row r="448" spans="2:15" s="3" customFormat="1" x14ac:dyDescent="0.35">
      <c r="B448" s="909" t="s">
        <v>71</v>
      </c>
      <c r="C448" s="131">
        <v>31769.942000000003</v>
      </c>
      <c r="D448" s="131">
        <v>8243.6140000000232</v>
      </c>
      <c r="E448" s="131">
        <v>18596.60279999999</v>
      </c>
      <c r="F448" s="131">
        <v>17849.994999999926</v>
      </c>
      <c r="G448" s="131">
        <v>26422.239999999641</v>
      </c>
      <c r="H448" s="131">
        <v>19589.718999999972</v>
      </c>
      <c r="I448" s="131">
        <v>17025.414000000012</v>
      </c>
      <c r="J448" s="131">
        <v>40927.325999999572</v>
      </c>
      <c r="K448" s="131">
        <v>21787.892999999749</v>
      </c>
      <c r="L448" s="131">
        <v>11196.062000000036</v>
      </c>
      <c r="M448" s="131">
        <v>18035.635999999922</v>
      </c>
      <c r="N448" s="131">
        <v>22032.800999999668</v>
      </c>
      <c r="O448" s="898">
        <v>253477.24479999847</v>
      </c>
    </row>
    <row r="449" spans="2:15" s="3" customFormat="1" x14ac:dyDescent="0.35">
      <c r="B449" s="909" t="s">
        <v>113</v>
      </c>
      <c r="C449" s="131">
        <v>17895.152000000016</v>
      </c>
      <c r="D449" s="131">
        <v>16820.155999999995</v>
      </c>
      <c r="E449" s="131">
        <v>9964.7019999999739</v>
      </c>
      <c r="F449" s="131">
        <v>19174.102500000085</v>
      </c>
      <c r="G449" s="131">
        <v>27613.253000000153</v>
      </c>
      <c r="H449" s="131">
        <v>7638.1450000000004</v>
      </c>
      <c r="I449" s="131">
        <v>20710.562999999915</v>
      </c>
      <c r="J449" s="131">
        <v>14881.690000000055</v>
      </c>
      <c r="K449" s="131">
        <v>13111.459000000004</v>
      </c>
      <c r="L449" s="131">
        <v>9451.5749999999953</v>
      </c>
      <c r="M449" s="131">
        <v>15155.504999999956</v>
      </c>
      <c r="N449" s="131">
        <v>8421.0579999999791</v>
      </c>
      <c r="O449" s="898">
        <v>180837.36050000013</v>
      </c>
    </row>
    <row r="450" spans="2:15" s="3" customFormat="1" x14ac:dyDescent="0.35">
      <c r="B450" s="909" t="s">
        <v>70</v>
      </c>
      <c r="C450" s="131">
        <v>11012.608</v>
      </c>
      <c r="D450" s="131">
        <v>24.4</v>
      </c>
      <c r="E450" s="131">
        <v>0</v>
      </c>
      <c r="F450" s="131">
        <v>51.2</v>
      </c>
      <c r="G450" s="131">
        <v>0</v>
      </c>
      <c r="H450" s="131">
        <v>11018.252</v>
      </c>
      <c r="I450" s="131">
        <v>2500</v>
      </c>
      <c r="J450" s="131">
        <v>275.495</v>
      </c>
      <c r="K450" s="131">
        <v>19.84</v>
      </c>
      <c r="L450" s="131">
        <v>0</v>
      </c>
      <c r="M450" s="131">
        <v>185.29900000000001</v>
      </c>
      <c r="N450" s="131">
        <v>2500</v>
      </c>
      <c r="O450" s="898">
        <v>27587.093999999997</v>
      </c>
    </row>
    <row r="451" spans="2:15" s="3" customFormat="1" x14ac:dyDescent="0.35">
      <c r="B451" s="909" t="s">
        <v>147</v>
      </c>
      <c r="C451" s="131">
        <v>2396.6289999999999</v>
      </c>
      <c r="D451" s="131">
        <v>1070.328</v>
      </c>
      <c r="E451" s="131">
        <v>2353.636</v>
      </c>
      <c r="F451" s="131">
        <v>2334.6199999999985</v>
      </c>
      <c r="G451" s="131">
        <v>3835.9280000000026</v>
      </c>
      <c r="H451" s="131">
        <v>1709.5859999999996</v>
      </c>
      <c r="I451" s="131">
        <v>1841.7119999999993</v>
      </c>
      <c r="J451" s="131">
        <v>2764.4840000000045</v>
      </c>
      <c r="K451" s="131">
        <v>3281.9750000000013</v>
      </c>
      <c r="L451" s="131">
        <v>1981.235000000001</v>
      </c>
      <c r="M451" s="131">
        <v>2517.4170000000013</v>
      </c>
      <c r="N451" s="131">
        <v>1885.302000000001</v>
      </c>
      <c r="O451" s="898">
        <v>27972.852000000006</v>
      </c>
    </row>
    <row r="452" spans="2:15" s="3" customFormat="1" x14ac:dyDescent="0.35">
      <c r="B452" s="909" t="s">
        <v>74</v>
      </c>
      <c r="C452" s="131">
        <v>3914.768</v>
      </c>
      <c r="D452" s="131">
        <v>5403.2270000000008</v>
      </c>
      <c r="E452" s="131">
        <v>282.49599999999998</v>
      </c>
      <c r="F452" s="131">
        <v>4168.8879999999999</v>
      </c>
      <c r="G452" s="131">
        <v>5855.277</v>
      </c>
      <c r="H452" s="131">
        <v>7264.0710000000008</v>
      </c>
      <c r="I452" s="131">
        <v>19089.448000000004</v>
      </c>
      <c r="J452" s="131">
        <v>13512.496000000001</v>
      </c>
      <c r="K452" s="131">
        <v>2875.68</v>
      </c>
      <c r="L452" s="131">
        <v>9575.9260000000013</v>
      </c>
      <c r="M452" s="131">
        <v>10113.523000000001</v>
      </c>
      <c r="N452" s="131">
        <v>254.52799999999999</v>
      </c>
      <c r="O452" s="898">
        <v>82310.328000000009</v>
      </c>
    </row>
    <row r="453" spans="2:15" s="3" customFormat="1" x14ac:dyDescent="0.35">
      <c r="B453" s="909" t="s">
        <v>86</v>
      </c>
      <c r="C453" s="131">
        <v>3785.7090000000003</v>
      </c>
      <c r="D453" s="131">
        <v>2252.0679999999984</v>
      </c>
      <c r="E453" s="131">
        <v>4132.2640000000019</v>
      </c>
      <c r="F453" s="131">
        <v>2395.0340000000006</v>
      </c>
      <c r="G453" s="131">
        <v>2688.1360000000013</v>
      </c>
      <c r="H453" s="131">
        <v>3152.3319999999981</v>
      </c>
      <c r="I453" s="131">
        <v>1085.682</v>
      </c>
      <c r="J453" s="131">
        <v>62.384</v>
      </c>
      <c r="K453" s="131">
        <v>2244.0249999999996</v>
      </c>
      <c r="L453" s="131">
        <v>1060.7449999999999</v>
      </c>
      <c r="M453" s="131">
        <v>2129.8705000000004</v>
      </c>
      <c r="N453" s="131">
        <v>1068.1130000000003</v>
      </c>
      <c r="O453" s="898">
        <v>26056.362499999999</v>
      </c>
    </row>
    <row r="454" spans="2:15" s="3" customFormat="1" x14ac:dyDescent="0.35">
      <c r="B454" s="909" t="s">
        <v>116</v>
      </c>
      <c r="C454" s="131">
        <v>1199.3009999999999</v>
      </c>
      <c r="D454" s="131">
        <v>1546.7449999999999</v>
      </c>
      <c r="E454" s="131">
        <v>2212.7820000000002</v>
      </c>
      <c r="F454" s="131">
        <v>3505.4510000000005</v>
      </c>
      <c r="G454" s="131">
        <v>1280.0520000000008</v>
      </c>
      <c r="H454" s="131">
        <v>1696.7370000000001</v>
      </c>
      <c r="I454" s="131">
        <v>3294.6410000000014</v>
      </c>
      <c r="J454" s="131">
        <v>3690.9550000000004</v>
      </c>
      <c r="K454" s="131">
        <v>1425.4809999999995</v>
      </c>
      <c r="L454" s="131">
        <v>2551.9230000000016</v>
      </c>
      <c r="M454" s="131">
        <v>3694.82</v>
      </c>
      <c r="N454" s="131">
        <v>1947.2720000000004</v>
      </c>
      <c r="O454" s="898">
        <v>28046.160000000007</v>
      </c>
    </row>
    <row r="455" spans="2:15" s="3" customFormat="1" x14ac:dyDescent="0.35">
      <c r="B455" s="909" t="s">
        <v>470</v>
      </c>
      <c r="C455" s="131">
        <v>5105.1499999999996</v>
      </c>
      <c r="D455" s="131">
        <v>964.77299999999991</v>
      </c>
      <c r="E455" s="131">
        <v>59.593000000000004</v>
      </c>
      <c r="F455" s="131">
        <v>2143.8429999999998</v>
      </c>
      <c r="G455" s="131">
        <v>2480.9210000000003</v>
      </c>
      <c r="H455" s="131">
        <v>4297.3620000000001</v>
      </c>
      <c r="I455" s="131">
        <v>19249.375999999997</v>
      </c>
      <c r="J455" s="131">
        <v>36</v>
      </c>
      <c r="K455" s="131">
        <v>4286.0519999999997</v>
      </c>
      <c r="L455" s="131">
        <v>5598.6459999999997</v>
      </c>
      <c r="M455" s="131">
        <v>392.54500000000002</v>
      </c>
      <c r="N455" s="131">
        <v>3247.0070000000001</v>
      </c>
      <c r="O455" s="898">
        <v>47861.267999999989</v>
      </c>
    </row>
    <row r="456" spans="2:15" s="3" customFormat="1" x14ac:dyDescent="0.35">
      <c r="B456" s="909" t="s">
        <v>85</v>
      </c>
      <c r="C456" s="131">
        <v>56</v>
      </c>
      <c r="D456" s="131">
        <v>1829.6999999999998</v>
      </c>
      <c r="E456" s="131">
        <v>1289.28</v>
      </c>
      <c r="F456" s="131">
        <v>28</v>
      </c>
      <c r="G456" s="131">
        <v>5726.4070000000002</v>
      </c>
      <c r="H456" s="131">
        <v>880.15000000000009</v>
      </c>
      <c r="I456" s="131">
        <v>5750.8410000000003</v>
      </c>
      <c r="J456" s="131">
        <v>0</v>
      </c>
      <c r="K456" s="131">
        <v>42.95</v>
      </c>
      <c r="L456" s="131">
        <v>9237.8029999999999</v>
      </c>
      <c r="M456" s="131">
        <v>0</v>
      </c>
      <c r="N456" s="131">
        <v>2745.6390000000001</v>
      </c>
      <c r="O456" s="898">
        <v>27586.77</v>
      </c>
    </row>
    <row r="457" spans="2:15" s="3" customFormat="1" x14ac:dyDescent="0.35">
      <c r="B457" s="909" t="s">
        <v>119</v>
      </c>
      <c r="C457" s="131">
        <v>1499.3250000000005</v>
      </c>
      <c r="D457" s="131">
        <v>1995.5620000000013</v>
      </c>
      <c r="E457" s="131">
        <v>2536.1659999999997</v>
      </c>
      <c r="F457" s="131">
        <v>3177.2669999999998</v>
      </c>
      <c r="G457" s="131">
        <v>2249.3910000000005</v>
      </c>
      <c r="H457" s="131">
        <v>1319.3960000000006</v>
      </c>
      <c r="I457" s="131">
        <v>1350.1030000000003</v>
      </c>
      <c r="J457" s="131">
        <v>2527.2069999999962</v>
      </c>
      <c r="K457" s="131">
        <v>947.72499999999991</v>
      </c>
      <c r="L457" s="131">
        <v>3443.3739999999971</v>
      </c>
      <c r="M457" s="131">
        <v>524.86399999999981</v>
      </c>
      <c r="N457" s="131">
        <v>745.56000000000017</v>
      </c>
      <c r="O457" s="898">
        <v>22315.94</v>
      </c>
    </row>
    <row r="458" spans="2:15" s="3" customFormat="1" x14ac:dyDescent="0.35">
      <c r="B458" s="909" t="s">
        <v>81</v>
      </c>
      <c r="C458" s="131">
        <v>1142.43408</v>
      </c>
      <c r="D458" s="131">
        <v>2675.9759999999965</v>
      </c>
      <c r="E458" s="131">
        <v>1108.7900000000002</v>
      </c>
      <c r="F458" s="131">
        <v>2034.3619999999978</v>
      </c>
      <c r="G458" s="131">
        <v>1222.3129999999999</v>
      </c>
      <c r="H458" s="131">
        <v>2159.6029999999992</v>
      </c>
      <c r="I458" s="131">
        <v>2857.8379999999984</v>
      </c>
      <c r="J458" s="131">
        <v>3544.0350000000017</v>
      </c>
      <c r="K458" s="131">
        <v>1741.7519999999997</v>
      </c>
      <c r="L458" s="131">
        <v>2158.2059999999997</v>
      </c>
      <c r="M458" s="131">
        <v>2761.4940000000015</v>
      </c>
      <c r="N458" s="131">
        <v>979.03069999999968</v>
      </c>
      <c r="O458" s="898">
        <v>24385.833779999994</v>
      </c>
    </row>
    <row r="459" spans="2:15" s="3" customFormat="1" x14ac:dyDescent="0.35">
      <c r="B459" s="909" t="s">
        <v>73</v>
      </c>
      <c r="C459" s="131">
        <v>1554.0949999999993</v>
      </c>
      <c r="D459" s="131">
        <v>1843.1330000000003</v>
      </c>
      <c r="E459" s="131">
        <v>1000.5359999999999</v>
      </c>
      <c r="F459" s="131">
        <v>1456.2160299999996</v>
      </c>
      <c r="G459" s="131">
        <v>2653.585219999999</v>
      </c>
      <c r="H459" s="131">
        <v>1244.6788100000003</v>
      </c>
      <c r="I459" s="131">
        <v>1625.0249999999999</v>
      </c>
      <c r="J459" s="131">
        <v>843.1990000000003</v>
      </c>
      <c r="K459" s="131">
        <v>1500.3879999999999</v>
      </c>
      <c r="L459" s="131">
        <v>1887.4980000000003</v>
      </c>
      <c r="M459" s="131">
        <v>2942.561999999999</v>
      </c>
      <c r="N459" s="131">
        <v>3453.2420000000029</v>
      </c>
      <c r="O459" s="898">
        <v>22004.158059999998</v>
      </c>
    </row>
    <row r="460" spans="2:15" s="3" customFormat="1" x14ac:dyDescent="0.35">
      <c r="B460" s="909" t="s">
        <v>88</v>
      </c>
      <c r="C460" s="131">
        <v>1916.299</v>
      </c>
      <c r="D460" s="131">
        <v>3514.6179999999999</v>
      </c>
      <c r="E460" s="131">
        <v>4175.1860000000015</v>
      </c>
      <c r="F460" s="131">
        <v>3303.2159999999994</v>
      </c>
      <c r="G460" s="131">
        <v>4101.7570000000023</v>
      </c>
      <c r="H460" s="131">
        <v>3436.4250000000002</v>
      </c>
      <c r="I460" s="131">
        <v>7108.561999999999</v>
      </c>
      <c r="J460" s="131">
        <v>9997.2850000000108</v>
      </c>
      <c r="K460" s="131">
        <v>6001.5409999999983</v>
      </c>
      <c r="L460" s="131">
        <v>5149.9299999999921</v>
      </c>
      <c r="M460" s="131">
        <v>664.41599999999994</v>
      </c>
      <c r="N460" s="131">
        <v>237.67000000000002</v>
      </c>
      <c r="O460" s="898">
        <v>49606.904999999999</v>
      </c>
    </row>
    <row r="461" spans="2:15" s="3" customFormat="1" x14ac:dyDescent="0.35">
      <c r="B461" s="909" t="s">
        <v>267</v>
      </c>
      <c r="C461" s="131">
        <v>1092.7270000000001</v>
      </c>
      <c r="D461" s="131">
        <v>1062.6859999999999</v>
      </c>
      <c r="E461" s="131">
        <v>421.38599999999997</v>
      </c>
      <c r="F461" s="131">
        <v>811.16200000000015</v>
      </c>
      <c r="G461" s="131">
        <v>1423.3979999999992</v>
      </c>
      <c r="H461" s="131">
        <v>506.06</v>
      </c>
      <c r="I461" s="131">
        <v>1136.2190000000003</v>
      </c>
      <c r="J461" s="131">
        <v>1480.2809999999997</v>
      </c>
      <c r="K461" s="131">
        <v>649.12799999999993</v>
      </c>
      <c r="L461" s="131">
        <v>1744.6119999999996</v>
      </c>
      <c r="M461" s="131">
        <v>1050.3390000000004</v>
      </c>
      <c r="N461" s="131">
        <v>1089.1419999999998</v>
      </c>
      <c r="O461" s="898">
        <v>12467.14</v>
      </c>
    </row>
    <row r="462" spans="2:15" s="3" customFormat="1" x14ac:dyDescent="0.35">
      <c r="B462" s="909" t="s">
        <v>111</v>
      </c>
      <c r="C462" s="131">
        <v>1212.038</v>
      </c>
      <c r="D462" s="131">
        <v>838.66899999999998</v>
      </c>
      <c r="E462" s="131">
        <v>742.99999999999966</v>
      </c>
      <c r="F462" s="131">
        <v>1164.9430000000002</v>
      </c>
      <c r="G462" s="131">
        <v>612.00599999999997</v>
      </c>
      <c r="H462" s="131">
        <v>707.63900000000001</v>
      </c>
      <c r="I462" s="131">
        <v>479.3540000000001</v>
      </c>
      <c r="J462" s="131">
        <v>1102.5139999999994</v>
      </c>
      <c r="K462" s="131">
        <v>479.35300000000012</v>
      </c>
      <c r="L462" s="131">
        <v>0</v>
      </c>
      <c r="M462" s="131">
        <v>684.7489999999998</v>
      </c>
      <c r="N462" s="131">
        <v>1193.8299999999997</v>
      </c>
      <c r="O462" s="898">
        <v>9218.0949999999993</v>
      </c>
    </row>
    <row r="463" spans="2:15" s="3" customFormat="1" x14ac:dyDescent="0.35">
      <c r="B463" s="875" t="s">
        <v>148</v>
      </c>
      <c r="C463" s="131">
        <v>351.21800000000002</v>
      </c>
      <c r="D463" s="131">
        <v>978.70099999999991</v>
      </c>
      <c r="E463" s="131">
        <v>1100.0130000000001</v>
      </c>
      <c r="F463" s="131">
        <v>509.08799999999997</v>
      </c>
      <c r="G463" s="131">
        <v>1250.3499999999999</v>
      </c>
      <c r="H463" s="131">
        <v>693.77600000000007</v>
      </c>
      <c r="I463" s="131">
        <v>966.202</v>
      </c>
      <c r="J463" s="131">
        <v>2307.732</v>
      </c>
      <c r="K463" s="131">
        <v>356.60699999999997</v>
      </c>
      <c r="L463" s="131">
        <v>644.92999999999995</v>
      </c>
      <c r="M463" s="131">
        <v>1270.489</v>
      </c>
      <c r="N463" s="131">
        <v>190</v>
      </c>
      <c r="O463" s="898">
        <v>10619.105999999998</v>
      </c>
    </row>
    <row r="464" spans="2:15" s="3" customFormat="1" x14ac:dyDescent="0.35">
      <c r="B464" s="875" t="s">
        <v>83</v>
      </c>
      <c r="C464" s="131">
        <v>300.22000000000003</v>
      </c>
      <c r="D464" s="131">
        <v>1105.1200000000001</v>
      </c>
      <c r="E464" s="131">
        <v>29.720000000000002</v>
      </c>
      <c r="F464" s="131">
        <v>1172.81</v>
      </c>
      <c r="G464" s="131">
        <v>414.54900000000004</v>
      </c>
      <c r="H464" s="131">
        <v>1022.711</v>
      </c>
      <c r="I464" s="131">
        <v>516.11500000000012</v>
      </c>
      <c r="J464" s="131">
        <v>478.45000000000005</v>
      </c>
      <c r="K464" s="131">
        <v>3038.27</v>
      </c>
      <c r="L464" s="131">
        <v>1620.8109999999999</v>
      </c>
      <c r="M464" s="131">
        <v>3777.3110000000001</v>
      </c>
      <c r="N464" s="131">
        <v>365.66200000000003</v>
      </c>
      <c r="O464" s="898">
        <v>13841.749</v>
      </c>
    </row>
    <row r="465" spans="2:15" s="3" customFormat="1" x14ac:dyDescent="0.35">
      <c r="B465" s="875" t="s">
        <v>500</v>
      </c>
      <c r="C465" s="131">
        <v>534.57399999999996</v>
      </c>
      <c r="D465" s="131">
        <v>0</v>
      </c>
      <c r="E465" s="131">
        <v>0</v>
      </c>
      <c r="F465" s="131">
        <v>0</v>
      </c>
      <c r="G465" s="131">
        <v>0</v>
      </c>
      <c r="H465" s="131">
        <v>0</v>
      </c>
      <c r="I465" s="131">
        <v>0</v>
      </c>
      <c r="J465" s="131">
        <v>0</v>
      </c>
      <c r="K465" s="131">
        <v>0</v>
      </c>
      <c r="L465" s="131">
        <v>0</v>
      </c>
      <c r="M465" s="131">
        <v>0</v>
      </c>
      <c r="N465" s="131">
        <v>136.19999999999999</v>
      </c>
      <c r="O465" s="898">
        <v>670.77399999999989</v>
      </c>
    </row>
    <row r="466" spans="2:15" s="3" customFormat="1" x14ac:dyDescent="0.35">
      <c r="B466" s="875" t="s">
        <v>87</v>
      </c>
      <c r="C466" s="131">
        <v>363.52618999999999</v>
      </c>
      <c r="D466" s="131">
        <v>257.40824999999995</v>
      </c>
      <c r="E466" s="131">
        <v>562.64599999999996</v>
      </c>
      <c r="F466" s="131">
        <v>738.42200000000025</v>
      </c>
      <c r="G466" s="131">
        <v>1312.7177499999998</v>
      </c>
      <c r="H466" s="131">
        <v>450.84800000000001</v>
      </c>
      <c r="I466" s="131">
        <v>395.74100000000004</v>
      </c>
      <c r="J466" s="131">
        <v>660.96899999999994</v>
      </c>
      <c r="K466" s="131">
        <v>699.68100000000004</v>
      </c>
      <c r="L466" s="131">
        <v>727.41499999999996</v>
      </c>
      <c r="M466" s="131">
        <v>349.91200000000003</v>
      </c>
      <c r="N466" s="131">
        <v>1114.1960000000001</v>
      </c>
      <c r="O466" s="898">
        <v>7633.4821899999997</v>
      </c>
    </row>
    <row r="467" spans="2:15" s="3" customFormat="1" x14ac:dyDescent="0.35">
      <c r="B467" s="899" t="s">
        <v>69</v>
      </c>
      <c r="C467" s="131">
        <v>812.87380000000019</v>
      </c>
      <c r="D467" s="131">
        <v>1520.2619999999999</v>
      </c>
      <c r="E467" s="131">
        <v>1074.0500000000002</v>
      </c>
      <c r="F467" s="131">
        <v>268.91700000000003</v>
      </c>
      <c r="G467" s="131">
        <v>1577.0790000000002</v>
      </c>
      <c r="H467" s="131">
        <v>1011.9390000000002</v>
      </c>
      <c r="I467" s="131">
        <v>948.78400000000011</v>
      </c>
      <c r="J467" s="131">
        <v>729.3359999999999</v>
      </c>
      <c r="K467" s="131">
        <v>1659.5689999999997</v>
      </c>
      <c r="L467" s="131">
        <v>2943.7879999999973</v>
      </c>
      <c r="M467" s="131">
        <v>2532.7400000000002</v>
      </c>
      <c r="N467" s="131">
        <v>2447.420000000001</v>
      </c>
      <c r="O467" s="898">
        <v>17526.757799999999</v>
      </c>
    </row>
    <row r="468" spans="2:15" s="3" customFormat="1" x14ac:dyDescent="0.35">
      <c r="B468" s="899" t="s">
        <v>396</v>
      </c>
      <c r="C468" s="131">
        <v>0</v>
      </c>
      <c r="D468" s="131">
        <v>0</v>
      </c>
      <c r="E468" s="131">
        <v>0</v>
      </c>
      <c r="F468" s="131">
        <v>0</v>
      </c>
      <c r="G468" s="131">
        <v>0</v>
      </c>
      <c r="H468" s="131">
        <v>201.71799999999999</v>
      </c>
      <c r="I468" s="131">
        <v>142.626</v>
      </c>
      <c r="J468" s="131">
        <v>0</v>
      </c>
      <c r="K468" s="131">
        <v>339.87599999999992</v>
      </c>
      <c r="L468" s="131">
        <v>124.206</v>
      </c>
      <c r="M468" s="131">
        <v>1578.601999999999</v>
      </c>
      <c r="N468" s="131">
        <v>549.99300000000017</v>
      </c>
      <c r="O468" s="898">
        <v>2937.0209999999988</v>
      </c>
    </row>
    <row r="469" spans="2:15" s="3" customFormat="1" x14ac:dyDescent="0.35">
      <c r="B469" s="899" t="s">
        <v>157</v>
      </c>
      <c r="C469" s="131">
        <v>480.74232000000006</v>
      </c>
      <c r="D469" s="131">
        <v>28.5</v>
      </c>
      <c r="E469" s="131">
        <v>570</v>
      </c>
      <c r="F469" s="131">
        <v>1060.0900000000001</v>
      </c>
      <c r="G469" s="131">
        <v>713.81</v>
      </c>
      <c r="H469" s="131">
        <v>196.126</v>
      </c>
      <c r="I469" s="131">
        <v>0</v>
      </c>
      <c r="J469" s="131">
        <v>0</v>
      </c>
      <c r="K469" s="131">
        <v>0</v>
      </c>
      <c r="L469" s="131">
        <v>85.8</v>
      </c>
      <c r="M469" s="131">
        <v>0</v>
      </c>
      <c r="N469" s="131">
        <v>242.55000000000007</v>
      </c>
      <c r="O469" s="898">
        <v>3377.6183200000009</v>
      </c>
    </row>
    <row r="470" spans="2:15" s="3" customFormat="1" x14ac:dyDescent="0.35">
      <c r="B470" s="899" t="s">
        <v>77</v>
      </c>
      <c r="C470" s="131">
        <v>523.59999999999991</v>
      </c>
      <c r="D470" s="131">
        <v>581.38</v>
      </c>
      <c r="E470" s="131">
        <v>754</v>
      </c>
      <c r="F470" s="131">
        <v>708.76</v>
      </c>
      <c r="G470" s="131">
        <v>812.92799999999988</v>
      </c>
      <c r="H470" s="131">
        <v>717.03300000000002</v>
      </c>
      <c r="I470" s="131">
        <v>272.75300000000004</v>
      </c>
      <c r="J470" s="131">
        <v>2659.3799999999997</v>
      </c>
      <c r="K470" s="131">
        <v>2168.9889999999996</v>
      </c>
      <c r="L470" s="131">
        <v>4574.5169999999998</v>
      </c>
      <c r="M470" s="131">
        <v>3387.0350000000008</v>
      </c>
      <c r="N470" s="131">
        <v>1065.1219999999998</v>
      </c>
      <c r="O470" s="898">
        <v>18225.496999999999</v>
      </c>
    </row>
    <row r="471" spans="2:15" s="3" customFormat="1" x14ac:dyDescent="0.35">
      <c r="B471" s="899" t="s">
        <v>146</v>
      </c>
      <c r="C471" s="131">
        <v>573.48398999999995</v>
      </c>
      <c r="D471" s="131">
        <v>513.57499999999993</v>
      </c>
      <c r="E471" s="131">
        <v>576.98199999999235</v>
      </c>
      <c r="F471" s="131">
        <v>408.30096000000003</v>
      </c>
      <c r="G471" s="131">
        <v>589.93537999999978</v>
      </c>
      <c r="H471" s="131">
        <v>672.79399999999987</v>
      </c>
      <c r="I471" s="131">
        <v>482.73099999999999</v>
      </c>
      <c r="J471" s="131">
        <v>582.19000000000017</v>
      </c>
      <c r="K471" s="131">
        <v>463.68799999999993</v>
      </c>
      <c r="L471" s="131">
        <v>640.58300000000008</v>
      </c>
      <c r="M471" s="131">
        <v>679.41899999999998</v>
      </c>
      <c r="N471" s="131">
        <v>881.71400000000017</v>
      </c>
      <c r="O471" s="898">
        <v>7065.3963299999923</v>
      </c>
    </row>
    <row r="472" spans="2:15" s="3" customFormat="1" x14ac:dyDescent="0.35">
      <c r="B472" s="899" t="s">
        <v>162</v>
      </c>
      <c r="C472" s="131">
        <v>1007.7242000000001</v>
      </c>
      <c r="D472" s="131">
        <v>827.81099999999992</v>
      </c>
      <c r="E472" s="131">
        <v>664.52699999999993</v>
      </c>
      <c r="F472" s="131">
        <v>1171.605</v>
      </c>
      <c r="G472" s="131">
        <v>2345.4499500000002</v>
      </c>
      <c r="H472" s="131">
        <v>1255.9840000000004</v>
      </c>
      <c r="I472" s="131">
        <v>359.14</v>
      </c>
      <c r="J472" s="131">
        <v>636.96399999999994</v>
      </c>
      <c r="K472" s="131">
        <v>523.11900000000003</v>
      </c>
      <c r="L472" s="131">
        <v>407.83299999999991</v>
      </c>
      <c r="M472" s="131">
        <v>908.02499999999998</v>
      </c>
      <c r="N472" s="131">
        <v>1398.0030000000002</v>
      </c>
      <c r="O472" s="898">
        <v>11506.185150000003</v>
      </c>
    </row>
    <row r="473" spans="2:15" s="3" customFormat="1" x14ac:dyDescent="0.35">
      <c r="B473" s="899" t="s">
        <v>75</v>
      </c>
      <c r="C473" s="131">
        <v>75.141000000000005</v>
      </c>
      <c r="D473" s="131">
        <v>85.51</v>
      </c>
      <c r="E473" s="131">
        <v>423.60699999999997</v>
      </c>
      <c r="F473" s="131">
        <v>291.42399999999998</v>
      </c>
      <c r="G473" s="131">
        <v>445.17900000000003</v>
      </c>
      <c r="H473" s="131">
        <v>253.35</v>
      </c>
      <c r="I473" s="131">
        <v>488.91800000000012</v>
      </c>
      <c r="J473" s="131">
        <v>546.17999999999984</v>
      </c>
      <c r="K473" s="131">
        <v>219.11100000000002</v>
      </c>
      <c r="L473" s="131">
        <v>470.78700000000003</v>
      </c>
      <c r="M473" s="131">
        <v>1094.2790000000005</v>
      </c>
      <c r="N473" s="131">
        <v>1351.1520000000003</v>
      </c>
      <c r="O473" s="898">
        <v>5744.6379999999999</v>
      </c>
    </row>
    <row r="474" spans="2:15" s="3" customFormat="1" x14ac:dyDescent="0.35">
      <c r="B474" s="899" t="s">
        <v>144</v>
      </c>
      <c r="C474" s="131">
        <v>711.88600999999994</v>
      </c>
      <c r="D474" s="131">
        <v>671.36400000000003</v>
      </c>
      <c r="E474" s="131">
        <v>178.178</v>
      </c>
      <c r="F474" s="131">
        <v>543.56500000000017</v>
      </c>
      <c r="G474" s="131">
        <v>1186.1910000000005</v>
      </c>
      <c r="H474" s="131">
        <v>695.82800000000009</v>
      </c>
      <c r="I474" s="131">
        <v>914.89499999999998</v>
      </c>
      <c r="J474" s="131">
        <v>638.04300000000012</v>
      </c>
      <c r="K474" s="131">
        <v>808.09600000000012</v>
      </c>
      <c r="L474" s="131">
        <v>863.35100000000011</v>
      </c>
      <c r="M474" s="131">
        <v>1349.2010000000002</v>
      </c>
      <c r="N474" s="131">
        <v>280.36500000000001</v>
      </c>
      <c r="O474" s="898">
        <v>8840.9630100000013</v>
      </c>
    </row>
    <row r="475" spans="2:15" s="3" customFormat="1" x14ac:dyDescent="0.35">
      <c r="B475" s="875" t="s">
        <v>91</v>
      </c>
      <c r="C475" s="147">
        <v>16341.328432000242</v>
      </c>
      <c r="D475" s="147">
        <v>18404.17399999866</v>
      </c>
      <c r="E475" s="147">
        <v>23005.225319999823</v>
      </c>
      <c r="F475" s="147">
        <v>23497.03089000046</v>
      </c>
      <c r="G475" s="147">
        <v>27336.897170001117</v>
      </c>
      <c r="H475" s="147">
        <v>30329.393499999889</v>
      </c>
      <c r="I475" s="147">
        <v>24370.494760001311</v>
      </c>
      <c r="J475" s="147">
        <v>31746.575000002165</v>
      </c>
      <c r="K475" s="147">
        <v>27818.69700000115</v>
      </c>
      <c r="L475" s="147">
        <v>41308.520710000186</v>
      </c>
      <c r="M475" s="147">
        <v>33606.918999999849</v>
      </c>
      <c r="N475" s="147">
        <v>35485.332500000688</v>
      </c>
      <c r="O475" s="875">
        <v>333250.58828200563</v>
      </c>
    </row>
    <row r="476" spans="2:15" s="3" customFormat="1" x14ac:dyDescent="0.35">
      <c r="B476" s="901"/>
      <c r="C476" s="632">
        <v>0</v>
      </c>
      <c r="D476" s="632">
        <v>0</v>
      </c>
      <c r="E476" s="632">
        <v>0</v>
      </c>
      <c r="F476" s="632">
        <v>0</v>
      </c>
      <c r="G476" s="632">
        <v>0</v>
      </c>
      <c r="H476" s="632">
        <v>0</v>
      </c>
      <c r="I476" s="632">
        <v>0</v>
      </c>
      <c r="J476" s="632">
        <v>0</v>
      </c>
      <c r="K476" s="632">
        <v>0</v>
      </c>
      <c r="L476" s="632">
        <v>0</v>
      </c>
      <c r="M476" s="632">
        <v>0</v>
      </c>
      <c r="N476" s="632">
        <v>0</v>
      </c>
      <c r="O476" s="901"/>
    </row>
    <row r="477" spans="2:15" s="3" customFormat="1" x14ac:dyDescent="0.35">
      <c r="B477" s="895" t="s">
        <v>56</v>
      </c>
      <c r="C477" s="184">
        <v>10136.486410000001</v>
      </c>
      <c r="D477" s="184">
        <v>13152.375</v>
      </c>
      <c r="E477" s="184">
        <v>16667.41699999999</v>
      </c>
      <c r="F477" s="184">
        <v>13662.660000000002</v>
      </c>
      <c r="G477" s="184">
        <v>14610.394999999997</v>
      </c>
      <c r="H477" s="184">
        <v>95463.373000000123</v>
      </c>
      <c r="I477" s="184">
        <v>12301.045999999995</v>
      </c>
      <c r="J477" s="184">
        <v>17000.585999999992</v>
      </c>
      <c r="K477" s="184">
        <v>61318.59199999999</v>
      </c>
      <c r="L477" s="184">
        <v>139953.77000000005</v>
      </c>
      <c r="M477" s="184">
        <v>15474.128999999995</v>
      </c>
      <c r="N477" s="184">
        <v>101306.76940000003</v>
      </c>
      <c r="O477" s="896">
        <v>511047.59881000023</v>
      </c>
    </row>
    <row r="478" spans="2:15" s="3" customFormat="1" x14ac:dyDescent="0.35">
      <c r="B478" s="901"/>
      <c r="C478" s="185"/>
      <c r="D478" s="185"/>
      <c r="E478" s="185"/>
      <c r="F478" s="185"/>
      <c r="G478" s="185"/>
      <c r="H478" s="185"/>
      <c r="I478" s="185"/>
      <c r="J478" s="902"/>
      <c r="K478" s="902"/>
      <c r="L478" s="902"/>
      <c r="M478" s="902"/>
      <c r="N478" s="903"/>
      <c r="O478" s="901"/>
    </row>
    <row r="479" spans="2:15" s="3" customFormat="1" x14ac:dyDescent="0.35">
      <c r="B479" s="875" t="s">
        <v>98</v>
      </c>
      <c r="C479" s="131">
        <v>5486.5600000000022</v>
      </c>
      <c r="D479" s="131">
        <v>9329.8499999999985</v>
      </c>
      <c r="E479" s="131">
        <v>12842.719999999992</v>
      </c>
      <c r="F479" s="131">
        <v>7078.3379999999997</v>
      </c>
      <c r="G479" s="131">
        <v>3381.400999999998</v>
      </c>
      <c r="H479" s="131">
        <v>6924.5610000000033</v>
      </c>
      <c r="I479" s="131">
        <v>7588.4650000000011</v>
      </c>
      <c r="J479" s="131">
        <v>12649.789999999995</v>
      </c>
      <c r="K479" s="131">
        <v>11968.170999999995</v>
      </c>
      <c r="L479" s="131">
        <v>9511.2049999999999</v>
      </c>
      <c r="M479" s="131">
        <v>12662.819999999996</v>
      </c>
      <c r="N479" s="131">
        <v>6576.98</v>
      </c>
      <c r="O479" s="898">
        <v>106000.86099999998</v>
      </c>
    </row>
    <row r="480" spans="2:15" s="3" customFormat="1" x14ac:dyDescent="0.35">
      <c r="B480" s="875" t="s">
        <v>105</v>
      </c>
      <c r="C480" s="131">
        <v>493.07900000000001</v>
      </c>
      <c r="D480" s="131">
        <v>1208.2500000000002</v>
      </c>
      <c r="E480" s="131">
        <v>576.05799999999999</v>
      </c>
      <c r="F480" s="131">
        <v>1229.3550000000005</v>
      </c>
      <c r="G480" s="131">
        <v>1565.3460000000007</v>
      </c>
      <c r="H480" s="131">
        <v>1271.9000000000003</v>
      </c>
      <c r="I480" s="131">
        <v>572.46</v>
      </c>
      <c r="J480" s="131">
        <v>1376.2199999999998</v>
      </c>
      <c r="K480" s="131">
        <v>1603.13</v>
      </c>
      <c r="L480" s="131">
        <v>922.57500000000016</v>
      </c>
      <c r="M480" s="131">
        <v>1462.5080000000007</v>
      </c>
      <c r="N480" s="131">
        <v>2188.7149999999997</v>
      </c>
      <c r="O480" s="898">
        <v>14469.596000000005</v>
      </c>
    </row>
    <row r="481" spans="2:15" s="3" customFormat="1" ht="15.75" customHeight="1" x14ac:dyDescent="0.35">
      <c r="B481" s="904" t="s">
        <v>77</v>
      </c>
      <c r="C481" s="131">
        <v>38.5</v>
      </c>
      <c r="D481" s="131">
        <v>60.6</v>
      </c>
      <c r="E481" s="131">
        <v>256.64</v>
      </c>
      <c r="F481" s="131">
        <v>2775.7859999999996</v>
      </c>
      <c r="G481" s="131">
        <v>7679.5989999999902</v>
      </c>
      <c r="H481" s="131">
        <v>2294.6989999999987</v>
      </c>
      <c r="I481" s="131">
        <v>359.70500000000004</v>
      </c>
      <c r="J481" s="131">
        <v>493.17400000000004</v>
      </c>
      <c r="K481" s="131">
        <v>225.44300000000001</v>
      </c>
      <c r="L481" s="131">
        <v>178.83099999999999</v>
      </c>
      <c r="M481" s="131">
        <v>0</v>
      </c>
      <c r="N481" s="131">
        <v>22</v>
      </c>
      <c r="O481" s="898">
        <v>14384.976999999988</v>
      </c>
    </row>
    <row r="482" spans="2:15" s="3" customFormat="1" ht="15" customHeight="1" x14ac:dyDescent="0.35">
      <c r="B482" s="875" t="s">
        <v>152</v>
      </c>
      <c r="C482" s="131">
        <v>947.80499999999995</v>
      </c>
      <c r="D482" s="131">
        <v>1892.7349999999999</v>
      </c>
      <c r="E482" s="131">
        <v>2294.13</v>
      </c>
      <c r="F482" s="131">
        <v>2213.7510000000002</v>
      </c>
      <c r="G482" s="131">
        <v>1739.6809999999998</v>
      </c>
      <c r="H482" s="131">
        <v>1188.2349999999999</v>
      </c>
      <c r="I482" s="131">
        <v>1516.2160000000001</v>
      </c>
      <c r="J482" s="131">
        <v>18.34</v>
      </c>
      <c r="K482" s="131">
        <v>0</v>
      </c>
      <c r="L482" s="131">
        <v>0</v>
      </c>
      <c r="M482" s="131">
        <v>0</v>
      </c>
      <c r="N482" s="131">
        <v>0</v>
      </c>
      <c r="O482" s="898">
        <v>11810.893000000002</v>
      </c>
    </row>
    <row r="483" spans="2:15" s="3" customFormat="1" x14ac:dyDescent="0.35">
      <c r="B483" s="875" t="s">
        <v>313</v>
      </c>
      <c r="C483" s="131">
        <v>0</v>
      </c>
      <c r="D483" s="131">
        <v>0</v>
      </c>
      <c r="E483" s="131">
        <v>0</v>
      </c>
      <c r="F483" s="131">
        <v>0</v>
      </c>
      <c r="G483" s="131">
        <v>0</v>
      </c>
      <c r="H483" s="131">
        <v>0</v>
      </c>
      <c r="I483" s="131">
        <v>0</v>
      </c>
      <c r="J483" s="131">
        <v>0</v>
      </c>
      <c r="K483" s="131">
        <v>0</v>
      </c>
      <c r="L483" s="131">
        <v>0</v>
      </c>
      <c r="M483" s="131">
        <v>0</v>
      </c>
      <c r="N483" s="131">
        <v>0</v>
      </c>
      <c r="O483" s="898">
        <v>0</v>
      </c>
    </row>
    <row r="484" spans="2:15" s="3" customFormat="1" x14ac:dyDescent="0.35">
      <c r="B484" s="875" t="s">
        <v>262</v>
      </c>
      <c r="C484" s="131">
        <v>363.56</v>
      </c>
      <c r="D484" s="131">
        <v>318.06</v>
      </c>
      <c r="E484" s="131">
        <v>426.30000000000007</v>
      </c>
      <c r="F484" s="131">
        <v>0</v>
      </c>
      <c r="G484" s="131">
        <v>0</v>
      </c>
      <c r="H484" s="131">
        <v>0</v>
      </c>
      <c r="I484" s="131">
        <v>0</v>
      </c>
      <c r="J484" s="131">
        <v>0</v>
      </c>
      <c r="K484" s="131">
        <v>0</v>
      </c>
      <c r="L484" s="131">
        <v>0</v>
      </c>
      <c r="M484" s="131">
        <v>728.4</v>
      </c>
      <c r="N484" s="131">
        <v>539.37</v>
      </c>
      <c r="O484" s="898">
        <v>2375.69</v>
      </c>
    </row>
    <row r="485" spans="2:15" s="3" customFormat="1" x14ac:dyDescent="0.35">
      <c r="B485" s="904" t="s">
        <v>95</v>
      </c>
      <c r="C485" s="131">
        <v>16.86016</v>
      </c>
      <c r="D485" s="131">
        <v>90.772999999999996</v>
      </c>
      <c r="E485" s="131">
        <v>101.52</v>
      </c>
      <c r="F485" s="131">
        <v>0</v>
      </c>
      <c r="G485" s="131">
        <v>48.973000000000006</v>
      </c>
      <c r="H485" s="131">
        <v>60.901000000000003</v>
      </c>
      <c r="I485" s="131">
        <v>470.142</v>
      </c>
      <c r="J485" s="131">
        <v>670.45799999999997</v>
      </c>
      <c r="K485" s="131">
        <v>788.81500000000005</v>
      </c>
      <c r="L485" s="131">
        <v>587.18299999999999</v>
      </c>
      <c r="M485" s="131">
        <v>198.54000000000002</v>
      </c>
      <c r="N485" s="131">
        <v>43.545000000000002</v>
      </c>
      <c r="O485" s="898">
        <v>3077.7101600000001</v>
      </c>
    </row>
    <row r="486" spans="2:15" s="3" customFormat="1" x14ac:dyDescent="0.35">
      <c r="B486" s="875" t="s">
        <v>102</v>
      </c>
      <c r="C486" s="131">
        <v>2102.86</v>
      </c>
      <c r="D486" s="131">
        <v>0</v>
      </c>
      <c r="E486" s="131">
        <v>0</v>
      </c>
      <c r="F486" s="131">
        <v>0</v>
      </c>
      <c r="G486" s="131">
        <v>8</v>
      </c>
      <c r="H486" s="131">
        <v>0</v>
      </c>
      <c r="I486" s="131">
        <v>0</v>
      </c>
      <c r="J486" s="131">
        <v>0</v>
      </c>
      <c r="K486" s="131">
        <v>0</v>
      </c>
      <c r="L486" s="131">
        <v>0</v>
      </c>
      <c r="M486" s="131">
        <v>0</v>
      </c>
      <c r="N486" s="131">
        <v>0</v>
      </c>
      <c r="O486" s="898">
        <v>2110.86</v>
      </c>
    </row>
    <row r="487" spans="2:15" s="3" customFormat="1" x14ac:dyDescent="0.35">
      <c r="B487" s="875" t="s">
        <v>144</v>
      </c>
      <c r="C487" s="131">
        <v>0</v>
      </c>
      <c r="D487" s="131">
        <v>0</v>
      </c>
      <c r="E487" s="131">
        <v>0</v>
      </c>
      <c r="F487" s="131">
        <v>0</v>
      </c>
      <c r="G487" s="131">
        <v>0</v>
      </c>
      <c r="H487" s="131">
        <v>0</v>
      </c>
      <c r="I487" s="131">
        <v>0</v>
      </c>
      <c r="J487" s="131">
        <v>2.3490000000000002</v>
      </c>
      <c r="K487" s="131">
        <v>0</v>
      </c>
      <c r="L487" s="131">
        <v>0</v>
      </c>
      <c r="M487" s="131">
        <v>12.05</v>
      </c>
      <c r="N487" s="131">
        <v>0</v>
      </c>
      <c r="O487" s="898">
        <v>14.399000000000001</v>
      </c>
    </row>
    <row r="488" spans="2:15" s="3" customFormat="1" x14ac:dyDescent="0.35">
      <c r="B488" s="875" t="s">
        <v>69</v>
      </c>
      <c r="C488" s="131">
        <v>0</v>
      </c>
      <c r="D488" s="131">
        <v>0</v>
      </c>
      <c r="E488" s="131">
        <v>0</v>
      </c>
      <c r="F488" s="131">
        <v>0</v>
      </c>
      <c r="G488" s="131">
        <v>0</v>
      </c>
      <c r="H488" s="131">
        <v>0</v>
      </c>
      <c r="I488" s="131">
        <v>13.507999999999999</v>
      </c>
      <c r="J488" s="131">
        <v>0</v>
      </c>
      <c r="K488" s="131">
        <v>0</v>
      </c>
      <c r="L488" s="131">
        <v>0</v>
      </c>
      <c r="M488" s="131">
        <v>43.26</v>
      </c>
      <c r="N488" s="131">
        <v>0</v>
      </c>
      <c r="O488" s="898">
        <v>56.768000000000001</v>
      </c>
    </row>
    <row r="489" spans="2:15" s="3" customFormat="1" x14ac:dyDescent="0.35">
      <c r="B489" s="875" t="s">
        <v>153</v>
      </c>
      <c r="C489" s="131">
        <v>0</v>
      </c>
      <c r="D489" s="131">
        <v>35.326000000000001</v>
      </c>
      <c r="E489" s="131">
        <v>18.3</v>
      </c>
      <c r="F489" s="131">
        <v>35.239000000000004</v>
      </c>
      <c r="G489" s="131">
        <v>19.103000000000002</v>
      </c>
      <c r="H489" s="131">
        <v>21.026</v>
      </c>
      <c r="I489" s="131">
        <v>0</v>
      </c>
      <c r="J489" s="131">
        <v>18.7</v>
      </c>
      <c r="K489" s="131">
        <v>0</v>
      </c>
      <c r="L489" s="131">
        <v>0</v>
      </c>
      <c r="M489" s="131">
        <v>20.815999999999999</v>
      </c>
      <c r="N489" s="131">
        <v>16.231999999999999</v>
      </c>
      <c r="O489" s="898">
        <v>184.74200000000002</v>
      </c>
    </row>
    <row r="490" spans="2:15" s="3" customFormat="1" ht="13" customHeight="1" x14ac:dyDescent="0.35">
      <c r="B490" s="875" t="s">
        <v>118</v>
      </c>
      <c r="C490" s="131">
        <v>1.9</v>
      </c>
      <c r="D490" s="131">
        <v>9</v>
      </c>
      <c r="E490" s="131">
        <v>9.02</v>
      </c>
      <c r="F490" s="131">
        <v>5.23</v>
      </c>
      <c r="G490" s="131">
        <v>19.46</v>
      </c>
      <c r="H490" s="131">
        <v>1.123</v>
      </c>
      <c r="I490" s="131">
        <v>9.1999999999999993</v>
      </c>
      <c r="J490" s="131">
        <v>16.100000000000001</v>
      </c>
      <c r="K490" s="131">
        <v>17.200000000000003</v>
      </c>
      <c r="L490" s="131">
        <v>5.74</v>
      </c>
      <c r="M490" s="131">
        <v>1.62</v>
      </c>
      <c r="N490" s="131">
        <v>3.04</v>
      </c>
      <c r="O490" s="898">
        <v>98.632999999999996</v>
      </c>
    </row>
    <row r="491" spans="2:15" s="3" customFormat="1" x14ac:dyDescent="0.35">
      <c r="B491" s="875" t="s">
        <v>224</v>
      </c>
      <c r="C491" s="131">
        <v>0</v>
      </c>
      <c r="D491" s="131">
        <v>0</v>
      </c>
      <c r="E491" s="131">
        <v>0</v>
      </c>
      <c r="F491" s="131">
        <v>0</v>
      </c>
      <c r="G491" s="131">
        <v>0</v>
      </c>
      <c r="H491" s="131">
        <v>0</v>
      </c>
      <c r="I491" s="131">
        <v>0</v>
      </c>
      <c r="J491" s="131">
        <v>0</v>
      </c>
      <c r="K491" s="131">
        <v>0</v>
      </c>
      <c r="L491" s="131">
        <v>0</v>
      </c>
      <c r="M491" s="131">
        <v>0</v>
      </c>
      <c r="N491" s="131">
        <v>0</v>
      </c>
      <c r="O491" s="898">
        <v>0</v>
      </c>
    </row>
    <row r="492" spans="2:15" s="3" customFormat="1" x14ac:dyDescent="0.35">
      <c r="B492" s="875" t="s">
        <v>474</v>
      </c>
      <c r="C492" s="131">
        <v>0</v>
      </c>
      <c r="D492" s="131">
        <v>0</v>
      </c>
      <c r="E492" s="131">
        <v>0</v>
      </c>
      <c r="F492" s="131">
        <v>0</v>
      </c>
      <c r="G492" s="131">
        <v>0</v>
      </c>
      <c r="H492" s="131">
        <v>0</v>
      </c>
      <c r="I492" s="131">
        <v>40</v>
      </c>
      <c r="J492" s="131">
        <v>0</v>
      </c>
      <c r="K492" s="131">
        <v>0</v>
      </c>
      <c r="L492" s="131">
        <v>0</v>
      </c>
      <c r="M492" s="131">
        <v>0</v>
      </c>
      <c r="N492" s="131">
        <v>0</v>
      </c>
      <c r="O492" s="898">
        <v>40</v>
      </c>
    </row>
    <row r="493" spans="2:15" s="3" customFormat="1" x14ac:dyDescent="0.35">
      <c r="B493" s="875" t="s">
        <v>103</v>
      </c>
      <c r="C493" s="131">
        <v>0</v>
      </c>
      <c r="D493" s="131">
        <v>15.84</v>
      </c>
      <c r="E493" s="131">
        <v>31.68</v>
      </c>
      <c r="F493" s="131">
        <v>15.84</v>
      </c>
      <c r="G493" s="131">
        <v>24</v>
      </c>
      <c r="H493" s="131">
        <v>0</v>
      </c>
      <c r="I493" s="131">
        <v>0</v>
      </c>
      <c r="J493" s="131">
        <v>0</v>
      </c>
      <c r="K493" s="131">
        <v>0</v>
      </c>
      <c r="L493" s="131">
        <v>0</v>
      </c>
      <c r="M493" s="131">
        <v>0</v>
      </c>
      <c r="N493" s="131">
        <v>15.84</v>
      </c>
      <c r="O493" s="898">
        <v>103.2</v>
      </c>
    </row>
    <row r="494" spans="2:15" s="3" customFormat="1" x14ac:dyDescent="0.35">
      <c r="B494" s="875" t="s">
        <v>501</v>
      </c>
      <c r="C494" s="131">
        <v>0</v>
      </c>
      <c r="D494" s="131">
        <v>0</v>
      </c>
      <c r="E494" s="131">
        <v>0</v>
      </c>
      <c r="F494" s="131">
        <v>0</v>
      </c>
      <c r="G494" s="131">
        <v>0</v>
      </c>
      <c r="H494" s="131">
        <v>0</v>
      </c>
      <c r="I494" s="131">
        <v>0</v>
      </c>
      <c r="J494" s="131">
        <v>0</v>
      </c>
      <c r="K494" s="131">
        <v>0</v>
      </c>
      <c r="L494" s="131">
        <v>0</v>
      </c>
      <c r="M494" s="131">
        <v>0</v>
      </c>
      <c r="N494" s="131">
        <v>0</v>
      </c>
      <c r="O494" s="898">
        <v>0</v>
      </c>
    </row>
    <row r="495" spans="2:15" s="3" customFormat="1" x14ac:dyDescent="0.35">
      <c r="B495" s="875" t="s">
        <v>475</v>
      </c>
      <c r="C495" s="131">
        <v>0</v>
      </c>
      <c r="D495" s="131">
        <v>0</v>
      </c>
      <c r="E495" s="131">
        <v>0</v>
      </c>
      <c r="F495" s="131">
        <v>0</v>
      </c>
      <c r="G495" s="131">
        <v>0</v>
      </c>
      <c r="H495" s="131">
        <v>0</v>
      </c>
      <c r="I495" s="131">
        <v>0</v>
      </c>
      <c r="J495" s="131">
        <v>25.47</v>
      </c>
      <c r="K495" s="131">
        <v>0</v>
      </c>
      <c r="L495" s="131">
        <v>0</v>
      </c>
      <c r="M495" s="131">
        <v>0</v>
      </c>
      <c r="N495" s="131">
        <v>0</v>
      </c>
      <c r="O495" s="898">
        <v>25.47</v>
      </c>
    </row>
    <row r="496" spans="2:15" s="3" customFormat="1" x14ac:dyDescent="0.35">
      <c r="B496" s="875" t="s">
        <v>73</v>
      </c>
      <c r="C496" s="131">
        <v>0</v>
      </c>
      <c r="D496" s="131">
        <v>14.295999999999999</v>
      </c>
      <c r="E496" s="131">
        <v>0</v>
      </c>
      <c r="F496" s="131">
        <v>0</v>
      </c>
      <c r="G496" s="131">
        <v>0</v>
      </c>
      <c r="H496" s="131">
        <v>0</v>
      </c>
      <c r="I496" s="131">
        <v>0</v>
      </c>
      <c r="J496" s="131">
        <v>0</v>
      </c>
      <c r="K496" s="131">
        <v>0</v>
      </c>
      <c r="L496" s="131">
        <v>0</v>
      </c>
      <c r="M496" s="131">
        <v>0</v>
      </c>
      <c r="N496" s="131">
        <v>10.257999999999999</v>
      </c>
      <c r="O496" s="898">
        <v>24.553999999999998</v>
      </c>
    </row>
    <row r="497" spans="2:15" s="3" customFormat="1" x14ac:dyDescent="0.35">
      <c r="B497" s="875" t="s">
        <v>146</v>
      </c>
      <c r="C497" s="131">
        <v>0</v>
      </c>
      <c r="D497" s="131">
        <v>0</v>
      </c>
      <c r="E497" s="131">
        <v>0</v>
      </c>
      <c r="F497" s="131">
        <v>0</v>
      </c>
      <c r="G497" s="131">
        <v>0</v>
      </c>
      <c r="H497" s="131">
        <v>0</v>
      </c>
      <c r="I497" s="131">
        <v>0</v>
      </c>
      <c r="J497" s="131">
        <v>0</v>
      </c>
      <c r="K497" s="131">
        <v>0</v>
      </c>
      <c r="L497" s="131">
        <v>0</v>
      </c>
      <c r="M497" s="131">
        <v>0</v>
      </c>
      <c r="N497" s="131">
        <v>0</v>
      </c>
      <c r="O497" s="898">
        <v>0</v>
      </c>
    </row>
    <row r="498" spans="2:15" s="3" customFormat="1" x14ac:dyDescent="0.35">
      <c r="B498" s="875" t="s">
        <v>89</v>
      </c>
      <c r="C498" s="131">
        <v>0</v>
      </c>
      <c r="D498" s="131">
        <v>7.8639999999999999</v>
      </c>
      <c r="E498" s="131">
        <v>1.95</v>
      </c>
      <c r="F498" s="131">
        <v>2.1920000000000002</v>
      </c>
      <c r="G498" s="131">
        <v>1.58</v>
      </c>
      <c r="H498" s="131">
        <v>7.8</v>
      </c>
      <c r="I498" s="131">
        <v>3.11</v>
      </c>
      <c r="J498" s="131">
        <v>3.91</v>
      </c>
      <c r="K498" s="131">
        <v>14.685</v>
      </c>
      <c r="L498" s="131">
        <v>1.583</v>
      </c>
      <c r="M498" s="131">
        <v>0</v>
      </c>
      <c r="N498" s="131">
        <v>2.2000000000000002</v>
      </c>
      <c r="O498" s="898">
        <v>46.874000000000002</v>
      </c>
    </row>
    <row r="499" spans="2:15" s="3" customFormat="1" x14ac:dyDescent="0.35">
      <c r="B499" s="875" t="s">
        <v>502</v>
      </c>
      <c r="C499" s="131">
        <v>0</v>
      </c>
      <c r="D499" s="131">
        <v>0</v>
      </c>
      <c r="E499" s="131">
        <v>0</v>
      </c>
      <c r="F499" s="131">
        <v>0</v>
      </c>
      <c r="G499" s="131">
        <v>0</v>
      </c>
      <c r="H499" s="131">
        <v>0</v>
      </c>
      <c r="I499" s="131">
        <v>0</v>
      </c>
      <c r="J499" s="131">
        <v>0</v>
      </c>
      <c r="K499" s="131">
        <v>0</v>
      </c>
      <c r="L499" s="131">
        <v>0</v>
      </c>
      <c r="M499" s="131">
        <v>0</v>
      </c>
      <c r="N499" s="131">
        <v>0</v>
      </c>
      <c r="O499" s="898">
        <v>0</v>
      </c>
    </row>
    <row r="500" spans="2:15" s="3" customFormat="1" x14ac:dyDescent="0.35">
      <c r="B500" s="875" t="s">
        <v>155</v>
      </c>
      <c r="C500" s="131">
        <v>108.72600000000001</v>
      </c>
      <c r="D500" s="131">
        <v>0</v>
      </c>
      <c r="E500" s="131">
        <v>0</v>
      </c>
      <c r="F500" s="131">
        <v>0</v>
      </c>
      <c r="G500" s="131">
        <v>0</v>
      </c>
      <c r="H500" s="131">
        <v>19.72</v>
      </c>
      <c r="I500" s="131">
        <v>0</v>
      </c>
      <c r="J500" s="131">
        <v>0</v>
      </c>
      <c r="K500" s="131">
        <v>0</v>
      </c>
      <c r="L500" s="131">
        <v>0</v>
      </c>
      <c r="M500" s="131">
        <v>0</v>
      </c>
      <c r="N500" s="131">
        <v>13.24</v>
      </c>
      <c r="O500" s="898">
        <v>141.68600000000004</v>
      </c>
    </row>
    <row r="501" spans="2:15" s="3" customFormat="1" x14ac:dyDescent="0.35">
      <c r="B501" s="875" t="s">
        <v>503</v>
      </c>
      <c r="C501" s="131">
        <v>0</v>
      </c>
      <c r="D501" s="131">
        <v>0</v>
      </c>
      <c r="E501" s="131">
        <v>0</v>
      </c>
      <c r="F501" s="131">
        <v>0</v>
      </c>
      <c r="G501" s="131">
        <v>0</v>
      </c>
      <c r="H501" s="131">
        <v>0</v>
      </c>
      <c r="I501" s="131">
        <v>0</v>
      </c>
      <c r="J501" s="131">
        <v>0</v>
      </c>
      <c r="K501" s="131">
        <v>0</v>
      </c>
      <c r="L501" s="131">
        <v>0</v>
      </c>
      <c r="M501" s="131">
        <v>0</v>
      </c>
      <c r="N501" s="131">
        <v>0</v>
      </c>
      <c r="O501" s="898">
        <v>0</v>
      </c>
    </row>
    <row r="502" spans="2:15" s="3" customFormat="1" x14ac:dyDescent="0.35">
      <c r="B502" s="875" t="s">
        <v>93</v>
      </c>
      <c r="C502" s="131">
        <v>0</v>
      </c>
      <c r="D502" s="131">
        <v>0</v>
      </c>
      <c r="E502" s="131">
        <v>0</v>
      </c>
      <c r="F502" s="131">
        <v>0</v>
      </c>
      <c r="G502" s="131">
        <v>0</v>
      </c>
      <c r="H502" s="131">
        <v>0</v>
      </c>
      <c r="I502" s="131">
        <v>0</v>
      </c>
      <c r="J502" s="131">
        <v>0</v>
      </c>
      <c r="K502" s="131">
        <v>0</v>
      </c>
      <c r="L502" s="131">
        <v>0</v>
      </c>
      <c r="M502" s="131">
        <v>0</v>
      </c>
      <c r="N502" s="131">
        <v>0</v>
      </c>
      <c r="O502" s="898">
        <v>0</v>
      </c>
    </row>
    <row r="503" spans="2:15" s="3" customFormat="1" x14ac:dyDescent="0.35">
      <c r="B503" s="875" t="s">
        <v>315</v>
      </c>
      <c r="C503" s="131">
        <v>0</v>
      </c>
      <c r="D503" s="131">
        <v>0</v>
      </c>
      <c r="E503" s="131">
        <v>0</v>
      </c>
      <c r="F503" s="131">
        <v>0</v>
      </c>
      <c r="G503" s="131">
        <v>0</v>
      </c>
      <c r="H503" s="131">
        <v>0</v>
      </c>
      <c r="I503" s="131">
        <v>0</v>
      </c>
      <c r="J503" s="131">
        <v>0</v>
      </c>
      <c r="K503" s="131">
        <v>0</v>
      </c>
      <c r="L503" s="131">
        <v>0</v>
      </c>
      <c r="M503" s="131">
        <v>0</v>
      </c>
      <c r="N503" s="131">
        <v>5.05</v>
      </c>
      <c r="O503" s="898">
        <v>5.05</v>
      </c>
    </row>
    <row r="504" spans="2:15" s="3" customFormat="1" x14ac:dyDescent="0.35">
      <c r="B504" s="875" t="s">
        <v>504</v>
      </c>
      <c r="C504" s="131">
        <v>0</v>
      </c>
      <c r="D504" s="131">
        <v>0</v>
      </c>
      <c r="E504" s="131">
        <v>0</v>
      </c>
      <c r="F504" s="131">
        <v>0</v>
      </c>
      <c r="G504" s="131">
        <v>0</v>
      </c>
      <c r="H504" s="131">
        <v>0</v>
      </c>
      <c r="I504" s="131">
        <v>0</v>
      </c>
      <c r="J504" s="131">
        <v>0</v>
      </c>
      <c r="K504" s="131">
        <v>0</v>
      </c>
      <c r="L504" s="131">
        <v>0</v>
      </c>
      <c r="M504" s="131">
        <v>0</v>
      </c>
      <c r="N504" s="131">
        <v>0</v>
      </c>
      <c r="O504" s="898">
        <v>0</v>
      </c>
    </row>
    <row r="505" spans="2:15" s="3" customFormat="1" x14ac:dyDescent="0.35">
      <c r="B505" s="875" t="s">
        <v>87</v>
      </c>
      <c r="C505" s="131">
        <v>22.990000000000002</v>
      </c>
      <c r="D505" s="131">
        <v>0</v>
      </c>
      <c r="E505" s="131">
        <v>0</v>
      </c>
      <c r="F505" s="131">
        <v>0</v>
      </c>
      <c r="G505" s="131">
        <v>0</v>
      </c>
      <c r="H505" s="131">
        <v>0</v>
      </c>
      <c r="I505" s="131">
        <v>0</v>
      </c>
      <c r="J505" s="131">
        <v>0</v>
      </c>
      <c r="K505" s="131">
        <v>0</v>
      </c>
      <c r="L505" s="131">
        <v>0</v>
      </c>
      <c r="M505" s="131">
        <v>0</v>
      </c>
      <c r="N505" s="131">
        <v>0</v>
      </c>
      <c r="O505" s="898">
        <v>22.990000000000002</v>
      </c>
    </row>
    <row r="506" spans="2:15" s="3" customFormat="1" x14ac:dyDescent="0.35">
      <c r="B506" s="875" t="s">
        <v>265</v>
      </c>
      <c r="C506" s="131">
        <v>0</v>
      </c>
      <c r="D506" s="131">
        <v>0</v>
      </c>
      <c r="E506" s="131">
        <v>0</v>
      </c>
      <c r="F506" s="131">
        <v>0</v>
      </c>
      <c r="G506" s="131">
        <v>0</v>
      </c>
      <c r="H506" s="131">
        <v>0</v>
      </c>
      <c r="I506" s="131">
        <v>0</v>
      </c>
      <c r="J506" s="131">
        <v>0</v>
      </c>
      <c r="K506" s="131">
        <v>0</v>
      </c>
      <c r="L506" s="131">
        <v>0</v>
      </c>
      <c r="M506" s="131">
        <v>0</v>
      </c>
      <c r="N506" s="131">
        <v>0</v>
      </c>
      <c r="O506" s="898">
        <v>0</v>
      </c>
    </row>
    <row r="507" spans="2:15" s="3" customFormat="1" x14ac:dyDescent="0.35">
      <c r="B507" s="875" t="s">
        <v>88</v>
      </c>
      <c r="C507" s="131">
        <v>0</v>
      </c>
      <c r="D507" s="131">
        <v>46.5</v>
      </c>
      <c r="E507" s="131">
        <v>0</v>
      </c>
      <c r="F507" s="131">
        <v>0</v>
      </c>
      <c r="G507" s="131">
        <v>0</v>
      </c>
      <c r="H507" s="131">
        <v>0</v>
      </c>
      <c r="I507" s="131">
        <v>0</v>
      </c>
      <c r="J507" s="131">
        <v>0</v>
      </c>
      <c r="K507" s="131">
        <v>0</v>
      </c>
      <c r="L507" s="131">
        <v>0</v>
      </c>
      <c r="M507" s="131">
        <v>0</v>
      </c>
      <c r="N507" s="131">
        <v>0</v>
      </c>
      <c r="O507" s="898">
        <v>46.5</v>
      </c>
    </row>
    <row r="508" spans="2:15" s="3" customFormat="1" x14ac:dyDescent="0.35">
      <c r="B508" s="875" t="s">
        <v>505</v>
      </c>
      <c r="C508" s="131">
        <v>0</v>
      </c>
      <c r="D508" s="131">
        <v>0</v>
      </c>
      <c r="E508" s="131">
        <v>0</v>
      </c>
      <c r="F508" s="131">
        <v>0</v>
      </c>
      <c r="G508" s="131">
        <v>0</v>
      </c>
      <c r="H508" s="131">
        <v>0</v>
      </c>
      <c r="I508" s="131">
        <v>0</v>
      </c>
      <c r="J508" s="131">
        <v>0</v>
      </c>
      <c r="K508" s="131">
        <v>0</v>
      </c>
      <c r="L508" s="131">
        <v>0</v>
      </c>
      <c r="M508" s="131">
        <v>0</v>
      </c>
      <c r="N508" s="131">
        <v>0</v>
      </c>
      <c r="O508" s="898">
        <v>0</v>
      </c>
    </row>
    <row r="509" spans="2:15" s="3" customFormat="1" x14ac:dyDescent="0.35">
      <c r="B509" s="875" t="s">
        <v>91</v>
      </c>
      <c r="C509" s="147">
        <v>553.64624999999796</v>
      </c>
      <c r="D509" s="147">
        <v>123.28100000000268</v>
      </c>
      <c r="E509" s="147">
        <v>109.09899999999834</v>
      </c>
      <c r="F509" s="147">
        <v>306.92900000000373</v>
      </c>
      <c r="G509" s="147">
        <v>123.2520000000095</v>
      </c>
      <c r="H509" s="147">
        <v>83673.408000000127</v>
      </c>
      <c r="I509" s="147">
        <v>1728.2399999999925</v>
      </c>
      <c r="J509" s="147">
        <v>1726.0749999999953</v>
      </c>
      <c r="K509" s="147">
        <v>46701.147999999994</v>
      </c>
      <c r="L509" s="147">
        <v>128746.65300000005</v>
      </c>
      <c r="M509" s="147">
        <v>344.11499999999614</v>
      </c>
      <c r="N509" s="147">
        <v>91870.299400000033</v>
      </c>
      <c r="O509" s="898">
        <v>356006.1456500002</v>
      </c>
    </row>
    <row r="510" spans="2:15" s="3" customFormat="1" x14ac:dyDescent="0.35">
      <c r="B510" s="875"/>
      <c r="C510" s="185"/>
      <c r="D510" s="185"/>
      <c r="E510" s="185"/>
      <c r="F510" s="185"/>
      <c r="G510" s="185"/>
      <c r="H510" s="185"/>
      <c r="I510" s="185"/>
      <c r="J510" s="902"/>
      <c r="K510" s="902"/>
      <c r="L510" s="902"/>
      <c r="M510" s="902"/>
      <c r="N510" s="902"/>
      <c r="O510" s="901"/>
    </row>
    <row r="511" spans="2:15" s="3" customFormat="1" x14ac:dyDescent="0.35">
      <c r="B511" s="432" t="s">
        <v>36</v>
      </c>
      <c r="C511" s="906">
        <v>311384.66743200016</v>
      </c>
      <c r="D511" s="906">
        <v>282501.51788999868</v>
      </c>
      <c r="E511" s="906">
        <v>173112.42611999976</v>
      </c>
      <c r="F511" s="906">
        <v>410371.79938000051</v>
      </c>
      <c r="G511" s="906">
        <v>335896.04787000088</v>
      </c>
      <c r="H511" s="906">
        <v>325536.49231</v>
      </c>
      <c r="I511" s="906">
        <v>417833.27476000122</v>
      </c>
      <c r="J511" s="906">
        <v>343373.19100000191</v>
      </c>
      <c r="K511" s="906">
        <v>286187.15700000076</v>
      </c>
      <c r="L511" s="906">
        <v>427418.2097100002</v>
      </c>
      <c r="M511" s="906">
        <v>209401.18449999977</v>
      </c>
      <c r="N511" s="906">
        <v>366443.61060000036</v>
      </c>
      <c r="O511" s="908">
        <v>3889459.5785720041</v>
      </c>
    </row>
    <row r="512" spans="2:15" s="3" customFormat="1" x14ac:dyDescent="0.35">
      <c r="B512" s="188"/>
      <c r="C512" s="182"/>
      <c r="D512" s="182"/>
      <c r="E512" s="182"/>
      <c r="F512" s="182"/>
      <c r="G512" s="183"/>
      <c r="H512" s="183"/>
      <c r="I512" s="183"/>
      <c r="J512" s="183"/>
      <c r="K512" s="183"/>
      <c r="L512" s="618"/>
      <c r="M512" s="183"/>
      <c r="N512" s="183"/>
      <c r="O512" s="181"/>
    </row>
    <row r="513" spans="2:15" s="135" customFormat="1" x14ac:dyDescent="0.35">
      <c r="B513" s="1068" t="s">
        <v>371</v>
      </c>
      <c r="C513" s="1068"/>
      <c r="D513" s="1068"/>
      <c r="E513" s="1068"/>
      <c r="F513" s="1068"/>
      <c r="G513" s="1068"/>
      <c r="H513" s="1068"/>
      <c r="I513" s="1068"/>
      <c r="J513" s="1068"/>
      <c r="K513" s="555">
        <v>2025</v>
      </c>
      <c r="L513" s="173"/>
      <c r="M513" s="173"/>
      <c r="N513" s="173"/>
      <c r="O513" s="173"/>
    </row>
    <row r="514" spans="2:15" s="135" customFormat="1" x14ac:dyDescent="0.35">
      <c r="B514" s="188"/>
      <c r="C514" s="189"/>
      <c r="D514" s="189"/>
      <c r="E514" s="189"/>
      <c r="F514" s="189"/>
      <c r="G514" s="189"/>
      <c r="H514" s="189"/>
      <c r="I514" s="189"/>
      <c r="J514" s="189"/>
      <c r="K514" s="189"/>
      <c r="L514" s="189"/>
      <c r="M514" s="189"/>
      <c r="N514" s="189"/>
      <c r="O514" s="187"/>
    </row>
    <row r="515" spans="2:15" s="135" customFormat="1" x14ac:dyDescent="0.35">
      <c r="B515" s="1077" t="s">
        <v>13</v>
      </c>
      <c r="C515" s="1072" t="s">
        <v>0</v>
      </c>
      <c r="D515" s="1072" t="s">
        <v>1</v>
      </c>
      <c r="E515" s="1072" t="s">
        <v>2</v>
      </c>
      <c r="F515" s="1072" t="s">
        <v>3</v>
      </c>
      <c r="G515" s="1072" t="s">
        <v>4</v>
      </c>
      <c r="H515" s="1072" t="s">
        <v>5</v>
      </c>
      <c r="I515" s="1072" t="s">
        <v>6</v>
      </c>
      <c r="J515" s="1072" t="s">
        <v>7</v>
      </c>
      <c r="K515" s="1072" t="s">
        <v>8</v>
      </c>
      <c r="L515" s="1072" t="s">
        <v>9</v>
      </c>
      <c r="M515" s="1072" t="s">
        <v>10</v>
      </c>
      <c r="N515" s="1072" t="s">
        <v>14</v>
      </c>
      <c r="O515" s="1074" t="s">
        <v>15</v>
      </c>
    </row>
    <row r="516" spans="2:15" s="135" customFormat="1" x14ac:dyDescent="0.35">
      <c r="B516" s="1088"/>
      <c r="C516" s="1073"/>
      <c r="D516" s="1073"/>
      <c r="E516" s="1073"/>
      <c r="F516" s="1073"/>
      <c r="G516" s="1073"/>
      <c r="H516" s="1073"/>
      <c r="I516" s="1073"/>
      <c r="J516" s="1073"/>
      <c r="K516" s="1073"/>
      <c r="L516" s="1073"/>
      <c r="M516" s="1079"/>
      <c r="N516" s="1079"/>
      <c r="O516" s="1079"/>
    </row>
    <row r="517" spans="2:15" s="135" customFormat="1" x14ac:dyDescent="0.35">
      <c r="B517" s="893"/>
      <c r="C517" s="632">
        <v>0</v>
      </c>
      <c r="D517" s="632">
        <v>0</v>
      </c>
      <c r="E517" s="632">
        <v>0</v>
      </c>
      <c r="F517" s="632">
        <v>0</v>
      </c>
      <c r="G517" s="632">
        <v>0</v>
      </c>
      <c r="H517" s="632">
        <v>0</v>
      </c>
      <c r="I517" s="632">
        <v>0</v>
      </c>
      <c r="J517" s="632">
        <v>0</v>
      </c>
      <c r="K517" s="632">
        <v>0</v>
      </c>
      <c r="L517" s="632">
        <v>0</v>
      </c>
      <c r="M517" s="632">
        <v>0</v>
      </c>
      <c r="N517" s="632">
        <v>0</v>
      </c>
      <c r="O517" s="894"/>
    </row>
    <row r="518" spans="2:15" s="135" customFormat="1" x14ac:dyDescent="0.35">
      <c r="B518" s="895" t="s">
        <v>47</v>
      </c>
      <c r="C518" s="184">
        <v>1308301.9967019951</v>
      </c>
      <c r="D518" s="184">
        <v>1639267.6424410017</v>
      </c>
      <c r="E518" s="184">
        <v>1502083.7566830022</v>
      </c>
      <c r="F518" s="184">
        <v>1678854.9535770111</v>
      </c>
      <c r="G518" s="184">
        <v>1678106.7332620076</v>
      </c>
      <c r="H518" s="184">
        <v>1428314.8027709969</v>
      </c>
      <c r="I518" s="184">
        <v>1855291.8866900024</v>
      </c>
      <c r="J518" s="184">
        <v>1893069.0925200137</v>
      </c>
      <c r="K518" s="184">
        <v>1599791.1638300165</v>
      </c>
      <c r="L518" s="184">
        <v>1794311.9134459933</v>
      </c>
      <c r="M518" s="184">
        <v>1612146.1376800076</v>
      </c>
      <c r="N518" s="184">
        <v>1638228.8045490168</v>
      </c>
      <c r="O518" s="896">
        <v>19627768.884151064</v>
      </c>
    </row>
    <row r="519" spans="2:15" s="135" customFormat="1" x14ac:dyDescent="0.35">
      <c r="B519" s="893"/>
      <c r="C519" s="897"/>
      <c r="D519" s="897"/>
      <c r="E519" s="897"/>
      <c r="F519" s="897"/>
      <c r="G519" s="897"/>
      <c r="H519" s="897"/>
      <c r="I519" s="897"/>
      <c r="J519" s="897"/>
      <c r="K519" s="897"/>
      <c r="L519" s="897"/>
      <c r="M519" s="897"/>
      <c r="N519" s="897"/>
      <c r="O519" s="898"/>
    </row>
    <row r="520" spans="2:15" s="135" customFormat="1" x14ac:dyDescent="0.35">
      <c r="B520" s="875" t="s">
        <v>66</v>
      </c>
      <c r="C520" s="131">
        <v>323571.24099999998</v>
      </c>
      <c r="D520" s="131">
        <v>638817.58700000006</v>
      </c>
      <c r="E520" s="131">
        <v>642370.80499999993</v>
      </c>
      <c r="F520" s="131">
        <v>600527.723</v>
      </c>
      <c r="G520" s="131">
        <v>602333.43099999998</v>
      </c>
      <c r="H520" s="131">
        <v>637022.20600000001</v>
      </c>
      <c r="I520" s="131">
        <v>587828.08199999994</v>
      </c>
      <c r="J520" s="131">
        <v>781162.28799999994</v>
      </c>
      <c r="K520" s="131">
        <v>619938.05599999998</v>
      </c>
      <c r="L520" s="131">
        <v>694798.40599999996</v>
      </c>
      <c r="M520" s="131">
        <v>472156.27699999994</v>
      </c>
      <c r="N520" s="131">
        <v>659310.39</v>
      </c>
      <c r="O520" s="898">
        <v>7259836.4919999987</v>
      </c>
    </row>
    <row r="521" spans="2:15" s="135" customFormat="1" x14ac:dyDescent="0.35">
      <c r="B521" s="875" t="s">
        <v>67</v>
      </c>
      <c r="C521" s="131">
        <v>325253.60764000111</v>
      </c>
      <c r="D521" s="131">
        <v>208113.97863999917</v>
      </c>
      <c r="E521" s="131">
        <v>101504.25800000012</v>
      </c>
      <c r="F521" s="131">
        <v>294503.36200000194</v>
      </c>
      <c r="G521" s="131">
        <v>198786.18439999933</v>
      </c>
      <c r="H521" s="131">
        <v>79184.776200000095</v>
      </c>
      <c r="I521" s="131">
        <v>242070.62900000098</v>
      </c>
      <c r="J521" s="131">
        <v>225395.82000000091</v>
      </c>
      <c r="K521" s="131">
        <v>190083.13299999994</v>
      </c>
      <c r="L521" s="131">
        <v>141798.79700000005</v>
      </c>
      <c r="M521" s="131">
        <v>241086.49699999869</v>
      </c>
      <c r="N521" s="131">
        <v>190889.46700000003</v>
      </c>
      <c r="O521" s="898">
        <v>2438670.5098800026</v>
      </c>
    </row>
    <row r="522" spans="2:15" s="135" customFormat="1" x14ac:dyDescent="0.35">
      <c r="B522" s="875" t="s">
        <v>68</v>
      </c>
      <c r="C522" s="131">
        <v>60982.520000000004</v>
      </c>
      <c r="D522" s="131">
        <v>140065.095</v>
      </c>
      <c r="E522" s="131">
        <v>117487.15199999999</v>
      </c>
      <c r="F522" s="131">
        <v>100608.817</v>
      </c>
      <c r="G522" s="131">
        <v>90391.624999999985</v>
      </c>
      <c r="H522" s="131">
        <v>54000</v>
      </c>
      <c r="I522" s="131">
        <v>184485.36499999999</v>
      </c>
      <c r="J522" s="131">
        <v>110385.36599999998</v>
      </c>
      <c r="K522" s="131">
        <v>119452.62100000001</v>
      </c>
      <c r="L522" s="131">
        <v>149692.63700000002</v>
      </c>
      <c r="M522" s="131">
        <v>128049.73999999999</v>
      </c>
      <c r="N522" s="131">
        <v>100638.318</v>
      </c>
      <c r="O522" s="898">
        <v>1356239.2560000001</v>
      </c>
    </row>
    <row r="523" spans="2:15" s="135" customFormat="1" x14ac:dyDescent="0.35">
      <c r="B523" s="875" t="s">
        <v>71</v>
      </c>
      <c r="C523" s="131">
        <v>46643.930000000008</v>
      </c>
      <c r="D523" s="131">
        <v>28107.066000000083</v>
      </c>
      <c r="E523" s="131">
        <v>42025.733800000082</v>
      </c>
      <c r="F523" s="131">
        <v>46359.492999999697</v>
      </c>
      <c r="G523" s="131">
        <v>47524.896000000095</v>
      </c>
      <c r="H523" s="131">
        <v>47499.176999999712</v>
      </c>
      <c r="I523" s="131">
        <v>45505.34399999999</v>
      </c>
      <c r="J523" s="131">
        <v>67627.771000000095</v>
      </c>
      <c r="K523" s="131">
        <v>48946.716000000415</v>
      </c>
      <c r="L523" s="131">
        <v>59378.601000000686</v>
      </c>
      <c r="M523" s="131">
        <v>39311.238999999536</v>
      </c>
      <c r="N523" s="131">
        <v>41780.572499999689</v>
      </c>
      <c r="O523" s="898">
        <v>560710.53930000006</v>
      </c>
    </row>
    <row r="524" spans="2:15" s="135" customFormat="1" x14ac:dyDescent="0.35">
      <c r="B524" s="899" t="s">
        <v>69</v>
      </c>
      <c r="C524" s="131">
        <v>34386.924219999979</v>
      </c>
      <c r="D524" s="131">
        <v>36399.448000000048</v>
      </c>
      <c r="E524" s="131">
        <v>48014.099049999975</v>
      </c>
      <c r="F524" s="131">
        <v>50432.502799999995</v>
      </c>
      <c r="G524" s="131">
        <v>52368.457200000128</v>
      </c>
      <c r="H524" s="131">
        <v>39063.733800000002</v>
      </c>
      <c r="I524" s="131">
        <v>53651.025060000175</v>
      </c>
      <c r="J524" s="131">
        <v>56211.282469999838</v>
      </c>
      <c r="K524" s="131">
        <v>44781.664000000106</v>
      </c>
      <c r="L524" s="131">
        <v>56918.673859999915</v>
      </c>
      <c r="M524" s="131">
        <v>50350.413999999953</v>
      </c>
      <c r="N524" s="131">
        <v>49225.956000000166</v>
      </c>
      <c r="O524" s="898">
        <v>571804.18046000029</v>
      </c>
    </row>
    <row r="525" spans="2:15" s="135" customFormat="1" x14ac:dyDescent="0.35">
      <c r="B525" s="899" t="s">
        <v>70</v>
      </c>
      <c r="C525" s="131">
        <v>54836.718000000008</v>
      </c>
      <c r="D525" s="131">
        <v>51720.74500000001</v>
      </c>
      <c r="E525" s="131">
        <v>63582.924999999923</v>
      </c>
      <c r="F525" s="131">
        <v>90462.08900000008</v>
      </c>
      <c r="G525" s="131">
        <v>74967.858000000007</v>
      </c>
      <c r="H525" s="131">
        <v>43049.375000000007</v>
      </c>
      <c r="I525" s="131">
        <v>42466.431999999993</v>
      </c>
      <c r="J525" s="131">
        <v>43588.453999999998</v>
      </c>
      <c r="K525" s="131">
        <v>42737.182999999983</v>
      </c>
      <c r="L525" s="131">
        <v>19944.402000000002</v>
      </c>
      <c r="M525" s="131">
        <v>5334.0859999999948</v>
      </c>
      <c r="N525" s="131">
        <v>54732.886999999995</v>
      </c>
      <c r="O525" s="898">
        <v>587423.15399999998</v>
      </c>
    </row>
    <row r="526" spans="2:15" s="135" customFormat="1" x14ac:dyDescent="0.35">
      <c r="B526" s="899" t="s">
        <v>75</v>
      </c>
      <c r="C526" s="131">
        <v>31677.015599999999</v>
      </c>
      <c r="D526" s="131">
        <v>25092.690999999937</v>
      </c>
      <c r="E526" s="131">
        <v>28562.662499999893</v>
      </c>
      <c r="F526" s="131">
        <v>37208.773300000081</v>
      </c>
      <c r="G526" s="131">
        <v>26742.738999999994</v>
      </c>
      <c r="H526" s="131">
        <v>31175.555400000045</v>
      </c>
      <c r="I526" s="131">
        <v>40877.273000000423</v>
      </c>
      <c r="J526" s="131">
        <v>37829.232000000004</v>
      </c>
      <c r="K526" s="131">
        <v>38750.274000000085</v>
      </c>
      <c r="L526" s="131">
        <v>41033.022999999666</v>
      </c>
      <c r="M526" s="131">
        <v>32135.154999999959</v>
      </c>
      <c r="N526" s="131">
        <v>35378.789999999717</v>
      </c>
      <c r="O526" s="898">
        <v>406463.18379999988</v>
      </c>
    </row>
    <row r="527" spans="2:15" s="135" customFormat="1" x14ac:dyDescent="0.35">
      <c r="B527" s="899" t="s">
        <v>77</v>
      </c>
      <c r="C527" s="131">
        <v>33750.792199999974</v>
      </c>
      <c r="D527" s="131">
        <v>19099.553400000012</v>
      </c>
      <c r="E527" s="131">
        <v>27603.226669999993</v>
      </c>
      <c r="F527" s="131">
        <v>15843.650000000011</v>
      </c>
      <c r="G527" s="131">
        <v>15959.552000000023</v>
      </c>
      <c r="H527" s="131">
        <v>20002.522999999986</v>
      </c>
      <c r="I527" s="131">
        <v>26994.993000000002</v>
      </c>
      <c r="J527" s="131">
        <v>52827.216999999902</v>
      </c>
      <c r="K527" s="131">
        <v>47866.565999999948</v>
      </c>
      <c r="L527" s="131">
        <v>55463.77300000011</v>
      </c>
      <c r="M527" s="131">
        <v>59391.164000000063</v>
      </c>
      <c r="N527" s="131">
        <v>43161.031011999963</v>
      </c>
      <c r="O527" s="898">
        <v>417964.0412819999</v>
      </c>
    </row>
    <row r="528" spans="2:15" s="135" customFormat="1" x14ac:dyDescent="0.35">
      <c r="B528" s="899" t="s">
        <v>73</v>
      </c>
      <c r="C528" s="131">
        <v>26762.240800000003</v>
      </c>
      <c r="D528" s="131">
        <v>25939.577100000017</v>
      </c>
      <c r="E528" s="131">
        <v>24908.073999999961</v>
      </c>
      <c r="F528" s="131">
        <v>24806.802429999985</v>
      </c>
      <c r="G528" s="131">
        <v>22511.400789999974</v>
      </c>
      <c r="H528" s="131">
        <v>31367.252009999986</v>
      </c>
      <c r="I528" s="131">
        <v>30000.349300000038</v>
      </c>
      <c r="J528" s="131">
        <v>27982.321</v>
      </c>
      <c r="K528" s="131">
        <v>27030.249999999978</v>
      </c>
      <c r="L528" s="131">
        <v>33047.982299999967</v>
      </c>
      <c r="M528" s="131">
        <v>29995.765000000014</v>
      </c>
      <c r="N528" s="131">
        <v>25968.911500000057</v>
      </c>
      <c r="O528" s="898">
        <v>330320.92622999992</v>
      </c>
    </row>
    <row r="529" spans="2:15" s="135" customFormat="1" x14ac:dyDescent="0.35">
      <c r="B529" s="899" t="s">
        <v>78</v>
      </c>
      <c r="C529" s="131">
        <v>24530.034068000008</v>
      </c>
      <c r="D529" s="131">
        <v>20109.962833000001</v>
      </c>
      <c r="E529" s="131">
        <v>25348.957110999978</v>
      </c>
      <c r="F529" s="131">
        <v>21966.172018999994</v>
      </c>
      <c r="G529" s="131">
        <v>22010.286989999971</v>
      </c>
      <c r="H529" s="131">
        <v>21229.221210000018</v>
      </c>
      <c r="I529" s="131">
        <v>19332.882700000031</v>
      </c>
      <c r="J529" s="131">
        <v>20734.529999999988</v>
      </c>
      <c r="K529" s="131">
        <v>21812.158829999993</v>
      </c>
      <c r="L529" s="131">
        <v>22784.05275999997</v>
      </c>
      <c r="M529" s="131">
        <v>26383.115999999991</v>
      </c>
      <c r="N529" s="131">
        <v>30312.968999999979</v>
      </c>
      <c r="O529" s="898">
        <v>276554.34352099989</v>
      </c>
    </row>
    <row r="530" spans="2:15" s="135" customFormat="1" x14ac:dyDescent="0.35">
      <c r="B530" s="899" t="s">
        <v>74</v>
      </c>
      <c r="C530" s="131">
        <v>16630.670000000006</v>
      </c>
      <c r="D530" s="131">
        <v>62810.594999999994</v>
      </c>
      <c r="E530" s="131">
        <v>3010.6</v>
      </c>
      <c r="F530" s="131">
        <v>23277.605000000003</v>
      </c>
      <c r="G530" s="131">
        <v>26670.478000000003</v>
      </c>
      <c r="H530" s="131">
        <v>20884.592000000011</v>
      </c>
      <c r="I530" s="131">
        <v>41426.368000000009</v>
      </c>
      <c r="J530" s="131">
        <v>58041.48599999999</v>
      </c>
      <c r="K530" s="131">
        <v>7337.2229999999972</v>
      </c>
      <c r="L530" s="131">
        <v>27814.650000000012</v>
      </c>
      <c r="M530" s="131">
        <v>50739.742999999995</v>
      </c>
      <c r="N530" s="131">
        <v>1653.557</v>
      </c>
      <c r="O530" s="898">
        <v>340297.56700000004</v>
      </c>
    </row>
    <row r="531" spans="2:15" s="135" customFormat="1" x14ac:dyDescent="0.35">
      <c r="B531" s="899" t="s">
        <v>470</v>
      </c>
      <c r="C531" s="131">
        <v>16947.294999999998</v>
      </c>
      <c r="D531" s="131">
        <v>24215.692999999999</v>
      </c>
      <c r="E531" s="131">
        <v>12375.364000000001</v>
      </c>
      <c r="F531" s="131">
        <v>14878.329000000003</v>
      </c>
      <c r="G531" s="131">
        <v>23692.955000000002</v>
      </c>
      <c r="H531" s="131">
        <v>4872.9619999999995</v>
      </c>
      <c r="I531" s="131">
        <v>112250.291</v>
      </c>
      <c r="J531" s="131">
        <v>15247.010999999999</v>
      </c>
      <c r="K531" s="131">
        <v>11078.002</v>
      </c>
      <c r="L531" s="131">
        <v>19343.16</v>
      </c>
      <c r="M531" s="131">
        <v>6910.3339999999998</v>
      </c>
      <c r="N531" s="131">
        <v>22758.451000000001</v>
      </c>
      <c r="O531" s="898">
        <v>284569.84700000001</v>
      </c>
    </row>
    <row r="532" spans="2:15" s="135" customFormat="1" x14ac:dyDescent="0.35">
      <c r="B532" s="899" t="s">
        <v>72</v>
      </c>
      <c r="C532" s="131">
        <v>9927.1848599999976</v>
      </c>
      <c r="D532" s="131">
        <v>13771.261999999997</v>
      </c>
      <c r="E532" s="131">
        <v>16526.434000000008</v>
      </c>
      <c r="F532" s="131">
        <v>17646.615999999995</v>
      </c>
      <c r="G532" s="131">
        <v>12603.454919999995</v>
      </c>
      <c r="H532" s="131">
        <v>15281.296000000002</v>
      </c>
      <c r="I532" s="131">
        <v>16766.616000000002</v>
      </c>
      <c r="J532" s="131">
        <v>21717.439000000002</v>
      </c>
      <c r="K532" s="131">
        <v>12747.760999999993</v>
      </c>
      <c r="L532" s="131">
        <v>19872.930000000011</v>
      </c>
      <c r="M532" s="131">
        <v>16809.51100000001</v>
      </c>
      <c r="N532" s="131">
        <v>16567.520000000019</v>
      </c>
      <c r="O532" s="898">
        <v>190238.02478000001</v>
      </c>
    </row>
    <row r="533" spans="2:15" s="135" customFormat="1" x14ac:dyDescent="0.35">
      <c r="B533" s="899" t="s">
        <v>85</v>
      </c>
      <c r="C533" s="131">
        <v>3818.134</v>
      </c>
      <c r="D533" s="131">
        <v>8228.7540000000008</v>
      </c>
      <c r="E533" s="131">
        <v>5668.177999999999</v>
      </c>
      <c r="F533" s="131">
        <v>2568.5529999999999</v>
      </c>
      <c r="G533" s="131">
        <v>15835.239000000003</v>
      </c>
      <c r="H533" s="131">
        <v>3066.6639999999998</v>
      </c>
      <c r="I533" s="131">
        <v>30563.211999999974</v>
      </c>
      <c r="J533" s="131">
        <v>1021.46</v>
      </c>
      <c r="K533" s="131">
        <v>3341.2629999999999</v>
      </c>
      <c r="L533" s="131">
        <v>24681.605000000003</v>
      </c>
      <c r="M533" s="131">
        <v>9903.7899999999991</v>
      </c>
      <c r="N533" s="131">
        <v>8997.6980000000003</v>
      </c>
      <c r="O533" s="898">
        <v>117694.54999999997</v>
      </c>
    </row>
    <row r="534" spans="2:15" s="135" customFormat="1" x14ac:dyDescent="0.35">
      <c r="B534" s="899" t="s">
        <v>113</v>
      </c>
      <c r="C534" s="131">
        <v>18828.647000000019</v>
      </c>
      <c r="D534" s="131">
        <v>17835.147299999997</v>
      </c>
      <c r="E534" s="131">
        <v>11051.676999999963</v>
      </c>
      <c r="F534" s="131">
        <v>19803.876500000079</v>
      </c>
      <c r="G534" s="131">
        <v>28842.582000000104</v>
      </c>
      <c r="H534" s="131">
        <v>8131.2914000000001</v>
      </c>
      <c r="I534" s="131">
        <v>21518.771999999983</v>
      </c>
      <c r="J534" s="131">
        <v>16035.48899999995</v>
      </c>
      <c r="K534" s="131">
        <v>13967.756999999972</v>
      </c>
      <c r="L534" s="131">
        <v>9556.7769999999946</v>
      </c>
      <c r="M534" s="131">
        <v>15688.318999999963</v>
      </c>
      <c r="N534" s="131">
        <v>9021.4489999999805</v>
      </c>
      <c r="O534" s="898">
        <v>190281.78420000002</v>
      </c>
    </row>
    <row r="535" spans="2:15" s="135" customFormat="1" x14ac:dyDescent="0.35">
      <c r="B535" s="899" t="s">
        <v>79</v>
      </c>
      <c r="C535" s="131">
        <v>14919.519400000003</v>
      </c>
      <c r="D535" s="131">
        <v>6814.6940000000068</v>
      </c>
      <c r="E535" s="131">
        <v>9266.1720000000078</v>
      </c>
      <c r="F535" s="131">
        <v>12043.329</v>
      </c>
      <c r="G535" s="131">
        <v>13479.203000000009</v>
      </c>
      <c r="H535" s="131">
        <v>10523.233999999968</v>
      </c>
      <c r="I535" s="131">
        <v>9224.7059999999801</v>
      </c>
      <c r="J535" s="131">
        <v>9921.7619999999642</v>
      </c>
      <c r="K535" s="131">
        <v>12875.624999999975</v>
      </c>
      <c r="L535" s="131">
        <v>17571.041000000099</v>
      </c>
      <c r="M535" s="131">
        <v>10198.797000000013</v>
      </c>
      <c r="N535" s="131">
        <v>10568.454999999974</v>
      </c>
      <c r="O535" s="898">
        <v>137406.5374</v>
      </c>
    </row>
    <row r="536" spans="2:15" s="135" customFormat="1" x14ac:dyDescent="0.35">
      <c r="B536" s="899" t="s">
        <v>80</v>
      </c>
      <c r="C536" s="131">
        <v>9051.4805999999862</v>
      </c>
      <c r="D536" s="131">
        <v>14755.819999999989</v>
      </c>
      <c r="E536" s="131">
        <v>14265.911199999977</v>
      </c>
      <c r="F536" s="131">
        <v>10341.486400000011</v>
      </c>
      <c r="G536" s="131">
        <v>17753.556339999996</v>
      </c>
      <c r="H536" s="131">
        <v>17325.948999999986</v>
      </c>
      <c r="I536" s="131">
        <v>10372.733000000015</v>
      </c>
      <c r="J536" s="131">
        <v>11896.302000000007</v>
      </c>
      <c r="K536" s="131">
        <v>8400.605999999987</v>
      </c>
      <c r="L536" s="131">
        <v>6817.6339999999991</v>
      </c>
      <c r="M536" s="131">
        <v>7573.099000000002</v>
      </c>
      <c r="N536" s="131">
        <v>7333.8360000000093</v>
      </c>
      <c r="O536" s="898">
        <v>135888.41353999995</v>
      </c>
    </row>
    <row r="537" spans="2:15" s="135" customFormat="1" x14ac:dyDescent="0.35">
      <c r="B537" s="899" t="s">
        <v>471</v>
      </c>
      <c r="C537" s="131">
        <v>856.16000000000008</v>
      </c>
      <c r="D537" s="131">
        <v>1442.2089999999996</v>
      </c>
      <c r="E537" s="131">
        <v>25934.978000000006</v>
      </c>
      <c r="F537" s="131">
        <v>29974.802000000011</v>
      </c>
      <c r="G537" s="131">
        <v>3009.1920000000005</v>
      </c>
      <c r="H537" s="131">
        <v>11734.203</v>
      </c>
      <c r="I537" s="131">
        <v>22305.913999999997</v>
      </c>
      <c r="J537" s="131">
        <v>12510.948999999999</v>
      </c>
      <c r="K537" s="131">
        <v>15828.590000000011</v>
      </c>
      <c r="L537" s="131">
        <v>3594.3029999999999</v>
      </c>
      <c r="M537" s="131">
        <v>8756.8809999999994</v>
      </c>
      <c r="N537" s="131">
        <v>2685.2760000000012</v>
      </c>
      <c r="O537" s="898">
        <v>138633.45700000002</v>
      </c>
    </row>
    <row r="538" spans="2:15" s="135" customFormat="1" x14ac:dyDescent="0.35">
      <c r="B538" s="875" t="s">
        <v>81</v>
      </c>
      <c r="C538" s="131">
        <v>5964.8788799999975</v>
      </c>
      <c r="D538" s="131">
        <v>7486.7951599999906</v>
      </c>
      <c r="E538" s="131">
        <v>6998.9050000000061</v>
      </c>
      <c r="F538" s="131">
        <v>7692.0557379999955</v>
      </c>
      <c r="G538" s="131">
        <v>8033.0160099999985</v>
      </c>
      <c r="H538" s="131">
        <v>6411.3669999999975</v>
      </c>
      <c r="I538" s="131">
        <v>9436.241</v>
      </c>
      <c r="J538" s="131">
        <v>9381.6190000000133</v>
      </c>
      <c r="K538" s="131">
        <v>6703.340000000002</v>
      </c>
      <c r="L538" s="131">
        <v>6266.0655239999924</v>
      </c>
      <c r="M538" s="131">
        <v>7843.7859999999982</v>
      </c>
      <c r="N538" s="131">
        <v>5469.0229909999971</v>
      </c>
      <c r="O538" s="898">
        <v>87687.092302999969</v>
      </c>
    </row>
    <row r="539" spans="2:15" s="135" customFormat="1" x14ac:dyDescent="0.35">
      <c r="B539" s="899" t="s">
        <v>86</v>
      </c>
      <c r="C539" s="131">
        <v>7617.6629999999896</v>
      </c>
      <c r="D539" s="131">
        <v>7688.0659999999807</v>
      </c>
      <c r="E539" s="131">
        <v>7840.7020000000102</v>
      </c>
      <c r="F539" s="131">
        <v>5788.0360000000055</v>
      </c>
      <c r="G539" s="131">
        <v>8771.4630000000016</v>
      </c>
      <c r="H539" s="131">
        <v>8925.8269999999993</v>
      </c>
      <c r="I539" s="131">
        <v>4811.1939999999959</v>
      </c>
      <c r="J539" s="131">
        <v>2537.7919999999995</v>
      </c>
      <c r="K539" s="131">
        <v>6346.9559999999983</v>
      </c>
      <c r="L539" s="131">
        <v>3222.1209999999996</v>
      </c>
      <c r="M539" s="131">
        <v>6677.8014999999932</v>
      </c>
      <c r="N539" s="131">
        <v>4195.2680000000018</v>
      </c>
      <c r="O539" s="898">
        <v>74422.889499999976</v>
      </c>
    </row>
    <row r="540" spans="2:15" s="135" customFormat="1" x14ac:dyDescent="0.35">
      <c r="B540" s="875" t="s">
        <v>83</v>
      </c>
      <c r="C540" s="131">
        <v>4317.1329999999989</v>
      </c>
      <c r="D540" s="131">
        <v>10006.881000000005</v>
      </c>
      <c r="E540" s="131">
        <v>2909.3630000000007</v>
      </c>
      <c r="F540" s="131">
        <v>4871.8979999999992</v>
      </c>
      <c r="G540" s="131">
        <v>7667.3109999999988</v>
      </c>
      <c r="H540" s="131">
        <v>5938.8559999999998</v>
      </c>
      <c r="I540" s="131">
        <v>6168.3990000000058</v>
      </c>
      <c r="J540" s="131">
        <v>7930.9159999999993</v>
      </c>
      <c r="K540" s="131">
        <v>7901.2919999999995</v>
      </c>
      <c r="L540" s="131">
        <v>9017.7860000000073</v>
      </c>
      <c r="M540" s="131">
        <v>14876.816000000001</v>
      </c>
      <c r="N540" s="131">
        <v>6124.8880000000026</v>
      </c>
      <c r="O540" s="898">
        <v>87731.539000000019</v>
      </c>
    </row>
    <row r="541" spans="2:15" s="135" customFormat="1" x14ac:dyDescent="0.35">
      <c r="B541" s="875" t="s">
        <v>76</v>
      </c>
      <c r="C541" s="131">
        <v>0</v>
      </c>
      <c r="D541" s="131">
        <v>5823.5910000000003</v>
      </c>
      <c r="E541" s="131">
        <v>5823.5910000000003</v>
      </c>
      <c r="F541" s="131">
        <v>12045.07</v>
      </c>
      <c r="G541" s="131">
        <v>14431.004000000001</v>
      </c>
      <c r="H541" s="131">
        <v>8423.2189999999991</v>
      </c>
      <c r="I541" s="131">
        <v>0</v>
      </c>
      <c r="J541" s="131">
        <v>0</v>
      </c>
      <c r="K541" s="131">
        <v>0</v>
      </c>
      <c r="L541" s="131">
        <v>1151.96</v>
      </c>
      <c r="M541" s="131">
        <v>4673.9299999999994</v>
      </c>
      <c r="N541" s="131">
        <v>8993.4849999999988</v>
      </c>
      <c r="O541" s="898">
        <v>61365.85</v>
      </c>
    </row>
    <row r="542" spans="2:15" s="135" customFormat="1" x14ac:dyDescent="0.35">
      <c r="B542" s="875" t="s">
        <v>82</v>
      </c>
      <c r="C542" s="131">
        <v>4188.22</v>
      </c>
      <c r="D542" s="131">
        <v>18401.333999999995</v>
      </c>
      <c r="E542" s="131">
        <v>5323.4049999999988</v>
      </c>
      <c r="F542" s="131">
        <v>3709.3110000000006</v>
      </c>
      <c r="G542" s="131">
        <v>4241.2709999999997</v>
      </c>
      <c r="H542" s="131">
        <v>1638.9169999999999</v>
      </c>
      <c r="I542" s="131">
        <v>803.83899999999994</v>
      </c>
      <c r="J542" s="131">
        <v>443.04599999999999</v>
      </c>
      <c r="K542" s="131">
        <v>1394.5460000000005</v>
      </c>
      <c r="L542" s="131">
        <v>2875.1219999999998</v>
      </c>
      <c r="M542" s="131">
        <v>11608.169000000002</v>
      </c>
      <c r="N542" s="131">
        <v>2068.489999999998</v>
      </c>
      <c r="O542" s="898">
        <v>56695.670000000006</v>
      </c>
    </row>
    <row r="543" spans="2:15" s="135" customFormat="1" x14ac:dyDescent="0.35">
      <c r="B543" s="875" t="s">
        <v>87</v>
      </c>
      <c r="C543" s="131">
        <v>3935.9773910000022</v>
      </c>
      <c r="D543" s="131">
        <v>5176.1567100000011</v>
      </c>
      <c r="E543" s="131">
        <v>9016.1309999999903</v>
      </c>
      <c r="F543" s="131">
        <v>7583.3940000000048</v>
      </c>
      <c r="G543" s="131">
        <v>6859.9087500000051</v>
      </c>
      <c r="H543" s="131">
        <v>4275.1064400000014</v>
      </c>
      <c r="I543" s="131">
        <v>5147.5059999999958</v>
      </c>
      <c r="J543" s="131">
        <v>6990.667999999996</v>
      </c>
      <c r="K543" s="131">
        <v>5953.146000000007</v>
      </c>
      <c r="L543" s="131">
        <v>9158.6700000000019</v>
      </c>
      <c r="M543" s="131">
        <v>6580.7789999999986</v>
      </c>
      <c r="N543" s="131">
        <v>5163.9509800000033</v>
      </c>
      <c r="O543" s="898">
        <v>75841.394271000012</v>
      </c>
    </row>
    <row r="544" spans="2:15" s="135" customFormat="1" x14ac:dyDescent="0.35">
      <c r="B544" s="875" t="s">
        <v>89</v>
      </c>
      <c r="C544" s="131">
        <v>6043.6220000000121</v>
      </c>
      <c r="D544" s="131">
        <v>5020.0355990000007</v>
      </c>
      <c r="E544" s="131">
        <v>6215.3354490000002</v>
      </c>
      <c r="F544" s="131">
        <v>5853.3811709999818</v>
      </c>
      <c r="G544" s="131">
        <v>5075.3549999999987</v>
      </c>
      <c r="H544" s="131">
        <v>4040.9610000000002</v>
      </c>
      <c r="I544" s="131">
        <v>4841.305000000003</v>
      </c>
      <c r="J544" s="131">
        <v>6280.0419999999922</v>
      </c>
      <c r="K544" s="131">
        <v>6401.270999999997</v>
      </c>
      <c r="L544" s="131">
        <v>4458.6560000000027</v>
      </c>
      <c r="M544" s="131">
        <v>6005.6430000000009</v>
      </c>
      <c r="N544" s="131">
        <v>4493.07</v>
      </c>
      <c r="O544" s="898">
        <v>64728.67721899999</v>
      </c>
    </row>
    <row r="545" spans="2:15" s="135" customFormat="1" x14ac:dyDescent="0.35">
      <c r="B545" s="875" t="s">
        <v>221</v>
      </c>
      <c r="C545" s="131">
        <v>5712.2837800000043</v>
      </c>
      <c r="D545" s="131">
        <v>6248.4190000000026</v>
      </c>
      <c r="E545" s="131">
        <v>5914.9220000000023</v>
      </c>
      <c r="F545" s="131">
        <v>3226.5004039999949</v>
      </c>
      <c r="G545" s="131">
        <v>5786.6865760000046</v>
      </c>
      <c r="H545" s="131">
        <v>4546.5125000000062</v>
      </c>
      <c r="I545" s="131">
        <v>4419.3560000000061</v>
      </c>
      <c r="J545" s="131">
        <v>5005.5509999999977</v>
      </c>
      <c r="K545" s="131">
        <v>4806.2950000000073</v>
      </c>
      <c r="L545" s="131">
        <v>4494.4850300000053</v>
      </c>
      <c r="M545" s="131">
        <v>4389.6339999999955</v>
      </c>
      <c r="N545" s="131">
        <v>2901.7463700000003</v>
      </c>
      <c r="O545" s="898">
        <v>57452.39166000003</v>
      </c>
    </row>
    <row r="546" spans="2:15" s="135" customFormat="1" x14ac:dyDescent="0.35">
      <c r="B546" s="875" t="s">
        <v>84</v>
      </c>
      <c r="C546" s="131">
        <v>5339.8061999999982</v>
      </c>
      <c r="D546" s="131">
        <v>5515.9270000000024</v>
      </c>
      <c r="E546" s="131">
        <v>4892.2110000000011</v>
      </c>
      <c r="F546" s="131">
        <v>3573.2440000000011</v>
      </c>
      <c r="G546" s="131">
        <v>4865.4870000000001</v>
      </c>
      <c r="H546" s="131">
        <v>5632.0239999999976</v>
      </c>
      <c r="I546" s="131">
        <v>4767.252000000005</v>
      </c>
      <c r="J546" s="131">
        <v>2895.5689999999991</v>
      </c>
      <c r="K546" s="131">
        <v>3565.4519999999998</v>
      </c>
      <c r="L546" s="131">
        <v>5978.8370000000004</v>
      </c>
      <c r="M546" s="131">
        <v>4855.6459999999979</v>
      </c>
      <c r="N546" s="131">
        <v>5157.472999999999</v>
      </c>
      <c r="O546" s="898">
        <v>57038.928200000002</v>
      </c>
    </row>
    <row r="547" spans="2:15" s="135" customFormat="1" x14ac:dyDescent="0.35">
      <c r="B547" s="875" t="s">
        <v>88</v>
      </c>
      <c r="C547" s="131">
        <v>5038.6210000000001</v>
      </c>
      <c r="D547" s="131">
        <v>7202.7250000000013</v>
      </c>
      <c r="E547" s="131">
        <v>7450.1540000000032</v>
      </c>
      <c r="F547" s="131">
        <v>7179.445999999999</v>
      </c>
      <c r="G547" s="131">
        <v>9254.6880000000001</v>
      </c>
      <c r="H547" s="131">
        <v>7581.7139999999972</v>
      </c>
      <c r="I547" s="131">
        <v>11553.752000000004</v>
      </c>
      <c r="J547" s="131">
        <v>13746.603000000012</v>
      </c>
      <c r="K547" s="131">
        <v>11127.820999999998</v>
      </c>
      <c r="L547" s="131">
        <v>11239.49800000002</v>
      </c>
      <c r="M547" s="131">
        <v>8434.3589999999949</v>
      </c>
      <c r="N547" s="131">
        <v>7141.6699999999992</v>
      </c>
      <c r="O547" s="898">
        <v>106951.05100000004</v>
      </c>
    </row>
    <row r="548" spans="2:15" s="135" customFormat="1" x14ac:dyDescent="0.35">
      <c r="B548" s="875" t="s">
        <v>116</v>
      </c>
      <c r="C548" s="131">
        <v>3861.998000000001</v>
      </c>
      <c r="D548" s="131">
        <v>3033.2429999999999</v>
      </c>
      <c r="E548" s="131">
        <v>2653.4410000000003</v>
      </c>
      <c r="F548" s="131">
        <v>4821.1749999999884</v>
      </c>
      <c r="G548" s="131">
        <v>3615.2689999999961</v>
      </c>
      <c r="H548" s="131">
        <v>2985.4689999999996</v>
      </c>
      <c r="I548" s="131">
        <v>7058.123000000005</v>
      </c>
      <c r="J548" s="131">
        <v>4327.3750000000027</v>
      </c>
      <c r="K548" s="131">
        <v>2921.1030000000001</v>
      </c>
      <c r="L548" s="131">
        <v>2594.3380000000016</v>
      </c>
      <c r="M548" s="131">
        <v>4941.2160000000049</v>
      </c>
      <c r="N548" s="131">
        <v>3007.7040000000015</v>
      </c>
      <c r="O548" s="898">
        <v>45820.454000000012</v>
      </c>
    </row>
    <row r="549" spans="2:15" s="135" customFormat="1" x14ac:dyDescent="0.35">
      <c r="B549" s="875" t="s">
        <v>90</v>
      </c>
      <c r="C549" s="131">
        <v>5539.0329300000039</v>
      </c>
      <c r="D549" s="131">
        <v>4055.5639999999994</v>
      </c>
      <c r="E549" s="131">
        <v>4427.3006800000003</v>
      </c>
      <c r="F549" s="131">
        <v>5452.2261930000086</v>
      </c>
      <c r="G549" s="131">
        <v>3719.628999999999</v>
      </c>
      <c r="H549" s="131">
        <v>4336.4670749999996</v>
      </c>
      <c r="I549" s="131">
        <v>4143.6420000000007</v>
      </c>
      <c r="J549" s="131">
        <v>5594.0139999999983</v>
      </c>
      <c r="K549" s="131">
        <v>4321.4910000000009</v>
      </c>
      <c r="L549" s="131">
        <v>6235.8850800000009</v>
      </c>
      <c r="M549" s="131">
        <v>5078.7900000000036</v>
      </c>
      <c r="N549" s="131">
        <v>3671.4916599999965</v>
      </c>
      <c r="O549" s="898">
        <v>56575.533618000009</v>
      </c>
    </row>
    <row r="550" spans="2:15" s="135" customFormat="1" x14ac:dyDescent="0.35">
      <c r="B550" s="875" t="s">
        <v>91</v>
      </c>
      <c r="C550" s="147">
        <v>197368.64613299444</v>
      </c>
      <c r="D550" s="147">
        <v>210269.0266990019</v>
      </c>
      <c r="E550" s="147">
        <v>213111.08822300192</v>
      </c>
      <c r="F550" s="147">
        <v>193805.23462200956</v>
      </c>
      <c r="G550" s="147">
        <v>300302.55428600824</v>
      </c>
      <c r="H550" s="147">
        <v>268164.35173599725</v>
      </c>
      <c r="I550" s="147">
        <v>254500.29063000111</v>
      </c>
      <c r="J550" s="147">
        <v>257799.7180500133</v>
      </c>
      <c r="K550" s="147">
        <v>251373.00200001639</v>
      </c>
      <c r="L550" s="147">
        <v>323506.04189199326</v>
      </c>
      <c r="M550" s="147">
        <v>315405.64118000935</v>
      </c>
      <c r="N550" s="147">
        <v>268855.01053601666</v>
      </c>
      <c r="O550" s="875">
        <v>3054460.6059870636</v>
      </c>
    </row>
    <row r="551" spans="2:15" s="135" customFormat="1" x14ac:dyDescent="0.35">
      <c r="B551" s="901"/>
      <c r="C551" s="632">
        <v>0</v>
      </c>
      <c r="D551" s="632">
        <v>0</v>
      </c>
      <c r="E551" s="632">
        <v>0</v>
      </c>
      <c r="F551" s="632">
        <v>0</v>
      </c>
      <c r="G551" s="632">
        <v>0</v>
      </c>
      <c r="H551" s="632">
        <v>0</v>
      </c>
      <c r="I551" s="632">
        <v>0</v>
      </c>
      <c r="J551" s="632">
        <v>0</v>
      </c>
      <c r="K551" s="632">
        <v>0</v>
      </c>
      <c r="L551" s="632">
        <v>0</v>
      </c>
      <c r="M551" s="632">
        <v>0</v>
      </c>
      <c r="N551" s="632">
        <v>0</v>
      </c>
      <c r="O551" s="901"/>
    </row>
    <row r="552" spans="2:15" s="135" customFormat="1" x14ac:dyDescent="0.35">
      <c r="B552" s="895" t="s">
        <v>56</v>
      </c>
      <c r="C552" s="184">
        <v>415351.37978000229</v>
      </c>
      <c r="D552" s="184">
        <v>448758.30520000251</v>
      </c>
      <c r="E552" s="184">
        <v>426417.06000000163</v>
      </c>
      <c r="F552" s="184">
        <v>557020.660340006</v>
      </c>
      <c r="G552" s="184">
        <v>640033.52200000419</v>
      </c>
      <c r="H552" s="184">
        <v>581107.96100000083</v>
      </c>
      <c r="I552" s="184">
        <v>478025.08800000453</v>
      </c>
      <c r="J552" s="184">
        <v>567415.29200000328</v>
      </c>
      <c r="K552" s="184">
        <v>583919.58300000813</v>
      </c>
      <c r="L552" s="184">
        <v>615202.32000000251</v>
      </c>
      <c r="M552" s="184">
        <v>477454.16600000265</v>
      </c>
      <c r="N552" s="184">
        <v>694109.44150001707</v>
      </c>
      <c r="O552" s="896">
        <v>6484814.7788200565</v>
      </c>
    </row>
    <row r="553" spans="2:15" s="135" customFormat="1" x14ac:dyDescent="0.35">
      <c r="B553" s="901"/>
      <c r="C553" s="185"/>
      <c r="D553" s="185"/>
      <c r="E553" s="185"/>
      <c r="F553" s="185"/>
      <c r="G553" s="185"/>
      <c r="H553" s="185"/>
      <c r="I553" s="185"/>
      <c r="J553" s="902"/>
      <c r="K553" s="902"/>
      <c r="L553" s="902"/>
      <c r="M553" s="902"/>
      <c r="N553" s="903"/>
      <c r="O553" s="901"/>
    </row>
    <row r="554" spans="2:15" s="135" customFormat="1" x14ac:dyDescent="0.35">
      <c r="B554" s="875" t="s">
        <v>94</v>
      </c>
      <c r="C554" s="131">
        <v>99965.925999998988</v>
      </c>
      <c r="D554" s="131">
        <v>106218.74399999996</v>
      </c>
      <c r="E554" s="131">
        <v>93314.238999999783</v>
      </c>
      <c r="F554" s="131">
        <v>100689.47299999958</v>
      </c>
      <c r="G554" s="131">
        <v>85311.353999999221</v>
      </c>
      <c r="H554" s="131">
        <v>73802.718999999663</v>
      </c>
      <c r="I554" s="131">
        <v>97101.275999999663</v>
      </c>
      <c r="J554" s="131">
        <v>135408.26799999984</v>
      </c>
      <c r="K554" s="131">
        <v>117169.56699999928</v>
      </c>
      <c r="L554" s="131">
        <v>133499.1419999997</v>
      </c>
      <c r="M554" s="131">
        <v>103530.95599999992</v>
      </c>
      <c r="N554" s="131">
        <v>115409.92399999811</v>
      </c>
      <c r="O554" s="898">
        <v>1261421.5879999937</v>
      </c>
    </row>
    <row r="555" spans="2:15" s="135" customFormat="1" x14ac:dyDescent="0.35">
      <c r="B555" s="875" t="s">
        <v>95</v>
      </c>
      <c r="C555" s="131">
        <v>5833.6411599999992</v>
      </c>
      <c r="D555" s="131">
        <v>4673.2180000000008</v>
      </c>
      <c r="E555" s="131">
        <v>24957.188000000024</v>
      </c>
      <c r="F555" s="131">
        <v>99966.682000000073</v>
      </c>
      <c r="G555" s="131">
        <v>214531.95200000002</v>
      </c>
      <c r="H555" s="131">
        <v>197893.011</v>
      </c>
      <c r="I555" s="131">
        <v>149345.08899999951</v>
      </c>
      <c r="J555" s="131">
        <v>171237.93800000014</v>
      </c>
      <c r="K555" s="131">
        <v>70912.449999999924</v>
      </c>
      <c r="L555" s="131">
        <v>89765.873000000385</v>
      </c>
      <c r="M555" s="131">
        <v>50527.203999999998</v>
      </c>
      <c r="N555" s="131">
        <v>27707.516000000025</v>
      </c>
      <c r="O555" s="898">
        <v>1107351.7621599999</v>
      </c>
    </row>
    <row r="556" spans="2:15" s="135" customFormat="1" x14ac:dyDescent="0.35">
      <c r="B556" s="904" t="s">
        <v>472</v>
      </c>
      <c r="C556" s="131">
        <v>51700.495999999999</v>
      </c>
      <c r="D556" s="131">
        <v>54654.245000000003</v>
      </c>
      <c r="E556" s="131">
        <v>45080.6</v>
      </c>
      <c r="F556" s="131">
        <v>114614.463</v>
      </c>
      <c r="G556" s="131">
        <v>54750.506999999998</v>
      </c>
      <c r="H556" s="131">
        <v>55322.2</v>
      </c>
      <c r="I556" s="131">
        <v>106850.247</v>
      </c>
      <c r="J556" s="131">
        <v>103155.69099999999</v>
      </c>
      <c r="K556" s="131">
        <v>158319.05900000001</v>
      </c>
      <c r="L556" s="131">
        <v>112168.098</v>
      </c>
      <c r="M556" s="131">
        <v>108564.36</v>
      </c>
      <c r="N556" s="131">
        <v>156550.94</v>
      </c>
      <c r="O556" s="898">
        <v>1121730.906</v>
      </c>
    </row>
    <row r="557" spans="2:15" s="135" customFormat="1" x14ac:dyDescent="0.35">
      <c r="B557" s="875" t="s">
        <v>92</v>
      </c>
      <c r="C557" s="131">
        <v>50854.656000000003</v>
      </c>
      <c r="D557" s="131">
        <v>83572.085999999996</v>
      </c>
      <c r="E557" s="131">
        <v>50199.463000000003</v>
      </c>
      <c r="F557" s="131">
        <v>50403.550999999999</v>
      </c>
      <c r="G557" s="131">
        <v>118420.91899999999</v>
      </c>
      <c r="H557" s="131">
        <v>54600.269</v>
      </c>
      <c r="I557" s="131">
        <v>0</v>
      </c>
      <c r="J557" s="131">
        <v>32770.767999999996</v>
      </c>
      <c r="K557" s="131">
        <v>52126.235999999997</v>
      </c>
      <c r="L557" s="131">
        <v>0</v>
      </c>
      <c r="M557" s="131">
        <v>54734.468000000001</v>
      </c>
      <c r="N557" s="131">
        <v>50601.800999999999</v>
      </c>
      <c r="O557" s="898">
        <v>598284.21699999995</v>
      </c>
    </row>
    <row r="558" spans="2:15" s="135" customFormat="1" x14ac:dyDescent="0.35">
      <c r="B558" s="875" t="s">
        <v>93</v>
      </c>
      <c r="C558" s="131">
        <v>94239.528500000102</v>
      </c>
      <c r="D558" s="131">
        <v>86735.971000000296</v>
      </c>
      <c r="E558" s="131">
        <v>72121.508000000525</v>
      </c>
      <c r="F558" s="131">
        <v>51339.05900000019</v>
      </c>
      <c r="G558" s="131">
        <v>26695.964999999942</v>
      </c>
      <c r="H558" s="131">
        <v>8023.5970000000052</v>
      </c>
      <c r="I558" s="131">
        <v>4957.4610000000021</v>
      </c>
      <c r="J558" s="131">
        <v>4484.0260000000035</v>
      </c>
      <c r="K558" s="131">
        <v>6417.4310000000087</v>
      </c>
      <c r="L558" s="131">
        <v>2765.1519999999996</v>
      </c>
      <c r="M558" s="131">
        <v>30932.20300000007</v>
      </c>
      <c r="N558" s="131">
        <v>107740.05399999897</v>
      </c>
      <c r="O558" s="898">
        <v>496451.95550000016</v>
      </c>
    </row>
    <row r="559" spans="2:15" s="135" customFormat="1" x14ac:dyDescent="0.35">
      <c r="B559" s="875" t="s">
        <v>96</v>
      </c>
      <c r="C559" s="131">
        <v>24904.449999999972</v>
      </c>
      <c r="D559" s="131">
        <v>27805.437000000064</v>
      </c>
      <c r="E559" s="131">
        <v>30048.295000000042</v>
      </c>
      <c r="F559" s="131">
        <v>32827.926000000021</v>
      </c>
      <c r="G559" s="131">
        <v>28501.812000000024</v>
      </c>
      <c r="H559" s="131">
        <v>28971.367000000067</v>
      </c>
      <c r="I559" s="131">
        <v>25459.342000000055</v>
      </c>
      <c r="J559" s="131">
        <v>32090.762000000173</v>
      </c>
      <c r="K559" s="131">
        <v>34840.991000000125</v>
      </c>
      <c r="L559" s="131">
        <v>36673.334000000104</v>
      </c>
      <c r="M559" s="131">
        <v>36173.191000000159</v>
      </c>
      <c r="N559" s="131">
        <v>31600.030000000155</v>
      </c>
      <c r="O559" s="898">
        <v>369896.93700000097</v>
      </c>
    </row>
    <row r="560" spans="2:15" s="135" customFormat="1" x14ac:dyDescent="0.35">
      <c r="B560" s="904" t="s">
        <v>97</v>
      </c>
      <c r="C560" s="131">
        <v>30776.529000000057</v>
      </c>
      <c r="D560" s="131">
        <v>28300.29599999998</v>
      </c>
      <c r="E560" s="131">
        <v>23363.279999999977</v>
      </c>
      <c r="F560" s="131">
        <v>21920.687999999933</v>
      </c>
      <c r="G560" s="131">
        <v>21168.034999999982</v>
      </c>
      <c r="H560" s="131">
        <v>22992.563999999897</v>
      </c>
      <c r="I560" s="131">
        <v>25660.533000000036</v>
      </c>
      <c r="J560" s="131">
        <v>17459.341000000026</v>
      </c>
      <c r="K560" s="131">
        <v>19224.792999999991</v>
      </c>
      <c r="L560" s="131">
        <v>15347.604999999992</v>
      </c>
      <c r="M560" s="131">
        <v>22202.230999999952</v>
      </c>
      <c r="N560" s="131">
        <v>31068.764999999803</v>
      </c>
      <c r="O560" s="898">
        <v>279484.65999999957</v>
      </c>
    </row>
    <row r="561" spans="2:15" s="135" customFormat="1" x14ac:dyDescent="0.35">
      <c r="B561" s="875" t="s">
        <v>98</v>
      </c>
      <c r="C561" s="131">
        <v>9638.094000000001</v>
      </c>
      <c r="D561" s="131">
        <v>16649.29</v>
      </c>
      <c r="E561" s="131">
        <v>23208.510000000013</v>
      </c>
      <c r="F561" s="131">
        <v>11285.811000000005</v>
      </c>
      <c r="G561" s="131">
        <v>6621.3510000000006</v>
      </c>
      <c r="H561" s="131">
        <v>9700.956000000011</v>
      </c>
      <c r="I561" s="131">
        <v>10985.585000000003</v>
      </c>
      <c r="J561" s="131">
        <v>15516.769999999993</v>
      </c>
      <c r="K561" s="131">
        <v>18836.971000000001</v>
      </c>
      <c r="L561" s="131">
        <v>16612.186999999984</v>
      </c>
      <c r="M561" s="131">
        <v>17549.022000000004</v>
      </c>
      <c r="N561" s="131">
        <v>7096.2699999999995</v>
      </c>
      <c r="O561" s="898">
        <v>163700.81699999998</v>
      </c>
    </row>
    <row r="562" spans="2:15" s="135" customFormat="1" x14ac:dyDescent="0.35">
      <c r="B562" s="875" t="s">
        <v>100</v>
      </c>
      <c r="C562" s="131">
        <v>9413.4540000000015</v>
      </c>
      <c r="D562" s="131">
        <v>6993.3709999999955</v>
      </c>
      <c r="E562" s="131">
        <v>9978.0510000000031</v>
      </c>
      <c r="F562" s="131">
        <v>6988.6099999999979</v>
      </c>
      <c r="G562" s="131">
        <v>8634.6830000000009</v>
      </c>
      <c r="H562" s="131">
        <v>7178.1539999999977</v>
      </c>
      <c r="I562" s="131">
        <v>8812.6880000000019</v>
      </c>
      <c r="J562" s="131">
        <v>7996.3530000000019</v>
      </c>
      <c r="K562" s="131">
        <v>12593.699000000008</v>
      </c>
      <c r="L562" s="131">
        <v>14124.422999999997</v>
      </c>
      <c r="M562" s="131">
        <v>10505.589000000007</v>
      </c>
      <c r="N562" s="131">
        <v>11989.198999999999</v>
      </c>
      <c r="O562" s="898">
        <v>115208.27399999999</v>
      </c>
    </row>
    <row r="563" spans="2:15" s="135" customFormat="1" x14ac:dyDescent="0.35">
      <c r="B563" s="875" t="s">
        <v>76</v>
      </c>
      <c r="C563" s="131">
        <v>734.77499999999998</v>
      </c>
      <c r="D563" s="131">
        <v>410.78999999999996</v>
      </c>
      <c r="E563" s="131">
        <v>12365.441999999999</v>
      </c>
      <c r="F563" s="131">
        <v>3190.81</v>
      </c>
      <c r="G563" s="131">
        <v>6488.43</v>
      </c>
      <c r="H563" s="131">
        <v>0</v>
      </c>
      <c r="I563" s="131">
        <v>336.40000000000003</v>
      </c>
      <c r="J563" s="131">
        <v>25.86</v>
      </c>
      <c r="K563" s="131">
        <v>253.14</v>
      </c>
      <c r="L563" s="131">
        <v>127.90999999999998</v>
      </c>
      <c r="M563" s="131">
        <v>86.23</v>
      </c>
      <c r="N563" s="131">
        <v>91.789999999999992</v>
      </c>
      <c r="O563" s="898">
        <v>24111.577000000001</v>
      </c>
    </row>
    <row r="564" spans="2:15" s="135" customFormat="1" x14ac:dyDescent="0.35">
      <c r="B564" s="875" t="s">
        <v>105</v>
      </c>
      <c r="C564" s="131">
        <v>1207.9990000000003</v>
      </c>
      <c r="D564" s="131">
        <v>2294.116</v>
      </c>
      <c r="E564" s="131">
        <v>1055.508</v>
      </c>
      <c r="F564" s="131">
        <v>1621.6240000000009</v>
      </c>
      <c r="G564" s="131">
        <v>1675.2250000000006</v>
      </c>
      <c r="H564" s="131">
        <v>1394.3520000000003</v>
      </c>
      <c r="I564" s="131">
        <v>1664.223</v>
      </c>
      <c r="J564" s="131">
        <v>1813.9469999999999</v>
      </c>
      <c r="K564" s="131">
        <v>2257.8260000000009</v>
      </c>
      <c r="L564" s="131">
        <v>2809.6909999999998</v>
      </c>
      <c r="M564" s="131">
        <v>2095.6080000000006</v>
      </c>
      <c r="N564" s="131">
        <v>2935.1610000000005</v>
      </c>
      <c r="O564" s="898">
        <v>22825.280000000002</v>
      </c>
    </row>
    <row r="565" spans="2:15" s="135" customFormat="1" x14ac:dyDescent="0.35">
      <c r="B565" s="875" t="s">
        <v>77</v>
      </c>
      <c r="C565" s="131">
        <v>249.37100000000001</v>
      </c>
      <c r="D565" s="131">
        <v>252.99799999999999</v>
      </c>
      <c r="E565" s="131">
        <v>341.10799999999995</v>
      </c>
      <c r="F565" s="131">
        <v>28145.510999999806</v>
      </c>
      <c r="G565" s="131">
        <v>19670.417999999925</v>
      </c>
      <c r="H565" s="131">
        <v>2527.7679999999991</v>
      </c>
      <c r="I565" s="131">
        <v>407.0390000000001</v>
      </c>
      <c r="J565" s="131">
        <v>649.1880000000001</v>
      </c>
      <c r="K565" s="131">
        <v>246.41700000000003</v>
      </c>
      <c r="L565" s="131">
        <v>246.94899999999998</v>
      </c>
      <c r="M565" s="131">
        <v>17.219000000000001</v>
      </c>
      <c r="N565" s="131">
        <v>45.040999999999997</v>
      </c>
      <c r="O565" s="898">
        <v>52799.026999999718</v>
      </c>
    </row>
    <row r="566" spans="2:15" s="135" customFormat="1" x14ac:dyDescent="0.35">
      <c r="B566" s="875" t="s">
        <v>99</v>
      </c>
      <c r="C566" s="131">
        <v>1544.5129999999995</v>
      </c>
      <c r="D566" s="131">
        <v>1358.5129999999997</v>
      </c>
      <c r="E566" s="131">
        <v>613.29099999999983</v>
      </c>
      <c r="F566" s="131">
        <v>715.92699999999957</v>
      </c>
      <c r="G566" s="131">
        <v>978.53200000000004</v>
      </c>
      <c r="H566" s="131">
        <v>3105.7439999999997</v>
      </c>
      <c r="I566" s="131">
        <v>1913.1270000000006</v>
      </c>
      <c r="J566" s="131">
        <v>205.69400000000002</v>
      </c>
      <c r="K566" s="131">
        <v>285.202</v>
      </c>
      <c r="L566" s="131">
        <v>1165.0900000000001</v>
      </c>
      <c r="M566" s="131">
        <v>24.248000000000001</v>
      </c>
      <c r="N566" s="131">
        <v>230.072</v>
      </c>
      <c r="O566" s="898">
        <v>12139.952999999996</v>
      </c>
    </row>
    <row r="567" spans="2:15" s="135" customFormat="1" x14ac:dyDescent="0.35">
      <c r="B567" s="875" t="s">
        <v>102</v>
      </c>
      <c r="C567" s="131">
        <v>4205.7330000000002</v>
      </c>
      <c r="D567" s="131">
        <v>3105.2019999999998</v>
      </c>
      <c r="E567" s="131">
        <v>24.063000000000002</v>
      </c>
      <c r="F567" s="131">
        <v>133.39699999999999</v>
      </c>
      <c r="G567" s="131">
        <v>8</v>
      </c>
      <c r="H567" s="131">
        <v>0</v>
      </c>
      <c r="I567" s="131">
        <v>0</v>
      </c>
      <c r="J567" s="131">
        <v>0</v>
      </c>
      <c r="K567" s="131">
        <v>13</v>
      </c>
      <c r="L567" s="131">
        <v>0</v>
      </c>
      <c r="M567" s="131">
        <v>0</v>
      </c>
      <c r="N567" s="131">
        <v>0</v>
      </c>
      <c r="O567" s="898">
        <v>7489.3949999999995</v>
      </c>
    </row>
    <row r="568" spans="2:15" s="135" customFormat="1" x14ac:dyDescent="0.35">
      <c r="B568" s="875" t="s">
        <v>104</v>
      </c>
      <c r="C568" s="131">
        <v>635.60300000000007</v>
      </c>
      <c r="D568" s="131">
        <v>0</v>
      </c>
      <c r="E568" s="131">
        <v>8365.7799999999988</v>
      </c>
      <c r="F568" s="131">
        <v>492.04</v>
      </c>
      <c r="G568" s="131">
        <v>7737.08</v>
      </c>
      <c r="H568" s="131">
        <v>519.86</v>
      </c>
      <c r="I568" s="131">
        <v>7342.6</v>
      </c>
      <c r="J568" s="131">
        <v>9152.0700000000015</v>
      </c>
      <c r="K568" s="131">
        <v>0</v>
      </c>
      <c r="L568" s="131">
        <v>9488.7199999999993</v>
      </c>
      <c r="M568" s="131">
        <v>530.70000000000005</v>
      </c>
      <c r="N568" s="131">
        <v>518.72</v>
      </c>
      <c r="O568" s="898">
        <v>44783.172999999995</v>
      </c>
    </row>
    <row r="569" spans="2:15" s="135" customFormat="1" x14ac:dyDescent="0.35">
      <c r="B569" s="875" t="s">
        <v>101</v>
      </c>
      <c r="C569" s="131">
        <v>9229.244999999999</v>
      </c>
      <c r="D569" s="131">
        <v>0</v>
      </c>
      <c r="E569" s="131">
        <v>2628.1990000000001</v>
      </c>
      <c r="F569" s="131">
        <v>8116.3959999999997</v>
      </c>
      <c r="G569" s="131">
        <v>6013.4290000000001</v>
      </c>
      <c r="H569" s="131">
        <v>4229.3050000000003</v>
      </c>
      <c r="I569" s="131">
        <v>9679.5810000000001</v>
      </c>
      <c r="J569" s="131">
        <v>0</v>
      </c>
      <c r="K569" s="131">
        <v>11646.311</v>
      </c>
      <c r="L569" s="131">
        <v>0</v>
      </c>
      <c r="M569" s="131">
        <v>9961.6640000000007</v>
      </c>
      <c r="N569" s="131">
        <v>0</v>
      </c>
      <c r="O569" s="898">
        <v>61504.130000000005</v>
      </c>
    </row>
    <row r="570" spans="2:15" s="135" customFormat="1" x14ac:dyDescent="0.35">
      <c r="B570" s="875" t="s">
        <v>108</v>
      </c>
      <c r="C570" s="131">
        <v>2281.4810000000002</v>
      </c>
      <c r="D570" s="131">
        <v>1612.8270000000002</v>
      </c>
      <c r="E570" s="131">
        <v>2454.5210000000002</v>
      </c>
      <c r="F570" s="131">
        <v>2188.3589999999999</v>
      </c>
      <c r="G570" s="131">
        <v>3034.4519999999989</v>
      </c>
      <c r="H570" s="131">
        <v>2126.3899999999994</v>
      </c>
      <c r="I570" s="131">
        <v>2602.0629999999987</v>
      </c>
      <c r="J570" s="131">
        <v>4170.0469999999987</v>
      </c>
      <c r="K570" s="131">
        <v>3125.7350000000006</v>
      </c>
      <c r="L570" s="131">
        <v>3050.9810000000002</v>
      </c>
      <c r="M570" s="131">
        <v>3688.0390000000007</v>
      </c>
      <c r="N570" s="131">
        <v>3375.6620000000016</v>
      </c>
      <c r="O570" s="898">
        <v>33710.557000000001</v>
      </c>
    </row>
    <row r="571" spans="2:15" s="135" customFormat="1" x14ac:dyDescent="0.35">
      <c r="B571" s="875" t="s">
        <v>109</v>
      </c>
      <c r="C571" s="131">
        <v>498.38400000000007</v>
      </c>
      <c r="D571" s="131">
        <v>261.39200000000005</v>
      </c>
      <c r="E571" s="131">
        <v>649.59299999999985</v>
      </c>
      <c r="F571" s="131">
        <v>1359.5859999999998</v>
      </c>
      <c r="G571" s="131">
        <v>1249.6370000000006</v>
      </c>
      <c r="H571" s="131">
        <v>779.71100000000024</v>
      </c>
      <c r="I571" s="131">
        <v>987.23500000000058</v>
      </c>
      <c r="J571" s="131">
        <v>1342.1759999999995</v>
      </c>
      <c r="K571" s="131">
        <v>2038.2039999999997</v>
      </c>
      <c r="L571" s="131">
        <v>2235.123</v>
      </c>
      <c r="M571" s="131">
        <v>771.44099999999992</v>
      </c>
      <c r="N571" s="131">
        <v>1647.7</v>
      </c>
      <c r="O571" s="898">
        <v>13820.182000000003</v>
      </c>
    </row>
    <row r="572" spans="2:15" s="135" customFormat="1" x14ac:dyDescent="0.35">
      <c r="B572" s="875" t="s">
        <v>103</v>
      </c>
      <c r="C572" s="131">
        <v>1150.9500000000003</v>
      </c>
      <c r="D572" s="131">
        <v>1911.73</v>
      </c>
      <c r="E572" s="131">
        <v>2363.0939999999996</v>
      </c>
      <c r="F572" s="131">
        <v>2150.7510000000002</v>
      </c>
      <c r="G572" s="131">
        <v>2755.6889999999999</v>
      </c>
      <c r="H572" s="131">
        <v>2847.6849999999999</v>
      </c>
      <c r="I572" s="131">
        <v>1848.1669999999999</v>
      </c>
      <c r="J572" s="131">
        <v>2361.6409999999996</v>
      </c>
      <c r="K572" s="131">
        <v>1751.2470000000003</v>
      </c>
      <c r="L572" s="131">
        <v>1304.3</v>
      </c>
      <c r="M572" s="131">
        <v>907.53000000000009</v>
      </c>
      <c r="N572" s="131">
        <v>2071.0029999999997</v>
      </c>
      <c r="O572" s="898">
        <v>23423.786999999997</v>
      </c>
    </row>
    <row r="573" spans="2:15" s="135" customFormat="1" x14ac:dyDescent="0.35">
      <c r="B573" s="875" t="s">
        <v>111</v>
      </c>
      <c r="C573" s="131">
        <v>185.416</v>
      </c>
      <c r="D573" s="131">
        <v>658.74700000000018</v>
      </c>
      <c r="E573" s="131">
        <v>743.12</v>
      </c>
      <c r="F573" s="131">
        <v>240.32499999999999</v>
      </c>
      <c r="G573" s="131">
        <v>706.15199999999993</v>
      </c>
      <c r="H573" s="131">
        <v>515.58199999999999</v>
      </c>
      <c r="I573" s="131">
        <v>650.29200000000003</v>
      </c>
      <c r="J573" s="131">
        <v>700.97199999999998</v>
      </c>
      <c r="K573" s="131">
        <v>844.44800000000043</v>
      </c>
      <c r="L573" s="131">
        <v>757.02600000000029</v>
      </c>
      <c r="M573" s="131">
        <v>699.03499999999985</v>
      </c>
      <c r="N573" s="131">
        <v>1090.8450000000003</v>
      </c>
      <c r="O573" s="898">
        <v>7791.96</v>
      </c>
    </row>
    <row r="574" spans="2:15" s="135" customFormat="1" x14ac:dyDescent="0.35">
      <c r="B574" s="875" t="s">
        <v>262</v>
      </c>
      <c r="C574" s="131">
        <v>1308.02</v>
      </c>
      <c r="D574" s="131">
        <v>857.5</v>
      </c>
      <c r="E574" s="131">
        <v>584.29499999999996</v>
      </c>
      <c r="F574" s="131">
        <v>501.27</v>
      </c>
      <c r="G574" s="131">
        <v>384</v>
      </c>
      <c r="H574" s="131">
        <v>599.55200000000002</v>
      </c>
      <c r="I574" s="131">
        <v>1571.7360000000001</v>
      </c>
      <c r="J574" s="131">
        <v>810.2170000000001</v>
      </c>
      <c r="K574" s="131">
        <v>378.98</v>
      </c>
      <c r="L574" s="131">
        <v>1754.51</v>
      </c>
      <c r="M574" s="131">
        <v>769.82999999999993</v>
      </c>
      <c r="N574" s="131">
        <v>620.47199999999998</v>
      </c>
      <c r="O574" s="898">
        <v>10140.382</v>
      </c>
    </row>
    <row r="575" spans="2:15" s="135" customFormat="1" x14ac:dyDescent="0.35">
      <c r="B575" s="875" t="s">
        <v>107</v>
      </c>
      <c r="C575" s="131">
        <v>551.44399999999996</v>
      </c>
      <c r="D575" s="131">
        <v>1603.8999999999999</v>
      </c>
      <c r="E575" s="131">
        <v>1089.7860000000001</v>
      </c>
      <c r="F575" s="131">
        <v>565.49099999999999</v>
      </c>
      <c r="G575" s="131">
        <v>1088.232</v>
      </c>
      <c r="H575" s="131">
        <v>1218.6210000000001</v>
      </c>
      <c r="I575" s="131">
        <v>804.0179999999998</v>
      </c>
      <c r="J575" s="131">
        <v>1938.5300000000016</v>
      </c>
      <c r="K575" s="131">
        <v>1295.0820000000006</v>
      </c>
      <c r="L575" s="131">
        <v>1672.3210000000006</v>
      </c>
      <c r="M575" s="131">
        <v>996.93799999999987</v>
      </c>
      <c r="N575" s="131">
        <v>1178.4659999999999</v>
      </c>
      <c r="O575" s="898">
        <v>14002.829000000002</v>
      </c>
    </row>
    <row r="576" spans="2:15" s="135" customFormat="1" x14ac:dyDescent="0.35">
      <c r="B576" s="875" t="s">
        <v>106</v>
      </c>
      <c r="C576" s="131">
        <v>794.2349999999999</v>
      </c>
      <c r="D576" s="131">
        <v>1234.8320000000001</v>
      </c>
      <c r="E576" s="131">
        <v>1596.8169999999998</v>
      </c>
      <c r="F576" s="131">
        <v>1732.6099999999997</v>
      </c>
      <c r="G576" s="131">
        <v>1605.2239999999999</v>
      </c>
      <c r="H576" s="131">
        <v>1433.8320000000003</v>
      </c>
      <c r="I576" s="131">
        <v>1394.624</v>
      </c>
      <c r="J576" s="131">
        <v>1378.4199999999998</v>
      </c>
      <c r="K576" s="131">
        <v>1328.1330000000003</v>
      </c>
      <c r="L576" s="131">
        <v>1726.098</v>
      </c>
      <c r="M576" s="131">
        <v>1984.9959999999996</v>
      </c>
      <c r="N576" s="131">
        <v>1976.8009999999999</v>
      </c>
      <c r="O576" s="898">
        <v>18186.621999999999</v>
      </c>
    </row>
    <row r="577" spans="2:15" s="135" customFormat="1" x14ac:dyDescent="0.35">
      <c r="B577" s="875" t="s">
        <v>113</v>
      </c>
      <c r="C577" s="131">
        <v>0</v>
      </c>
      <c r="D577" s="131">
        <v>0</v>
      </c>
      <c r="E577" s="131">
        <v>0</v>
      </c>
      <c r="F577" s="131">
        <v>1187.5000000000002</v>
      </c>
      <c r="G577" s="131">
        <v>1428.24</v>
      </c>
      <c r="H577" s="131">
        <v>481.46699999999987</v>
      </c>
      <c r="I577" s="131">
        <v>150.12</v>
      </c>
      <c r="J577" s="131">
        <v>648.47299999999973</v>
      </c>
      <c r="K577" s="131">
        <v>0</v>
      </c>
      <c r="L577" s="131">
        <v>24.200000000000003</v>
      </c>
      <c r="M577" s="131">
        <v>45.200999999999993</v>
      </c>
      <c r="N577" s="131">
        <v>0</v>
      </c>
      <c r="O577" s="898">
        <v>3965.201</v>
      </c>
    </row>
    <row r="578" spans="2:15" s="135" customFormat="1" x14ac:dyDescent="0.35">
      <c r="B578" s="875" t="s">
        <v>110</v>
      </c>
      <c r="C578" s="131">
        <v>619.30500000000006</v>
      </c>
      <c r="D578" s="131">
        <v>910.84199999999998</v>
      </c>
      <c r="E578" s="131">
        <v>637.66599999999994</v>
      </c>
      <c r="F578" s="131">
        <v>619.81999999999994</v>
      </c>
      <c r="G578" s="131">
        <v>774.76999999999987</v>
      </c>
      <c r="H578" s="131">
        <v>533.47500000000002</v>
      </c>
      <c r="I578" s="131">
        <v>301.05999999999995</v>
      </c>
      <c r="J578" s="131">
        <v>1090.0989999999999</v>
      </c>
      <c r="K578" s="131">
        <v>529.59500000000003</v>
      </c>
      <c r="L578" s="131">
        <v>852.44999999999993</v>
      </c>
      <c r="M578" s="131">
        <v>493.30999999999995</v>
      </c>
      <c r="N578" s="131">
        <v>608.64499999999987</v>
      </c>
      <c r="O578" s="898">
        <v>7971.0369999999994</v>
      </c>
    </row>
    <row r="579" spans="2:15" s="135" customFormat="1" x14ac:dyDescent="0.35">
      <c r="B579" s="875" t="s">
        <v>152</v>
      </c>
      <c r="C579" s="131">
        <v>947.80499999999995</v>
      </c>
      <c r="D579" s="131">
        <v>2284.2200000000003</v>
      </c>
      <c r="E579" s="131">
        <v>2627.96</v>
      </c>
      <c r="F579" s="131">
        <v>2308.9410000000003</v>
      </c>
      <c r="G579" s="131">
        <v>1865.0559999999998</v>
      </c>
      <c r="H579" s="131">
        <v>1487.3729999999998</v>
      </c>
      <c r="I579" s="131">
        <v>1516.2160000000001</v>
      </c>
      <c r="J579" s="131">
        <v>18.34</v>
      </c>
      <c r="K579" s="131">
        <v>359.65</v>
      </c>
      <c r="L579" s="131">
        <v>496.41399999999999</v>
      </c>
      <c r="M579" s="131">
        <v>0</v>
      </c>
      <c r="N579" s="131">
        <v>0</v>
      </c>
      <c r="O579" s="898">
        <v>13911.975000000002</v>
      </c>
    </row>
    <row r="580" spans="2:15" s="135" customFormat="1" x14ac:dyDescent="0.35">
      <c r="B580" s="875" t="s">
        <v>112</v>
      </c>
      <c r="C580" s="131">
        <v>337.62399999999997</v>
      </c>
      <c r="D580" s="131">
        <v>1157.5679999999995</v>
      </c>
      <c r="E580" s="131">
        <v>988.75599999999986</v>
      </c>
      <c r="F580" s="131">
        <v>978.69600000000014</v>
      </c>
      <c r="G580" s="131">
        <v>1411.7919999999995</v>
      </c>
      <c r="H580" s="131">
        <v>434.08799999999991</v>
      </c>
      <c r="I580" s="131">
        <v>579.86799999999994</v>
      </c>
      <c r="J580" s="131">
        <v>1222.1799999999996</v>
      </c>
      <c r="K580" s="131">
        <v>786.7879999999999</v>
      </c>
      <c r="L580" s="131">
        <v>844.05999999999972</v>
      </c>
      <c r="M580" s="131">
        <v>691.35999999999979</v>
      </c>
      <c r="N580" s="131">
        <v>684.0999999999998</v>
      </c>
      <c r="O580" s="898">
        <v>10116.879999999997</v>
      </c>
    </row>
    <row r="581" spans="2:15" s="135" customFormat="1" x14ac:dyDescent="0.35">
      <c r="B581" s="875" t="s">
        <v>313</v>
      </c>
      <c r="C581" s="131">
        <v>0</v>
      </c>
      <c r="D581" s="131">
        <v>0</v>
      </c>
      <c r="E581" s="131">
        <v>0</v>
      </c>
      <c r="F581" s="131">
        <v>0</v>
      </c>
      <c r="G581" s="131">
        <v>0</v>
      </c>
      <c r="H581" s="131">
        <v>0</v>
      </c>
      <c r="I581" s="131">
        <v>0</v>
      </c>
      <c r="J581" s="131">
        <v>0</v>
      </c>
      <c r="K581" s="131">
        <v>0</v>
      </c>
      <c r="L581" s="131">
        <v>0</v>
      </c>
      <c r="M581" s="131">
        <v>0</v>
      </c>
      <c r="N581" s="131">
        <v>0</v>
      </c>
      <c r="O581" s="898">
        <v>0</v>
      </c>
    </row>
    <row r="582" spans="2:15" s="135" customFormat="1" x14ac:dyDescent="0.35">
      <c r="B582" s="875" t="s">
        <v>73</v>
      </c>
      <c r="C582" s="131">
        <v>1062.3679999999999</v>
      </c>
      <c r="D582" s="131">
        <v>309.08999999999997</v>
      </c>
      <c r="E582" s="131">
        <v>752.24700000000007</v>
      </c>
      <c r="F582" s="131">
        <v>299.06134000000009</v>
      </c>
      <c r="G582" s="131">
        <v>416.01200000000006</v>
      </c>
      <c r="H582" s="131">
        <v>951.505</v>
      </c>
      <c r="I582" s="131">
        <v>706.25400000000002</v>
      </c>
      <c r="J582" s="131">
        <v>1254.9650000000015</v>
      </c>
      <c r="K582" s="131">
        <v>826.94799999999975</v>
      </c>
      <c r="L582" s="131">
        <v>883.99800000000005</v>
      </c>
      <c r="M582" s="131">
        <v>670.23799999999983</v>
      </c>
      <c r="N582" s="131">
        <v>651.56096000000002</v>
      </c>
      <c r="O582" s="898">
        <v>8784.2473000000027</v>
      </c>
    </row>
    <row r="583" spans="2:15" s="135" customFormat="1" x14ac:dyDescent="0.35">
      <c r="B583" s="875" t="s">
        <v>473</v>
      </c>
      <c r="C583" s="131">
        <v>0</v>
      </c>
      <c r="D583" s="131">
        <v>192.56</v>
      </c>
      <c r="E583" s="131">
        <v>2431.4520000000002</v>
      </c>
      <c r="F583" s="131">
        <v>695.83000000000015</v>
      </c>
      <c r="G583" s="131">
        <v>2245.6200000000003</v>
      </c>
      <c r="H583" s="131">
        <v>1200.01</v>
      </c>
      <c r="I583" s="131">
        <v>2795.2729999999997</v>
      </c>
      <c r="J583" s="131">
        <v>1866.7799999999997</v>
      </c>
      <c r="K583" s="131">
        <v>1296.2929999999999</v>
      </c>
      <c r="L583" s="131">
        <v>2047.8889999999999</v>
      </c>
      <c r="M583" s="131">
        <v>1000.03</v>
      </c>
      <c r="N583" s="131">
        <v>1147.9259999999999</v>
      </c>
      <c r="O583" s="898">
        <v>16919.663</v>
      </c>
    </row>
    <row r="584" spans="2:15" s="135" customFormat="1" x14ac:dyDescent="0.35">
      <c r="B584" s="875" t="s">
        <v>91</v>
      </c>
      <c r="C584" s="905">
        <v>10480.334120003099</v>
      </c>
      <c r="D584" s="905">
        <v>12738.820200002287</v>
      </c>
      <c r="E584" s="905">
        <v>11833.228000001283</v>
      </c>
      <c r="F584" s="905">
        <v>9740.4520000064513</v>
      </c>
      <c r="G584" s="905">
        <v>13860.954000005033</v>
      </c>
      <c r="H584" s="905">
        <v>96236.804000001168</v>
      </c>
      <c r="I584" s="905">
        <v>11602.9710000052</v>
      </c>
      <c r="J584" s="905">
        <v>16645.776000003098</v>
      </c>
      <c r="K584" s="905">
        <v>64215.387000008952</v>
      </c>
      <c r="L584" s="905">
        <v>162758.77600000228</v>
      </c>
      <c r="M584" s="905">
        <v>17301.325000002456</v>
      </c>
      <c r="N584" s="905">
        <v>135470.97754002013</v>
      </c>
      <c r="O584" s="875">
        <v>562885.8048600615</v>
      </c>
    </row>
    <row r="585" spans="2:15" s="135" customFormat="1" x14ac:dyDescent="0.35">
      <c r="B585" s="875"/>
      <c r="C585" s="185"/>
      <c r="D585" s="185"/>
      <c r="E585" s="185"/>
      <c r="F585" s="185"/>
      <c r="G585" s="185"/>
      <c r="H585" s="185"/>
      <c r="I585" s="185"/>
      <c r="J585" s="902"/>
      <c r="K585" s="902"/>
      <c r="L585" s="902"/>
      <c r="M585" s="902"/>
      <c r="N585" s="902"/>
      <c r="O585" s="901"/>
    </row>
    <row r="586" spans="2:15" s="135" customFormat="1" x14ac:dyDescent="0.35">
      <c r="B586" s="432" t="s">
        <v>36</v>
      </c>
      <c r="C586" s="906">
        <v>1723653.3764819973</v>
      </c>
      <c r="D586" s="906">
        <v>2088025.9476410043</v>
      </c>
      <c r="E586" s="906">
        <v>1928500.8166830039</v>
      </c>
      <c r="F586" s="906">
        <v>2235875.6139170174</v>
      </c>
      <c r="G586" s="906">
        <v>2318140.2552620117</v>
      </c>
      <c r="H586" s="906">
        <v>2009422.7637709978</v>
      </c>
      <c r="I586" s="906">
        <v>2333316.974690007</v>
      </c>
      <c r="J586" s="906">
        <v>2460484.3845200171</v>
      </c>
      <c r="K586" s="906">
        <v>2183710.7468300248</v>
      </c>
      <c r="L586" s="906">
        <v>2409514.233445996</v>
      </c>
      <c r="M586" s="906">
        <v>2089600.3036800101</v>
      </c>
      <c r="N586" s="906">
        <v>2332338.2460490339</v>
      </c>
      <c r="O586" s="908">
        <v>26112583.66297112</v>
      </c>
    </row>
    <row r="587" spans="2:15" s="3" customFormat="1" x14ac:dyDescent="0.35">
      <c r="B587" s="188"/>
      <c r="C587" s="182"/>
      <c r="D587" s="182"/>
      <c r="E587" s="182"/>
      <c r="F587" s="182"/>
      <c r="G587" s="183"/>
      <c r="H587" s="183"/>
      <c r="I587" s="183"/>
      <c r="J587" s="183"/>
      <c r="K587" s="183"/>
      <c r="L587" s="618"/>
      <c r="M587" s="183"/>
      <c r="N587" s="183"/>
      <c r="O587" s="181"/>
    </row>
    <row r="588" spans="2:15" s="3" customFormat="1" x14ac:dyDescent="0.35">
      <c r="B588" s="1075" t="s">
        <v>223</v>
      </c>
      <c r="C588" s="1075"/>
      <c r="D588" s="1075"/>
      <c r="E588" s="1075"/>
      <c r="F588" s="1075"/>
      <c r="G588" s="1075"/>
      <c r="H588" s="1075"/>
      <c r="I588" s="1075"/>
      <c r="J588" s="1075"/>
      <c r="K588" s="1075"/>
      <c r="L588" s="1075"/>
      <c r="M588" s="1075"/>
      <c r="N588" s="1075"/>
      <c r="O588" s="1075"/>
    </row>
    <row r="589" spans="2:15" s="3" customFormat="1" x14ac:dyDescent="0.35">
      <c r="B589" s="125"/>
      <c r="C589" s="106"/>
      <c r="D589" s="554"/>
      <c r="E589" s="554"/>
      <c r="F589" s="554"/>
      <c r="G589" s="554"/>
      <c r="H589" s="554"/>
      <c r="I589" s="554"/>
      <c r="J589" s="554"/>
      <c r="K589" s="554"/>
      <c r="L589" s="554"/>
      <c r="M589" s="554"/>
      <c r="N589" s="554"/>
      <c r="O589" s="8"/>
    </row>
    <row r="590" spans="2:15" s="3" customFormat="1" x14ac:dyDescent="0.35">
      <c r="B590" s="1069" t="s">
        <v>372</v>
      </c>
      <c r="C590" s="1069"/>
      <c r="D590" s="1069"/>
      <c r="E590" s="1069"/>
      <c r="F590" s="1069"/>
      <c r="G590" s="1069"/>
      <c r="H590" s="1069"/>
      <c r="I590" s="1069"/>
      <c r="J590" s="1069"/>
      <c r="K590" s="555">
        <v>2025</v>
      </c>
      <c r="L590" s="125"/>
      <c r="M590" s="125"/>
      <c r="N590" s="125"/>
      <c r="O590" s="125"/>
    </row>
    <row r="591" spans="2:15" s="3" customFormat="1" x14ac:dyDescent="0.35">
      <c r="B591" s="190"/>
      <c r="C591" s="191"/>
      <c r="D591" s="191"/>
      <c r="E591" s="191"/>
      <c r="F591" s="191"/>
      <c r="G591" s="191"/>
      <c r="H591" s="191"/>
      <c r="I591" s="191"/>
      <c r="J591" s="191"/>
      <c r="K591" s="191"/>
      <c r="L591" s="191"/>
      <c r="M591" s="191"/>
      <c r="N591" s="191"/>
      <c r="O591" s="192"/>
    </row>
    <row r="592" spans="2:15" s="3" customFormat="1" ht="15" customHeight="1" x14ac:dyDescent="0.35">
      <c r="B592" s="1077" t="s">
        <v>13</v>
      </c>
      <c r="C592" s="1070" t="s">
        <v>0</v>
      </c>
      <c r="D592" s="1070" t="s">
        <v>1</v>
      </c>
      <c r="E592" s="1070" t="s">
        <v>2</v>
      </c>
      <c r="F592" s="1070" t="s">
        <v>3</v>
      </c>
      <c r="G592" s="1070" t="s">
        <v>4</v>
      </c>
      <c r="H592" s="1070" t="s">
        <v>5</v>
      </c>
      <c r="I592" s="1070" t="s">
        <v>6</v>
      </c>
      <c r="J592" s="1070" t="s">
        <v>7</v>
      </c>
      <c r="K592" s="1070" t="s">
        <v>8</v>
      </c>
      <c r="L592" s="1070" t="s">
        <v>9</v>
      </c>
      <c r="M592" s="1070" t="s">
        <v>10</v>
      </c>
      <c r="N592" s="1070" t="s">
        <v>14</v>
      </c>
      <c r="O592" s="1074" t="s">
        <v>15</v>
      </c>
    </row>
    <row r="593" spans="2:15" s="3" customFormat="1" ht="15" customHeight="1" x14ac:dyDescent="0.35">
      <c r="B593" s="1088"/>
      <c r="C593" s="1071"/>
      <c r="D593" s="1071"/>
      <c r="E593" s="1071"/>
      <c r="F593" s="1071"/>
      <c r="G593" s="1071"/>
      <c r="H593" s="1071"/>
      <c r="I593" s="1071"/>
      <c r="J593" s="1071"/>
      <c r="K593" s="1071"/>
      <c r="L593" s="1071"/>
      <c r="M593" s="1078"/>
      <c r="N593" s="1078"/>
      <c r="O593" s="1079"/>
    </row>
    <row r="594" spans="2:15" s="3" customFormat="1" x14ac:dyDescent="0.35">
      <c r="B594" s="193"/>
      <c r="C594" s="632">
        <v>0</v>
      </c>
      <c r="D594" s="632">
        <v>-5.2386894822120667E-10</v>
      </c>
      <c r="E594" s="632">
        <v>0</v>
      </c>
      <c r="F594" s="632">
        <v>0</v>
      </c>
      <c r="G594" s="632">
        <v>0</v>
      </c>
      <c r="H594" s="632">
        <v>0</v>
      </c>
      <c r="I594" s="632">
        <v>0</v>
      </c>
      <c r="J594" s="632">
        <v>0</v>
      </c>
      <c r="K594" s="632">
        <v>0</v>
      </c>
      <c r="L594" s="632">
        <v>0</v>
      </c>
      <c r="M594" s="632">
        <v>0</v>
      </c>
      <c r="N594" s="632">
        <v>1.0477378964424133E-9</v>
      </c>
      <c r="O594" s="910"/>
    </row>
    <row r="595" spans="2:15" s="3" customFormat="1" x14ac:dyDescent="0.35">
      <c r="B595" s="149" t="s">
        <v>120</v>
      </c>
      <c r="C595" s="911">
        <v>726979.54232299991</v>
      </c>
      <c r="D595" s="912">
        <v>460858.84025000001</v>
      </c>
      <c r="E595" s="912">
        <v>604442.46420000005</v>
      </c>
      <c r="F595" s="912">
        <v>545101.21900599985</v>
      </c>
      <c r="G595" s="912">
        <v>630395.43669999973</v>
      </c>
      <c r="H595" s="912">
        <v>510354.55999999994</v>
      </c>
      <c r="I595" s="912">
        <v>740243.25699999998</v>
      </c>
      <c r="J595" s="912">
        <v>641586.67699999991</v>
      </c>
      <c r="K595" s="912">
        <v>674802.95199999982</v>
      </c>
      <c r="L595" s="912">
        <v>500354.43584500009</v>
      </c>
      <c r="M595" s="912">
        <v>610991.16400000011</v>
      </c>
      <c r="N595" s="912">
        <v>761180.86457799992</v>
      </c>
      <c r="O595" s="154">
        <v>7407291.4129019985</v>
      </c>
    </row>
    <row r="596" spans="2:15" s="3" customFormat="1" x14ac:dyDescent="0.35">
      <c r="B596" s="149"/>
      <c r="C596" s="911"/>
      <c r="D596" s="912"/>
      <c r="E596" s="912"/>
      <c r="F596" s="912"/>
      <c r="G596" s="912"/>
      <c r="H596" s="912"/>
      <c r="I596" s="912"/>
      <c r="J596" s="912"/>
      <c r="K596" s="912"/>
      <c r="L596" s="912"/>
      <c r="M596" s="912"/>
      <c r="N596" s="912"/>
      <c r="O596" s="154"/>
    </row>
    <row r="597" spans="2:15" s="3" customFormat="1" x14ac:dyDescent="0.35">
      <c r="B597" s="208" t="s">
        <v>121</v>
      </c>
      <c r="C597" s="131">
        <v>415356.83100000001</v>
      </c>
      <c r="D597" s="131">
        <v>144779.27499999999</v>
      </c>
      <c r="E597" s="131">
        <v>141070.08900000001</v>
      </c>
      <c r="F597" s="131">
        <v>250724.005</v>
      </c>
      <c r="G597" s="131">
        <v>258453.128</v>
      </c>
      <c r="H597" s="131">
        <v>235098.53200000001</v>
      </c>
      <c r="I597" s="131">
        <v>383915.97199999995</v>
      </c>
      <c r="J597" s="131">
        <v>261325.15099999998</v>
      </c>
      <c r="K597" s="131">
        <v>240983.8</v>
      </c>
      <c r="L597" s="131">
        <v>213584.166</v>
      </c>
      <c r="M597" s="131">
        <v>279742.44400000002</v>
      </c>
      <c r="N597" s="131">
        <v>369934.788</v>
      </c>
      <c r="O597" s="148">
        <v>3194968.1810000003</v>
      </c>
    </row>
    <row r="598" spans="2:15" s="3" customFormat="1" x14ac:dyDescent="0.35">
      <c r="B598" s="208" t="s">
        <v>122</v>
      </c>
      <c r="C598" s="131">
        <v>231677.78900000002</v>
      </c>
      <c r="D598" s="131">
        <v>221158.82500000001</v>
      </c>
      <c r="E598" s="131">
        <v>340206.30300000001</v>
      </c>
      <c r="F598" s="131">
        <v>194422.625</v>
      </c>
      <c r="G598" s="131">
        <v>288608.18800000002</v>
      </c>
      <c r="H598" s="131">
        <v>186885.399</v>
      </c>
      <c r="I598" s="131">
        <v>262503.59600000002</v>
      </c>
      <c r="J598" s="131">
        <v>304765.52599999995</v>
      </c>
      <c r="K598" s="131">
        <v>336513.201</v>
      </c>
      <c r="L598" s="131">
        <v>191514.34700000001</v>
      </c>
      <c r="M598" s="131">
        <v>219255.00099999999</v>
      </c>
      <c r="N598" s="131">
        <v>282969.61099999998</v>
      </c>
      <c r="O598" s="148">
        <v>3060480.4110000003</v>
      </c>
    </row>
    <row r="599" spans="2:15" s="3" customFormat="1" x14ac:dyDescent="0.35">
      <c r="B599" s="208" t="s">
        <v>123</v>
      </c>
      <c r="C599" s="913">
        <v>79944.922322999962</v>
      </c>
      <c r="D599" s="914">
        <v>94920.740250000032</v>
      </c>
      <c r="E599" s="914">
        <v>123166.0722</v>
      </c>
      <c r="F599" s="914">
        <v>99954.589005999878</v>
      </c>
      <c r="G599" s="914">
        <v>83334.120699999796</v>
      </c>
      <c r="H599" s="914">
        <v>88370.628999999943</v>
      </c>
      <c r="I599" s="914">
        <v>93823.689000000042</v>
      </c>
      <c r="J599" s="914">
        <v>75495.999999999942</v>
      </c>
      <c r="K599" s="914">
        <v>97305.950999999841</v>
      </c>
      <c r="L599" s="914">
        <v>95255.922845000023</v>
      </c>
      <c r="M599" s="914">
        <v>111993.71900000008</v>
      </c>
      <c r="N599" s="914">
        <v>108276.46557799996</v>
      </c>
      <c r="O599" s="148">
        <v>1151842.8209019995</v>
      </c>
    </row>
    <row r="600" spans="2:15" s="3" customFormat="1" x14ac:dyDescent="0.35">
      <c r="B600" s="209" t="s">
        <v>124</v>
      </c>
      <c r="C600" s="131">
        <v>0</v>
      </c>
      <c r="D600" s="131">
        <v>0</v>
      </c>
      <c r="E600" s="131">
        <v>0</v>
      </c>
      <c r="F600" s="131">
        <v>53.120000000000005</v>
      </c>
      <c r="G600" s="131">
        <v>39.82</v>
      </c>
      <c r="H600" s="131">
        <v>0</v>
      </c>
      <c r="I600" s="131">
        <v>0</v>
      </c>
      <c r="J600" s="131">
        <v>0</v>
      </c>
      <c r="K600" s="131">
        <v>0</v>
      </c>
      <c r="L600" s="131">
        <v>0</v>
      </c>
      <c r="M600" s="131">
        <v>0</v>
      </c>
      <c r="N600" s="131">
        <v>0</v>
      </c>
      <c r="O600" s="148">
        <v>92.94</v>
      </c>
    </row>
    <row r="601" spans="2:15" s="3" customFormat="1" x14ac:dyDescent="0.35">
      <c r="B601" s="209" t="s">
        <v>125</v>
      </c>
      <c r="C601" s="131">
        <v>79944.922322999962</v>
      </c>
      <c r="D601" s="131">
        <v>94920.740250000032</v>
      </c>
      <c r="E601" s="131">
        <v>123166.0722</v>
      </c>
      <c r="F601" s="131">
        <v>99901.469005999883</v>
      </c>
      <c r="G601" s="131">
        <v>83294.300699999789</v>
      </c>
      <c r="H601" s="131">
        <v>88370.628999999943</v>
      </c>
      <c r="I601" s="131">
        <v>93823.689000000042</v>
      </c>
      <c r="J601" s="131">
        <v>75495.999999999942</v>
      </c>
      <c r="K601" s="131">
        <v>97305.950999999841</v>
      </c>
      <c r="L601" s="131">
        <v>95255.922845000023</v>
      </c>
      <c r="M601" s="131">
        <v>111993.71900000008</v>
      </c>
      <c r="N601" s="131">
        <v>108276.46557799996</v>
      </c>
      <c r="O601" s="148">
        <v>1151749.8809019995</v>
      </c>
    </row>
    <row r="602" spans="2:15" s="3" customFormat="1" x14ac:dyDescent="0.35">
      <c r="B602" s="209"/>
      <c r="C602" s="632">
        <v>0</v>
      </c>
      <c r="D602" s="632">
        <v>0</v>
      </c>
      <c r="E602" s="632">
        <v>0</v>
      </c>
      <c r="F602" s="632">
        <v>0</v>
      </c>
      <c r="G602" s="632">
        <v>0</v>
      </c>
      <c r="H602" s="632">
        <v>0</v>
      </c>
      <c r="I602" s="632">
        <v>0</v>
      </c>
      <c r="J602" s="632">
        <v>0</v>
      </c>
      <c r="K602" s="632">
        <v>0</v>
      </c>
      <c r="L602" s="632">
        <v>0</v>
      </c>
      <c r="M602" s="632">
        <v>0</v>
      </c>
      <c r="N602" s="632">
        <v>0</v>
      </c>
      <c r="O602" s="194"/>
    </row>
    <row r="603" spans="2:15" s="3" customFormat="1" x14ac:dyDescent="0.35">
      <c r="B603" s="149" t="s">
        <v>126</v>
      </c>
      <c r="C603" s="911">
        <v>262208.15399999998</v>
      </c>
      <c r="D603" s="912">
        <v>297652.53600000002</v>
      </c>
      <c r="E603" s="912">
        <v>310717.74700000003</v>
      </c>
      <c r="F603" s="912">
        <v>308062.59000000008</v>
      </c>
      <c r="G603" s="912">
        <v>249453.943</v>
      </c>
      <c r="H603" s="912">
        <v>366478.35599999997</v>
      </c>
      <c r="I603" s="912">
        <v>276710.12799999997</v>
      </c>
      <c r="J603" s="912">
        <v>410875.712</v>
      </c>
      <c r="K603" s="912">
        <v>384781.65299999999</v>
      </c>
      <c r="L603" s="912">
        <v>321106.99600000004</v>
      </c>
      <c r="M603" s="912">
        <v>326982.74600000004</v>
      </c>
      <c r="N603" s="912">
        <v>439969.88400000002</v>
      </c>
      <c r="O603" s="154">
        <v>3955000.4449999998</v>
      </c>
    </row>
    <row r="604" spans="2:15" s="3" customFormat="1" x14ac:dyDescent="0.35">
      <c r="B604" s="149"/>
      <c r="C604" s="911"/>
      <c r="D604" s="912"/>
      <c r="E604" s="912"/>
      <c r="F604" s="912"/>
      <c r="G604" s="912"/>
      <c r="H604" s="912"/>
      <c r="I604" s="912"/>
      <c r="J604" s="912"/>
      <c r="K604" s="912"/>
      <c r="L604" s="912"/>
      <c r="M604" s="912"/>
      <c r="N604" s="912"/>
      <c r="O604" s="154"/>
    </row>
    <row r="605" spans="2:15" s="3" customFormat="1" x14ac:dyDescent="0.35">
      <c r="B605" s="695" t="s">
        <v>127</v>
      </c>
      <c r="C605" s="131">
        <v>184731.46899999998</v>
      </c>
      <c r="D605" s="131">
        <v>246716.36900000001</v>
      </c>
      <c r="E605" s="131">
        <v>249692.03100000002</v>
      </c>
      <c r="F605" s="131">
        <v>267252.10400000005</v>
      </c>
      <c r="G605" s="131">
        <v>192027.788</v>
      </c>
      <c r="H605" s="131">
        <v>313144.24099999998</v>
      </c>
      <c r="I605" s="131">
        <v>187753.12699999998</v>
      </c>
      <c r="J605" s="131">
        <v>305317.39399999997</v>
      </c>
      <c r="K605" s="131">
        <v>306662.95500000002</v>
      </c>
      <c r="L605" s="131">
        <v>192004.32</v>
      </c>
      <c r="M605" s="131">
        <v>189175.40600000002</v>
      </c>
      <c r="N605" s="131">
        <v>335404.64</v>
      </c>
      <c r="O605" s="146">
        <v>2969881.8439999996</v>
      </c>
    </row>
    <row r="606" spans="2:15" s="3" customFormat="1" x14ac:dyDescent="0.35">
      <c r="B606" s="696" t="s">
        <v>128</v>
      </c>
      <c r="C606" s="915">
        <v>184731.46899999998</v>
      </c>
      <c r="D606" s="915">
        <v>246716.36900000001</v>
      </c>
      <c r="E606" s="915">
        <v>249692.03100000002</v>
      </c>
      <c r="F606" s="915">
        <v>267252.10400000005</v>
      </c>
      <c r="G606" s="915">
        <v>192027.788</v>
      </c>
      <c r="H606" s="915">
        <v>313144.24099999998</v>
      </c>
      <c r="I606" s="915">
        <v>187753.12699999998</v>
      </c>
      <c r="J606" s="915">
        <v>305317.39399999997</v>
      </c>
      <c r="K606" s="915">
        <v>306662.95500000002</v>
      </c>
      <c r="L606" s="915">
        <v>192004.32</v>
      </c>
      <c r="M606" s="915">
        <v>189175.40600000002</v>
      </c>
      <c r="N606" s="916">
        <v>335404.64</v>
      </c>
      <c r="O606" s="146">
        <v>2969881.8439999996</v>
      </c>
    </row>
    <row r="607" spans="2:15" s="3" customFormat="1" x14ac:dyDescent="0.35">
      <c r="B607" s="208" t="s">
        <v>122</v>
      </c>
      <c r="C607" s="131">
        <v>5116.6239999999998</v>
      </c>
      <c r="D607" s="131">
        <v>0</v>
      </c>
      <c r="E607" s="131">
        <v>0</v>
      </c>
      <c r="F607" s="131">
        <v>0</v>
      </c>
      <c r="G607" s="131">
        <v>0</v>
      </c>
      <c r="H607" s="131">
        <v>0</v>
      </c>
      <c r="I607" s="131">
        <v>0</v>
      </c>
      <c r="J607" s="131">
        <v>0</v>
      </c>
      <c r="K607" s="131">
        <v>0</v>
      </c>
      <c r="L607" s="131">
        <v>0</v>
      </c>
      <c r="M607" s="131">
        <v>0</v>
      </c>
      <c r="N607" s="131">
        <v>0</v>
      </c>
      <c r="O607" s="148">
        <v>5116.6239999999998</v>
      </c>
    </row>
    <row r="608" spans="2:15" s="3" customFormat="1" x14ac:dyDescent="0.35">
      <c r="B608" s="208" t="s">
        <v>123</v>
      </c>
      <c r="C608" s="913">
        <v>72360.061000000002</v>
      </c>
      <c r="D608" s="914">
        <v>50936.166999999994</v>
      </c>
      <c r="E608" s="914">
        <v>61025.715999999993</v>
      </c>
      <c r="F608" s="914">
        <v>40810.486000000004</v>
      </c>
      <c r="G608" s="914">
        <v>57426.154999999999</v>
      </c>
      <c r="H608" s="914">
        <v>53334.115000000005</v>
      </c>
      <c r="I608" s="914">
        <v>88957.001000000004</v>
      </c>
      <c r="J608" s="914">
        <v>105558.31800000001</v>
      </c>
      <c r="K608" s="914">
        <v>78118.697999999989</v>
      </c>
      <c r="L608" s="914">
        <v>129102.67600000001</v>
      </c>
      <c r="M608" s="914">
        <v>137807.34</v>
      </c>
      <c r="N608" s="914">
        <v>104565.24399999999</v>
      </c>
      <c r="O608" s="148">
        <v>980001.97699999984</v>
      </c>
    </row>
    <row r="609" spans="2:15" s="3" customFormat="1" x14ac:dyDescent="0.35">
      <c r="B609" s="209" t="s">
        <v>124</v>
      </c>
      <c r="C609" s="131">
        <v>57875.771999999997</v>
      </c>
      <c r="D609" s="131">
        <v>40428.869999999995</v>
      </c>
      <c r="E609" s="131">
        <v>52391.115999999995</v>
      </c>
      <c r="F609" s="131">
        <v>30388.47</v>
      </c>
      <c r="G609" s="131">
        <v>50393.368999999999</v>
      </c>
      <c r="H609" s="131">
        <v>40527.348000000005</v>
      </c>
      <c r="I609" s="131">
        <v>80272.024000000005</v>
      </c>
      <c r="J609" s="131">
        <v>96073.544000000009</v>
      </c>
      <c r="K609" s="131">
        <v>73881.52399999999</v>
      </c>
      <c r="L609" s="131">
        <v>129085.796</v>
      </c>
      <c r="M609" s="131">
        <v>116054.413</v>
      </c>
      <c r="N609" s="131">
        <v>100095.44499999999</v>
      </c>
      <c r="O609" s="148">
        <v>867467.69099999999</v>
      </c>
    </row>
    <row r="610" spans="2:15" s="3" customFormat="1" x14ac:dyDescent="0.35">
      <c r="B610" s="209" t="s">
        <v>125</v>
      </c>
      <c r="C610" s="131">
        <v>14484.288999999999</v>
      </c>
      <c r="D610" s="131">
        <v>10507.297</v>
      </c>
      <c r="E610" s="131">
        <v>8634.6</v>
      </c>
      <c r="F610" s="131">
        <v>10422.016</v>
      </c>
      <c r="G610" s="131">
        <v>7032.7860000000001</v>
      </c>
      <c r="H610" s="131">
        <v>12806.767</v>
      </c>
      <c r="I610" s="131">
        <v>8684.976999999999</v>
      </c>
      <c r="J610" s="131">
        <v>9484.7740000000013</v>
      </c>
      <c r="K610" s="131">
        <v>4237.174</v>
      </c>
      <c r="L610" s="131">
        <v>16.88</v>
      </c>
      <c r="M610" s="131">
        <v>21752.927000000003</v>
      </c>
      <c r="N610" s="131">
        <v>4469.799</v>
      </c>
      <c r="O610" s="148">
        <v>112534.28600000002</v>
      </c>
    </row>
    <row r="611" spans="2:15" s="3" customFormat="1" x14ac:dyDescent="0.35">
      <c r="B611" s="211"/>
      <c r="C611" s="917"/>
      <c r="D611" s="916"/>
      <c r="E611" s="916"/>
      <c r="F611" s="916"/>
      <c r="G611" s="916"/>
      <c r="H611" s="916"/>
      <c r="I611" s="916"/>
      <c r="J611" s="916"/>
      <c r="K611" s="916"/>
      <c r="L611" s="916"/>
      <c r="M611" s="916"/>
      <c r="N611" s="916"/>
      <c r="O611" s="146"/>
    </row>
    <row r="612" spans="2:15" s="3" customFormat="1" x14ac:dyDescent="0.35">
      <c r="B612" s="431" t="s">
        <v>36</v>
      </c>
      <c r="C612" s="641">
        <v>989187.69632299989</v>
      </c>
      <c r="D612" s="641">
        <v>758511.37624999997</v>
      </c>
      <c r="E612" s="641">
        <v>915160.21120000002</v>
      </c>
      <c r="F612" s="641">
        <v>853163.80900599994</v>
      </c>
      <c r="G612" s="641">
        <v>879849.3796999997</v>
      </c>
      <c r="H612" s="641">
        <v>876832.91599999997</v>
      </c>
      <c r="I612" s="641">
        <v>1016953.385</v>
      </c>
      <c r="J612" s="641">
        <v>1052462.389</v>
      </c>
      <c r="K612" s="641">
        <v>1059584.6049999997</v>
      </c>
      <c r="L612" s="641">
        <v>821461.43184500013</v>
      </c>
      <c r="M612" s="641">
        <v>937973.91000000015</v>
      </c>
      <c r="N612" s="641">
        <v>1201150.7485779999</v>
      </c>
      <c r="O612" s="638">
        <v>11362291.857902002</v>
      </c>
    </row>
    <row r="613" spans="2:15" s="3" customFormat="1" ht="15.75" customHeight="1" x14ac:dyDescent="0.35">
      <c r="B613" s="214"/>
      <c r="C613" s="918"/>
      <c r="D613" s="919"/>
      <c r="E613" s="919"/>
      <c r="F613" s="919"/>
      <c r="G613" s="919"/>
      <c r="H613" s="919"/>
      <c r="I613" s="919"/>
      <c r="J613" s="919"/>
      <c r="K613" s="919"/>
      <c r="L613" s="919"/>
      <c r="M613" s="919"/>
      <c r="N613" s="919"/>
      <c r="O613" s="920"/>
    </row>
    <row r="614" spans="2:15" s="3" customFormat="1" ht="15" customHeight="1" x14ac:dyDescent="0.35">
      <c r="B614" s="921" t="s">
        <v>127</v>
      </c>
      <c r="C614" s="913">
        <v>600088.30000000005</v>
      </c>
      <c r="D614" s="914">
        <v>391495.64399999997</v>
      </c>
      <c r="E614" s="914">
        <v>390762.12</v>
      </c>
      <c r="F614" s="914">
        <v>517976.10900000005</v>
      </c>
      <c r="G614" s="914">
        <v>450480.91599999997</v>
      </c>
      <c r="H614" s="914">
        <v>548242.77300000004</v>
      </c>
      <c r="I614" s="914">
        <v>571669.09899999993</v>
      </c>
      <c r="J614" s="914">
        <v>566642.54499999993</v>
      </c>
      <c r="K614" s="914">
        <v>547646.755</v>
      </c>
      <c r="L614" s="914">
        <v>405588.48600000003</v>
      </c>
      <c r="M614" s="914">
        <v>468917.85000000003</v>
      </c>
      <c r="N614" s="914">
        <v>705339.42800000007</v>
      </c>
      <c r="O614" s="148">
        <v>6164850.0249999994</v>
      </c>
    </row>
    <row r="615" spans="2:15" s="3" customFormat="1" x14ac:dyDescent="0.35">
      <c r="B615" s="696" t="s">
        <v>128</v>
      </c>
      <c r="C615" s="913">
        <v>184731.46899999998</v>
      </c>
      <c r="D615" s="914">
        <v>246716.36900000001</v>
      </c>
      <c r="E615" s="914">
        <v>249692.03100000002</v>
      </c>
      <c r="F615" s="914">
        <v>267252.10400000005</v>
      </c>
      <c r="G615" s="914">
        <v>192027.788</v>
      </c>
      <c r="H615" s="914">
        <v>313144.24099999998</v>
      </c>
      <c r="I615" s="914">
        <v>187753.12699999998</v>
      </c>
      <c r="J615" s="914">
        <v>305317.39399999997</v>
      </c>
      <c r="K615" s="914">
        <v>306662.95500000002</v>
      </c>
      <c r="L615" s="914">
        <v>192004.32</v>
      </c>
      <c r="M615" s="914">
        <v>189175.40600000002</v>
      </c>
      <c r="N615" s="914">
        <v>335404.64</v>
      </c>
      <c r="O615" s="148">
        <v>2969881.8439999996</v>
      </c>
    </row>
    <row r="616" spans="2:15" s="3" customFormat="1" x14ac:dyDescent="0.35">
      <c r="B616" s="208" t="s">
        <v>122</v>
      </c>
      <c r="C616" s="913">
        <v>236794.41300000003</v>
      </c>
      <c r="D616" s="914">
        <v>221158.82500000001</v>
      </c>
      <c r="E616" s="914">
        <v>340206.30300000001</v>
      </c>
      <c r="F616" s="914">
        <v>194422.625</v>
      </c>
      <c r="G616" s="914">
        <v>288608.18800000002</v>
      </c>
      <c r="H616" s="914">
        <v>186885.399</v>
      </c>
      <c r="I616" s="914">
        <v>262503.59600000002</v>
      </c>
      <c r="J616" s="914">
        <v>304765.52599999995</v>
      </c>
      <c r="K616" s="914">
        <v>336513.201</v>
      </c>
      <c r="L616" s="914">
        <v>191514.34700000001</v>
      </c>
      <c r="M616" s="914">
        <v>219255.00099999999</v>
      </c>
      <c r="N616" s="914">
        <v>282969.61099999998</v>
      </c>
      <c r="O616" s="148">
        <v>3065597.0350000001</v>
      </c>
    </row>
    <row r="617" spans="2:15" s="3" customFormat="1" x14ac:dyDescent="0.35">
      <c r="B617" s="208" t="s">
        <v>123</v>
      </c>
      <c r="C617" s="913">
        <v>152304.98332299996</v>
      </c>
      <c r="D617" s="913">
        <v>145856.90725000002</v>
      </c>
      <c r="E617" s="913">
        <v>184191.78819999998</v>
      </c>
      <c r="F617" s="913">
        <v>140765.07500599988</v>
      </c>
      <c r="G617" s="913">
        <v>140760.27569999979</v>
      </c>
      <c r="H617" s="913">
        <v>141704.74399999995</v>
      </c>
      <c r="I617" s="913">
        <v>182780.69000000006</v>
      </c>
      <c r="J617" s="913">
        <v>181054.31799999997</v>
      </c>
      <c r="K617" s="913">
        <v>175424.64899999983</v>
      </c>
      <c r="L617" s="913">
        <v>224358.59884500003</v>
      </c>
      <c r="M617" s="913">
        <v>249801.05900000007</v>
      </c>
      <c r="N617" s="913">
        <v>212841.70957799995</v>
      </c>
      <c r="O617" s="148">
        <v>2131844.7979019992</v>
      </c>
    </row>
    <row r="618" spans="2:15" s="3" customFormat="1" x14ac:dyDescent="0.35">
      <c r="B618" s="209" t="s">
        <v>124</v>
      </c>
      <c r="C618" s="922">
        <v>57875.771999999997</v>
      </c>
      <c r="D618" s="923">
        <v>40428.869999999995</v>
      </c>
      <c r="E618" s="923">
        <v>52391.115999999995</v>
      </c>
      <c r="F618" s="914">
        <v>30441.59</v>
      </c>
      <c r="G618" s="923">
        <v>50433.188999999998</v>
      </c>
      <c r="H618" s="923">
        <v>40527.348000000005</v>
      </c>
      <c r="I618" s="923">
        <v>80272.024000000005</v>
      </c>
      <c r="J618" s="923">
        <v>96073.544000000009</v>
      </c>
      <c r="K618" s="923">
        <v>73881.52399999999</v>
      </c>
      <c r="L618" s="923">
        <v>129085.796</v>
      </c>
      <c r="M618" s="923">
        <v>116054.413</v>
      </c>
      <c r="N618" s="923">
        <v>100095.44499999999</v>
      </c>
      <c r="O618" s="422">
        <v>867560.63099999994</v>
      </c>
    </row>
    <row r="619" spans="2:15" s="3" customFormat="1" x14ac:dyDescent="0.35">
      <c r="B619" s="195" t="s">
        <v>125</v>
      </c>
      <c r="C619" s="501">
        <v>94429.211322999967</v>
      </c>
      <c r="D619" s="629">
        <v>105428.03725000004</v>
      </c>
      <c r="E619" s="629">
        <v>131800.6722</v>
      </c>
      <c r="F619" s="630">
        <v>110323.48500599989</v>
      </c>
      <c r="G619" s="629">
        <v>90327.086699999782</v>
      </c>
      <c r="H619" s="629">
        <v>101177.39599999995</v>
      </c>
      <c r="I619" s="629">
        <v>102508.66600000004</v>
      </c>
      <c r="J619" s="629">
        <v>84980.773999999947</v>
      </c>
      <c r="K619" s="629">
        <v>101543.12499999984</v>
      </c>
      <c r="L619" s="629">
        <v>95272.802845000027</v>
      </c>
      <c r="M619" s="629">
        <v>133746.6460000001</v>
      </c>
      <c r="N619" s="629">
        <v>112746.26457799996</v>
      </c>
      <c r="O619" s="196">
        <v>1264284.1669019996</v>
      </c>
    </row>
    <row r="620" spans="2:15" s="3" customFormat="1" x14ac:dyDescent="0.35">
      <c r="B620" s="197"/>
      <c r="C620" s="198"/>
      <c r="D620" s="631"/>
      <c r="E620" s="631"/>
      <c r="F620" s="631"/>
      <c r="G620" s="631"/>
      <c r="H620" s="631"/>
      <c r="I620" s="631"/>
      <c r="J620" s="631"/>
      <c r="K620" s="631"/>
      <c r="L620" s="631"/>
      <c r="M620" s="631"/>
      <c r="N620" s="631"/>
      <c r="O620" s="199"/>
    </row>
    <row r="621" spans="2:15" s="3" customFormat="1" x14ac:dyDescent="0.35">
      <c r="B621" s="1069" t="s">
        <v>373</v>
      </c>
      <c r="C621" s="1069"/>
      <c r="D621" s="1069"/>
      <c r="E621" s="1069"/>
      <c r="F621" s="1069"/>
      <c r="G621" s="1069"/>
      <c r="H621" s="1069"/>
      <c r="I621" s="1069"/>
      <c r="J621" s="1069"/>
      <c r="K621" s="555">
        <v>2025</v>
      </c>
      <c r="L621" s="125"/>
      <c r="M621" s="125"/>
      <c r="N621" s="125"/>
      <c r="O621" s="125"/>
    </row>
    <row r="622" spans="2:15" s="3" customFormat="1" x14ac:dyDescent="0.35">
      <c r="B622" s="190"/>
      <c r="C622" s="200"/>
      <c r="D622" s="200"/>
      <c r="E622" s="200"/>
      <c r="F622" s="200"/>
      <c r="G622" s="200"/>
      <c r="H622" s="200"/>
      <c r="I622" s="200"/>
      <c r="J622" s="200"/>
      <c r="K622" s="200"/>
      <c r="L622" s="200"/>
      <c r="M622" s="200"/>
      <c r="N622" s="200"/>
      <c r="O622" s="192"/>
    </row>
    <row r="623" spans="2:15" s="3" customFormat="1" ht="15" customHeight="1" x14ac:dyDescent="0.35">
      <c r="B623" s="1074" t="s">
        <v>13</v>
      </c>
      <c r="C623" s="1070" t="s">
        <v>0</v>
      </c>
      <c r="D623" s="1070" t="s">
        <v>1</v>
      </c>
      <c r="E623" s="1070" t="s">
        <v>2</v>
      </c>
      <c r="F623" s="1070" t="s">
        <v>3</v>
      </c>
      <c r="G623" s="1070" t="s">
        <v>4</v>
      </c>
      <c r="H623" s="1070" t="s">
        <v>5</v>
      </c>
      <c r="I623" s="1070" t="s">
        <v>6</v>
      </c>
      <c r="J623" s="1070" t="s">
        <v>7</v>
      </c>
      <c r="K623" s="1070" t="s">
        <v>8</v>
      </c>
      <c r="L623" s="1070" t="s">
        <v>9</v>
      </c>
      <c r="M623" s="1070" t="s">
        <v>10</v>
      </c>
      <c r="N623" s="1070" t="s">
        <v>14</v>
      </c>
      <c r="O623" s="1074" t="s">
        <v>15</v>
      </c>
    </row>
    <row r="624" spans="2:15" s="3" customFormat="1" ht="15" customHeight="1" x14ac:dyDescent="0.35">
      <c r="B624" s="1080"/>
      <c r="C624" s="1071"/>
      <c r="D624" s="1071"/>
      <c r="E624" s="1071"/>
      <c r="F624" s="1071"/>
      <c r="G624" s="1071"/>
      <c r="H624" s="1071"/>
      <c r="I624" s="1071"/>
      <c r="J624" s="1071"/>
      <c r="K624" s="1071"/>
      <c r="L624" s="1071"/>
      <c r="M624" s="1078"/>
      <c r="N624" s="1078"/>
      <c r="O624" s="1079"/>
    </row>
    <row r="625" spans="2:15" s="3" customFormat="1" x14ac:dyDescent="0.35">
      <c r="B625" s="201"/>
      <c r="C625" s="632">
        <v>0</v>
      </c>
      <c r="D625" s="632">
        <v>0</v>
      </c>
      <c r="E625" s="632">
        <v>0</v>
      </c>
      <c r="F625" s="632">
        <v>0</v>
      </c>
      <c r="G625" s="632">
        <v>2.3283064365386963E-9</v>
      </c>
      <c r="H625" s="632">
        <v>0</v>
      </c>
      <c r="I625" s="632">
        <v>0</v>
      </c>
      <c r="J625" s="632">
        <v>0</v>
      </c>
      <c r="K625" s="632">
        <v>0</v>
      </c>
      <c r="L625" s="632">
        <v>0</v>
      </c>
      <c r="M625" s="632">
        <v>0</v>
      </c>
      <c r="N625" s="632">
        <v>-1.5133991837501526E-9</v>
      </c>
      <c r="O625" s="202"/>
    </row>
    <row r="626" spans="2:15" s="3" customFormat="1" x14ac:dyDescent="0.35">
      <c r="B626" s="791" t="s">
        <v>120</v>
      </c>
      <c r="C626" s="203">
        <v>726979.54232299991</v>
      </c>
      <c r="D626" s="203">
        <v>460858.84024999978</v>
      </c>
      <c r="E626" s="203">
        <v>604442.46419999935</v>
      </c>
      <c r="F626" s="203">
        <v>545101.2190059995</v>
      </c>
      <c r="G626" s="203">
        <v>630395.43670000206</v>
      </c>
      <c r="H626" s="203">
        <v>510354.56000000011</v>
      </c>
      <c r="I626" s="203">
        <v>740243.2570000008</v>
      </c>
      <c r="J626" s="203">
        <v>641586.67699999991</v>
      </c>
      <c r="K626" s="203">
        <v>674802.95200000016</v>
      </c>
      <c r="L626" s="203">
        <v>500354.4358449998</v>
      </c>
      <c r="M626" s="203">
        <v>610991.16399999964</v>
      </c>
      <c r="N626" s="203">
        <v>761180.86457799841</v>
      </c>
      <c r="O626" s="204">
        <v>7407291.4129020004</v>
      </c>
    </row>
    <row r="627" spans="2:15" s="3" customFormat="1" x14ac:dyDescent="0.35">
      <c r="B627" s="792"/>
      <c r="C627" s="205"/>
      <c r="D627" s="633"/>
      <c r="E627" s="633"/>
      <c r="F627" s="633"/>
      <c r="G627" s="633"/>
      <c r="H627" s="633"/>
      <c r="I627" s="633"/>
      <c r="J627" s="633"/>
      <c r="K627" s="633"/>
      <c r="L627" s="633"/>
      <c r="M627" s="633"/>
      <c r="N627" s="633"/>
      <c r="O627" s="204"/>
    </row>
    <row r="628" spans="2:15" s="3" customFormat="1" x14ac:dyDescent="0.35">
      <c r="B628" s="793" t="s">
        <v>129</v>
      </c>
      <c r="C628" s="131">
        <v>725257.18232299993</v>
      </c>
      <c r="D628" s="131">
        <v>459547.56499999977</v>
      </c>
      <c r="E628" s="131">
        <v>602386.40219999931</v>
      </c>
      <c r="F628" s="131">
        <v>543619.75022599951</v>
      </c>
      <c r="G628" s="131">
        <v>628630.48870000208</v>
      </c>
      <c r="H628" s="131">
        <v>508945.25100000011</v>
      </c>
      <c r="I628" s="131">
        <v>737710.33700000076</v>
      </c>
      <c r="J628" s="131">
        <v>640331.40699999989</v>
      </c>
      <c r="K628" s="131">
        <v>672606.91400000022</v>
      </c>
      <c r="L628" s="131">
        <v>498804.49884499982</v>
      </c>
      <c r="M628" s="131">
        <v>609940.51099999959</v>
      </c>
      <c r="N628" s="131">
        <v>759094.18157799845</v>
      </c>
      <c r="O628" s="206">
        <v>7386874.4888719991</v>
      </c>
    </row>
    <row r="629" spans="2:15" s="3" customFormat="1" x14ac:dyDescent="0.35">
      <c r="B629" s="793" t="s">
        <v>130</v>
      </c>
      <c r="C629" s="634">
        <v>1722.36</v>
      </c>
      <c r="D629" s="634">
        <v>1311.2752500000001</v>
      </c>
      <c r="E629" s="634">
        <v>2056.0619999999994</v>
      </c>
      <c r="F629" s="634">
        <v>1481.4687800000002</v>
      </c>
      <c r="G629" s="634">
        <v>1764.9480000000001</v>
      </c>
      <c r="H629" s="634">
        <v>1409.3090000000002</v>
      </c>
      <c r="I629" s="634">
        <v>2532.9199999999996</v>
      </c>
      <c r="J629" s="634">
        <v>1255.2700000000004</v>
      </c>
      <c r="K629" s="634">
        <v>2196.0379999999996</v>
      </c>
      <c r="L629" s="634">
        <v>1549.9370000000001</v>
      </c>
      <c r="M629" s="634">
        <v>1050.6529999999998</v>
      </c>
      <c r="N629" s="634">
        <v>2086.683</v>
      </c>
      <c r="O629" s="206">
        <v>20416.924029999998</v>
      </c>
    </row>
    <row r="630" spans="2:15" s="3" customFormat="1" x14ac:dyDescent="0.35">
      <c r="B630" s="794" t="s">
        <v>131</v>
      </c>
      <c r="C630" s="131">
        <v>1256.8599999999999</v>
      </c>
      <c r="D630" s="131">
        <v>1035.7512500000003</v>
      </c>
      <c r="E630" s="131">
        <v>1999.4299999999996</v>
      </c>
      <c r="F630" s="131">
        <v>1194.88678</v>
      </c>
      <c r="G630" s="131">
        <v>1688.91</v>
      </c>
      <c r="H630" s="131">
        <v>829.56100000000026</v>
      </c>
      <c r="I630" s="131">
        <v>1782.07</v>
      </c>
      <c r="J630" s="131">
        <v>1045.2960000000003</v>
      </c>
      <c r="K630" s="131">
        <v>1431.4279999999992</v>
      </c>
      <c r="L630" s="131">
        <v>1204.6000000000001</v>
      </c>
      <c r="M630" s="131">
        <v>602.84399999999982</v>
      </c>
      <c r="N630" s="131">
        <v>1375.0640000000001</v>
      </c>
      <c r="O630" s="206">
        <v>15446.70103</v>
      </c>
    </row>
    <row r="631" spans="2:15" s="3" customFormat="1" x14ac:dyDescent="0.35">
      <c r="B631" s="794" t="s">
        <v>132</v>
      </c>
      <c r="C631" s="131">
        <v>465.5</v>
      </c>
      <c r="D631" s="131">
        <v>275.524</v>
      </c>
      <c r="E631" s="131">
        <v>56.632000000000005</v>
      </c>
      <c r="F631" s="131">
        <v>286.58199999999999</v>
      </c>
      <c r="G631" s="131">
        <v>76.037999999999997</v>
      </c>
      <c r="H631" s="131">
        <v>551.74799999999993</v>
      </c>
      <c r="I631" s="131">
        <v>723.12099999999998</v>
      </c>
      <c r="J631" s="131">
        <v>182.005</v>
      </c>
      <c r="K631" s="131">
        <v>764.61000000000013</v>
      </c>
      <c r="L631" s="131">
        <v>345.33700000000005</v>
      </c>
      <c r="M631" s="131">
        <v>447.80900000000008</v>
      </c>
      <c r="N631" s="131">
        <v>711.6189999999998</v>
      </c>
      <c r="O631" s="206">
        <v>4886.5249999999996</v>
      </c>
    </row>
    <row r="632" spans="2:15" s="3" customFormat="1" x14ac:dyDescent="0.35">
      <c r="B632" s="794" t="s">
        <v>133</v>
      </c>
      <c r="C632" s="131">
        <v>0</v>
      </c>
      <c r="D632" s="131">
        <v>0</v>
      </c>
      <c r="E632" s="131">
        <v>0</v>
      </c>
      <c r="F632" s="131">
        <v>0</v>
      </c>
      <c r="G632" s="131">
        <v>0</v>
      </c>
      <c r="H632" s="131">
        <v>0</v>
      </c>
      <c r="I632" s="131">
        <v>0</v>
      </c>
      <c r="J632" s="131">
        <v>0</v>
      </c>
      <c r="K632" s="131">
        <v>0</v>
      </c>
      <c r="L632" s="131">
        <v>0</v>
      </c>
      <c r="M632" s="131">
        <v>0</v>
      </c>
      <c r="N632" s="131">
        <v>0</v>
      </c>
      <c r="O632" s="206">
        <v>0</v>
      </c>
    </row>
    <row r="633" spans="2:15" s="3" customFormat="1" x14ac:dyDescent="0.35">
      <c r="B633" s="794" t="s">
        <v>134</v>
      </c>
      <c r="C633" s="131">
        <v>0</v>
      </c>
      <c r="D633" s="131">
        <v>0</v>
      </c>
      <c r="E633" s="131">
        <v>0</v>
      </c>
      <c r="F633" s="131">
        <v>0</v>
      </c>
      <c r="G633" s="131">
        <v>0</v>
      </c>
      <c r="H633" s="131">
        <v>28</v>
      </c>
      <c r="I633" s="131">
        <v>27.728999999999999</v>
      </c>
      <c r="J633" s="131">
        <v>27.969000000000001</v>
      </c>
      <c r="K633" s="131">
        <v>0</v>
      </c>
      <c r="L633" s="131">
        <v>0</v>
      </c>
      <c r="M633" s="131">
        <v>0</v>
      </c>
      <c r="N633" s="131">
        <v>0</v>
      </c>
      <c r="O633" s="206">
        <v>83.698000000000008</v>
      </c>
    </row>
    <row r="634" spans="2:15" s="3" customFormat="1" x14ac:dyDescent="0.35">
      <c r="B634" s="795"/>
      <c r="C634" s="632">
        <v>0</v>
      </c>
      <c r="D634" s="632">
        <v>0</v>
      </c>
      <c r="E634" s="632">
        <v>0</v>
      </c>
      <c r="F634" s="632">
        <v>0</v>
      </c>
      <c r="G634" s="632">
        <v>0</v>
      </c>
      <c r="H634" s="632">
        <v>0</v>
      </c>
      <c r="I634" s="632">
        <v>0</v>
      </c>
      <c r="J634" s="632">
        <v>0</v>
      </c>
      <c r="K634" s="632">
        <v>0</v>
      </c>
      <c r="L634" s="632">
        <v>0</v>
      </c>
      <c r="M634" s="632">
        <v>0</v>
      </c>
      <c r="N634" s="632">
        <v>0</v>
      </c>
      <c r="O634" s="635"/>
    </row>
    <row r="635" spans="2:15" s="3" customFormat="1" x14ac:dyDescent="0.35">
      <c r="B635" s="791" t="s">
        <v>135</v>
      </c>
      <c r="C635" s="203">
        <v>262208.15399999998</v>
      </c>
      <c r="D635" s="203">
        <v>297652.53600000002</v>
      </c>
      <c r="E635" s="203">
        <v>310717.74699999997</v>
      </c>
      <c r="F635" s="203">
        <v>308062.58999999997</v>
      </c>
      <c r="G635" s="203">
        <v>249453.943</v>
      </c>
      <c r="H635" s="203">
        <v>366478.35599999991</v>
      </c>
      <c r="I635" s="203">
        <v>276710.12799999997</v>
      </c>
      <c r="J635" s="203">
        <v>410875.712</v>
      </c>
      <c r="K635" s="203">
        <v>384781.65299999999</v>
      </c>
      <c r="L635" s="203">
        <v>321106.99599999998</v>
      </c>
      <c r="M635" s="203">
        <v>326982.74599999998</v>
      </c>
      <c r="N635" s="203">
        <v>439969.8839999999</v>
      </c>
      <c r="O635" s="204">
        <v>3955000.4449999994</v>
      </c>
    </row>
    <row r="636" spans="2:15" s="3" customFormat="1" x14ac:dyDescent="0.35">
      <c r="B636" s="792"/>
      <c r="C636" s="205"/>
      <c r="D636" s="633"/>
      <c r="E636" s="633"/>
      <c r="F636" s="633"/>
      <c r="G636" s="633"/>
      <c r="H636" s="633"/>
      <c r="I636" s="633"/>
      <c r="J636" s="633"/>
      <c r="K636" s="633"/>
      <c r="L636" s="633"/>
      <c r="M636" s="633"/>
      <c r="N636" s="633"/>
      <c r="O636" s="204"/>
    </row>
    <row r="637" spans="2:15" s="3" customFormat="1" x14ac:dyDescent="0.35">
      <c r="B637" s="793" t="s">
        <v>129</v>
      </c>
      <c r="C637" s="131">
        <v>262208.15399999998</v>
      </c>
      <c r="D637" s="131">
        <v>297652.53600000002</v>
      </c>
      <c r="E637" s="131">
        <v>310717.74699999997</v>
      </c>
      <c r="F637" s="131">
        <v>308062.58999999997</v>
      </c>
      <c r="G637" s="131">
        <v>249453.943</v>
      </c>
      <c r="H637" s="131">
        <v>366478.35599999991</v>
      </c>
      <c r="I637" s="131">
        <v>276710.12799999997</v>
      </c>
      <c r="J637" s="131">
        <v>410875.712</v>
      </c>
      <c r="K637" s="131">
        <v>384781.65299999999</v>
      </c>
      <c r="L637" s="131">
        <v>321106.99599999998</v>
      </c>
      <c r="M637" s="131">
        <v>326982.74599999998</v>
      </c>
      <c r="N637" s="131">
        <v>439969.8839999999</v>
      </c>
      <c r="O637" s="206">
        <v>3955000.4449999994</v>
      </c>
    </row>
    <row r="638" spans="2:15" s="3" customFormat="1" x14ac:dyDescent="0.35">
      <c r="B638" s="793" t="s">
        <v>130</v>
      </c>
      <c r="C638" s="634">
        <v>0</v>
      </c>
      <c r="D638" s="634">
        <v>0</v>
      </c>
      <c r="E638" s="634">
        <v>0</v>
      </c>
      <c r="F638" s="634">
        <v>0</v>
      </c>
      <c r="G638" s="634">
        <v>0</v>
      </c>
      <c r="H638" s="634">
        <v>0</v>
      </c>
      <c r="I638" s="634">
        <v>0</v>
      </c>
      <c r="J638" s="634">
        <v>0</v>
      </c>
      <c r="K638" s="634">
        <v>0</v>
      </c>
      <c r="L638" s="634">
        <v>0</v>
      </c>
      <c r="M638" s="634">
        <v>0</v>
      </c>
      <c r="N638" s="634">
        <v>0</v>
      </c>
      <c r="O638" s="206">
        <v>0</v>
      </c>
    </row>
    <row r="639" spans="2:15" s="3" customFormat="1" x14ac:dyDescent="0.35">
      <c r="B639" s="794" t="s">
        <v>131</v>
      </c>
      <c r="C639" s="131">
        <v>0</v>
      </c>
      <c r="D639" s="131">
        <v>0</v>
      </c>
      <c r="E639" s="131">
        <v>0</v>
      </c>
      <c r="F639" s="131">
        <v>0</v>
      </c>
      <c r="G639" s="131">
        <v>0</v>
      </c>
      <c r="H639" s="131">
        <v>0</v>
      </c>
      <c r="I639" s="131">
        <v>0</v>
      </c>
      <c r="J639" s="131">
        <v>0</v>
      </c>
      <c r="K639" s="131">
        <v>0</v>
      </c>
      <c r="L639" s="131">
        <v>0</v>
      </c>
      <c r="M639" s="131">
        <v>0</v>
      </c>
      <c r="N639" s="131">
        <v>0</v>
      </c>
      <c r="O639" s="206">
        <v>0</v>
      </c>
    </row>
    <row r="640" spans="2:15" s="3" customFormat="1" x14ac:dyDescent="0.35">
      <c r="B640" s="794" t="s">
        <v>132</v>
      </c>
      <c r="C640" s="131">
        <v>0</v>
      </c>
      <c r="D640" s="131">
        <v>0</v>
      </c>
      <c r="E640" s="131">
        <v>0</v>
      </c>
      <c r="F640" s="131">
        <v>0</v>
      </c>
      <c r="G640" s="131">
        <v>0</v>
      </c>
      <c r="H640" s="131">
        <v>0</v>
      </c>
      <c r="I640" s="131">
        <v>0</v>
      </c>
      <c r="J640" s="131">
        <v>0</v>
      </c>
      <c r="K640" s="131">
        <v>0</v>
      </c>
      <c r="L640" s="131">
        <v>0</v>
      </c>
      <c r="M640" s="131">
        <v>0</v>
      </c>
      <c r="N640" s="131">
        <v>0</v>
      </c>
      <c r="O640" s="206">
        <v>0</v>
      </c>
    </row>
    <row r="641" spans="2:15" s="3" customFormat="1" x14ac:dyDescent="0.35">
      <c r="B641" s="794" t="s">
        <v>133</v>
      </c>
      <c r="C641" s="131">
        <v>0</v>
      </c>
      <c r="D641" s="131">
        <v>0</v>
      </c>
      <c r="E641" s="131">
        <v>0</v>
      </c>
      <c r="F641" s="131">
        <v>0</v>
      </c>
      <c r="G641" s="131">
        <v>0</v>
      </c>
      <c r="H641" s="131">
        <v>0</v>
      </c>
      <c r="I641" s="131">
        <v>0</v>
      </c>
      <c r="J641" s="131">
        <v>0</v>
      </c>
      <c r="K641" s="131">
        <v>0</v>
      </c>
      <c r="L641" s="131">
        <v>0</v>
      </c>
      <c r="M641" s="131">
        <v>0</v>
      </c>
      <c r="N641" s="131">
        <v>0</v>
      </c>
      <c r="O641" s="206">
        <v>0</v>
      </c>
    </row>
    <row r="642" spans="2:15" s="3" customFormat="1" x14ac:dyDescent="0.35">
      <c r="B642" s="794" t="s">
        <v>134</v>
      </c>
      <c r="C642" s="131">
        <v>0</v>
      </c>
      <c r="D642" s="131">
        <v>0</v>
      </c>
      <c r="E642" s="131">
        <v>0</v>
      </c>
      <c r="F642" s="131">
        <v>0</v>
      </c>
      <c r="G642" s="131">
        <v>0</v>
      </c>
      <c r="H642" s="131">
        <v>0</v>
      </c>
      <c r="I642" s="131">
        <v>0</v>
      </c>
      <c r="J642" s="131">
        <v>0</v>
      </c>
      <c r="K642" s="131">
        <v>0</v>
      </c>
      <c r="L642" s="131">
        <v>0</v>
      </c>
      <c r="M642" s="131">
        <v>0</v>
      </c>
      <c r="N642" s="131">
        <v>0</v>
      </c>
      <c r="O642" s="206">
        <v>0</v>
      </c>
    </row>
    <row r="643" spans="2:15" s="3" customFormat="1" x14ac:dyDescent="0.35">
      <c r="B643" s="795"/>
      <c r="C643" s="176"/>
      <c r="D643" s="636"/>
      <c r="E643" s="636"/>
      <c r="F643" s="636"/>
      <c r="G643" s="636"/>
      <c r="H643" s="636"/>
      <c r="I643" s="636"/>
      <c r="J643" s="636"/>
      <c r="K643" s="636"/>
      <c r="L643" s="636"/>
      <c r="M643" s="636"/>
      <c r="N643" s="636"/>
      <c r="O643" s="204"/>
    </row>
    <row r="644" spans="2:15" s="3" customFormat="1" x14ac:dyDescent="0.35">
      <c r="B644" s="431" t="s">
        <v>36</v>
      </c>
      <c r="C644" s="637">
        <v>989187.69632299989</v>
      </c>
      <c r="D644" s="637">
        <v>758511.37624999974</v>
      </c>
      <c r="E644" s="637">
        <v>915160.21119999932</v>
      </c>
      <c r="F644" s="637">
        <v>853163.80900599947</v>
      </c>
      <c r="G644" s="637">
        <v>879849.37970000203</v>
      </c>
      <c r="H644" s="637">
        <v>876832.91599999997</v>
      </c>
      <c r="I644" s="423">
        <v>1016953.3850000007</v>
      </c>
      <c r="J644" s="423">
        <v>1052462.389</v>
      </c>
      <c r="K644" s="423">
        <v>1059584.6050000002</v>
      </c>
      <c r="L644" s="423">
        <v>821461.43184499978</v>
      </c>
      <c r="M644" s="423">
        <v>937973.90999999968</v>
      </c>
      <c r="N644" s="423">
        <v>1201150.7485779983</v>
      </c>
      <c r="O644" s="638">
        <v>11362291.857902002</v>
      </c>
    </row>
    <row r="645" spans="2:15" s="3" customFormat="1" x14ac:dyDescent="0.35">
      <c r="B645" s="792"/>
      <c r="C645" s="205"/>
      <c r="D645" s="633"/>
      <c r="E645" s="633"/>
      <c r="F645" s="633"/>
      <c r="G645" s="633"/>
      <c r="H645" s="633"/>
      <c r="I645" s="633"/>
      <c r="J645" s="633"/>
      <c r="K645" s="633"/>
      <c r="L645" s="633"/>
      <c r="M645" s="633"/>
      <c r="N645" s="633"/>
      <c r="O645" s="206"/>
    </row>
    <row r="646" spans="2:15" s="3" customFormat="1" x14ac:dyDescent="0.35">
      <c r="B646" s="793" t="s">
        <v>129</v>
      </c>
      <c r="C646" s="634">
        <v>987465.33632299991</v>
      </c>
      <c r="D646" s="634">
        <v>757200.10099999979</v>
      </c>
      <c r="E646" s="634">
        <v>913104.14919999929</v>
      </c>
      <c r="F646" s="634">
        <v>851682.34022599948</v>
      </c>
      <c r="G646" s="634">
        <v>878084.43170000205</v>
      </c>
      <c r="H646" s="634">
        <v>875423.60700000008</v>
      </c>
      <c r="I646" s="634">
        <v>1014420.4650000008</v>
      </c>
      <c r="J646" s="634">
        <v>1051207.1189999999</v>
      </c>
      <c r="K646" s="634">
        <v>1057388.5670000003</v>
      </c>
      <c r="L646" s="634">
        <v>819911.49484499986</v>
      </c>
      <c r="M646" s="634">
        <v>936923.25699999952</v>
      </c>
      <c r="N646" s="634">
        <v>1199064.0655779983</v>
      </c>
      <c r="O646" s="206">
        <v>11341874.933871999</v>
      </c>
    </row>
    <row r="647" spans="2:15" s="3" customFormat="1" x14ac:dyDescent="0.35">
      <c r="B647" s="793" t="s">
        <v>130</v>
      </c>
      <c r="C647" s="639">
        <v>1722.36</v>
      </c>
      <c r="D647" s="639">
        <v>1311.2752500000001</v>
      </c>
      <c r="E647" s="639">
        <v>2056.0619999999994</v>
      </c>
      <c r="F647" s="639">
        <v>1481.4687800000002</v>
      </c>
      <c r="G647" s="639">
        <v>1764.9480000000001</v>
      </c>
      <c r="H647" s="639">
        <v>1409.3090000000002</v>
      </c>
      <c r="I647" s="639">
        <v>2532.9199999999996</v>
      </c>
      <c r="J647" s="639">
        <v>1255.2700000000004</v>
      </c>
      <c r="K647" s="639">
        <v>2196.0379999999996</v>
      </c>
      <c r="L647" s="639">
        <v>1549.9370000000001</v>
      </c>
      <c r="M647" s="639">
        <v>1050.6529999999998</v>
      </c>
      <c r="N647" s="639">
        <v>2086.683</v>
      </c>
      <c r="O647" s="206">
        <v>20416.924029999998</v>
      </c>
    </row>
    <row r="648" spans="2:15" s="3" customFormat="1" x14ac:dyDescent="0.35">
      <c r="B648" s="794" t="s">
        <v>131</v>
      </c>
      <c r="C648" s="424">
        <v>1256.8599999999999</v>
      </c>
      <c r="D648" s="424">
        <v>1035.7512500000003</v>
      </c>
      <c r="E648" s="424">
        <v>1999.4299999999996</v>
      </c>
      <c r="F648" s="424">
        <v>1194.88678</v>
      </c>
      <c r="G648" s="424">
        <v>1688.91</v>
      </c>
      <c r="H648" s="424">
        <v>829.56100000000026</v>
      </c>
      <c r="I648" s="424">
        <v>1782.07</v>
      </c>
      <c r="J648" s="424">
        <v>1045.2960000000003</v>
      </c>
      <c r="K648" s="424">
        <v>1431.4279999999992</v>
      </c>
      <c r="L648" s="424">
        <v>1204.6000000000001</v>
      </c>
      <c r="M648" s="424">
        <v>602.84399999999982</v>
      </c>
      <c r="N648" s="424">
        <v>1375.0640000000001</v>
      </c>
      <c r="O648" s="206">
        <v>15446.70103</v>
      </c>
    </row>
    <row r="649" spans="2:15" s="3" customFormat="1" x14ac:dyDescent="0.35">
      <c r="B649" s="794" t="s">
        <v>132</v>
      </c>
      <c r="C649" s="424">
        <v>465.5</v>
      </c>
      <c r="D649" s="424">
        <v>275.524</v>
      </c>
      <c r="E649" s="424">
        <v>56.632000000000005</v>
      </c>
      <c r="F649" s="424">
        <v>286.58199999999999</v>
      </c>
      <c r="G649" s="424">
        <v>76.037999999999997</v>
      </c>
      <c r="H649" s="424">
        <v>551.74799999999993</v>
      </c>
      <c r="I649" s="424">
        <v>723.12099999999998</v>
      </c>
      <c r="J649" s="424">
        <v>182.005</v>
      </c>
      <c r="K649" s="424">
        <v>764.61000000000013</v>
      </c>
      <c r="L649" s="424">
        <v>345.33700000000005</v>
      </c>
      <c r="M649" s="424">
        <v>447.80900000000008</v>
      </c>
      <c r="N649" s="424">
        <v>711.6189999999998</v>
      </c>
      <c r="O649" s="206">
        <v>4886.5249999999996</v>
      </c>
    </row>
    <row r="650" spans="2:15" s="3" customFormat="1" x14ac:dyDescent="0.35">
      <c r="B650" s="794" t="s">
        <v>133</v>
      </c>
      <c r="C650" s="424">
        <v>0</v>
      </c>
      <c r="D650" s="424">
        <v>0</v>
      </c>
      <c r="E650" s="424">
        <v>0</v>
      </c>
      <c r="F650" s="424">
        <v>0</v>
      </c>
      <c r="G650" s="424">
        <v>0</v>
      </c>
      <c r="H650" s="424">
        <v>0</v>
      </c>
      <c r="I650" s="424">
        <v>0</v>
      </c>
      <c r="J650" s="424">
        <v>0</v>
      </c>
      <c r="K650" s="424">
        <v>0</v>
      </c>
      <c r="L650" s="424">
        <v>0</v>
      </c>
      <c r="M650" s="424">
        <v>0</v>
      </c>
      <c r="N650" s="424">
        <v>0</v>
      </c>
      <c r="O650" s="206">
        <v>0</v>
      </c>
    </row>
    <row r="651" spans="2:15" s="3" customFormat="1" x14ac:dyDescent="0.35">
      <c r="B651" s="438" t="s">
        <v>134</v>
      </c>
      <c r="C651" s="4">
        <v>0</v>
      </c>
      <c r="D651" s="4">
        <v>0</v>
      </c>
      <c r="E651" s="4">
        <v>0</v>
      </c>
      <c r="F651" s="4">
        <v>0</v>
      </c>
      <c r="G651" s="4">
        <v>0</v>
      </c>
      <c r="H651" s="4">
        <v>28</v>
      </c>
      <c r="I651" s="4">
        <v>27.728999999999999</v>
      </c>
      <c r="J651" s="4">
        <v>27.969000000000001</v>
      </c>
      <c r="K651" s="4">
        <v>0</v>
      </c>
      <c r="L651" s="4">
        <v>0</v>
      </c>
      <c r="M651" s="4">
        <v>0</v>
      </c>
      <c r="N651" s="4">
        <v>0</v>
      </c>
      <c r="O651" s="207">
        <v>83.698000000000008</v>
      </c>
    </row>
    <row r="652" spans="2:15" s="3" customFormat="1" x14ac:dyDescent="0.35">
      <c r="B652" s="197"/>
      <c r="C652" s="198"/>
      <c r="D652" s="631"/>
      <c r="E652" s="631"/>
      <c r="F652" s="631"/>
      <c r="G652" s="631"/>
      <c r="H652" s="631"/>
      <c r="I652" s="631"/>
      <c r="J652" s="631"/>
      <c r="K652" s="631"/>
      <c r="L652" s="631"/>
      <c r="M652" s="631"/>
      <c r="N652" s="631"/>
      <c r="O652" s="199"/>
    </row>
    <row r="653" spans="2:15" s="3" customFormat="1" x14ac:dyDescent="0.35">
      <c r="B653" s="1069" t="s">
        <v>374</v>
      </c>
      <c r="C653" s="1069"/>
      <c r="D653" s="1069"/>
      <c r="E653" s="1069"/>
      <c r="F653" s="1069"/>
      <c r="G653" s="1069"/>
      <c r="H653" s="1069"/>
      <c r="I653" s="1069"/>
      <c r="J653" s="1069"/>
      <c r="K653" s="1069"/>
      <c r="L653" s="555">
        <v>2025</v>
      </c>
      <c r="M653" s="125"/>
      <c r="N653" s="125"/>
      <c r="O653" s="125"/>
    </row>
    <row r="654" spans="2:15" s="3" customFormat="1" x14ac:dyDescent="0.35">
      <c r="B654" s="190"/>
      <c r="C654" s="191"/>
      <c r="D654" s="191"/>
      <c r="E654" s="191"/>
      <c r="F654" s="191"/>
      <c r="G654" s="191"/>
      <c r="H654" s="191"/>
      <c r="I654" s="191"/>
      <c r="J654" s="191"/>
      <c r="K654" s="191"/>
      <c r="L654" s="191"/>
      <c r="M654" s="191"/>
      <c r="N654" s="191"/>
      <c r="O654" s="192"/>
    </row>
    <row r="655" spans="2:15" s="3" customFormat="1" ht="15" customHeight="1" x14ac:dyDescent="0.35">
      <c r="B655" s="1074" t="s">
        <v>13</v>
      </c>
      <c r="C655" s="1070" t="s">
        <v>0</v>
      </c>
      <c r="D655" s="1070" t="s">
        <v>1</v>
      </c>
      <c r="E655" s="1070" t="s">
        <v>2</v>
      </c>
      <c r="F655" s="1070" t="s">
        <v>3</v>
      </c>
      <c r="G655" s="1070" t="s">
        <v>4</v>
      </c>
      <c r="H655" s="1070" t="s">
        <v>5</v>
      </c>
      <c r="I655" s="1070" t="s">
        <v>6</v>
      </c>
      <c r="J655" s="1070" t="s">
        <v>7</v>
      </c>
      <c r="K655" s="1070" t="s">
        <v>8</v>
      </c>
      <c r="L655" s="1070" t="s">
        <v>9</v>
      </c>
      <c r="M655" s="1070" t="s">
        <v>10</v>
      </c>
      <c r="N655" s="1070" t="s">
        <v>14</v>
      </c>
      <c r="O655" s="1074" t="s">
        <v>15</v>
      </c>
    </row>
    <row r="656" spans="2:15" s="3" customFormat="1" ht="15" customHeight="1" x14ac:dyDescent="0.35">
      <c r="B656" s="1080"/>
      <c r="C656" s="1071"/>
      <c r="D656" s="1071"/>
      <c r="E656" s="1071"/>
      <c r="F656" s="1071"/>
      <c r="G656" s="1071"/>
      <c r="H656" s="1071"/>
      <c r="I656" s="1071"/>
      <c r="J656" s="1071"/>
      <c r="K656" s="1071"/>
      <c r="L656" s="1071"/>
      <c r="M656" s="1078"/>
      <c r="N656" s="1078"/>
      <c r="O656" s="1079"/>
    </row>
    <row r="657" spans="2:15" s="3" customFormat="1" x14ac:dyDescent="0.35">
      <c r="B657" s="193"/>
      <c r="C657" s="632">
        <v>0</v>
      </c>
      <c r="D657" s="632">
        <v>0</v>
      </c>
      <c r="E657" s="632">
        <v>0</v>
      </c>
      <c r="F657" s="632">
        <v>0</v>
      </c>
      <c r="G657" s="632">
        <v>-2.2118911147117615E-9</v>
      </c>
      <c r="H657" s="632">
        <v>0</v>
      </c>
      <c r="I657" s="632">
        <v>0</v>
      </c>
      <c r="J657" s="632">
        <v>0</v>
      </c>
      <c r="K657" s="632">
        <v>0</v>
      </c>
      <c r="L657" s="632">
        <v>0</v>
      </c>
      <c r="M657" s="632">
        <v>0</v>
      </c>
      <c r="N657" s="632">
        <v>1.5133991837501526E-9</v>
      </c>
      <c r="O657" s="193"/>
    </row>
    <row r="658" spans="2:15" s="3" customFormat="1" x14ac:dyDescent="0.35">
      <c r="B658" s="149" t="s">
        <v>120</v>
      </c>
      <c r="C658" s="184">
        <v>726979.54232299991</v>
      </c>
      <c r="D658" s="640">
        <v>460858.84025000001</v>
      </c>
      <c r="E658" s="640">
        <v>604442.46420000005</v>
      </c>
      <c r="F658" s="640">
        <v>545101.21900599997</v>
      </c>
      <c r="G658" s="640">
        <v>630395.43669999985</v>
      </c>
      <c r="H658" s="640">
        <v>510354.55999999994</v>
      </c>
      <c r="I658" s="640">
        <v>740243.2570000001</v>
      </c>
      <c r="J658" s="640">
        <v>641586.67699999991</v>
      </c>
      <c r="K658" s="640">
        <v>674802.95199999982</v>
      </c>
      <c r="L658" s="640">
        <v>500354.43584499991</v>
      </c>
      <c r="M658" s="640">
        <v>610991.16400000011</v>
      </c>
      <c r="N658" s="640">
        <v>761180.86457799992</v>
      </c>
      <c r="O658" s="154">
        <v>7407291.4129019994</v>
      </c>
    </row>
    <row r="659" spans="2:15" s="3" customFormat="1" x14ac:dyDescent="0.35">
      <c r="B659" s="149"/>
      <c r="C659" s="184"/>
      <c r="D659" s="640"/>
      <c r="E659" s="640"/>
      <c r="F659" s="640"/>
      <c r="G659" s="640"/>
      <c r="H659" s="640"/>
      <c r="I659" s="640"/>
      <c r="J659" s="640"/>
      <c r="K659" s="640"/>
      <c r="L659" s="640"/>
      <c r="M659" s="640"/>
      <c r="N659" s="640"/>
      <c r="O659" s="154"/>
    </row>
    <row r="660" spans="2:15" s="3" customFormat="1" x14ac:dyDescent="0.35">
      <c r="B660" s="149" t="s">
        <v>129</v>
      </c>
      <c r="C660" s="184">
        <v>725257.18232299993</v>
      </c>
      <c r="D660" s="640">
        <v>459547.565</v>
      </c>
      <c r="E660" s="640">
        <v>602386.40220000001</v>
      </c>
      <c r="F660" s="640">
        <v>543619.75022599997</v>
      </c>
      <c r="G660" s="640">
        <v>628630.48869999987</v>
      </c>
      <c r="H660" s="640">
        <v>508945.25099999993</v>
      </c>
      <c r="I660" s="640">
        <v>737710.33700000006</v>
      </c>
      <c r="J660" s="640">
        <v>640331.40699999989</v>
      </c>
      <c r="K660" s="640">
        <v>672606.91399999987</v>
      </c>
      <c r="L660" s="640">
        <v>498804.49884499994</v>
      </c>
      <c r="M660" s="640">
        <v>609940.51100000006</v>
      </c>
      <c r="N660" s="640">
        <v>759094.18157799996</v>
      </c>
      <c r="O660" s="154">
        <v>7386874.4888719991</v>
      </c>
    </row>
    <row r="661" spans="2:15" s="3" customFormat="1" x14ac:dyDescent="0.35">
      <c r="B661" s="208" t="s">
        <v>136</v>
      </c>
      <c r="C661" s="131">
        <v>415356.83100000001</v>
      </c>
      <c r="D661" s="131">
        <v>144779.27499999999</v>
      </c>
      <c r="E661" s="131">
        <v>141070.08900000001</v>
      </c>
      <c r="F661" s="131">
        <v>250724.005</v>
      </c>
      <c r="G661" s="131">
        <v>258453.128</v>
      </c>
      <c r="H661" s="131">
        <v>235098.53200000001</v>
      </c>
      <c r="I661" s="131">
        <v>383915.97199999995</v>
      </c>
      <c r="J661" s="131">
        <v>261325.15099999998</v>
      </c>
      <c r="K661" s="131">
        <v>240983.8</v>
      </c>
      <c r="L661" s="131">
        <v>213584.166</v>
      </c>
      <c r="M661" s="131">
        <v>279742.44400000002</v>
      </c>
      <c r="N661" s="131">
        <v>369934.788</v>
      </c>
      <c r="O661" s="148">
        <v>3194968.1810000003</v>
      </c>
    </row>
    <row r="662" spans="2:15" s="3" customFormat="1" x14ac:dyDescent="0.35">
      <c r="B662" s="208" t="s">
        <v>137</v>
      </c>
      <c r="C662" s="131">
        <v>231677.78899999999</v>
      </c>
      <c r="D662" s="131">
        <v>221158.82500000001</v>
      </c>
      <c r="E662" s="131">
        <v>340206.30300000001</v>
      </c>
      <c r="F662" s="131">
        <v>194422.625</v>
      </c>
      <c r="G662" s="131">
        <v>288608.18800000002</v>
      </c>
      <c r="H662" s="131">
        <v>186885.399</v>
      </c>
      <c r="I662" s="131">
        <v>262503.59600000002</v>
      </c>
      <c r="J662" s="131">
        <v>304765.52599999995</v>
      </c>
      <c r="K662" s="131">
        <v>336513.201</v>
      </c>
      <c r="L662" s="131">
        <v>191514.34700000001</v>
      </c>
      <c r="M662" s="131">
        <v>219255.00099999999</v>
      </c>
      <c r="N662" s="131">
        <v>282969.61099999998</v>
      </c>
      <c r="O662" s="148">
        <v>3060480.4110000003</v>
      </c>
    </row>
    <row r="663" spans="2:15" s="3" customFormat="1" x14ac:dyDescent="0.35">
      <c r="B663" s="208" t="s">
        <v>138</v>
      </c>
      <c r="C663" s="131">
        <v>78222.562322999962</v>
      </c>
      <c r="D663" s="131">
        <v>93609.465000000026</v>
      </c>
      <c r="E663" s="131">
        <v>121110.01020000002</v>
      </c>
      <c r="F663" s="131">
        <v>98473.120225999926</v>
      </c>
      <c r="G663" s="131">
        <v>81569.172699999821</v>
      </c>
      <c r="H663" s="131">
        <v>86961.31999999992</v>
      </c>
      <c r="I663" s="131">
        <v>91290.769000000044</v>
      </c>
      <c r="J663" s="131">
        <v>74240.729999999938</v>
      </c>
      <c r="K663" s="131">
        <v>95109.912999999899</v>
      </c>
      <c r="L663" s="131">
        <v>93705.98584499993</v>
      </c>
      <c r="M663" s="131">
        <v>110943.06600000008</v>
      </c>
      <c r="N663" s="131">
        <v>106189.78257800001</v>
      </c>
      <c r="O663" s="148">
        <v>1131425.8968719998</v>
      </c>
    </row>
    <row r="664" spans="2:15" s="3" customFormat="1" x14ac:dyDescent="0.35">
      <c r="B664" s="209"/>
      <c r="C664" s="210"/>
      <c r="D664" s="210"/>
      <c r="E664" s="210"/>
      <c r="F664" s="210"/>
      <c r="G664" s="210"/>
      <c r="H664" s="210"/>
      <c r="I664" s="210"/>
      <c r="J664" s="210"/>
      <c r="K664" s="210"/>
      <c r="L664" s="210"/>
      <c r="M664" s="210"/>
      <c r="N664" s="210"/>
      <c r="O664" s="148"/>
    </row>
    <row r="665" spans="2:15" s="3" customFormat="1" x14ac:dyDescent="0.35">
      <c r="B665" s="149" t="s">
        <v>130</v>
      </c>
      <c r="C665" s="184">
        <v>1722.36</v>
      </c>
      <c r="D665" s="640">
        <v>1311.2752500000001</v>
      </c>
      <c r="E665" s="640">
        <v>2056.0619999999994</v>
      </c>
      <c r="F665" s="640">
        <v>1481.4687800000006</v>
      </c>
      <c r="G665" s="640">
        <v>1764.9480000000003</v>
      </c>
      <c r="H665" s="640">
        <v>1409.3089999999997</v>
      </c>
      <c r="I665" s="640">
        <v>2532.9199999999996</v>
      </c>
      <c r="J665" s="640">
        <v>1255.27</v>
      </c>
      <c r="K665" s="640">
        <v>2196.0379999999986</v>
      </c>
      <c r="L665" s="640">
        <v>1549.9370000000004</v>
      </c>
      <c r="M665" s="640">
        <v>1050.6529999999998</v>
      </c>
      <c r="N665" s="640">
        <v>2086.683</v>
      </c>
      <c r="O665" s="154">
        <v>20416.924029999998</v>
      </c>
    </row>
    <row r="666" spans="2:15" s="3" customFormat="1" x14ac:dyDescent="0.35">
      <c r="B666" s="208" t="s">
        <v>136</v>
      </c>
      <c r="C666" s="131">
        <v>0</v>
      </c>
      <c r="D666" s="131">
        <v>0</v>
      </c>
      <c r="E666" s="131">
        <v>0</v>
      </c>
      <c r="F666" s="131">
        <v>0</v>
      </c>
      <c r="G666" s="131">
        <v>0</v>
      </c>
      <c r="H666" s="131">
        <v>0</v>
      </c>
      <c r="I666" s="131">
        <v>0</v>
      </c>
      <c r="J666" s="131">
        <v>0</v>
      </c>
      <c r="K666" s="131">
        <v>0</v>
      </c>
      <c r="L666" s="131">
        <v>0</v>
      </c>
      <c r="M666" s="131">
        <v>0</v>
      </c>
      <c r="N666" s="131">
        <v>0</v>
      </c>
      <c r="O666" s="148">
        <v>0</v>
      </c>
    </row>
    <row r="667" spans="2:15" s="3" customFormat="1" x14ac:dyDescent="0.35">
      <c r="B667" s="208" t="s">
        <v>137</v>
      </c>
      <c r="C667" s="131">
        <v>0</v>
      </c>
      <c r="D667" s="131">
        <v>0</v>
      </c>
      <c r="E667" s="131">
        <v>0</v>
      </c>
      <c r="F667" s="131">
        <v>0</v>
      </c>
      <c r="G667" s="131">
        <v>0</v>
      </c>
      <c r="H667" s="131">
        <v>0</v>
      </c>
      <c r="I667" s="131">
        <v>0</v>
      </c>
      <c r="J667" s="131">
        <v>0</v>
      </c>
      <c r="K667" s="131">
        <v>0</v>
      </c>
      <c r="L667" s="131">
        <v>0</v>
      </c>
      <c r="M667" s="131">
        <v>0</v>
      </c>
      <c r="N667" s="131">
        <v>0</v>
      </c>
      <c r="O667" s="148">
        <v>0</v>
      </c>
    </row>
    <row r="668" spans="2:15" s="3" customFormat="1" x14ac:dyDescent="0.35">
      <c r="B668" s="208" t="s">
        <v>138</v>
      </c>
      <c r="C668" s="131">
        <v>1722.36</v>
      </c>
      <c r="D668" s="131">
        <v>1311.2752500000001</v>
      </c>
      <c r="E668" s="131">
        <v>2056.0619999999994</v>
      </c>
      <c r="F668" s="131">
        <v>1481.4687800000006</v>
      </c>
      <c r="G668" s="131">
        <v>1764.9480000000003</v>
      </c>
      <c r="H668" s="131">
        <v>1409.3089999999997</v>
      </c>
      <c r="I668" s="131">
        <v>2532.9199999999996</v>
      </c>
      <c r="J668" s="131">
        <v>1255.27</v>
      </c>
      <c r="K668" s="131">
        <v>2196.0379999999986</v>
      </c>
      <c r="L668" s="131">
        <v>1549.9370000000004</v>
      </c>
      <c r="M668" s="131">
        <v>1050.6529999999998</v>
      </c>
      <c r="N668" s="131">
        <v>2086.683</v>
      </c>
      <c r="O668" s="148">
        <v>20416.924029999998</v>
      </c>
    </row>
    <row r="669" spans="2:15" s="3" customFormat="1" x14ac:dyDescent="0.35">
      <c r="B669" s="208"/>
      <c r="C669" s="632">
        <v>0</v>
      </c>
      <c r="D669" s="632">
        <v>0</v>
      </c>
      <c r="E669" s="632">
        <v>0</v>
      </c>
      <c r="F669" s="632">
        <v>0</v>
      </c>
      <c r="G669" s="632">
        <v>0</v>
      </c>
      <c r="H669" s="632">
        <v>0</v>
      </c>
      <c r="I669" s="632">
        <v>0</v>
      </c>
      <c r="J669" s="632">
        <v>0</v>
      </c>
      <c r="K669" s="632">
        <v>0</v>
      </c>
      <c r="L669" s="632">
        <v>0</v>
      </c>
      <c r="M669" s="632">
        <v>0</v>
      </c>
      <c r="N669" s="632">
        <v>0</v>
      </c>
      <c r="O669" s="148"/>
    </row>
    <row r="670" spans="2:15" s="3" customFormat="1" x14ac:dyDescent="0.35">
      <c r="B670" s="149" t="s">
        <v>126</v>
      </c>
      <c r="C670" s="184">
        <v>262208.15399999998</v>
      </c>
      <c r="D670" s="640">
        <v>297652.53600000002</v>
      </c>
      <c r="E670" s="640">
        <v>310717.74700000003</v>
      </c>
      <c r="F670" s="640">
        <v>308062.59000000008</v>
      </c>
      <c r="G670" s="640">
        <v>249453.943</v>
      </c>
      <c r="H670" s="640">
        <v>366478.35599999997</v>
      </c>
      <c r="I670" s="640">
        <v>276710.12799999997</v>
      </c>
      <c r="J670" s="640">
        <v>410875.712</v>
      </c>
      <c r="K670" s="640">
        <v>384781.65299999999</v>
      </c>
      <c r="L670" s="640">
        <v>321106.99600000004</v>
      </c>
      <c r="M670" s="640">
        <v>326982.74600000004</v>
      </c>
      <c r="N670" s="640">
        <v>439969.88400000002</v>
      </c>
      <c r="O670" s="154">
        <v>3955000.4449999998</v>
      </c>
    </row>
    <row r="671" spans="2:15" s="3" customFormat="1" x14ac:dyDescent="0.35">
      <c r="B671" s="149"/>
      <c r="C671" s="184"/>
      <c r="D671" s="640"/>
      <c r="E671" s="640"/>
      <c r="F671" s="640"/>
      <c r="G671" s="640"/>
      <c r="H671" s="640"/>
      <c r="I671" s="640"/>
      <c r="J671" s="640"/>
      <c r="K671" s="640"/>
      <c r="L671" s="640"/>
      <c r="M671" s="640"/>
      <c r="N671" s="640"/>
      <c r="O671" s="154"/>
    </row>
    <row r="672" spans="2:15" s="3" customFormat="1" x14ac:dyDescent="0.35">
      <c r="B672" s="149" t="s">
        <v>129</v>
      </c>
      <c r="C672" s="184">
        <v>262208.15399999998</v>
      </c>
      <c r="D672" s="640">
        <v>297652.53600000002</v>
      </c>
      <c r="E672" s="640">
        <v>310717.74700000003</v>
      </c>
      <c r="F672" s="640">
        <v>308062.59000000008</v>
      </c>
      <c r="G672" s="640">
        <v>249453.943</v>
      </c>
      <c r="H672" s="640">
        <v>366478.35599999997</v>
      </c>
      <c r="I672" s="640">
        <v>276710.12799999997</v>
      </c>
      <c r="J672" s="640">
        <v>410875.712</v>
      </c>
      <c r="K672" s="640">
        <v>384781.65299999999</v>
      </c>
      <c r="L672" s="640">
        <v>321106.99600000004</v>
      </c>
      <c r="M672" s="640">
        <v>326982.74600000004</v>
      </c>
      <c r="N672" s="640">
        <v>439969.88400000002</v>
      </c>
      <c r="O672" s="154">
        <v>3955000.4449999998</v>
      </c>
    </row>
    <row r="673" spans="2:22" s="3" customFormat="1" x14ac:dyDescent="0.35">
      <c r="B673" s="208" t="s">
        <v>136</v>
      </c>
      <c r="C673" s="131">
        <v>184731.46899999998</v>
      </c>
      <c r="D673" s="131">
        <v>246716.36900000001</v>
      </c>
      <c r="E673" s="131">
        <v>249692.03100000002</v>
      </c>
      <c r="F673" s="131">
        <v>267252.10400000005</v>
      </c>
      <c r="G673" s="131">
        <v>192027.788</v>
      </c>
      <c r="H673" s="131">
        <v>313144.24099999998</v>
      </c>
      <c r="I673" s="131">
        <v>187753.12699999998</v>
      </c>
      <c r="J673" s="131">
        <v>305317.39399999997</v>
      </c>
      <c r="K673" s="131">
        <v>306662.95500000002</v>
      </c>
      <c r="L673" s="131">
        <v>192004.32</v>
      </c>
      <c r="M673" s="131">
        <v>189175.40600000002</v>
      </c>
      <c r="N673" s="131">
        <v>335404.64</v>
      </c>
      <c r="O673" s="148">
        <v>2969881.8439999996</v>
      </c>
    </row>
    <row r="674" spans="2:22" s="3" customFormat="1" x14ac:dyDescent="0.35">
      <c r="B674" s="208" t="s">
        <v>137</v>
      </c>
      <c r="C674" s="131">
        <v>5116.6239999999998</v>
      </c>
      <c r="D674" s="131">
        <v>0</v>
      </c>
      <c r="E674" s="131">
        <v>0</v>
      </c>
      <c r="F674" s="131">
        <v>0</v>
      </c>
      <c r="G674" s="131">
        <v>0</v>
      </c>
      <c r="H674" s="131">
        <v>0</v>
      </c>
      <c r="I674" s="131">
        <v>0</v>
      </c>
      <c r="J674" s="131">
        <v>0</v>
      </c>
      <c r="K674" s="131">
        <v>0</v>
      </c>
      <c r="L674" s="131">
        <v>0</v>
      </c>
      <c r="M674" s="131">
        <v>0</v>
      </c>
      <c r="N674" s="131">
        <v>0</v>
      </c>
      <c r="O674" s="148">
        <v>5116.6239999999998</v>
      </c>
    </row>
    <row r="675" spans="2:22" s="3" customFormat="1" x14ac:dyDescent="0.35">
      <c r="B675" s="208" t="s">
        <v>138</v>
      </c>
      <c r="C675" s="131">
        <v>72360.061000000002</v>
      </c>
      <c r="D675" s="131">
        <v>50936.166999999994</v>
      </c>
      <c r="E675" s="131">
        <v>61025.715999999993</v>
      </c>
      <c r="F675" s="131">
        <v>40810.486000000004</v>
      </c>
      <c r="G675" s="131">
        <v>57426.154999999999</v>
      </c>
      <c r="H675" s="131">
        <v>53334.115000000005</v>
      </c>
      <c r="I675" s="131">
        <v>88957.001000000004</v>
      </c>
      <c r="J675" s="131">
        <v>105558.31800000001</v>
      </c>
      <c r="K675" s="131">
        <v>78118.697999999989</v>
      </c>
      <c r="L675" s="131">
        <v>129102.67600000001</v>
      </c>
      <c r="M675" s="131">
        <v>137807.34</v>
      </c>
      <c r="N675" s="131">
        <v>104565.24399999999</v>
      </c>
      <c r="O675" s="148">
        <v>980001.97699999984</v>
      </c>
    </row>
    <row r="676" spans="2:22" s="3" customFormat="1" x14ac:dyDescent="0.35">
      <c r="B676" s="209"/>
      <c r="C676" s="210"/>
      <c r="D676" s="210"/>
      <c r="E676" s="210"/>
      <c r="F676" s="210"/>
      <c r="G676" s="210"/>
      <c r="H676" s="210"/>
      <c r="I676" s="210"/>
      <c r="J676" s="210"/>
      <c r="K676" s="210"/>
      <c r="L676" s="210"/>
      <c r="M676" s="210"/>
      <c r="N676" s="210"/>
      <c r="O676" s="148">
        <v>0</v>
      </c>
    </row>
    <row r="677" spans="2:22" s="3" customFormat="1" x14ac:dyDescent="0.35">
      <c r="B677" s="149" t="s">
        <v>130</v>
      </c>
      <c r="C677" s="184">
        <v>0</v>
      </c>
      <c r="D677" s="640">
        <v>0</v>
      </c>
      <c r="E677" s="640">
        <v>0</v>
      </c>
      <c r="F677" s="640">
        <v>0</v>
      </c>
      <c r="G677" s="640">
        <v>0</v>
      </c>
      <c r="H677" s="640">
        <v>0</v>
      </c>
      <c r="I677" s="640">
        <v>0</v>
      </c>
      <c r="J677" s="640">
        <v>0</v>
      </c>
      <c r="K677" s="640">
        <v>0</v>
      </c>
      <c r="L677" s="640">
        <v>0</v>
      </c>
      <c r="M677" s="640">
        <v>0</v>
      </c>
      <c r="N677" s="640">
        <v>0</v>
      </c>
      <c r="O677" s="154">
        <v>0</v>
      </c>
    </row>
    <row r="678" spans="2:22" s="3" customFormat="1" x14ac:dyDescent="0.35">
      <c r="B678" s="208" t="s">
        <v>136</v>
      </c>
      <c r="C678" s="131">
        <v>0</v>
      </c>
      <c r="D678" s="131">
        <v>0</v>
      </c>
      <c r="E678" s="131">
        <v>0</v>
      </c>
      <c r="F678" s="131">
        <v>0</v>
      </c>
      <c r="G678" s="131">
        <v>0</v>
      </c>
      <c r="H678" s="131">
        <v>0</v>
      </c>
      <c r="I678" s="131">
        <v>0</v>
      </c>
      <c r="J678" s="131">
        <v>0</v>
      </c>
      <c r="K678" s="131">
        <v>0</v>
      </c>
      <c r="L678" s="131">
        <v>0</v>
      </c>
      <c r="M678" s="131">
        <v>0</v>
      </c>
      <c r="N678" s="131">
        <v>0</v>
      </c>
      <c r="O678" s="148">
        <v>0</v>
      </c>
    </row>
    <row r="679" spans="2:22" s="3" customFormat="1" x14ac:dyDescent="0.35">
      <c r="B679" s="208" t="s">
        <v>137</v>
      </c>
      <c r="C679" s="131">
        <v>0</v>
      </c>
      <c r="D679" s="131">
        <v>0</v>
      </c>
      <c r="E679" s="131">
        <v>0</v>
      </c>
      <c r="F679" s="131">
        <v>0</v>
      </c>
      <c r="G679" s="131">
        <v>0</v>
      </c>
      <c r="H679" s="131">
        <v>0</v>
      </c>
      <c r="I679" s="131">
        <v>0</v>
      </c>
      <c r="J679" s="131">
        <v>0</v>
      </c>
      <c r="K679" s="131">
        <v>0</v>
      </c>
      <c r="L679" s="131">
        <v>0</v>
      </c>
      <c r="M679" s="131">
        <v>0</v>
      </c>
      <c r="N679" s="131">
        <v>0</v>
      </c>
      <c r="O679" s="148">
        <v>0</v>
      </c>
    </row>
    <row r="680" spans="2:22" s="3" customFormat="1" x14ac:dyDescent="0.35">
      <c r="B680" s="208" t="s">
        <v>138</v>
      </c>
      <c r="C680" s="131">
        <v>0</v>
      </c>
      <c r="D680" s="131">
        <v>0</v>
      </c>
      <c r="E680" s="131">
        <v>0</v>
      </c>
      <c r="F680" s="131">
        <v>0</v>
      </c>
      <c r="G680" s="131">
        <v>0</v>
      </c>
      <c r="H680" s="131">
        <v>0</v>
      </c>
      <c r="I680" s="131">
        <v>0</v>
      </c>
      <c r="J680" s="131">
        <v>0</v>
      </c>
      <c r="K680" s="131">
        <v>0</v>
      </c>
      <c r="L680" s="131">
        <v>0</v>
      </c>
      <c r="M680" s="131">
        <v>0</v>
      </c>
      <c r="N680" s="131">
        <v>0</v>
      </c>
      <c r="O680" s="148">
        <v>0</v>
      </c>
    </row>
    <row r="681" spans="2:22" s="3" customFormat="1" x14ac:dyDescent="0.35">
      <c r="B681" s="211"/>
      <c r="C681" s="212"/>
      <c r="D681" s="150"/>
      <c r="E681" s="150"/>
      <c r="F681" s="150"/>
      <c r="G681" s="150"/>
      <c r="H681" s="150"/>
      <c r="I681" s="150"/>
      <c r="J681" s="150"/>
      <c r="K681" s="150"/>
      <c r="L681" s="150"/>
      <c r="M681" s="150"/>
      <c r="N681" s="150"/>
      <c r="O681" s="146"/>
    </row>
    <row r="682" spans="2:22" s="3" customFormat="1" x14ac:dyDescent="0.35">
      <c r="B682" s="431" t="s">
        <v>36</v>
      </c>
      <c r="C682" s="213">
        <v>989187.69632299989</v>
      </c>
      <c r="D682" s="641">
        <v>758511.37624999997</v>
      </c>
      <c r="E682" s="641">
        <v>915160.21120000002</v>
      </c>
      <c r="F682" s="641">
        <v>853163.80900600005</v>
      </c>
      <c r="G682" s="641">
        <v>879849.37969999982</v>
      </c>
      <c r="H682" s="641">
        <v>876832.91599999997</v>
      </c>
      <c r="I682" s="213">
        <v>1016953.385</v>
      </c>
      <c r="J682" s="213">
        <v>1052462.389</v>
      </c>
      <c r="K682" s="213">
        <v>1059584.6049999997</v>
      </c>
      <c r="L682" s="213">
        <v>821461.43184500001</v>
      </c>
      <c r="M682" s="213">
        <v>937973.91000000015</v>
      </c>
      <c r="N682" s="213">
        <v>1201150.7485779999</v>
      </c>
      <c r="O682" s="638">
        <v>11362291.857902002</v>
      </c>
    </row>
    <row r="683" spans="2:22" x14ac:dyDescent="0.35">
      <c r="B683" s="214"/>
      <c r="C683" s="215"/>
      <c r="D683" s="642"/>
      <c r="E683" s="642"/>
      <c r="F683" s="642"/>
      <c r="G683" s="642"/>
      <c r="H683" s="642"/>
      <c r="I683" s="642"/>
      <c r="J683" s="642"/>
      <c r="K683" s="642"/>
      <c r="L683" s="642"/>
      <c r="M683" s="642"/>
      <c r="N683" s="642"/>
      <c r="O683" s="204"/>
      <c r="P683" s="3"/>
      <c r="Q683" s="3"/>
      <c r="R683" s="3"/>
      <c r="S683" s="3"/>
      <c r="T683" s="3"/>
      <c r="U683" s="3"/>
      <c r="V683" s="3"/>
    </row>
    <row r="684" spans="2:22" s="3" customFormat="1" x14ac:dyDescent="0.35">
      <c r="B684" s="149" t="s">
        <v>129</v>
      </c>
      <c r="C684" s="184">
        <v>987465.33632299991</v>
      </c>
      <c r="D684" s="640">
        <v>757200.10100000002</v>
      </c>
      <c r="E684" s="640">
        <v>913104.1492000001</v>
      </c>
      <c r="F684" s="640">
        <v>851682.34022600006</v>
      </c>
      <c r="G684" s="640">
        <v>878084.43169999984</v>
      </c>
      <c r="H684" s="640">
        <v>875423.60699999984</v>
      </c>
      <c r="I684" s="640">
        <v>1014420.4650000001</v>
      </c>
      <c r="J684" s="640">
        <v>1051207.1189999999</v>
      </c>
      <c r="K684" s="640">
        <v>1057388.5669999998</v>
      </c>
      <c r="L684" s="640">
        <v>819911.49484499998</v>
      </c>
      <c r="M684" s="640">
        <v>936923.2570000001</v>
      </c>
      <c r="N684" s="640">
        <v>1199064.0655779999</v>
      </c>
      <c r="O684" s="204">
        <v>11341874.933871999</v>
      </c>
      <c r="P684" s="324"/>
      <c r="Q684" s="324"/>
      <c r="R684" s="324"/>
      <c r="S684" s="324"/>
      <c r="T684" s="324"/>
      <c r="U684" s="324"/>
      <c r="V684" s="324"/>
    </row>
    <row r="685" spans="2:22" s="3" customFormat="1" x14ac:dyDescent="0.35">
      <c r="B685" s="208" t="s">
        <v>136</v>
      </c>
      <c r="C685" s="147">
        <v>600088.30000000005</v>
      </c>
      <c r="D685" s="147">
        <v>391495.64399999997</v>
      </c>
      <c r="E685" s="147">
        <v>390762.12</v>
      </c>
      <c r="F685" s="147">
        <v>517976.10900000005</v>
      </c>
      <c r="G685" s="147">
        <v>450480.91599999997</v>
      </c>
      <c r="H685" s="147">
        <v>548242.77300000004</v>
      </c>
      <c r="I685" s="147">
        <v>571669.09899999993</v>
      </c>
      <c r="J685" s="147">
        <v>566642.54499999993</v>
      </c>
      <c r="K685" s="147">
        <v>547646.755</v>
      </c>
      <c r="L685" s="147">
        <v>405588.48600000003</v>
      </c>
      <c r="M685" s="147">
        <v>468917.85000000003</v>
      </c>
      <c r="N685" s="147">
        <v>705339.42800000007</v>
      </c>
      <c r="O685" s="206">
        <v>6164850.0249999994</v>
      </c>
    </row>
    <row r="686" spans="2:22" s="3" customFormat="1" x14ac:dyDescent="0.35">
      <c r="B686" s="208" t="s">
        <v>137</v>
      </c>
      <c r="C686" s="147">
        <v>236794.413</v>
      </c>
      <c r="D686" s="147">
        <v>221158.82500000001</v>
      </c>
      <c r="E686" s="147">
        <v>340206.30300000001</v>
      </c>
      <c r="F686" s="147">
        <v>194422.625</v>
      </c>
      <c r="G686" s="147">
        <v>288608.18800000002</v>
      </c>
      <c r="H686" s="147">
        <v>186885.399</v>
      </c>
      <c r="I686" s="147">
        <v>262503.59600000002</v>
      </c>
      <c r="J686" s="147">
        <v>304765.52599999995</v>
      </c>
      <c r="K686" s="147">
        <v>336513.201</v>
      </c>
      <c r="L686" s="147">
        <v>191514.34700000001</v>
      </c>
      <c r="M686" s="147">
        <v>219255.00099999999</v>
      </c>
      <c r="N686" s="147">
        <v>282969.61099999998</v>
      </c>
      <c r="O686" s="206">
        <v>3065597.0350000001</v>
      </c>
    </row>
    <row r="687" spans="2:22" s="3" customFormat="1" x14ac:dyDescent="0.35">
      <c r="B687" s="208" t="s">
        <v>138</v>
      </c>
      <c r="C687" s="147">
        <v>150582.62332299998</v>
      </c>
      <c r="D687" s="147">
        <v>144545.63200000001</v>
      </c>
      <c r="E687" s="147">
        <v>182135.7262</v>
      </c>
      <c r="F687" s="147">
        <v>139283.60622599995</v>
      </c>
      <c r="G687" s="147">
        <v>138995.32769999982</v>
      </c>
      <c r="H687" s="147">
        <v>140295.43499999994</v>
      </c>
      <c r="I687" s="147">
        <v>180247.77000000005</v>
      </c>
      <c r="J687" s="147">
        <v>179799.04799999995</v>
      </c>
      <c r="K687" s="147">
        <v>173228.61099999989</v>
      </c>
      <c r="L687" s="147">
        <v>222808.66184499994</v>
      </c>
      <c r="M687" s="147">
        <v>248750.40600000008</v>
      </c>
      <c r="N687" s="147">
        <v>210755.02657799999</v>
      </c>
      <c r="O687" s="206">
        <v>2111427.8738719993</v>
      </c>
    </row>
    <row r="688" spans="2:22" s="3" customFormat="1" ht="22.5" customHeight="1" x14ac:dyDescent="0.35">
      <c r="B688" s="209"/>
      <c r="C688" s="216"/>
      <c r="D688" s="643"/>
      <c r="E688" s="643"/>
      <c r="F688" s="643"/>
      <c r="G688" s="643"/>
      <c r="H688" s="643"/>
      <c r="I688" s="643"/>
      <c r="J688" s="643"/>
      <c r="K688" s="643"/>
      <c r="L688" s="643"/>
      <c r="M688" s="643"/>
      <c r="N688" s="643"/>
      <c r="O688" s="217"/>
    </row>
    <row r="689" spans="1:22" s="3" customFormat="1" x14ac:dyDescent="0.35">
      <c r="B689" s="149" t="s">
        <v>130</v>
      </c>
      <c r="C689" s="184">
        <v>1722.36</v>
      </c>
      <c r="D689" s="640">
        <v>1311.2752500000001</v>
      </c>
      <c r="E689" s="640">
        <v>2056.0619999999994</v>
      </c>
      <c r="F689" s="640">
        <v>1481.4687800000006</v>
      </c>
      <c r="G689" s="640">
        <v>1764.9480000000003</v>
      </c>
      <c r="H689" s="640">
        <v>1409.3089999999997</v>
      </c>
      <c r="I689" s="640">
        <v>2532.9199999999996</v>
      </c>
      <c r="J689" s="640">
        <v>1255.27</v>
      </c>
      <c r="K689" s="640">
        <v>2196.0379999999986</v>
      </c>
      <c r="L689" s="640">
        <v>1549.9370000000004</v>
      </c>
      <c r="M689" s="640">
        <v>1050.6529999999998</v>
      </c>
      <c r="N689" s="640">
        <v>2086.683</v>
      </c>
      <c r="O689" s="204">
        <v>20416.924029999998</v>
      </c>
    </row>
    <row r="690" spans="1:22" ht="15" customHeight="1" x14ac:dyDescent="0.35">
      <c r="B690" s="208" t="s">
        <v>136</v>
      </c>
      <c r="C690" s="147">
        <v>0</v>
      </c>
      <c r="D690" s="147">
        <v>0</v>
      </c>
      <c r="E690" s="147">
        <v>0</v>
      </c>
      <c r="F690" s="147">
        <v>0</v>
      </c>
      <c r="G690" s="147">
        <v>0</v>
      </c>
      <c r="H690" s="147">
        <v>0</v>
      </c>
      <c r="I690" s="147">
        <v>0</v>
      </c>
      <c r="J690" s="147">
        <v>0</v>
      </c>
      <c r="K690" s="147">
        <v>0</v>
      </c>
      <c r="L690" s="147">
        <v>0</v>
      </c>
      <c r="M690" s="147">
        <v>0</v>
      </c>
      <c r="N690" s="147">
        <v>0</v>
      </c>
      <c r="O690" s="206">
        <v>0</v>
      </c>
      <c r="P690" s="3"/>
      <c r="Q690" s="3"/>
      <c r="R690" s="3"/>
      <c r="S690" s="3"/>
      <c r="T690" s="3"/>
      <c r="U690" s="3"/>
      <c r="V690" s="3"/>
    </row>
    <row r="691" spans="1:22" x14ac:dyDescent="0.35">
      <c r="B691" s="208" t="s">
        <v>137</v>
      </c>
      <c r="C691" s="147">
        <v>0</v>
      </c>
      <c r="D691" s="147">
        <v>0</v>
      </c>
      <c r="E691" s="147">
        <v>0</v>
      </c>
      <c r="F691" s="147">
        <v>0</v>
      </c>
      <c r="G691" s="147">
        <v>0</v>
      </c>
      <c r="H691" s="147">
        <v>0</v>
      </c>
      <c r="I691" s="147">
        <v>0</v>
      </c>
      <c r="J691" s="147">
        <v>0</v>
      </c>
      <c r="K691" s="147">
        <v>0</v>
      </c>
      <c r="L691" s="147">
        <v>0</v>
      </c>
      <c r="M691" s="147">
        <v>0</v>
      </c>
      <c r="N691" s="147">
        <v>0</v>
      </c>
      <c r="O691" s="206">
        <v>0</v>
      </c>
    </row>
    <row r="692" spans="1:22" s="3" customFormat="1" x14ac:dyDescent="0.35">
      <c r="B692" s="208" t="s">
        <v>138</v>
      </c>
      <c r="C692" s="147">
        <v>1722.36</v>
      </c>
      <c r="D692" s="147">
        <v>1311.2752500000001</v>
      </c>
      <c r="E692" s="147">
        <v>2056.0619999999994</v>
      </c>
      <c r="F692" s="147">
        <v>1481.4687800000006</v>
      </c>
      <c r="G692" s="147">
        <v>1764.9480000000003</v>
      </c>
      <c r="H692" s="147">
        <v>1409.3089999999997</v>
      </c>
      <c r="I692" s="147">
        <v>2532.9199999999996</v>
      </c>
      <c r="J692" s="147">
        <v>1255.27</v>
      </c>
      <c r="K692" s="147">
        <v>2196.0379999999986</v>
      </c>
      <c r="L692" s="147">
        <v>1549.9370000000004</v>
      </c>
      <c r="M692" s="147">
        <v>1050.6529999999998</v>
      </c>
      <c r="N692" s="147">
        <v>2086.683</v>
      </c>
      <c r="O692" s="148">
        <v>20416.924029999998</v>
      </c>
      <c r="P692" s="324"/>
      <c r="Q692" s="324"/>
      <c r="R692" s="324"/>
      <c r="S692" s="324"/>
      <c r="T692" s="324"/>
      <c r="U692" s="324"/>
      <c r="V692" s="324"/>
    </row>
    <row r="693" spans="1:22" s="3" customFormat="1" x14ac:dyDescent="0.35">
      <c r="B693" s="195"/>
      <c r="C693" s="218"/>
      <c r="D693" s="644"/>
      <c r="E693" s="644"/>
      <c r="F693" s="644"/>
      <c r="G693" s="644"/>
      <c r="H693" s="644"/>
      <c r="I693" s="644"/>
      <c r="J693" s="644"/>
      <c r="K693" s="644"/>
      <c r="L693" s="644"/>
      <c r="M693" s="644"/>
      <c r="N693" s="644"/>
      <c r="O693" s="196"/>
    </row>
    <row r="694" spans="1:22" s="3" customFormat="1" x14ac:dyDescent="0.35">
      <c r="B694" s="197"/>
      <c r="C694" s="219"/>
      <c r="D694" s="645"/>
      <c r="E694" s="645"/>
      <c r="F694" s="645"/>
      <c r="G694" s="645"/>
      <c r="H694" s="645"/>
      <c r="I694" s="645"/>
      <c r="J694" s="645"/>
      <c r="K694" s="645"/>
      <c r="L694" s="645"/>
      <c r="M694" s="645"/>
      <c r="N694" s="645"/>
      <c r="O694" s="199"/>
    </row>
    <row r="695" spans="1:22" s="3" customFormat="1" x14ac:dyDescent="0.35">
      <c r="B695" s="1075" t="s">
        <v>139</v>
      </c>
      <c r="C695" s="1075"/>
      <c r="D695" s="1075"/>
      <c r="E695" s="1075"/>
      <c r="F695" s="1075"/>
      <c r="G695" s="1075"/>
      <c r="H695" s="1075"/>
      <c r="I695" s="1075"/>
      <c r="J695" s="1075"/>
      <c r="K695" s="1075"/>
      <c r="L695" s="1075"/>
      <c r="M695" s="1075"/>
      <c r="N695" s="1075"/>
      <c r="O695" s="1075"/>
    </row>
    <row r="696" spans="1:22" s="3" customFormat="1" x14ac:dyDescent="0.35">
      <c r="B696" s="125"/>
      <c r="C696" s="106"/>
      <c r="D696" s="554"/>
      <c r="E696" s="554"/>
      <c r="F696" s="554"/>
      <c r="G696" s="554"/>
      <c r="H696" s="554"/>
      <c r="I696" s="554"/>
      <c r="J696" s="554"/>
      <c r="K696" s="554"/>
      <c r="L696" s="554"/>
      <c r="M696" s="554"/>
      <c r="N696" s="554"/>
      <c r="O696" s="8"/>
    </row>
    <row r="697" spans="1:22" s="3" customFormat="1" x14ac:dyDescent="0.35">
      <c r="B697" s="1067" t="s">
        <v>375</v>
      </c>
      <c r="C697" s="1067"/>
      <c r="D697" s="1067"/>
      <c r="E697" s="1067"/>
      <c r="F697" s="1067"/>
      <c r="G697" s="1067"/>
      <c r="H697" s="1067"/>
      <c r="I697" s="1067"/>
      <c r="J697" s="1067"/>
      <c r="K697" s="555">
        <v>2025</v>
      </c>
      <c r="L697" s="646"/>
      <c r="M697" s="646"/>
      <c r="N697" s="646"/>
      <c r="O697" s="646"/>
    </row>
    <row r="698" spans="1:22" s="3" customFormat="1" x14ac:dyDescent="0.35">
      <c r="B698" s="125"/>
      <c r="C698" s="174"/>
      <c r="D698" s="611"/>
      <c r="E698" s="611"/>
      <c r="F698" s="611"/>
      <c r="G698" s="611"/>
      <c r="H698" s="611"/>
      <c r="I698" s="611"/>
      <c r="J698" s="612"/>
      <c r="K698" s="612"/>
      <c r="L698" s="612"/>
      <c r="M698" s="612"/>
      <c r="N698" s="612"/>
      <c r="O698" s="8"/>
    </row>
    <row r="699" spans="1:22" s="3" customFormat="1" ht="15" customHeight="1" x14ac:dyDescent="0.35">
      <c r="B699" s="1074" t="s">
        <v>13</v>
      </c>
      <c r="C699" s="1070" t="s">
        <v>0</v>
      </c>
      <c r="D699" s="1070" t="s">
        <v>1</v>
      </c>
      <c r="E699" s="1070" t="s">
        <v>2</v>
      </c>
      <c r="F699" s="1070" t="s">
        <v>3</v>
      </c>
      <c r="G699" s="1070" t="s">
        <v>4</v>
      </c>
      <c r="H699" s="1070" t="s">
        <v>5</v>
      </c>
      <c r="I699" s="1070" t="s">
        <v>6</v>
      </c>
      <c r="J699" s="1070" t="s">
        <v>7</v>
      </c>
      <c r="K699" s="1070" t="s">
        <v>8</v>
      </c>
      <c r="L699" s="1070" t="s">
        <v>9</v>
      </c>
      <c r="M699" s="1070" t="s">
        <v>10</v>
      </c>
      <c r="N699" s="1070" t="s">
        <v>14</v>
      </c>
      <c r="O699" s="1074" t="s">
        <v>15</v>
      </c>
    </row>
    <row r="700" spans="1:22" s="3" customFormat="1" ht="15" customHeight="1" x14ac:dyDescent="0.35">
      <c r="B700" s="1080"/>
      <c r="C700" s="1071"/>
      <c r="D700" s="1071"/>
      <c r="E700" s="1071"/>
      <c r="F700" s="1071"/>
      <c r="G700" s="1071"/>
      <c r="H700" s="1071"/>
      <c r="I700" s="1071"/>
      <c r="J700" s="1071"/>
      <c r="K700" s="1071"/>
      <c r="L700" s="1071"/>
      <c r="M700" s="1078"/>
      <c r="N700" s="1078"/>
      <c r="O700" s="1079"/>
    </row>
    <row r="701" spans="1:22" s="3" customFormat="1" x14ac:dyDescent="0.35">
      <c r="B701" s="107"/>
      <c r="C701" s="632">
        <v>0</v>
      </c>
      <c r="D701" s="632">
        <v>0</v>
      </c>
      <c r="E701" s="632">
        <v>0</v>
      </c>
      <c r="F701" s="632">
        <v>0</v>
      </c>
      <c r="G701" s="632">
        <v>0</v>
      </c>
      <c r="H701" s="632">
        <v>0</v>
      </c>
      <c r="I701" s="632">
        <v>0</v>
      </c>
      <c r="J701" s="632">
        <v>0</v>
      </c>
      <c r="K701" s="632">
        <v>0</v>
      </c>
      <c r="L701" s="632">
        <v>0</v>
      </c>
      <c r="M701" s="632">
        <v>0</v>
      </c>
      <c r="N701" s="632">
        <v>0</v>
      </c>
      <c r="O701" s="109"/>
    </row>
    <row r="702" spans="1:22" s="135" customFormat="1" x14ac:dyDescent="0.35">
      <c r="A702" s="359"/>
      <c r="B702" s="647" t="s">
        <v>47</v>
      </c>
      <c r="C702" s="175">
        <v>1807531.7553129948</v>
      </c>
      <c r="D702" s="175">
        <v>1897287.1145510029</v>
      </c>
      <c r="E702" s="175">
        <v>2020791.2475730015</v>
      </c>
      <c r="F702" s="175">
        <v>1903777.1194230104</v>
      </c>
      <c r="G702" s="175">
        <v>2076856.9379720087</v>
      </c>
      <c r="H702" s="175">
        <v>1784928.7499609971</v>
      </c>
      <c r="I702" s="175">
        <v>2248815.7644300018</v>
      </c>
      <c r="J702" s="175">
        <v>2282478.140520012</v>
      </c>
      <c r="K702" s="175">
        <v>2118994.7958300156</v>
      </c>
      <c r="L702" s="175">
        <v>2086497.299080993</v>
      </c>
      <c r="M702" s="175">
        <v>2103284.8351800074</v>
      </c>
      <c r="N702" s="175">
        <v>2207448.8964270148</v>
      </c>
      <c r="O702" s="163">
        <v>24538692.656261064</v>
      </c>
    </row>
    <row r="703" spans="1:22" s="135" customFormat="1" x14ac:dyDescent="0.35">
      <c r="A703" s="359"/>
      <c r="B703" s="648"/>
      <c r="C703" s="175"/>
      <c r="D703" s="649"/>
      <c r="E703" s="649"/>
      <c r="F703" s="649"/>
      <c r="G703" s="649"/>
      <c r="H703" s="649"/>
      <c r="I703" s="649"/>
      <c r="J703" s="649"/>
      <c r="K703" s="649"/>
      <c r="L703" s="649"/>
      <c r="M703" s="649"/>
      <c r="N703" s="649"/>
      <c r="O703" s="164"/>
    </row>
    <row r="704" spans="1:22" s="135" customFormat="1" x14ac:dyDescent="0.35">
      <c r="B704" s="650" t="s">
        <v>41</v>
      </c>
      <c r="C704" s="176">
        <v>725257.18232299993</v>
      </c>
      <c r="D704" s="176">
        <v>459547.56499999977</v>
      </c>
      <c r="E704" s="176">
        <v>602386.40219999931</v>
      </c>
      <c r="F704" s="176">
        <v>543619.75022599951</v>
      </c>
      <c r="G704" s="176">
        <v>628630.48870000208</v>
      </c>
      <c r="H704" s="176">
        <v>508945.25100000011</v>
      </c>
      <c r="I704" s="176">
        <v>737710.33700000076</v>
      </c>
      <c r="J704" s="176">
        <v>640331.40699999989</v>
      </c>
      <c r="K704" s="176">
        <v>672606.91400000022</v>
      </c>
      <c r="L704" s="176">
        <v>498804.49884499982</v>
      </c>
      <c r="M704" s="176">
        <v>609940.51099999959</v>
      </c>
      <c r="N704" s="176">
        <v>759094.18157799845</v>
      </c>
      <c r="O704" s="164">
        <v>7386874.4888719991</v>
      </c>
    </row>
    <row r="705" spans="1:22" s="135" customFormat="1" x14ac:dyDescent="0.35">
      <c r="B705" s="650" t="s">
        <v>42</v>
      </c>
      <c r="C705" s="176">
        <v>1007053.815679995</v>
      </c>
      <c r="D705" s="176">
        <v>1369918.4995510031</v>
      </c>
      <c r="E705" s="176">
        <v>1345638.7475630024</v>
      </c>
      <c r="F705" s="176">
        <v>1282145.8141970106</v>
      </c>
      <c r="G705" s="176">
        <v>1356821.0803920068</v>
      </c>
      <c r="H705" s="176">
        <v>1198241.683460997</v>
      </c>
      <c r="I705" s="176">
        <v>1449759.6579300012</v>
      </c>
      <c r="J705" s="176">
        <v>1566696.4875200118</v>
      </c>
      <c r="K705" s="176">
        <v>1374922.5988300156</v>
      </c>
      <c r="L705" s="176">
        <v>1506847.473735993</v>
      </c>
      <c r="M705" s="176">
        <v>1418219.0821800078</v>
      </c>
      <c r="N705" s="176">
        <v>1373091.9633490164</v>
      </c>
      <c r="O705" s="164">
        <v>16249356.904389063</v>
      </c>
    </row>
    <row r="706" spans="1:22" s="135" customFormat="1" x14ac:dyDescent="0.35">
      <c r="B706" s="650" t="s">
        <v>43</v>
      </c>
      <c r="C706" s="220">
        <v>75220.757310000059</v>
      </c>
      <c r="D706" s="220">
        <v>67821.050000000017</v>
      </c>
      <c r="E706" s="220">
        <v>72766.09780999989</v>
      </c>
      <c r="F706" s="220">
        <v>78011.55500000008</v>
      </c>
      <c r="G706" s="220">
        <v>91405.368880000024</v>
      </c>
      <c r="H706" s="220">
        <v>77741.815500000026</v>
      </c>
      <c r="I706" s="220">
        <v>61345.769499999835</v>
      </c>
      <c r="J706" s="220">
        <v>75450.246000000145</v>
      </c>
      <c r="K706" s="220">
        <v>71465.282999999908</v>
      </c>
      <c r="L706" s="220">
        <v>80845.326500000214</v>
      </c>
      <c r="M706" s="220">
        <v>75125.242000000246</v>
      </c>
      <c r="N706" s="220">
        <v>75262.751500000362</v>
      </c>
      <c r="O706" s="164">
        <v>902461.26300000085</v>
      </c>
    </row>
    <row r="707" spans="1:22" s="8" customFormat="1" x14ac:dyDescent="0.35">
      <c r="B707" s="650" t="s">
        <v>140</v>
      </c>
      <c r="C707" s="177">
        <v>59096.611310000058</v>
      </c>
      <c r="D707" s="177">
        <v>51958.840000000018</v>
      </c>
      <c r="E707" s="177">
        <v>53633.216809999889</v>
      </c>
      <c r="F707" s="177">
        <v>70870.399000000078</v>
      </c>
      <c r="G707" s="177">
        <v>74419.699880000015</v>
      </c>
      <c r="H707" s="177">
        <v>65720.447000000029</v>
      </c>
      <c r="I707" s="177">
        <v>52832.412999999833</v>
      </c>
      <c r="J707" s="177">
        <v>61280.126000000142</v>
      </c>
      <c r="K707" s="177">
        <v>48768.851999999919</v>
      </c>
      <c r="L707" s="177">
        <v>63275.737000000212</v>
      </c>
      <c r="M707" s="177">
        <v>58945.105000000243</v>
      </c>
      <c r="N707" s="177">
        <v>58351.985000000357</v>
      </c>
      <c r="O707" s="164">
        <v>719153.43200000073</v>
      </c>
      <c r="P707" s="135"/>
      <c r="Q707" s="135"/>
      <c r="R707" s="135"/>
      <c r="S707" s="135"/>
      <c r="T707" s="135"/>
      <c r="U707" s="135"/>
      <c r="V707" s="135"/>
    </row>
    <row r="708" spans="1:22" s="8" customFormat="1" x14ac:dyDescent="0.35">
      <c r="B708" s="650" t="s">
        <v>141</v>
      </c>
      <c r="C708" s="29">
        <v>16124.146000000001</v>
      </c>
      <c r="D708" s="29">
        <v>15862.210000000001</v>
      </c>
      <c r="E708" s="29">
        <v>19132.881000000001</v>
      </c>
      <c r="F708" s="29">
        <v>7141.155999999999</v>
      </c>
      <c r="G708" s="29">
        <v>16985.669000000002</v>
      </c>
      <c r="H708" s="29">
        <v>12021.3685</v>
      </c>
      <c r="I708" s="29">
        <v>8513.3564999999999</v>
      </c>
      <c r="J708" s="29">
        <v>14170.120000000004</v>
      </c>
      <c r="K708" s="29">
        <v>22696.430999999997</v>
      </c>
      <c r="L708" s="29">
        <v>17569.589500000002</v>
      </c>
      <c r="M708" s="29">
        <v>16180.136999999999</v>
      </c>
      <c r="N708" s="29">
        <v>16910.766499999998</v>
      </c>
      <c r="O708" s="164">
        <v>183307.83099999998</v>
      </c>
    </row>
    <row r="709" spans="1:22" s="8" customFormat="1" x14ac:dyDescent="0.35">
      <c r="B709" s="650"/>
      <c r="C709" s="632">
        <v>0</v>
      </c>
      <c r="D709" s="632">
        <v>0</v>
      </c>
      <c r="E709" s="632">
        <v>0</v>
      </c>
      <c r="F709" s="632">
        <v>0</v>
      </c>
      <c r="G709" s="632">
        <v>0</v>
      </c>
      <c r="H709" s="632">
        <v>0</v>
      </c>
      <c r="I709" s="632">
        <v>0</v>
      </c>
      <c r="J709" s="632">
        <v>0</v>
      </c>
      <c r="K709" s="632">
        <v>0</v>
      </c>
      <c r="L709" s="632">
        <v>0</v>
      </c>
      <c r="M709" s="632">
        <v>0</v>
      </c>
      <c r="N709" s="632">
        <v>0</v>
      </c>
      <c r="O709" s="164"/>
    </row>
    <row r="710" spans="1:22" s="8" customFormat="1" x14ac:dyDescent="0.35">
      <c r="A710" s="359"/>
      <c r="B710" s="647" t="s">
        <v>56</v>
      </c>
      <c r="C710" s="175">
        <v>667892.64737000223</v>
      </c>
      <c r="D710" s="175">
        <v>734803.45120000246</v>
      </c>
      <c r="E710" s="175">
        <v>721048.71000000148</v>
      </c>
      <c r="F710" s="175">
        <v>851560.03034000588</v>
      </c>
      <c r="G710" s="175">
        <v>875056.56000000413</v>
      </c>
      <c r="H710" s="175">
        <v>852577.07700000063</v>
      </c>
      <c r="I710" s="175">
        <v>742655.45000000461</v>
      </c>
      <c r="J710" s="175">
        <v>961675.2630000033</v>
      </c>
      <c r="K710" s="175">
        <v>907638.21400000807</v>
      </c>
      <c r="L710" s="175">
        <v>798681.59900000237</v>
      </c>
      <c r="M710" s="175">
        <v>789273.91600000265</v>
      </c>
      <c r="N710" s="175">
        <v>1033632.393100017</v>
      </c>
      <c r="O710" s="163">
        <v>9936495.3110100552</v>
      </c>
    </row>
    <row r="711" spans="1:22" s="8" customFormat="1" x14ac:dyDescent="0.35">
      <c r="A711" s="359"/>
      <c r="B711" s="650"/>
      <c r="C711" s="177"/>
      <c r="D711" s="651"/>
      <c r="E711" s="651"/>
      <c r="F711" s="651"/>
      <c r="G711" s="651"/>
      <c r="H711" s="651"/>
      <c r="I711" s="651"/>
      <c r="J711" s="651"/>
      <c r="K711" s="651"/>
      <c r="L711" s="651"/>
      <c r="M711" s="651"/>
      <c r="N711" s="651"/>
      <c r="O711" s="164"/>
    </row>
    <row r="712" spans="1:22" s="8" customFormat="1" x14ac:dyDescent="0.35">
      <c r="B712" s="650" t="s">
        <v>41</v>
      </c>
      <c r="C712" s="176">
        <v>262208.15399999998</v>
      </c>
      <c r="D712" s="176">
        <v>297652.53600000002</v>
      </c>
      <c r="E712" s="176">
        <v>310717.74699999997</v>
      </c>
      <c r="F712" s="176">
        <v>308062.58999999997</v>
      </c>
      <c r="G712" s="176">
        <v>249453.943</v>
      </c>
      <c r="H712" s="176">
        <v>366478.35599999991</v>
      </c>
      <c r="I712" s="176">
        <v>276710.12799999997</v>
      </c>
      <c r="J712" s="176">
        <v>410875.712</v>
      </c>
      <c r="K712" s="176">
        <v>384781.65299999999</v>
      </c>
      <c r="L712" s="176">
        <v>321106.99599999998</v>
      </c>
      <c r="M712" s="176">
        <v>326982.74599999998</v>
      </c>
      <c r="N712" s="176">
        <v>439969.8839999999</v>
      </c>
      <c r="O712" s="164">
        <v>3955000.4449999994</v>
      </c>
    </row>
    <row r="713" spans="1:22" s="8" customFormat="1" x14ac:dyDescent="0.35">
      <c r="B713" s="650" t="s">
        <v>42</v>
      </c>
      <c r="C713" s="176">
        <v>405214.89337000228</v>
      </c>
      <c r="D713" s="176">
        <v>435605.93020000251</v>
      </c>
      <c r="E713" s="176">
        <v>409749.64300000161</v>
      </c>
      <c r="F713" s="176">
        <v>543358.00034000596</v>
      </c>
      <c r="G713" s="176">
        <v>625423.12700000417</v>
      </c>
      <c r="H713" s="176">
        <v>485644.58800000075</v>
      </c>
      <c r="I713" s="176">
        <v>465724.04200000456</v>
      </c>
      <c r="J713" s="176">
        <v>550414.70600000327</v>
      </c>
      <c r="K713" s="176">
        <v>522600.99100000813</v>
      </c>
      <c r="L713" s="176">
        <v>475248.55000000249</v>
      </c>
      <c r="M713" s="176">
        <v>461980.03700000263</v>
      </c>
      <c r="N713" s="176">
        <v>592802.67210001708</v>
      </c>
      <c r="O713" s="164">
        <v>5973767.1800100552</v>
      </c>
    </row>
    <row r="714" spans="1:22" s="8" customFormat="1" x14ac:dyDescent="0.35">
      <c r="B714" s="650" t="s">
        <v>43</v>
      </c>
      <c r="C714" s="220">
        <v>469.60000000000014</v>
      </c>
      <c r="D714" s="220">
        <v>1544.9849999999999</v>
      </c>
      <c r="E714" s="220">
        <v>581.32000000000005</v>
      </c>
      <c r="F714" s="220">
        <v>139.44000000000003</v>
      </c>
      <c r="G714" s="220">
        <v>179.49</v>
      </c>
      <c r="H714" s="220">
        <v>454.13300000000004</v>
      </c>
      <c r="I714" s="220">
        <v>221.28</v>
      </c>
      <c r="J714" s="220">
        <v>384.84499999999997</v>
      </c>
      <c r="K714" s="220">
        <v>255.57</v>
      </c>
      <c r="L714" s="220">
        <v>2326.0529999999999</v>
      </c>
      <c r="M714" s="220">
        <v>311.13300000000004</v>
      </c>
      <c r="N714" s="220">
        <v>859.83699999999999</v>
      </c>
      <c r="O714" s="164">
        <v>7727.6859999999997</v>
      </c>
    </row>
    <row r="715" spans="1:22" s="8" customFormat="1" x14ac:dyDescent="0.35">
      <c r="B715" s="650" t="s">
        <v>140</v>
      </c>
      <c r="C715" s="177">
        <v>469.60000000000014</v>
      </c>
      <c r="D715" s="177">
        <v>1544.9849999999999</v>
      </c>
      <c r="E715" s="177">
        <v>581.32000000000005</v>
      </c>
      <c r="F715" s="177">
        <v>139.44000000000003</v>
      </c>
      <c r="G715" s="177">
        <v>179.49</v>
      </c>
      <c r="H715" s="177">
        <v>454.13300000000004</v>
      </c>
      <c r="I715" s="177">
        <v>221.28</v>
      </c>
      <c r="J715" s="177">
        <v>384.84499999999997</v>
      </c>
      <c r="K715" s="177">
        <v>255.57</v>
      </c>
      <c r="L715" s="177">
        <v>2326.0529999999999</v>
      </c>
      <c r="M715" s="177">
        <v>311.13300000000004</v>
      </c>
      <c r="N715" s="177">
        <v>859.83699999999999</v>
      </c>
      <c r="O715" s="164">
        <v>7727.6859999999997</v>
      </c>
    </row>
    <row r="716" spans="1:22" s="8" customFormat="1" x14ac:dyDescent="0.35">
      <c r="B716" s="650" t="s">
        <v>141</v>
      </c>
      <c r="C716" s="29">
        <v>0</v>
      </c>
      <c r="D716" s="29">
        <v>0</v>
      </c>
      <c r="E716" s="29">
        <v>0</v>
      </c>
      <c r="F716" s="29">
        <v>0</v>
      </c>
      <c r="G716" s="29">
        <v>0</v>
      </c>
      <c r="H716" s="29">
        <v>0</v>
      </c>
      <c r="I716" s="29">
        <v>0</v>
      </c>
      <c r="J716" s="29">
        <v>0</v>
      </c>
      <c r="K716" s="29">
        <v>0</v>
      </c>
      <c r="L716" s="29">
        <v>0</v>
      </c>
      <c r="M716" s="29">
        <v>0</v>
      </c>
      <c r="N716" s="29">
        <v>0</v>
      </c>
      <c r="O716" s="164">
        <v>0</v>
      </c>
    </row>
    <row r="717" spans="1:22" s="8" customFormat="1" x14ac:dyDescent="0.35">
      <c r="B717" s="650"/>
      <c r="C717" s="177"/>
      <c r="D717" s="651"/>
      <c r="E717" s="651"/>
      <c r="F717" s="651"/>
      <c r="G717" s="651"/>
      <c r="H717" s="651"/>
      <c r="I717" s="651"/>
      <c r="J717" s="651"/>
      <c r="K717" s="651"/>
      <c r="L717" s="651"/>
      <c r="M717" s="651"/>
      <c r="N717" s="651"/>
      <c r="O717" s="164"/>
    </row>
    <row r="718" spans="1:22" s="8" customFormat="1" x14ac:dyDescent="0.35">
      <c r="B718" s="433" t="s">
        <v>36</v>
      </c>
      <c r="C718" s="178">
        <v>2475424.4026829973</v>
      </c>
      <c r="D718" s="178">
        <v>2632090.5657510054</v>
      </c>
      <c r="E718" s="178">
        <v>2741839.9575730031</v>
      </c>
      <c r="F718" s="178">
        <v>2755337.149763016</v>
      </c>
      <c r="G718" s="178">
        <v>2951913.497972013</v>
      </c>
      <c r="H718" s="178">
        <v>2637505.8269609977</v>
      </c>
      <c r="I718" s="178">
        <v>2991471.2144300062</v>
      </c>
      <c r="J718" s="178">
        <v>3244153.4035200151</v>
      </c>
      <c r="K718" s="178">
        <v>3026633.0098300236</v>
      </c>
      <c r="L718" s="178">
        <v>2885178.8980809953</v>
      </c>
      <c r="M718" s="178">
        <v>2892558.7511800099</v>
      </c>
      <c r="N718" s="178">
        <v>3241081.2895270316</v>
      </c>
      <c r="O718" s="179">
        <v>34475187.967271112</v>
      </c>
    </row>
    <row r="719" spans="1:22" s="8" customFormat="1" x14ac:dyDescent="0.35">
      <c r="B719" s="221"/>
      <c r="C719" s="222"/>
      <c r="D719" s="222"/>
      <c r="E719" s="222"/>
      <c r="F719" s="222"/>
      <c r="G719" s="222"/>
      <c r="H719" s="222"/>
      <c r="I719" s="222"/>
      <c r="J719" s="222"/>
      <c r="K719" s="222"/>
      <c r="L719" s="222"/>
      <c r="M719" s="222"/>
      <c r="N719" s="222"/>
      <c r="O719" s="223"/>
    </row>
    <row r="720" spans="1:22" s="8" customFormat="1" x14ac:dyDescent="0.35">
      <c r="B720" s="650" t="s">
        <v>41</v>
      </c>
      <c r="C720" s="177">
        <v>987465.33632299991</v>
      </c>
      <c r="D720" s="177">
        <v>757200.10099999979</v>
      </c>
      <c r="E720" s="177">
        <v>913104.14919999929</v>
      </c>
      <c r="F720" s="177">
        <v>851682.34022599948</v>
      </c>
      <c r="G720" s="177">
        <v>878084.43170000205</v>
      </c>
      <c r="H720" s="177">
        <v>875423.60700000008</v>
      </c>
      <c r="I720" s="177">
        <v>1014420.4650000008</v>
      </c>
      <c r="J720" s="177">
        <v>1051207.1189999999</v>
      </c>
      <c r="K720" s="177">
        <v>1057388.5670000003</v>
      </c>
      <c r="L720" s="177">
        <v>819911.49484499986</v>
      </c>
      <c r="M720" s="177">
        <v>936923.25699999952</v>
      </c>
      <c r="N720" s="177">
        <v>1199064.0655779983</v>
      </c>
      <c r="O720" s="164">
        <v>11341874.933871999</v>
      </c>
      <c r="P720" s="329">
        <f>O720/$O$718</f>
        <v>0.32898660174498151</v>
      </c>
    </row>
    <row r="721" spans="1:16" s="8" customFormat="1" x14ac:dyDescent="0.35">
      <c r="B721" s="650" t="s">
        <v>42</v>
      </c>
      <c r="C721" s="177">
        <v>1412268.7090499974</v>
      </c>
      <c r="D721" s="177">
        <v>1805524.4297510055</v>
      </c>
      <c r="E721" s="177">
        <v>1755388.390563004</v>
      </c>
      <c r="F721" s="177">
        <v>1825503.8145370167</v>
      </c>
      <c r="G721" s="177">
        <v>1982244.2073920108</v>
      </c>
      <c r="H721" s="177">
        <v>1683886.2714609976</v>
      </c>
      <c r="I721" s="177">
        <v>1915483.6999300057</v>
      </c>
      <c r="J721" s="177">
        <v>2117111.1935200151</v>
      </c>
      <c r="K721" s="177">
        <v>1897523.5898300237</v>
      </c>
      <c r="L721" s="177">
        <v>1982096.0237359954</v>
      </c>
      <c r="M721" s="177">
        <v>1880199.1191800104</v>
      </c>
      <c r="N721" s="177">
        <v>1965894.6354490335</v>
      </c>
      <c r="O721" s="164">
        <v>22223124.084399115</v>
      </c>
      <c r="P721" s="329">
        <f t="shared" ref="P721:P722" si="2">O721/$O$718</f>
        <v>0.64461212236164034</v>
      </c>
    </row>
    <row r="722" spans="1:16" s="8" customFormat="1" ht="15" customHeight="1" x14ac:dyDescent="0.35">
      <c r="B722" s="650" t="s">
        <v>43</v>
      </c>
      <c r="C722" s="168">
        <v>75690.357310000065</v>
      </c>
      <c r="D722" s="168">
        <v>69366.035000000018</v>
      </c>
      <c r="E722" s="168">
        <v>73347.417809999897</v>
      </c>
      <c r="F722" s="168">
        <v>78150.995000000083</v>
      </c>
      <c r="G722" s="168">
        <v>91584.858880000029</v>
      </c>
      <c r="H722" s="168">
        <v>78195.948500000028</v>
      </c>
      <c r="I722" s="168">
        <v>61567.049499999834</v>
      </c>
      <c r="J722" s="168">
        <v>75835.091000000146</v>
      </c>
      <c r="K722" s="168">
        <v>71720.852999999915</v>
      </c>
      <c r="L722" s="168">
        <v>83171.379500000214</v>
      </c>
      <c r="M722" s="168">
        <v>75436.375000000247</v>
      </c>
      <c r="N722" s="168">
        <v>76122.588500000362</v>
      </c>
      <c r="O722" s="164">
        <v>910188.94900000072</v>
      </c>
      <c r="P722" s="329">
        <f t="shared" si="2"/>
        <v>2.6401275893378307E-2</v>
      </c>
    </row>
    <row r="723" spans="1:16" s="8" customFormat="1" x14ac:dyDescent="0.35">
      <c r="B723" s="650" t="s">
        <v>140</v>
      </c>
      <c r="C723" s="177">
        <v>59566.211310000057</v>
      </c>
      <c r="D723" s="177">
        <v>53503.825000000019</v>
      </c>
      <c r="E723" s="177">
        <v>54214.536809999889</v>
      </c>
      <c r="F723" s="177">
        <v>71009.83900000008</v>
      </c>
      <c r="G723" s="177">
        <v>74599.18988000002</v>
      </c>
      <c r="H723" s="177">
        <v>66174.580000000031</v>
      </c>
      <c r="I723" s="177">
        <v>53053.692999999832</v>
      </c>
      <c r="J723" s="177">
        <v>61664.971000000143</v>
      </c>
      <c r="K723" s="177">
        <v>49024.421999999919</v>
      </c>
      <c r="L723" s="177">
        <v>65601.790000000212</v>
      </c>
      <c r="M723" s="177">
        <v>59256.238000000245</v>
      </c>
      <c r="N723" s="177">
        <v>59211.822000000357</v>
      </c>
      <c r="O723" s="164">
        <v>726881.11800000083</v>
      </c>
    </row>
    <row r="724" spans="1:16" s="8" customFormat="1" x14ac:dyDescent="0.35">
      <c r="B724" s="652" t="s">
        <v>141</v>
      </c>
      <c r="C724" s="224">
        <v>16124.146000000001</v>
      </c>
      <c r="D724" s="224">
        <v>15862.210000000001</v>
      </c>
      <c r="E724" s="224">
        <v>19132.881000000001</v>
      </c>
      <c r="F724" s="224">
        <v>7141.155999999999</v>
      </c>
      <c r="G724" s="224">
        <v>16985.669000000002</v>
      </c>
      <c r="H724" s="224">
        <v>12021.3685</v>
      </c>
      <c r="I724" s="224">
        <v>8513.3564999999999</v>
      </c>
      <c r="J724" s="224">
        <v>14170.120000000004</v>
      </c>
      <c r="K724" s="224">
        <v>22696.430999999997</v>
      </c>
      <c r="L724" s="224">
        <v>17569.589500000002</v>
      </c>
      <c r="M724" s="224">
        <v>16180.136999999999</v>
      </c>
      <c r="N724" s="224">
        <v>16910.766499999998</v>
      </c>
      <c r="O724" s="225">
        <v>183307.83099999998</v>
      </c>
    </row>
    <row r="725" spans="1:16" s="3" customFormat="1" x14ac:dyDescent="0.35">
      <c r="B725" s="117"/>
      <c r="C725" s="133"/>
      <c r="D725" s="133"/>
      <c r="E725" s="133"/>
      <c r="F725" s="133"/>
      <c r="G725" s="133"/>
      <c r="H725" s="133"/>
      <c r="I725" s="133"/>
      <c r="J725" s="133"/>
      <c r="K725" s="133"/>
      <c r="L725" s="133"/>
      <c r="M725" s="133"/>
      <c r="N725" s="133"/>
      <c r="O725" s="134"/>
    </row>
    <row r="726" spans="1:16" s="3" customFormat="1" x14ac:dyDescent="0.35">
      <c r="B726" s="1068" t="s">
        <v>376</v>
      </c>
      <c r="C726" s="1068"/>
      <c r="D726" s="1068"/>
      <c r="E726" s="1068"/>
      <c r="F726" s="1068"/>
      <c r="G726" s="1068"/>
      <c r="H726" s="1068"/>
      <c r="I726" s="1068"/>
      <c r="J726" s="1068"/>
      <c r="K726" s="555">
        <v>2025</v>
      </c>
      <c r="L726" s="173"/>
      <c r="M726" s="173"/>
      <c r="N726" s="173"/>
      <c r="O726" s="173"/>
    </row>
    <row r="727" spans="1:16" s="3" customFormat="1" x14ac:dyDescent="0.35">
      <c r="B727" s="226"/>
      <c r="C727" s="227"/>
      <c r="D727" s="227"/>
      <c r="E727" s="227"/>
      <c r="F727" s="227"/>
      <c r="G727" s="227"/>
      <c r="H727" s="227"/>
      <c r="I727" s="227"/>
      <c r="J727" s="227"/>
      <c r="K727" s="227"/>
      <c r="L727" s="227"/>
      <c r="M727" s="227"/>
      <c r="N727" s="227"/>
      <c r="O727" s="228"/>
    </row>
    <row r="728" spans="1:16" s="3" customFormat="1" ht="15" customHeight="1" x14ac:dyDescent="0.35">
      <c r="B728" s="1074" t="s">
        <v>13</v>
      </c>
      <c r="C728" s="1072" t="s">
        <v>0</v>
      </c>
      <c r="D728" s="1072" t="s">
        <v>1</v>
      </c>
      <c r="E728" s="1072" t="s">
        <v>2</v>
      </c>
      <c r="F728" s="1072" t="s">
        <v>3</v>
      </c>
      <c r="G728" s="1072" t="s">
        <v>4</v>
      </c>
      <c r="H728" s="1072" t="s">
        <v>5</v>
      </c>
      <c r="I728" s="1072" t="s">
        <v>6</v>
      </c>
      <c r="J728" s="1072" t="s">
        <v>7</v>
      </c>
      <c r="K728" s="1072" t="s">
        <v>8</v>
      </c>
      <c r="L728" s="1072" t="s">
        <v>9</v>
      </c>
      <c r="M728" s="1072" t="s">
        <v>10</v>
      </c>
      <c r="N728" s="1072" t="s">
        <v>14</v>
      </c>
      <c r="O728" s="1074" t="s">
        <v>15</v>
      </c>
    </row>
    <row r="729" spans="1:16" s="3" customFormat="1" ht="15" customHeight="1" x14ac:dyDescent="0.35">
      <c r="B729" s="1080"/>
      <c r="C729" s="1073"/>
      <c r="D729" s="1073"/>
      <c r="E729" s="1073"/>
      <c r="F729" s="1073"/>
      <c r="G729" s="1073"/>
      <c r="H729" s="1073"/>
      <c r="I729" s="1073"/>
      <c r="J729" s="1073"/>
      <c r="K729" s="1073"/>
      <c r="L729" s="1073"/>
      <c r="M729" s="1079"/>
      <c r="N729" s="1079"/>
      <c r="O729" s="1079"/>
    </row>
    <row r="730" spans="1:16" s="3" customFormat="1" x14ac:dyDescent="0.35">
      <c r="B730" s="229"/>
      <c r="C730" s="632">
        <v>-2.6542693376541138E-8</v>
      </c>
      <c r="D730" s="632">
        <v>7.9162418842315674E-9</v>
      </c>
      <c r="E730" s="632">
        <v>8.3819031715393066E-9</v>
      </c>
      <c r="F730" s="632">
        <v>-1.3038516044616699E-8</v>
      </c>
      <c r="G730" s="632">
        <v>-2.1886080503463745E-8</v>
      </c>
      <c r="H730" s="632">
        <v>-3.9115548133850098E-8</v>
      </c>
      <c r="I730" s="632">
        <v>-2.2351741790771484E-8</v>
      </c>
      <c r="J730" s="632">
        <v>3.0733644962310791E-8</v>
      </c>
      <c r="K730" s="632">
        <v>1.862645149230957E-8</v>
      </c>
      <c r="L730" s="632">
        <v>-8.8941305875778198E-8</v>
      </c>
      <c r="M730" s="632">
        <v>-3.3993273973464966E-8</v>
      </c>
      <c r="N730" s="632">
        <v>1.3504177331924438E-8</v>
      </c>
      <c r="O730" s="230"/>
    </row>
    <row r="731" spans="1:16" s="3" customFormat="1" x14ac:dyDescent="0.35">
      <c r="A731" s="359"/>
      <c r="B731" s="110" t="s">
        <v>216</v>
      </c>
      <c r="C731" s="111">
        <v>424884.94919999986</v>
      </c>
      <c r="D731" s="111">
        <v>477270.77754999901</v>
      </c>
      <c r="E731" s="111">
        <v>390722.21295000013</v>
      </c>
      <c r="F731" s="111">
        <v>331857.64700000006</v>
      </c>
      <c r="G731" s="111">
        <v>474495.33335999824</v>
      </c>
      <c r="H731" s="111">
        <v>313813.55962000013</v>
      </c>
      <c r="I731" s="111">
        <v>362224.86531999987</v>
      </c>
      <c r="J731" s="111">
        <v>361575.61399999942</v>
      </c>
      <c r="K731" s="111">
        <v>263192.18733999971</v>
      </c>
      <c r="L731" s="111">
        <v>239903.43799999999</v>
      </c>
      <c r="M731" s="111">
        <v>310883.90799999959</v>
      </c>
      <c r="N731" s="111">
        <v>409835.34099999949</v>
      </c>
      <c r="O731" s="112">
        <v>4360659.8333399957</v>
      </c>
    </row>
    <row r="732" spans="1:16" s="3" customFormat="1" x14ac:dyDescent="0.35">
      <c r="A732" s="359"/>
      <c r="B732" s="653" t="s">
        <v>218</v>
      </c>
      <c r="C732" s="131">
        <v>417358.79219999985</v>
      </c>
      <c r="D732" s="131">
        <v>472400.98254999903</v>
      </c>
      <c r="E732" s="131">
        <v>389404.90795000014</v>
      </c>
      <c r="F732" s="131">
        <v>329473.05900000007</v>
      </c>
      <c r="G732" s="131">
        <v>471563.53835999826</v>
      </c>
      <c r="H732" s="131">
        <v>311663.33962000016</v>
      </c>
      <c r="I732" s="131">
        <v>361821.54531999986</v>
      </c>
      <c r="J732" s="131">
        <v>359073.6759999994</v>
      </c>
      <c r="K732" s="131">
        <v>259227.53733999972</v>
      </c>
      <c r="L732" s="131">
        <v>237547.85800000001</v>
      </c>
      <c r="M732" s="131">
        <v>309601.74199999956</v>
      </c>
      <c r="N732" s="131">
        <v>408420.34099999949</v>
      </c>
      <c r="O732" s="165">
        <v>4327557.3193399962</v>
      </c>
    </row>
    <row r="733" spans="1:16" s="3" customFormat="1" x14ac:dyDescent="0.35">
      <c r="B733" s="653" t="s">
        <v>219</v>
      </c>
      <c r="C733" s="137">
        <v>7526.1570000000002</v>
      </c>
      <c r="D733" s="137">
        <v>4869.7950000000001</v>
      </c>
      <c r="E733" s="137">
        <v>1317.3050000000001</v>
      </c>
      <c r="F733" s="137">
        <v>2384.5880000000002</v>
      </c>
      <c r="G733" s="137">
        <v>2931.7950000000001</v>
      </c>
      <c r="H733" s="137">
        <v>2150.2200000000003</v>
      </c>
      <c r="I733" s="137">
        <v>403.32</v>
      </c>
      <c r="J733" s="137">
        <v>2501.9380000000001</v>
      </c>
      <c r="K733" s="137">
        <v>3964.65</v>
      </c>
      <c r="L733" s="137">
        <v>2355.58</v>
      </c>
      <c r="M733" s="137">
        <v>1282.1660000000002</v>
      </c>
      <c r="N733" s="137">
        <v>1415</v>
      </c>
      <c r="O733" s="165">
        <v>33102.51400000001</v>
      </c>
    </row>
    <row r="734" spans="1:16" s="3" customFormat="1" x14ac:dyDescent="0.35">
      <c r="B734" s="110"/>
      <c r="C734" s="632">
        <v>3.2596290111541748E-9</v>
      </c>
      <c r="D734" s="632">
        <v>5.3551048040390015E-9</v>
      </c>
      <c r="E734" s="632">
        <v>-3.9581209421157837E-9</v>
      </c>
      <c r="F734" s="632">
        <v>5.5879354476928711E-9</v>
      </c>
      <c r="G734" s="632">
        <v>1.4901161193847656E-8</v>
      </c>
      <c r="H734" s="632">
        <v>1.0011717677116394E-8</v>
      </c>
      <c r="I734" s="632">
        <v>4.6566128730773926E-9</v>
      </c>
      <c r="J734" s="632">
        <v>-1.7695128917694092E-8</v>
      </c>
      <c r="K734" s="632">
        <v>8.6147338151931763E-9</v>
      </c>
      <c r="L734" s="632">
        <v>9.5460563898086548E-9</v>
      </c>
      <c r="M734" s="632">
        <v>1.8160790205001831E-8</v>
      </c>
      <c r="N734" s="632">
        <v>1.909211277961731E-8</v>
      </c>
      <c r="O734" s="112"/>
    </row>
    <row r="735" spans="1:16" s="3" customFormat="1" x14ac:dyDescent="0.35">
      <c r="A735" s="359"/>
      <c r="B735" s="113" t="s">
        <v>217</v>
      </c>
      <c r="C735" s="111">
        <v>400298.76017400145</v>
      </c>
      <c r="D735" s="111">
        <v>387578.09900000092</v>
      </c>
      <c r="E735" s="111">
        <v>493977.13400000019</v>
      </c>
      <c r="F735" s="111">
        <v>342418.81195000053</v>
      </c>
      <c r="G735" s="111">
        <v>395842.44699999952</v>
      </c>
      <c r="H735" s="111">
        <v>345389.20099999924</v>
      </c>
      <c r="I735" s="111">
        <v>359058.11461999896</v>
      </c>
      <c r="J735" s="111">
        <v>320235.6859999997</v>
      </c>
      <c r="K735" s="111">
        <v>265881.88874999987</v>
      </c>
      <c r="L735" s="111">
        <v>229131.75100000016</v>
      </c>
      <c r="M735" s="111">
        <v>273845.3560000009</v>
      </c>
      <c r="N735" s="111">
        <v>347388.54499999958</v>
      </c>
      <c r="O735" s="112">
        <v>4161045.7944940012</v>
      </c>
    </row>
    <row r="736" spans="1:16" s="3" customFormat="1" x14ac:dyDescent="0.35">
      <c r="A736" s="359"/>
      <c r="B736" s="653" t="s">
        <v>218</v>
      </c>
      <c r="C736" s="131">
        <v>392032.35317400144</v>
      </c>
      <c r="D736" s="131">
        <v>387578.09900000092</v>
      </c>
      <c r="E736" s="131">
        <v>491990.09400000022</v>
      </c>
      <c r="F736" s="131">
        <v>340208.1619500005</v>
      </c>
      <c r="G736" s="131">
        <v>395842.44699999952</v>
      </c>
      <c r="H736" s="131">
        <v>343189.08099999925</v>
      </c>
      <c r="I736" s="131">
        <v>357206.03061999899</v>
      </c>
      <c r="J736" s="131">
        <v>320235.6859999997</v>
      </c>
      <c r="K736" s="131">
        <v>264592.04074999987</v>
      </c>
      <c r="L736" s="131">
        <v>227214.09100000016</v>
      </c>
      <c r="M736" s="131">
        <v>273845.3560000009</v>
      </c>
      <c r="N736" s="131">
        <v>347388.54499999958</v>
      </c>
      <c r="O736" s="165">
        <v>4141321.9854940008</v>
      </c>
    </row>
    <row r="737" spans="1:18" s="3" customFormat="1" x14ac:dyDescent="0.35">
      <c r="B737" s="653" t="s">
        <v>219</v>
      </c>
      <c r="C737" s="137">
        <v>8266.4069999999992</v>
      </c>
      <c r="D737" s="137">
        <v>0</v>
      </c>
      <c r="E737" s="137">
        <v>1987.04</v>
      </c>
      <c r="F737" s="137">
        <v>2210.65</v>
      </c>
      <c r="G737" s="137">
        <v>0</v>
      </c>
      <c r="H737" s="137">
        <v>2200.12</v>
      </c>
      <c r="I737" s="137">
        <v>1852.0839999999998</v>
      </c>
      <c r="J737" s="137">
        <v>0</v>
      </c>
      <c r="K737" s="137">
        <v>1289.848</v>
      </c>
      <c r="L737" s="137">
        <v>1917.6599999999999</v>
      </c>
      <c r="M737" s="137">
        <v>0</v>
      </c>
      <c r="N737" s="137">
        <v>0</v>
      </c>
      <c r="O737" s="165">
        <v>19723.808999999997</v>
      </c>
    </row>
    <row r="738" spans="1:18" s="3" customFormat="1" x14ac:dyDescent="0.35">
      <c r="B738" s="113"/>
      <c r="C738" s="231"/>
      <c r="D738" s="231"/>
      <c r="E738" s="231"/>
      <c r="F738" s="231"/>
      <c r="G738" s="231"/>
      <c r="H738" s="231"/>
      <c r="I738" s="231"/>
      <c r="J738" s="231"/>
      <c r="K738" s="231"/>
      <c r="L738" s="231"/>
      <c r="M738" s="231"/>
      <c r="N738" s="231"/>
      <c r="O738" s="112"/>
    </row>
    <row r="739" spans="1:18" s="3" customFormat="1" x14ac:dyDescent="0.35">
      <c r="B739" s="431" t="s">
        <v>36</v>
      </c>
      <c r="C739" s="140">
        <v>825183.70937400125</v>
      </c>
      <c r="D739" s="140">
        <v>864848.87654999993</v>
      </c>
      <c r="E739" s="140">
        <v>884699.34695000038</v>
      </c>
      <c r="F739" s="140">
        <v>674276.45895000058</v>
      </c>
      <c r="G739" s="140">
        <v>870337.78035999776</v>
      </c>
      <c r="H739" s="140">
        <v>659202.76061999938</v>
      </c>
      <c r="I739" s="140">
        <v>721282.97993999883</v>
      </c>
      <c r="J739" s="140">
        <v>681811.29999999912</v>
      </c>
      <c r="K739" s="140">
        <v>529074.07608999964</v>
      </c>
      <c r="L739" s="140">
        <v>469035.18900000013</v>
      </c>
      <c r="M739" s="140">
        <v>584729.26400000043</v>
      </c>
      <c r="N739" s="140">
        <v>757223.88599999901</v>
      </c>
      <c r="O739" s="141">
        <v>8521705.627833996</v>
      </c>
      <c r="Q739" s="329">
        <f>O1109/O739</f>
        <v>0.98973407357392695</v>
      </c>
      <c r="R739" s="712" t="s">
        <v>421</v>
      </c>
    </row>
    <row r="740" spans="1:18" s="3" customFormat="1" x14ac:dyDescent="0.35">
      <c r="B740" s="653" t="s">
        <v>218</v>
      </c>
      <c r="C740" s="232">
        <v>809391.14537400124</v>
      </c>
      <c r="D740" s="232">
        <v>859979.08155</v>
      </c>
      <c r="E740" s="232">
        <v>881395.00195000041</v>
      </c>
      <c r="F740" s="232">
        <v>669681.22095000057</v>
      </c>
      <c r="G740" s="232">
        <v>867405.98535999772</v>
      </c>
      <c r="H740" s="232">
        <v>654852.42061999941</v>
      </c>
      <c r="I740" s="232">
        <v>719027.57593999885</v>
      </c>
      <c r="J740" s="232">
        <v>679309.36199999903</v>
      </c>
      <c r="K740" s="232">
        <v>523819.57808999962</v>
      </c>
      <c r="L740" s="232">
        <v>464761.94900000014</v>
      </c>
      <c r="M740" s="232">
        <v>583447.09800000046</v>
      </c>
      <c r="N740" s="232">
        <v>755808.88599999901</v>
      </c>
      <c r="O740" s="165">
        <v>8468879.304833997</v>
      </c>
      <c r="Q740" s="329">
        <f>1-Q739</f>
        <v>1.0265926426073047E-2</v>
      </c>
      <c r="R740" s="712" t="s">
        <v>422</v>
      </c>
    </row>
    <row r="741" spans="1:18" s="3" customFormat="1" x14ac:dyDescent="0.35">
      <c r="B741" s="653" t="s">
        <v>219</v>
      </c>
      <c r="C741" s="232">
        <v>15792.563999999998</v>
      </c>
      <c r="D741" s="232">
        <v>4869.7950000000001</v>
      </c>
      <c r="E741" s="232">
        <v>3304.3450000000003</v>
      </c>
      <c r="F741" s="232">
        <v>4595.2380000000003</v>
      </c>
      <c r="G741" s="232">
        <v>2931.7950000000001</v>
      </c>
      <c r="H741" s="232">
        <v>4350.34</v>
      </c>
      <c r="I741" s="232">
        <v>2255.404</v>
      </c>
      <c r="J741" s="232">
        <v>2501.9380000000001</v>
      </c>
      <c r="K741" s="232">
        <v>5254.4979999999996</v>
      </c>
      <c r="L741" s="232">
        <v>4273.24</v>
      </c>
      <c r="M741" s="232">
        <v>1282.1660000000002</v>
      </c>
      <c r="N741" s="232">
        <v>1415</v>
      </c>
      <c r="O741" s="165">
        <v>52826.323000000004</v>
      </c>
    </row>
    <row r="742" spans="1:18" s="3" customFormat="1" x14ac:dyDescent="0.35">
      <c r="B742" s="115"/>
      <c r="C742" s="116"/>
      <c r="D742" s="116"/>
      <c r="E742" s="116"/>
      <c r="F742" s="116"/>
      <c r="G742" s="116"/>
      <c r="H742" s="116"/>
      <c r="I742" s="116"/>
      <c r="J742" s="116"/>
      <c r="K742" s="116"/>
      <c r="L742" s="116"/>
      <c r="M742" s="116"/>
      <c r="N742" s="116"/>
      <c r="O742" s="233"/>
    </row>
    <row r="743" spans="1:18" s="3" customFormat="1" x14ac:dyDescent="0.35">
      <c r="B743" s="125"/>
      <c r="C743" s="106"/>
      <c r="D743" s="554"/>
      <c r="E743" s="554"/>
      <c r="F743" s="554"/>
      <c r="G743" s="554"/>
      <c r="H743" s="554"/>
      <c r="I743" s="554"/>
      <c r="J743" s="554"/>
      <c r="K743" s="554"/>
      <c r="L743" s="554"/>
      <c r="M743" s="554"/>
      <c r="N743" s="554"/>
      <c r="O743" s="8"/>
    </row>
    <row r="744" spans="1:18" s="3" customFormat="1" x14ac:dyDescent="0.35">
      <c r="B744" s="1068" t="s">
        <v>377</v>
      </c>
      <c r="C744" s="1068"/>
      <c r="D744" s="1068"/>
      <c r="E744" s="1068"/>
      <c r="F744" s="1068"/>
      <c r="G744" s="1068"/>
      <c r="H744" s="1068"/>
      <c r="I744" s="1068"/>
      <c r="J744" s="1068"/>
      <c r="K744" s="555">
        <v>2025</v>
      </c>
      <c r="L744" s="173"/>
      <c r="M744" s="173"/>
      <c r="N744" s="173"/>
      <c r="O744" s="173"/>
    </row>
    <row r="745" spans="1:18" s="3" customFormat="1" x14ac:dyDescent="0.35">
      <c r="B745" s="8"/>
      <c r="C745" s="106"/>
      <c r="D745" s="554"/>
      <c r="E745" s="554"/>
      <c r="F745" s="554"/>
      <c r="G745" s="554"/>
      <c r="H745" s="554"/>
      <c r="I745" s="554"/>
      <c r="J745" s="554"/>
      <c r="K745" s="554"/>
      <c r="L745" s="554"/>
      <c r="M745" s="554"/>
      <c r="N745" s="554"/>
      <c r="O745" s="8"/>
    </row>
    <row r="746" spans="1:18" s="3" customFormat="1" ht="15" customHeight="1" x14ac:dyDescent="0.35">
      <c r="B746" s="1074" t="s">
        <v>13</v>
      </c>
      <c r="C746" s="1070" t="s">
        <v>0</v>
      </c>
      <c r="D746" s="1070" t="s">
        <v>1</v>
      </c>
      <c r="E746" s="1070" t="s">
        <v>2</v>
      </c>
      <c r="F746" s="1070" t="s">
        <v>3</v>
      </c>
      <c r="G746" s="1070" t="s">
        <v>4</v>
      </c>
      <c r="H746" s="1070" t="s">
        <v>5</v>
      </c>
      <c r="I746" s="1070" t="s">
        <v>6</v>
      </c>
      <c r="J746" s="1070" t="s">
        <v>7</v>
      </c>
      <c r="K746" s="1070" t="s">
        <v>8</v>
      </c>
      <c r="L746" s="1070" t="s">
        <v>9</v>
      </c>
      <c r="M746" s="1070" t="s">
        <v>10</v>
      </c>
      <c r="N746" s="1070" t="s">
        <v>14</v>
      </c>
      <c r="O746" s="1074" t="s">
        <v>15</v>
      </c>
    </row>
    <row r="747" spans="1:18" s="3" customFormat="1" ht="15" customHeight="1" x14ac:dyDescent="0.35">
      <c r="B747" s="1080"/>
      <c r="C747" s="1071"/>
      <c r="D747" s="1071"/>
      <c r="E747" s="1071"/>
      <c r="F747" s="1071"/>
      <c r="G747" s="1071"/>
      <c r="H747" s="1071"/>
      <c r="I747" s="1071"/>
      <c r="J747" s="1071"/>
      <c r="K747" s="1071"/>
      <c r="L747" s="1071"/>
      <c r="M747" s="1078"/>
      <c r="N747" s="1078"/>
      <c r="O747" s="1079"/>
    </row>
    <row r="748" spans="1:18" s="3" customFormat="1" x14ac:dyDescent="0.35">
      <c r="B748" s="107"/>
      <c r="C748" s="632">
        <v>9.0722096501849592E-11</v>
      </c>
      <c r="D748" s="632">
        <v>4.8294168664142489E-10</v>
      </c>
      <c r="E748" s="632">
        <v>-1.7507773009128869E-11</v>
      </c>
      <c r="F748" s="632">
        <v>-6.8212102632969618E-12</v>
      </c>
      <c r="G748" s="632">
        <v>2.5465851649641991E-11</v>
      </c>
      <c r="H748" s="632">
        <v>-6.1390892369672656E-12</v>
      </c>
      <c r="I748" s="632">
        <v>2.6375346351414919E-11</v>
      </c>
      <c r="J748" s="632">
        <v>-5.0476955948397517E-11</v>
      </c>
      <c r="K748" s="632">
        <v>-3.9563019527122378E-11</v>
      </c>
      <c r="L748" s="632">
        <v>6.0481397667899728E-11</v>
      </c>
      <c r="M748" s="632">
        <v>-5.3205440053716302E-11</v>
      </c>
      <c r="N748" s="632">
        <v>-1.4233592082746327E-10</v>
      </c>
      <c r="O748" s="107"/>
    </row>
    <row r="749" spans="1:18" s="3" customFormat="1" x14ac:dyDescent="0.35">
      <c r="A749" s="359"/>
      <c r="B749" s="110" t="s">
        <v>216</v>
      </c>
      <c r="C749" s="234">
        <v>304400.91302200023</v>
      </c>
      <c r="D749" s="111">
        <v>273651.33513999917</v>
      </c>
      <c r="E749" s="111">
        <v>160027.19511999976</v>
      </c>
      <c r="F749" s="111">
        <v>400442.71216000052</v>
      </c>
      <c r="G749" s="111">
        <v>325377.11487000086</v>
      </c>
      <c r="H749" s="111">
        <v>233401.85830999987</v>
      </c>
      <c r="I749" s="111">
        <v>410240.91276000126</v>
      </c>
      <c r="J749" s="111">
        <v>330368.45600000187</v>
      </c>
      <c r="K749" s="111">
        <v>229136.33500000075</v>
      </c>
      <c r="L749" s="111">
        <v>292322.99071000022</v>
      </c>
      <c r="M749" s="111">
        <v>197571.22449999972</v>
      </c>
      <c r="N749" s="111">
        <v>270718.86920000019</v>
      </c>
      <c r="O749" s="112">
        <v>3427659.9167920044</v>
      </c>
    </row>
    <row r="750" spans="1:18" s="3" customFormat="1" x14ac:dyDescent="0.35">
      <c r="A750" s="359"/>
      <c r="B750" s="110"/>
      <c r="C750" s="234"/>
      <c r="D750" s="654"/>
      <c r="E750" s="654"/>
      <c r="F750" s="654"/>
      <c r="G750" s="654"/>
      <c r="H750" s="654"/>
      <c r="I750" s="654"/>
      <c r="J750" s="111"/>
      <c r="K750" s="111"/>
      <c r="L750" s="111"/>
      <c r="M750" s="111"/>
      <c r="N750" s="111"/>
      <c r="O750" s="112"/>
    </row>
    <row r="751" spans="1:18" s="3" customFormat="1" x14ac:dyDescent="0.35">
      <c r="B751" s="235" t="s">
        <v>131</v>
      </c>
      <c r="C751" s="131">
        <v>204792.99630200004</v>
      </c>
      <c r="D751" s="131">
        <v>198919.75913999934</v>
      </c>
      <c r="E751" s="131">
        <v>102852.09111999968</v>
      </c>
      <c r="F751" s="131">
        <v>305181.16816000047</v>
      </c>
      <c r="G751" s="131">
        <v>221559.0296200006</v>
      </c>
      <c r="H751" s="131">
        <v>180486.49799999976</v>
      </c>
      <c r="I751" s="131">
        <v>275939.70926000149</v>
      </c>
      <c r="J751" s="131">
        <v>229038.75300000195</v>
      </c>
      <c r="K751" s="131">
        <v>134051.95900000099</v>
      </c>
      <c r="L751" s="131">
        <v>156907.52271000046</v>
      </c>
      <c r="M751" s="131">
        <v>100871.88049999937</v>
      </c>
      <c r="N751" s="131">
        <v>176335.61420000042</v>
      </c>
      <c r="O751" s="138">
        <v>2286936.9810120044</v>
      </c>
    </row>
    <row r="752" spans="1:18" s="3" customFormat="1" x14ac:dyDescent="0.35">
      <c r="B752" s="235" t="s">
        <v>132</v>
      </c>
      <c r="C752" s="131">
        <v>97186.933720000161</v>
      </c>
      <c r="D752" s="131">
        <v>72429.536999999851</v>
      </c>
      <c r="E752" s="131">
        <v>55691.411000000073</v>
      </c>
      <c r="F752" s="131">
        <v>94879.528000000078</v>
      </c>
      <c r="G752" s="131">
        <v>101691.91925000022</v>
      </c>
      <c r="H752" s="131">
        <v>49799.779310000093</v>
      </c>
      <c r="I752" s="131">
        <v>118282.18749999977</v>
      </c>
      <c r="J752" s="131">
        <v>99886.648999999903</v>
      </c>
      <c r="K752" s="131">
        <v>92696.333999999784</v>
      </c>
      <c r="L752" s="131">
        <v>131319.31999999975</v>
      </c>
      <c r="M752" s="131">
        <v>93770.22600000033</v>
      </c>
      <c r="N752" s="131">
        <v>89981.484999999768</v>
      </c>
      <c r="O752" s="138">
        <v>1097615.3097799998</v>
      </c>
    </row>
    <row r="753" spans="1:22" s="3" customFormat="1" x14ac:dyDescent="0.35">
      <c r="B753" s="235" t="s">
        <v>133</v>
      </c>
      <c r="C753" s="131">
        <v>43.558999999999997</v>
      </c>
      <c r="D753" s="131">
        <v>0</v>
      </c>
      <c r="E753" s="131">
        <v>0</v>
      </c>
      <c r="F753" s="131">
        <v>3.56</v>
      </c>
      <c r="G753" s="131">
        <v>0</v>
      </c>
      <c r="H753" s="131">
        <v>7.62</v>
      </c>
      <c r="I753" s="131">
        <v>0</v>
      </c>
      <c r="J753" s="131">
        <v>23</v>
      </c>
      <c r="K753" s="131">
        <v>0</v>
      </c>
      <c r="L753" s="131">
        <v>0</v>
      </c>
      <c r="M753" s="131">
        <v>8.6</v>
      </c>
      <c r="N753" s="131">
        <v>0</v>
      </c>
      <c r="O753" s="138">
        <v>86.338999999999999</v>
      </c>
    </row>
    <row r="754" spans="1:22" s="3" customFormat="1" x14ac:dyDescent="0.35">
      <c r="B754" s="235" t="s">
        <v>142</v>
      </c>
      <c r="C754" s="131">
        <v>2377.4240000000004</v>
      </c>
      <c r="D754" s="131">
        <v>2302.0390000000007</v>
      </c>
      <c r="E754" s="131">
        <v>1483.6929999999998</v>
      </c>
      <c r="F754" s="131">
        <v>378.45600000000002</v>
      </c>
      <c r="G754" s="131">
        <v>2126.1659999999997</v>
      </c>
      <c r="H754" s="131">
        <v>3107.9609999999998</v>
      </c>
      <c r="I754" s="131">
        <v>16019.016000000001</v>
      </c>
      <c r="J754" s="131">
        <v>1420.0539999999994</v>
      </c>
      <c r="K754" s="131">
        <v>2388.0420000000004</v>
      </c>
      <c r="L754" s="131">
        <v>4096.1480000000001</v>
      </c>
      <c r="M754" s="131">
        <v>2920.5179999999996</v>
      </c>
      <c r="N754" s="131">
        <v>4401.7700000000004</v>
      </c>
      <c r="O754" s="138">
        <v>43021.286999999997</v>
      </c>
    </row>
    <row r="755" spans="1:22" s="3" customFormat="1" x14ac:dyDescent="0.35">
      <c r="B755" s="236"/>
      <c r="C755" s="632">
        <v>0</v>
      </c>
      <c r="D755" s="632">
        <v>0</v>
      </c>
      <c r="E755" s="632">
        <v>0</v>
      </c>
      <c r="F755" s="632">
        <v>0</v>
      </c>
      <c r="G755" s="632">
        <v>0</v>
      </c>
      <c r="H755" s="632">
        <v>0</v>
      </c>
      <c r="I755" s="632">
        <v>0</v>
      </c>
      <c r="J755" s="632">
        <v>0</v>
      </c>
      <c r="K755" s="632">
        <v>0</v>
      </c>
      <c r="L755" s="632">
        <v>0</v>
      </c>
      <c r="M755" s="632">
        <v>0</v>
      </c>
      <c r="N755" s="632">
        <v>0</v>
      </c>
      <c r="O755" s="130"/>
    </row>
    <row r="756" spans="1:22" ht="15" customHeight="1" x14ac:dyDescent="0.35">
      <c r="A756" s="359"/>
      <c r="B756" s="110" t="s">
        <v>217</v>
      </c>
      <c r="C756" s="234">
        <v>10136.486410000001</v>
      </c>
      <c r="D756" s="111">
        <v>13152.375</v>
      </c>
      <c r="E756" s="111">
        <v>16667.41699999999</v>
      </c>
      <c r="F756" s="234">
        <v>13662.660000000002</v>
      </c>
      <c r="G756" s="111">
        <v>14610.394999999997</v>
      </c>
      <c r="H756" s="111">
        <v>95463.373000000123</v>
      </c>
      <c r="I756" s="111">
        <v>12301.045999999995</v>
      </c>
      <c r="J756" s="111">
        <v>17000.585999999992</v>
      </c>
      <c r="K756" s="111">
        <v>61318.59199999999</v>
      </c>
      <c r="L756" s="111">
        <v>139953.77000000005</v>
      </c>
      <c r="M756" s="111">
        <v>15474.128999999995</v>
      </c>
      <c r="N756" s="111">
        <v>101306.76940000003</v>
      </c>
      <c r="O756" s="112">
        <v>511047.59881000023</v>
      </c>
      <c r="P756" s="3"/>
      <c r="Q756" s="3"/>
      <c r="R756" s="3"/>
      <c r="S756" s="3"/>
      <c r="T756" s="3"/>
      <c r="U756" s="3"/>
      <c r="V756" s="3"/>
    </row>
    <row r="757" spans="1:22" x14ac:dyDescent="0.35">
      <c r="A757" s="359"/>
      <c r="B757" s="110"/>
      <c r="C757" s="234"/>
      <c r="D757" s="654"/>
      <c r="E757" s="654"/>
      <c r="F757" s="654"/>
      <c r="G757" s="654"/>
      <c r="H757" s="654"/>
      <c r="I757" s="654"/>
      <c r="J757" s="111"/>
      <c r="K757" s="111"/>
      <c r="L757" s="111"/>
      <c r="M757" s="111"/>
      <c r="N757" s="111"/>
      <c r="O757" s="112"/>
    </row>
    <row r="758" spans="1:22" s="3" customFormat="1" x14ac:dyDescent="0.35">
      <c r="B758" s="235" t="s">
        <v>131</v>
      </c>
      <c r="C758" s="131">
        <v>6133.5364099999997</v>
      </c>
      <c r="D758" s="131">
        <v>9050.2849999999999</v>
      </c>
      <c r="E758" s="131">
        <v>11056.81699999999</v>
      </c>
      <c r="F758" s="131">
        <v>6327.572000000001</v>
      </c>
      <c r="G758" s="131">
        <v>6579.4500000000053</v>
      </c>
      <c r="H758" s="131">
        <v>7106.8659999999973</v>
      </c>
      <c r="I758" s="131">
        <v>8958.0759999999955</v>
      </c>
      <c r="J758" s="131">
        <v>8958.1119999999919</v>
      </c>
      <c r="K758" s="131">
        <v>4886.5720000000001</v>
      </c>
      <c r="L758" s="131">
        <v>3689.0440000000003</v>
      </c>
      <c r="M758" s="131">
        <v>3599.2490000000012</v>
      </c>
      <c r="N758" s="131">
        <v>3402.3493999999996</v>
      </c>
      <c r="O758" s="138">
        <v>79747.928809999969</v>
      </c>
      <c r="P758" s="324"/>
      <c r="Q758" s="324"/>
      <c r="R758" s="324"/>
      <c r="S758" s="324"/>
      <c r="T758" s="324"/>
      <c r="U758" s="324"/>
      <c r="V758" s="324"/>
    </row>
    <row r="759" spans="1:22" s="3" customFormat="1" x14ac:dyDescent="0.35">
      <c r="B759" s="235" t="s">
        <v>132</v>
      </c>
      <c r="C759" s="131">
        <v>4002.9500000000007</v>
      </c>
      <c r="D759" s="131">
        <v>4102.09</v>
      </c>
      <c r="E759" s="131">
        <v>5610.5999999999995</v>
      </c>
      <c r="F759" s="131">
        <v>7335.0880000000006</v>
      </c>
      <c r="G759" s="131">
        <v>8030.9449999999924</v>
      </c>
      <c r="H759" s="131">
        <v>88356.507000000129</v>
      </c>
      <c r="I759" s="131">
        <v>3342.9699999999993</v>
      </c>
      <c r="J759" s="131">
        <v>8042.4740000000011</v>
      </c>
      <c r="K759" s="131">
        <v>56432.01999999999</v>
      </c>
      <c r="L759" s="131">
        <v>136264.72600000005</v>
      </c>
      <c r="M759" s="131">
        <v>11874.879999999994</v>
      </c>
      <c r="N759" s="131">
        <v>97904.420000000027</v>
      </c>
      <c r="O759" s="138">
        <v>431299.67000000022</v>
      </c>
    </row>
    <row r="760" spans="1:22" s="3" customFormat="1" x14ac:dyDescent="0.35">
      <c r="B760" s="235" t="s">
        <v>133</v>
      </c>
      <c r="C760" s="131">
        <v>0</v>
      </c>
      <c r="D760" s="131">
        <v>0</v>
      </c>
      <c r="E760" s="131">
        <v>0</v>
      </c>
      <c r="F760" s="131">
        <v>0</v>
      </c>
      <c r="G760" s="131">
        <v>0</v>
      </c>
      <c r="H760" s="131">
        <v>0</v>
      </c>
      <c r="I760" s="131">
        <v>0</v>
      </c>
      <c r="J760" s="131">
        <v>0</v>
      </c>
      <c r="K760" s="131">
        <v>0</v>
      </c>
      <c r="L760" s="131">
        <v>0</v>
      </c>
      <c r="M760" s="131">
        <v>0</v>
      </c>
      <c r="N760" s="131">
        <v>0</v>
      </c>
      <c r="O760" s="138">
        <v>0</v>
      </c>
    </row>
    <row r="761" spans="1:22" s="3" customFormat="1" x14ac:dyDescent="0.35">
      <c r="B761" s="235" t="s">
        <v>142</v>
      </c>
      <c r="C761" s="131">
        <v>0</v>
      </c>
      <c r="D761" s="131">
        <v>0</v>
      </c>
      <c r="E761" s="131">
        <v>0</v>
      </c>
      <c r="F761" s="131">
        <v>0</v>
      </c>
      <c r="G761" s="131">
        <v>0</v>
      </c>
      <c r="H761" s="131">
        <v>0</v>
      </c>
      <c r="I761" s="131">
        <v>0</v>
      </c>
      <c r="J761" s="131">
        <v>0</v>
      </c>
      <c r="K761" s="131">
        <v>0</v>
      </c>
      <c r="L761" s="131">
        <v>0</v>
      </c>
      <c r="M761" s="131">
        <v>0</v>
      </c>
      <c r="N761" s="131">
        <v>0</v>
      </c>
      <c r="O761" s="138">
        <v>0</v>
      </c>
    </row>
    <row r="762" spans="1:22" s="3" customFormat="1" x14ac:dyDescent="0.35">
      <c r="B762" s="235"/>
      <c r="C762" s="29"/>
      <c r="D762" s="29"/>
      <c r="E762" s="29"/>
      <c r="F762" s="29"/>
      <c r="G762" s="29"/>
      <c r="H762" s="29"/>
      <c r="I762" s="29"/>
      <c r="J762" s="29"/>
      <c r="K762" s="29"/>
      <c r="L762" s="29"/>
      <c r="M762" s="29"/>
      <c r="N762" s="29"/>
      <c r="O762" s="138"/>
    </row>
    <row r="763" spans="1:22" s="3" customFormat="1" x14ac:dyDescent="0.35">
      <c r="B763" s="431" t="s">
        <v>36</v>
      </c>
      <c r="C763" s="140">
        <v>314537.39943200024</v>
      </c>
      <c r="D763" s="140">
        <v>286803.71013999917</v>
      </c>
      <c r="E763" s="140">
        <v>176694.61211999974</v>
      </c>
      <c r="F763" s="140">
        <v>414105.37216000049</v>
      </c>
      <c r="G763" s="140">
        <v>339987.50987000088</v>
      </c>
      <c r="H763" s="140">
        <v>328865.23131</v>
      </c>
      <c r="I763" s="140">
        <v>422541.95876000123</v>
      </c>
      <c r="J763" s="140">
        <v>347369.04200000188</v>
      </c>
      <c r="K763" s="140">
        <v>290454.92700000072</v>
      </c>
      <c r="L763" s="140">
        <v>432276.76071000029</v>
      </c>
      <c r="M763" s="140">
        <v>213045.35349999971</v>
      </c>
      <c r="N763" s="140">
        <v>372025.63860000024</v>
      </c>
      <c r="O763" s="141">
        <v>3938707.5156020042</v>
      </c>
    </row>
    <row r="764" spans="1:22" s="3" customFormat="1" x14ac:dyDescent="0.35">
      <c r="B764" s="237"/>
      <c r="C764" s="143"/>
      <c r="D764" s="143"/>
      <c r="E764" s="143"/>
      <c r="F764" s="143"/>
      <c r="G764" s="143"/>
      <c r="H764" s="143"/>
      <c r="I764" s="143"/>
      <c r="J764" s="143"/>
      <c r="K764" s="143"/>
      <c r="L764" s="143"/>
      <c r="M764" s="143"/>
      <c r="N764" s="143"/>
      <c r="O764" s="142"/>
    </row>
    <row r="765" spans="1:22" s="3" customFormat="1" x14ac:dyDescent="0.35">
      <c r="B765" s="235" t="s">
        <v>131</v>
      </c>
      <c r="C765" s="29">
        <v>210926.53271200004</v>
      </c>
      <c r="D765" s="29">
        <v>207970.04413999934</v>
      </c>
      <c r="E765" s="29">
        <v>113908.90811999967</v>
      </c>
      <c r="F765" s="29">
        <v>311508.74016000045</v>
      </c>
      <c r="G765" s="29">
        <v>228138.47962000061</v>
      </c>
      <c r="H765" s="29">
        <v>187593.36399999977</v>
      </c>
      <c r="I765" s="29">
        <v>284897.78526000149</v>
      </c>
      <c r="J765" s="29">
        <v>237996.86500000194</v>
      </c>
      <c r="K765" s="29">
        <v>138938.53100000101</v>
      </c>
      <c r="L765" s="29">
        <v>160596.56671000045</v>
      </c>
      <c r="M765" s="29">
        <v>104471.12949999937</v>
      </c>
      <c r="N765" s="29">
        <v>179737.96360000042</v>
      </c>
      <c r="O765" s="138">
        <v>2366684.9098220044</v>
      </c>
      <c r="P765" s="28">
        <f>O765/$O$763</f>
        <v>0.60087856243376658</v>
      </c>
    </row>
    <row r="766" spans="1:22" s="3" customFormat="1" x14ac:dyDescent="0.35">
      <c r="B766" s="235" t="s">
        <v>132</v>
      </c>
      <c r="C766" s="29">
        <v>101189.88372000016</v>
      </c>
      <c r="D766" s="29">
        <v>76531.626999999848</v>
      </c>
      <c r="E766" s="29">
        <v>61302.011000000071</v>
      </c>
      <c r="F766" s="29">
        <v>102214.61600000008</v>
      </c>
      <c r="G766" s="29">
        <v>109722.86425000022</v>
      </c>
      <c r="H766" s="29">
        <v>138156.28631000023</v>
      </c>
      <c r="I766" s="29">
        <v>121625.15749999977</v>
      </c>
      <c r="J766" s="29">
        <v>107929.12299999991</v>
      </c>
      <c r="K766" s="29">
        <v>149128.35399999976</v>
      </c>
      <c r="L766" s="29">
        <v>267584.0459999998</v>
      </c>
      <c r="M766" s="29">
        <v>105645.10600000032</v>
      </c>
      <c r="N766" s="29">
        <v>187885.9049999998</v>
      </c>
      <c r="O766" s="138">
        <v>1528914.9797800002</v>
      </c>
      <c r="P766" s="28">
        <f t="shared" ref="P766:P768" si="3">O766/$O$763</f>
        <v>0.38817682544937993</v>
      </c>
    </row>
    <row r="767" spans="1:22" s="3" customFormat="1" x14ac:dyDescent="0.35">
      <c r="B767" s="235" t="s">
        <v>133</v>
      </c>
      <c r="C767" s="29">
        <v>43.558999999999997</v>
      </c>
      <c r="D767" s="29">
        <v>0</v>
      </c>
      <c r="E767" s="29">
        <v>0</v>
      </c>
      <c r="F767" s="29">
        <v>3.56</v>
      </c>
      <c r="G767" s="29">
        <v>0</v>
      </c>
      <c r="H767" s="29">
        <v>7.62</v>
      </c>
      <c r="I767" s="29">
        <v>0</v>
      </c>
      <c r="J767" s="29">
        <v>23</v>
      </c>
      <c r="K767" s="29">
        <v>0</v>
      </c>
      <c r="L767" s="29">
        <v>0</v>
      </c>
      <c r="M767" s="29">
        <v>8.6</v>
      </c>
      <c r="N767" s="29">
        <v>0</v>
      </c>
      <c r="O767" s="138">
        <v>86.338999999999999</v>
      </c>
      <c r="P767" s="28">
        <f t="shared" si="3"/>
        <v>2.1920642662090049E-5</v>
      </c>
    </row>
    <row r="768" spans="1:22" s="3" customFormat="1" x14ac:dyDescent="0.35">
      <c r="B768" s="235" t="s">
        <v>142</v>
      </c>
      <c r="C768" s="29">
        <v>2377.4240000000004</v>
      </c>
      <c r="D768" s="29">
        <v>2302.0390000000007</v>
      </c>
      <c r="E768" s="29">
        <v>1483.6929999999998</v>
      </c>
      <c r="F768" s="29">
        <v>378.45600000000002</v>
      </c>
      <c r="G768" s="29">
        <v>2126.1659999999997</v>
      </c>
      <c r="H768" s="29">
        <v>3107.9609999999998</v>
      </c>
      <c r="I768" s="29">
        <v>16019.016000000001</v>
      </c>
      <c r="J768" s="29">
        <v>1420.0539999999994</v>
      </c>
      <c r="K768" s="29">
        <v>2388.0420000000004</v>
      </c>
      <c r="L768" s="29">
        <v>4096.1480000000001</v>
      </c>
      <c r="M768" s="29">
        <v>2920.5179999999996</v>
      </c>
      <c r="N768" s="29">
        <v>4401.7700000000004</v>
      </c>
      <c r="O768" s="138">
        <v>43021.286999999997</v>
      </c>
      <c r="P768" s="28">
        <f t="shared" si="3"/>
        <v>1.09226914741915E-2</v>
      </c>
    </row>
    <row r="769" spans="2:15" s="3" customFormat="1" x14ac:dyDescent="0.35">
      <c r="B769" s="238"/>
      <c r="C769" s="239"/>
      <c r="D769" s="239"/>
      <c r="E769" s="239"/>
      <c r="F769" s="239"/>
      <c r="G769" s="239"/>
      <c r="H769" s="239"/>
      <c r="I769" s="239"/>
      <c r="J769" s="239"/>
      <c r="K769" s="239"/>
      <c r="L769" s="239"/>
      <c r="M769" s="239"/>
      <c r="N769" s="239"/>
      <c r="O769" s="240"/>
    </row>
    <row r="770" spans="2:15" s="3" customFormat="1" x14ac:dyDescent="0.35">
      <c r="B770" s="158"/>
      <c r="C770" s="118"/>
      <c r="D770" s="118"/>
      <c r="E770" s="118"/>
      <c r="F770" s="118" t="s">
        <v>11</v>
      </c>
      <c r="G770" s="118"/>
      <c r="H770" s="118"/>
      <c r="I770" s="118"/>
      <c r="J770" s="118"/>
      <c r="K770" s="118"/>
      <c r="L770" s="118"/>
      <c r="M770" s="118"/>
      <c r="N770" s="118"/>
      <c r="O770" s="160"/>
    </row>
    <row r="771" spans="2:15" s="3" customFormat="1" x14ac:dyDescent="0.35">
      <c r="B771" s="1068" t="s">
        <v>378</v>
      </c>
      <c r="C771" s="1068"/>
      <c r="D771" s="1068"/>
      <c r="E771" s="1068"/>
      <c r="F771" s="1068"/>
      <c r="G771" s="1068"/>
      <c r="H771" s="1068"/>
      <c r="I771" s="1068"/>
      <c r="J771" s="1068"/>
      <c r="K771" s="555">
        <v>2025</v>
      </c>
      <c r="L771" s="173"/>
      <c r="M771" s="173"/>
      <c r="N771" s="173"/>
      <c r="O771" s="173"/>
    </row>
    <row r="772" spans="2:15" s="3" customFormat="1" x14ac:dyDescent="0.35">
      <c r="B772" s="158"/>
      <c r="C772" s="118"/>
      <c r="D772" s="118"/>
      <c r="E772" s="118"/>
      <c r="F772" s="118"/>
      <c r="G772" s="118"/>
      <c r="H772" s="118"/>
      <c r="I772" s="118"/>
      <c r="J772" s="118"/>
      <c r="K772" s="118"/>
      <c r="L772" s="118"/>
      <c r="M772" s="118"/>
      <c r="N772" s="118"/>
      <c r="O772" s="160"/>
    </row>
    <row r="773" spans="2:15" s="3" customFormat="1" x14ac:dyDescent="0.35">
      <c r="B773" s="1068" t="s">
        <v>143</v>
      </c>
      <c r="C773" s="1068"/>
      <c r="D773" s="1068"/>
      <c r="E773" s="1068"/>
      <c r="F773" s="1068"/>
      <c r="G773" s="1068"/>
      <c r="H773" s="1068"/>
      <c r="I773" s="1068"/>
      <c r="J773" s="1068"/>
      <c r="K773" s="1068"/>
      <c r="L773" s="1068"/>
      <c r="M773" s="1068"/>
      <c r="N773" s="1068"/>
      <c r="O773" s="1068"/>
    </row>
    <row r="774" spans="2:15" s="3" customFormat="1" x14ac:dyDescent="0.35">
      <c r="B774" s="125"/>
      <c r="C774" s="241"/>
      <c r="D774" s="241"/>
      <c r="E774" s="241"/>
      <c r="F774" s="241"/>
      <c r="G774" s="241"/>
      <c r="H774" s="241"/>
      <c r="I774" s="241"/>
      <c r="J774" s="241"/>
      <c r="K774" s="241"/>
      <c r="L774" s="241"/>
      <c r="M774" s="241"/>
      <c r="N774" s="241"/>
      <c r="O774" s="125"/>
    </row>
    <row r="775" spans="2:15" s="3" customFormat="1" ht="15" customHeight="1" x14ac:dyDescent="0.35">
      <c r="B775" s="1074" t="s">
        <v>13</v>
      </c>
      <c r="C775" s="1070" t="s">
        <v>0</v>
      </c>
      <c r="D775" s="1070" t="s">
        <v>1</v>
      </c>
      <c r="E775" s="1070" t="s">
        <v>2</v>
      </c>
      <c r="F775" s="1070" t="s">
        <v>3</v>
      </c>
      <c r="G775" s="1070" t="s">
        <v>4</v>
      </c>
      <c r="H775" s="1070" t="s">
        <v>5</v>
      </c>
      <c r="I775" s="1070" t="s">
        <v>6</v>
      </c>
      <c r="J775" s="1070" t="s">
        <v>7</v>
      </c>
      <c r="K775" s="1070" t="s">
        <v>8</v>
      </c>
      <c r="L775" s="1070" t="s">
        <v>9</v>
      </c>
      <c r="M775" s="1070" t="s">
        <v>10</v>
      </c>
      <c r="N775" s="1070" t="s">
        <v>14</v>
      </c>
      <c r="O775" s="1074" t="s">
        <v>15</v>
      </c>
    </row>
    <row r="776" spans="2:15" s="3" customFormat="1" ht="15" customHeight="1" x14ac:dyDescent="0.35">
      <c r="B776" s="1080"/>
      <c r="C776" s="1071"/>
      <c r="D776" s="1071"/>
      <c r="E776" s="1071"/>
      <c r="F776" s="1071"/>
      <c r="G776" s="1071"/>
      <c r="H776" s="1071"/>
      <c r="I776" s="1071"/>
      <c r="J776" s="1071"/>
      <c r="K776" s="1071"/>
      <c r="L776" s="1071"/>
      <c r="M776" s="1078"/>
      <c r="N776" s="1078"/>
      <c r="O776" s="1079"/>
    </row>
    <row r="777" spans="2:15" s="3" customFormat="1" x14ac:dyDescent="0.35">
      <c r="B777" s="242"/>
      <c r="C777" s="632">
        <v>0</v>
      </c>
      <c r="D777" s="632">
        <v>6.1118043959140778E-10</v>
      </c>
      <c r="E777" s="632">
        <v>0</v>
      </c>
      <c r="F777" s="632">
        <v>0</v>
      </c>
      <c r="G777" s="632">
        <v>0</v>
      </c>
      <c r="H777" s="632">
        <v>0</v>
      </c>
      <c r="I777" s="632">
        <v>0</v>
      </c>
      <c r="J777" s="632">
        <v>0</v>
      </c>
      <c r="K777" s="632">
        <v>0</v>
      </c>
      <c r="L777" s="632">
        <v>0</v>
      </c>
      <c r="M777" s="632">
        <v>0</v>
      </c>
      <c r="N777" s="632">
        <v>0</v>
      </c>
      <c r="O777" s="243"/>
    </row>
    <row r="778" spans="2:15" s="3" customFormat="1" x14ac:dyDescent="0.35">
      <c r="B778" s="114" t="s">
        <v>47</v>
      </c>
      <c r="C778" s="244">
        <v>204792.99630200004</v>
      </c>
      <c r="D778" s="244">
        <v>198919.75913999934</v>
      </c>
      <c r="E778" s="244">
        <v>102852.09111999968</v>
      </c>
      <c r="F778" s="244">
        <v>305181.16816000047</v>
      </c>
      <c r="G778" s="244">
        <v>221559.0296200006</v>
      </c>
      <c r="H778" s="244">
        <v>180486.49799999976</v>
      </c>
      <c r="I778" s="244">
        <v>275939.70926000149</v>
      </c>
      <c r="J778" s="244">
        <v>229038.75300000195</v>
      </c>
      <c r="K778" s="244">
        <v>134051.95900000099</v>
      </c>
      <c r="L778" s="244">
        <v>156907.52271000046</v>
      </c>
      <c r="M778" s="244">
        <v>100871.88049999937</v>
      </c>
      <c r="N778" s="244">
        <v>176335.61420000042</v>
      </c>
      <c r="O778" s="112">
        <v>2286936.9810120044</v>
      </c>
    </row>
    <row r="779" spans="2:15" s="3" customFormat="1" x14ac:dyDescent="0.35">
      <c r="B779" s="655"/>
      <c r="C779" s="245"/>
      <c r="D779" s="245"/>
      <c r="E779" s="245"/>
      <c r="F779" s="245"/>
      <c r="G779" s="245"/>
      <c r="H779" s="245"/>
      <c r="I779" s="245"/>
      <c r="J779" s="245"/>
      <c r="K779" s="245"/>
      <c r="L779" s="245"/>
      <c r="M779" s="245"/>
      <c r="N779" s="245"/>
      <c r="O779" s="138"/>
    </row>
    <row r="780" spans="2:15" s="3" customFormat="1" x14ac:dyDescent="0.35">
      <c r="B780" s="235" t="s">
        <v>66</v>
      </c>
      <c r="C780" s="131">
        <v>26003.698</v>
      </c>
      <c r="D780" s="131">
        <v>121667.36300000001</v>
      </c>
      <c r="E780" s="131">
        <v>15326.254999999999</v>
      </c>
      <c r="F780" s="131">
        <v>176216.44099999999</v>
      </c>
      <c r="G780" s="131">
        <v>97308.03899999999</v>
      </c>
      <c r="H780" s="131">
        <v>112300.689</v>
      </c>
      <c r="I780" s="131">
        <v>147599.78800000003</v>
      </c>
      <c r="J780" s="131">
        <v>117507.489</v>
      </c>
      <c r="K780" s="131">
        <v>50896.476000000002</v>
      </c>
      <c r="L780" s="131">
        <v>53002.546000000002</v>
      </c>
      <c r="M780" s="131">
        <v>21681.25</v>
      </c>
      <c r="N780" s="131">
        <v>101897.57800000001</v>
      </c>
      <c r="O780" s="138">
        <v>1041407.6120000001</v>
      </c>
    </row>
    <row r="781" spans="2:15" s="3" customFormat="1" x14ac:dyDescent="0.35">
      <c r="B781" s="235" t="s">
        <v>67</v>
      </c>
      <c r="C781" s="131">
        <v>81340.405999999988</v>
      </c>
      <c r="D781" s="131">
        <v>9482.2186399999991</v>
      </c>
      <c r="E781" s="131">
        <v>6196.8610000000017</v>
      </c>
      <c r="F781" s="131">
        <v>27274.229000000039</v>
      </c>
      <c r="G781" s="131">
        <v>34082.939999999995</v>
      </c>
      <c r="H781" s="131">
        <v>4647.174</v>
      </c>
      <c r="I781" s="131">
        <v>12739.631999999992</v>
      </c>
      <c r="J781" s="131">
        <v>16563.503000000001</v>
      </c>
      <c r="K781" s="131">
        <v>5512.1720000000032</v>
      </c>
      <c r="L781" s="131">
        <v>16261.867000000004</v>
      </c>
      <c r="M781" s="131">
        <v>8775.9719999999998</v>
      </c>
      <c r="N781" s="131">
        <v>6877.463999999999</v>
      </c>
      <c r="O781" s="138">
        <v>229754.43864000001</v>
      </c>
    </row>
    <row r="782" spans="2:15" s="3" customFormat="1" x14ac:dyDescent="0.35">
      <c r="B782" s="235" t="s">
        <v>68</v>
      </c>
      <c r="C782" s="131">
        <v>29065</v>
      </c>
      <c r="D782" s="131">
        <v>20001.68</v>
      </c>
      <c r="E782" s="131">
        <v>29819.994999999999</v>
      </c>
      <c r="F782" s="131">
        <v>33242</v>
      </c>
      <c r="G782" s="131">
        <v>7150</v>
      </c>
      <c r="H782" s="131">
        <v>2000</v>
      </c>
      <c r="I782" s="131">
        <v>26350</v>
      </c>
      <c r="J782" s="131">
        <v>12560</v>
      </c>
      <c r="K782" s="131">
        <v>20764.52</v>
      </c>
      <c r="L782" s="131">
        <v>26050</v>
      </c>
      <c r="M782" s="131">
        <v>11800</v>
      </c>
      <c r="N782" s="131">
        <v>22800</v>
      </c>
      <c r="O782" s="138">
        <v>241603.19499999998</v>
      </c>
    </row>
    <row r="783" spans="2:15" s="3" customFormat="1" x14ac:dyDescent="0.35">
      <c r="B783" s="235" t="s">
        <v>71</v>
      </c>
      <c r="C783" s="131">
        <v>16311.492</v>
      </c>
      <c r="D783" s="131">
        <v>7701.940000000006</v>
      </c>
      <c r="E783" s="131">
        <v>16538.306799999998</v>
      </c>
      <c r="F783" s="131">
        <v>17037.537999999935</v>
      </c>
      <c r="G783" s="131">
        <v>19390.840999999957</v>
      </c>
      <c r="H783" s="131">
        <v>18363.807999999972</v>
      </c>
      <c r="I783" s="131">
        <v>15806.661000000013</v>
      </c>
      <c r="J783" s="131">
        <v>37600.253999999564</v>
      </c>
      <c r="K783" s="131">
        <v>19787.892999999873</v>
      </c>
      <c r="L783" s="131">
        <v>9855.7870000000275</v>
      </c>
      <c r="M783" s="131">
        <v>11715.353000000043</v>
      </c>
      <c r="N783" s="131">
        <v>17576.561999999874</v>
      </c>
      <c r="O783" s="138">
        <v>207686.43579999922</v>
      </c>
    </row>
    <row r="784" spans="2:15" s="3" customFormat="1" x14ac:dyDescent="0.35">
      <c r="B784" s="235" t="s">
        <v>113</v>
      </c>
      <c r="C784" s="131">
        <v>17327.436000000012</v>
      </c>
      <c r="D784" s="131">
        <v>13994.236000000004</v>
      </c>
      <c r="E784" s="131">
        <v>8938.701999999972</v>
      </c>
      <c r="F784" s="131">
        <v>17584.910500000075</v>
      </c>
      <c r="G784" s="131">
        <v>24094.837000000047</v>
      </c>
      <c r="H784" s="131">
        <v>7125.1450000000013</v>
      </c>
      <c r="I784" s="131">
        <v>20068.730999999945</v>
      </c>
      <c r="J784" s="131">
        <v>13855.690000000053</v>
      </c>
      <c r="K784" s="131">
        <v>11372.405999999995</v>
      </c>
      <c r="L784" s="131">
        <v>7483.1320000000069</v>
      </c>
      <c r="M784" s="131">
        <v>12365.831999999951</v>
      </c>
      <c r="N784" s="131">
        <v>6666.5509999999804</v>
      </c>
      <c r="O784" s="138">
        <v>160877.60850000003</v>
      </c>
    </row>
    <row r="785" spans="2:15" s="3" customFormat="1" x14ac:dyDescent="0.35">
      <c r="B785" s="235" t="s">
        <v>70</v>
      </c>
      <c r="C785" s="131">
        <v>6000</v>
      </c>
      <c r="D785" s="131">
        <v>0</v>
      </c>
      <c r="E785" s="131">
        <v>0</v>
      </c>
      <c r="F785" s="131">
        <v>0</v>
      </c>
      <c r="G785" s="131">
        <v>0</v>
      </c>
      <c r="H785" s="131">
        <v>5018.2520000000004</v>
      </c>
      <c r="I785" s="131">
        <v>2500</v>
      </c>
      <c r="J785" s="131">
        <v>275.495</v>
      </c>
      <c r="K785" s="131">
        <v>0</v>
      </c>
      <c r="L785" s="131">
        <v>0</v>
      </c>
      <c r="M785" s="131">
        <v>0</v>
      </c>
      <c r="N785" s="131">
        <v>0</v>
      </c>
      <c r="O785" s="138">
        <v>13793.747000000001</v>
      </c>
    </row>
    <row r="786" spans="2:15" s="3" customFormat="1" x14ac:dyDescent="0.35">
      <c r="B786" s="235" t="s">
        <v>86</v>
      </c>
      <c r="C786" s="131">
        <v>3785.7090000000003</v>
      </c>
      <c r="D786" s="131">
        <v>2252.0679999999998</v>
      </c>
      <c r="E786" s="131">
        <v>4132.2640000000019</v>
      </c>
      <c r="F786" s="131">
        <v>2395.0340000000006</v>
      </c>
      <c r="G786" s="131">
        <v>2688.1360000000013</v>
      </c>
      <c r="H786" s="131">
        <v>3152.3319999999981</v>
      </c>
      <c r="I786" s="131">
        <v>1085.682</v>
      </c>
      <c r="J786" s="131">
        <v>62.384</v>
      </c>
      <c r="K786" s="131">
        <v>2244.0249999999996</v>
      </c>
      <c r="L786" s="131">
        <v>1060.7449999999999</v>
      </c>
      <c r="M786" s="131">
        <v>2129.8705000000004</v>
      </c>
      <c r="N786" s="131">
        <v>1068.1130000000003</v>
      </c>
      <c r="O786" s="138">
        <v>26056.362499999999</v>
      </c>
    </row>
    <row r="787" spans="2:15" s="3" customFormat="1" x14ac:dyDescent="0.35">
      <c r="B787" s="235" t="s">
        <v>147</v>
      </c>
      <c r="C787" s="131">
        <v>2396.6289999999999</v>
      </c>
      <c r="D787" s="131">
        <v>1070.328</v>
      </c>
      <c r="E787" s="131">
        <v>2353.636</v>
      </c>
      <c r="F787" s="131">
        <v>2334.6199999999985</v>
      </c>
      <c r="G787" s="131">
        <v>2760.132000000001</v>
      </c>
      <c r="H787" s="131">
        <v>1681.4859999999996</v>
      </c>
      <c r="I787" s="131">
        <v>1841.7119999999993</v>
      </c>
      <c r="J787" s="131">
        <v>1801.4840000000013</v>
      </c>
      <c r="K787" s="131">
        <v>2567.2750000000015</v>
      </c>
      <c r="L787" s="131">
        <v>1925.1350000000011</v>
      </c>
      <c r="M787" s="131">
        <v>2517.4170000000013</v>
      </c>
      <c r="N787" s="131">
        <v>1885.302000000001</v>
      </c>
      <c r="O787" s="138">
        <v>25135.156000000003</v>
      </c>
    </row>
    <row r="788" spans="2:15" s="3" customFormat="1" x14ac:dyDescent="0.35">
      <c r="B788" s="235" t="s">
        <v>116</v>
      </c>
      <c r="C788" s="131">
        <v>972.55400000000031</v>
      </c>
      <c r="D788" s="131">
        <v>980.6840000000002</v>
      </c>
      <c r="E788" s="131">
        <v>1282.9030000000002</v>
      </c>
      <c r="F788" s="131">
        <v>2479.0940000000005</v>
      </c>
      <c r="G788" s="131">
        <v>717.31699999999989</v>
      </c>
      <c r="H788" s="131">
        <v>1599.3910000000001</v>
      </c>
      <c r="I788" s="131">
        <v>1864.6950000000006</v>
      </c>
      <c r="J788" s="131">
        <v>1989.9549999999992</v>
      </c>
      <c r="K788" s="131">
        <v>1248.8569999999997</v>
      </c>
      <c r="L788" s="131">
        <v>1987.216000000001</v>
      </c>
      <c r="M788" s="131">
        <v>1774.2219999999991</v>
      </c>
      <c r="N788" s="131">
        <v>1050.3990000000003</v>
      </c>
      <c r="O788" s="138">
        <v>17947.287000000004</v>
      </c>
    </row>
    <row r="789" spans="2:15" s="3" customFormat="1" x14ac:dyDescent="0.35">
      <c r="B789" s="235" t="s">
        <v>74</v>
      </c>
      <c r="C789" s="131">
        <v>3328.922</v>
      </c>
      <c r="D789" s="131">
        <v>3360.9939999999997</v>
      </c>
      <c r="E789" s="131">
        <v>0</v>
      </c>
      <c r="F789" s="131">
        <v>2724.3879999999999</v>
      </c>
      <c r="G789" s="131">
        <v>5570.317</v>
      </c>
      <c r="H789" s="131">
        <v>6713.2570000000005</v>
      </c>
      <c r="I789" s="131">
        <v>13854.563</v>
      </c>
      <c r="J789" s="131">
        <v>6474.31</v>
      </c>
      <c r="K789" s="131">
        <v>0</v>
      </c>
      <c r="L789" s="131">
        <v>5550.8969999999999</v>
      </c>
      <c r="M789" s="131">
        <v>7013.0969999999998</v>
      </c>
      <c r="N789" s="131">
        <v>0</v>
      </c>
      <c r="O789" s="138">
        <v>54590.744999999995</v>
      </c>
    </row>
    <row r="790" spans="2:15" s="3" customFormat="1" x14ac:dyDescent="0.35">
      <c r="B790" s="235" t="s">
        <v>145</v>
      </c>
      <c r="C790" s="131">
        <v>1256.8599999999999</v>
      </c>
      <c r="D790" s="131">
        <v>1035.7512500000003</v>
      </c>
      <c r="E790" s="131">
        <v>1999.4299999999996</v>
      </c>
      <c r="F790" s="131">
        <v>1141.7667800000002</v>
      </c>
      <c r="G790" s="131">
        <v>1649.0900000000001</v>
      </c>
      <c r="H790" s="131">
        <v>829.56100000000026</v>
      </c>
      <c r="I790" s="131">
        <v>1782.07</v>
      </c>
      <c r="J790" s="131">
        <v>1045.2960000000003</v>
      </c>
      <c r="K790" s="131">
        <v>1431.4279999999992</v>
      </c>
      <c r="L790" s="131">
        <v>1204.6000000000001</v>
      </c>
      <c r="M790" s="131">
        <v>602.84399999999982</v>
      </c>
      <c r="N790" s="131">
        <v>1375.0640000000001</v>
      </c>
      <c r="O790" s="138">
        <v>15353.76103</v>
      </c>
    </row>
    <row r="791" spans="2:15" s="3" customFormat="1" x14ac:dyDescent="0.35">
      <c r="B791" s="43" t="s">
        <v>470</v>
      </c>
      <c r="C791" s="131">
        <v>3816.08</v>
      </c>
      <c r="D791" s="131">
        <v>0</v>
      </c>
      <c r="E791" s="131">
        <v>59.593000000000004</v>
      </c>
      <c r="F791" s="131">
        <v>1181.1189999999999</v>
      </c>
      <c r="G791" s="131">
        <v>1200.3710000000001</v>
      </c>
      <c r="H791" s="131">
        <v>1734.1420000000001</v>
      </c>
      <c r="I791" s="131">
        <v>9124.6750000000011</v>
      </c>
      <c r="J791" s="131">
        <v>0</v>
      </c>
      <c r="K791" s="131">
        <v>3784.9679999999998</v>
      </c>
      <c r="L791" s="131">
        <v>2764.835</v>
      </c>
      <c r="M791" s="131">
        <v>0</v>
      </c>
      <c r="N791" s="131">
        <v>0</v>
      </c>
      <c r="O791" s="138">
        <v>23665.782999999999</v>
      </c>
    </row>
    <row r="792" spans="2:15" s="3" customFormat="1" x14ac:dyDescent="0.35">
      <c r="B792" s="43" t="s">
        <v>81</v>
      </c>
      <c r="C792" s="131">
        <v>661.8960800000001</v>
      </c>
      <c r="D792" s="131">
        <v>2133.2429999999986</v>
      </c>
      <c r="E792" s="131">
        <v>681.9899999999999</v>
      </c>
      <c r="F792" s="131">
        <v>1415.7039999999997</v>
      </c>
      <c r="G792" s="131">
        <v>1155.5439999999999</v>
      </c>
      <c r="H792" s="131">
        <v>1543.113000000001</v>
      </c>
      <c r="I792" s="131">
        <v>1979.2379999999998</v>
      </c>
      <c r="J792" s="131">
        <v>2111.6429999999996</v>
      </c>
      <c r="K792" s="131">
        <v>1417.1919999999993</v>
      </c>
      <c r="L792" s="131">
        <v>1567.9499999999998</v>
      </c>
      <c r="M792" s="131">
        <v>1516.2079999999996</v>
      </c>
      <c r="N792" s="131">
        <v>486.18470000000002</v>
      </c>
      <c r="O792" s="138">
        <v>16669.905779999997</v>
      </c>
    </row>
    <row r="793" spans="2:15" s="3" customFormat="1" x14ac:dyDescent="0.35">
      <c r="B793" s="43" t="s">
        <v>73</v>
      </c>
      <c r="C793" s="131">
        <v>1269.1539999999995</v>
      </c>
      <c r="D793" s="131">
        <v>1464.2069999999999</v>
      </c>
      <c r="E793" s="131">
        <v>625.71799999999996</v>
      </c>
      <c r="F793" s="131">
        <v>1193.2320300000003</v>
      </c>
      <c r="G793" s="131">
        <v>1763.4260000000002</v>
      </c>
      <c r="H793" s="131">
        <v>556.03399999999988</v>
      </c>
      <c r="I793" s="131">
        <v>1191.5700000000002</v>
      </c>
      <c r="J793" s="131">
        <v>436.68499999999995</v>
      </c>
      <c r="K793" s="131">
        <v>598.40300000000002</v>
      </c>
      <c r="L793" s="131">
        <v>662.63800000000015</v>
      </c>
      <c r="M793" s="131">
        <v>2447.1899999999996</v>
      </c>
      <c r="N793" s="131">
        <v>2103.7359999999981</v>
      </c>
      <c r="O793" s="138">
        <v>14311.993029999998</v>
      </c>
    </row>
    <row r="794" spans="2:15" s="3" customFormat="1" x14ac:dyDescent="0.35">
      <c r="B794" s="43" t="s">
        <v>111</v>
      </c>
      <c r="C794" s="131">
        <v>1212.038</v>
      </c>
      <c r="D794" s="131">
        <v>838.66899999999998</v>
      </c>
      <c r="E794" s="131">
        <v>742.99999999999966</v>
      </c>
      <c r="F794" s="131">
        <v>1164.9430000000002</v>
      </c>
      <c r="G794" s="131">
        <v>612.00599999999997</v>
      </c>
      <c r="H794" s="131">
        <v>707.63900000000001</v>
      </c>
      <c r="I794" s="131">
        <v>479.3540000000001</v>
      </c>
      <c r="J794" s="131">
        <v>1102.5139999999994</v>
      </c>
      <c r="K794" s="131">
        <v>479.35300000000012</v>
      </c>
      <c r="L794" s="131">
        <v>0</v>
      </c>
      <c r="M794" s="131">
        <v>630.83500000000004</v>
      </c>
      <c r="N794" s="131">
        <v>1081.5899999999997</v>
      </c>
      <c r="O794" s="138">
        <v>9051.9409999999989</v>
      </c>
    </row>
    <row r="795" spans="2:15" s="3" customFormat="1" x14ac:dyDescent="0.35">
      <c r="B795" s="43" t="s">
        <v>85</v>
      </c>
      <c r="C795" s="131">
        <v>56</v>
      </c>
      <c r="D795" s="131">
        <v>1829.6999999999998</v>
      </c>
      <c r="E795" s="131">
        <v>84</v>
      </c>
      <c r="F795" s="131">
        <v>28</v>
      </c>
      <c r="G795" s="131">
        <v>4215.4870000000001</v>
      </c>
      <c r="H795" s="131">
        <v>0</v>
      </c>
      <c r="I795" s="131">
        <v>0</v>
      </c>
      <c r="J795" s="131">
        <v>0</v>
      </c>
      <c r="K795" s="131">
        <v>42.95</v>
      </c>
      <c r="L795" s="131">
        <v>8775.7070000000003</v>
      </c>
      <c r="M795" s="131">
        <v>0</v>
      </c>
      <c r="N795" s="131">
        <v>19.623000000000001</v>
      </c>
      <c r="O795" s="138">
        <v>15051.467000000001</v>
      </c>
    </row>
    <row r="796" spans="2:15" s="3" customFormat="1" x14ac:dyDescent="0.35">
      <c r="B796" s="43" t="s">
        <v>396</v>
      </c>
      <c r="C796" s="131">
        <v>0</v>
      </c>
      <c r="D796" s="131">
        <v>0</v>
      </c>
      <c r="E796" s="131">
        <v>0</v>
      </c>
      <c r="F796" s="131">
        <v>0</v>
      </c>
      <c r="G796" s="131">
        <v>0</v>
      </c>
      <c r="H796" s="131">
        <v>201.71799999999999</v>
      </c>
      <c r="I796" s="131">
        <v>142.626</v>
      </c>
      <c r="J796" s="131">
        <v>0</v>
      </c>
      <c r="K796" s="131">
        <v>339.87599999999992</v>
      </c>
      <c r="L796" s="131">
        <v>124.206</v>
      </c>
      <c r="M796" s="131">
        <v>1127.2299999999998</v>
      </c>
      <c r="N796" s="131">
        <v>371.96900000000011</v>
      </c>
      <c r="O796" s="138">
        <v>2307.625</v>
      </c>
    </row>
    <row r="797" spans="2:15" s="3" customFormat="1" x14ac:dyDescent="0.35">
      <c r="B797" s="43" t="s">
        <v>144</v>
      </c>
      <c r="C797" s="131">
        <v>623.71700999999996</v>
      </c>
      <c r="D797" s="131">
        <v>75.146999999999991</v>
      </c>
      <c r="E797" s="131">
        <v>178.178</v>
      </c>
      <c r="F797" s="131">
        <v>479.15400000000017</v>
      </c>
      <c r="G797" s="131">
        <v>1134.6800000000003</v>
      </c>
      <c r="H797" s="131">
        <v>623.53800000000012</v>
      </c>
      <c r="I797" s="131">
        <v>600.66699999999992</v>
      </c>
      <c r="J797" s="131">
        <v>440.75100000000003</v>
      </c>
      <c r="K797" s="131">
        <v>150.46300000000002</v>
      </c>
      <c r="L797" s="131">
        <v>360.89600000000002</v>
      </c>
      <c r="M797" s="131">
        <v>348.73899999999992</v>
      </c>
      <c r="N797" s="131">
        <v>133.98500000000001</v>
      </c>
      <c r="O797" s="138">
        <v>5149.9150099999988</v>
      </c>
    </row>
    <row r="798" spans="2:15" s="3" customFormat="1" x14ac:dyDescent="0.35">
      <c r="B798" s="43" t="s">
        <v>146</v>
      </c>
      <c r="C798" s="131">
        <v>385.14299999999997</v>
      </c>
      <c r="D798" s="131">
        <v>229.17600000000004</v>
      </c>
      <c r="E798" s="131">
        <v>513.44399999999257</v>
      </c>
      <c r="F798" s="131">
        <v>350.5939600000001</v>
      </c>
      <c r="G798" s="131">
        <v>493.03249999999997</v>
      </c>
      <c r="H798" s="131">
        <v>508.18199999999996</v>
      </c>
      <c r="I798" s="131">
        <v>406.15999999999991</v>
      </c>
      <c r="J798" s="131">
        <v>502.74400000000009</v>
      </c>
      <c r="K798" s="131">
        <v>447.50099999999992</v>
      </c>
      <c r="L798" s="131">
        <v>472.46499999999992</v>
      </c>
      <c r="M798" s="131">
        <v>585.40499999999997</v>
      </c>
      <c r="N798" s="131">
        <v>596.40200000000004</v>
      </c>
      <c r="O798" s="138">
        <v>5490.2484599999925</v>
      </c>
    </row>
    <row r="799" spans="2:15" s="3" customFormat="1" x14ac:dyDescent="0.35">
      <c r="B799" s="43" t="s">
        <v>148</v>
      </c>
      <c r="C799" s="131">
        <v>49.917999999999999</v>
      </c>
      <c r="D799" s="131">
        <v>292.39999999999998</v>
      </c>
      <c r="E799" s="131">
        <v>134.5</v>
      </c>
      <c r="F799" s="131">
        <v>0</v>
      </c>
      <c r="G799" s="131">
        <v>302.5</v>
      </c>
      <c r="H799" s="131">
        <v>107.1</v>
      </c>
      <c r="I799" s="131">
        <v>192.5</v>
      </c>
      <c r="J799" s="131">
        <v>602</v>
      </c>
      <c r="K799" s="131">
        <v>138.84700000000001</v>
      </c>
      <c r="L799" s="131">
        <v>0</v>
      </c>
      <c r="M799" s="131">
        <v>520.5</v>
      </c>
      <c r="N799" s="131">
        <v>54</v>
      </c>
      <c r="O799" s="138">
        <v>2394.2650000000003</v>
      </c>
    </row>
    <row r="800" spans="2:15" s="3" customFormat="1" x14ac:dyDescent="0.35">
      <c r="B800" s="796" t="s">
        <v>91</v>
      </c>
      <c r="C800" s="29">
        <v>8930.3442120000545</v>
      </c>
      <c r="D800" s="29">
        <v>10509.954249999311</v>
      </c>
      <c r="E800" s="29">
        <v>13243.315319999732</v>
      </c>
      <c r="F800" s="29">
        <v>16938.400890000397</v>
      </c>
      <c r="G800" s="29">
        <v>15270.334120000567</v>
      </c>
      <c r="H800" s="29">
        <v>11073.936999999773</v>
      </c>
      <c r="I800" s="29">
        <v>16329.385260001523</v>
      </c>
      <c r="J800" s="29">
        <v>14106.55600000234</v>
      </c>
      <c r="K800" s="29">
        <v>10827.354000001142</v>
      </c>
      <c r="L800" s="29">
        <v>17796.900710000395</v>
      </c>
      <c r="M800" s="29">
        <v>13319.915999999386</v>
      </c>
      <c r="N800" s="29">
        <v>10291.091500000533</v>
      </c>
      <c r="O800" s="138">
        <v>158637.48926200517</v>
      </c>
    </row>
    <row r="801" spans="2:22" s="3" customFormat="1" x14ac:dyDescent="0.35">
      <c r="B801" s="43"/>
      <c r="C801" s="246"/>
      <c r="D801" s="185"/>
      <c r="E801" s="185"/>
      <c r="F801" s="185"/>
      <c r="G801" s="185"/>
      <c r="H801" s="185"/>
      <c r="I801" s="185"/>
      <c r="J801" s="185"/>
      <c r="K801" s="185"/>
      <c r="L801" s="185"/>
      <c r="M801" s="185"/>
      <c r="N801" s="185"/>
      <c r="O801" s="138"/>
    </row>
    <row r="802" spans="2:22" s="3" customFormat="1" x14ac:dyDescent="0.35">
      <c r="B802" s="656" t="s">
        <v>149</v>
      </c>
      <c r="C802" s="657">
        <v>1256.8599999999999</v>
      </c>
      <c r="D802" s="657">
        <v>1035.7512500000003</v>
      </c>
      <c r="E802" s="657">
        <v>1999.4299999999996</v>
      </c>
      <c r="F802" s="657">
        <v>1194.88678</v>
      </c>
      <c r="G802" s="657">
        <v>1688.91</v>
      </c>
      <c r="H802" s="657">
        <v>829.56100000000026</v>
      </c>
      <c r="I802" s="657">
        <v>1782.07</v>
      </c>
      <c r="J802" s="657">
        <v>1045.2960000000003</v>
      </c>
      <c r="K802" s="657">
        <v>1431.4279999999992</v>
      </c>
      <c r="L802" s="657">
        <v>1204.6000000000001</v>
      </c>
      <c r="M802" s="657">
        <v>602.84399999999982</v>
      </c>
      <c r="N802" s="657">
        <v>1375.0640000000001</v>
      </c>
      <c r="O802" s="429">
        <v>15446.70103</v>
      </c>
    </row>
    <row r="803" spans="2:22" s="3" customFormat="1" x14ac:dyDescent="0.35">
      <c r="B803" s="656" t="s">
        <v>150</v>
      </c>
      <c r="C803" s="658">
        <v>203453.78830200006</v>
      </c>
      <c r="D803" s="658">
        <v>197657.47788999873</v>
      </c>
      <c r="E803" s="658">
        <v>100707.56611999971</v>
      </c>
      <c r="F803" s="658">
        <v>303755.51738000044</v>
      </c>
      <c r="G803" s="658">
        <v>219467.02462000059</v>
      </c>
      <c r="H803" s="658">
        <v>179517.69699999978</v>
      </c>
      <c r="I803" s="658">
        <v>273645.96726000146</v>
      </c>
      <c r="J803" s="658">
        <v>227624.832000002</v>
      </c>
      <c r="K803" s="658">
        <v>132391.15600000089</v>
      </c>
      <c r="L803" s="658">
        <v>155015.5007100004</v>
      </c>
      <c r="M803" s="658">
        <v>99896.356499999471</v>
      </c>
      <c r="N803" s="658">
        <v>174099.98420000044</v>
      </c>
      <c r="O803" s="429">
        <v>2267232.8679820043</v>
      </c>
    </row>
    <row r="804" spans="2:22" s="3" customFormat="1" x14ac:dyDescent="0.35">
      <c r="B804" s="656" t="s">
        <v>151</v>
      </c>
      <c r="C804" s="658">
        <v>82.347999999999999</v>
      </c>
      <c r="D804" s="658">
        <v>226.53</v>
      </c>
      <c r="E804" s="658">
        <v>145.095</v>
      </c>
      <c r="F804" s="658">
        <v>230.76400000000001</v>
      </c>
      <c r="G804" s="658">
        <v>403.09499999999997</v>
      </c>
      <c r="H804" s="658">
        <v>139.24</v>
      </c>
      <c r="I804" s="658">
        <v>511.67200000000003</v>
      </c>
      <c r="J804" s="658">
        <v>368.625</v>
      </c>
      <c r="K804" s="658">
        <v>229.375</v>
      </c>
      <c r="L804" s="658">
        <v>687.42199999999991</v>
      </c>
      <c r="M804" s="658">
        <v>372.68</v>
      </c>
      <c r="N804" s="658">
        <v>860.56600000000003</v>
      </c>
      <c r="O804" s="429">
        <v>4257.4119999999994</v>
      </c>
    </row>
    <row r="805" spans="2:22" s="3" customFormat="1" x14ac:dyDescent="0.35">
      <c r="B805" s="44"/>
      <c r="C805" s="632">
        <v>0</v>
      </c>
      <c r="D805" s="632">
        <v>0</v>
      </c>
      <c r="E805" s="632">
        <v>0</v>
      </c>
      <c r="F805" s="632">
        <v>0</v>
      </c>
      <c r="G805" s="632">
        <v>0</v>
      </c>
      <c r="H805" s="632">
        <v>0</v>
      </c>
      <c r="I805" s="632">
        <v>0</v>
      </c>
      <c r="J805" s="632">
        <v>0</v>
      </c>
      <c r="K805" s="632">
        <v>0</v>
      </c>
      <c r="L805" s="632">
        <v>0</v>
      </c>
      <c r="M805" s="632">
        <v>0</v>
      </c>
      <c r="N805" s="632">
        <v>0</v>
      </c>
      <c r="O805" s="138"/>
    </row>
    <row r="806" spans="2:22" s="3" customFormat="1" x14ac:dyDescent="0.35">
      <c r="B806" s="114" t="s">
        <v>56</v>
      </c>
      <c r="C806" s="244">
        <v>6133.5364099999997</v>
      </c>
      <c r="D806" s="244">
        <v>9050.2849999999999</v>
      </c>
      <c r="E806" s="244">
        <v>11056.81699999999</v>
      </c>
      <c r="F806" s="244">
        <v>6327.572000000001</v>
      </c>
      <c r="G806" s="244">
        <v>6579.4500000000053</v>
      </c>
      <c r="H806" s="244">
        <v>7106.8659999999973</v>
      </c>
      <c r="I806" s="244">
        <v>8958.0759999999955</v>
      </c>
      <c r="J806" s="244">
        <v>8958.1119999999919</v>
      </c>
      <c r="K806" s="244">
        <v>4886.5720000000001</v>
      </c>
      <c r="L806" s="244">
        <v>3689.0440000000003</v>
      </c>
      <c r="M806" s="244">
        <v>3599.2490000000012</v>
      </c>
      <c r="N806" s="244">
        <v>3402.3493999999996</v>
      </c>
      <c r="O806" s="112">
        <v>79747.928809999969</v>
      </c>
    </row>
    <row r="807" spans="2:22" s="3" customFormat="1" x14ac:dyDescent="0.35">
      <c r="B807" s="110"/>
      <c r="C807" s="244"/>
      <c r="D807" s="244"/>
      <c r="E807" s="244"/>
      <c r="F807" s="244"/>
      <c r="G807" s="244"/>
      <c r="H807" s="244"/>
      <c r="I807" s="244"/>
      <c r="J807" s="244"/>
      <c r="K807" s="244"/>
      <c r="L807" s="244"/>
      <c r="M807" s="244"/>
      <c r="N807" s="244"/>
      <c r="O807" s="136"/>
    </row>
    <row r="808" spans="2:22" s="3" customFormat="1" x14ac:dyDescent="0.35">
      <c r="B808" s="43" t="s">
        <v>98</v>
      </c>
      <c r="C808" s="131">
        <v>3586.4700000000007</v>
      </c>
      <c r="D808" s="131">
        <v>5227.76</v>
      </c>
      <c r="E808" s="131">
        <v>7232.1199999999981</v>
      </c>
      <c r="F808" s="131">
        <v>1885.4580000000003</v>
      </c>
      <c r="G808" s="131">
        <v>1566.2409999999995</v>
      </c>
      <c r="H808" s="131">
        <v>3027.7509999999993</v>
      </c>
      <c r="I808" s="131">
        <v>4446.2150000000001</v>
      </c>
      <c r="J808" s="131">
        <v>4733.8399999999974</v>
      </c>
      <c r="K808" s="131">
        <v>1406.2510000000002</v>
      </c>
      <c r="L808" s="131">
        <v>1535.115</v>
      </c>
      <c r="M808" s="131">
        <v>787.93999999999994</v>
      </c>
      <c r="N808" s="131">
        <v>0</v>
      </c>
      <c r="O808" s="248">
        <v>35435.160999999993</v>
      </c>
    </row>
    <row r="809" spans="2:22" s="3" customFormat="1" x14ac:dyDescent="0.35">
      <c r="B809" s="43" t="s">
        <v>105</v>
      </c>
      <c r="C809" s="131">
        <v>493.07900000000001</v>
      </c>
      <c r="D809" s="131">
        <v>1208.2500000000002</v>
      </c>
      <c r="E809" s="131">
        <v>576.05799999999999</v>
      </c>
      <c r="F809" s="131">
        <v>1229.3550000000005</v>
      </c>
      <c r="G809" s="131">
        <v>1565.3460000000007</v>
      </c>
      <c r="H809" s="131">
        <v>1271.9000000000003</v>
      </c>
      <c r="I809" s="131">
        <v>572.46</v>
      </c>
      <c r="J809" s="131">
        <v>1376.2199999999998</v>
      </c>
      <c r="K809" s="131">
        <v>1603.13</v>
      </c>
      <c r="L809" s="131">
        <v>922.57500000000016</v>
      </c>
      <c r="M809" s="131">
        <v>1462.5080000000007</v>
      </c>
      <c r="N809" s="131">
        <v>2188.7149999999997</v>
      </c>
      <c r="O809" s="248">
        <v>14469.596000000005</v>
      </c>
    </row>
    <row r="810" spans="2:22" s="3" customFormat="1" x14ac:dyDescent="0.35">
      <c r="B810" s="43" t="s">
        <v>152</v>
      </c>
      <c r="C810" s="131">
        <v>947.80499999999995</v>
      </c>
      <c r="D810" s="131">
        <v>1892.7349999999999</v>
      </c>
      <c r="E810" s="131">
        <v>2294.13</v>
      </c>
      <c r="F810" s="131">
        <v>2213.7510000000002</v>
      </c>
      <c r="G810" s="131">
        <v>1739.6809999999998</v>
      </c>
      <c r="H810" s="131">
        <v>1041.635</v>
      </c>
      <c r="I810" s="131">
        <v>1516.2160000000001</v>
      </c>
      <c r="J810" s="131">
        <v>18.34</v>
      </c>
      <c r="K810" s="131">
        <v>0</v>
      </c>
      <c r="L810" s="131">
        <v>0</v>
      </c>
      <c r="M810" s="131">
        <v>0</v>
      </c>
      <c r="N810" s="131">
        <v>0</v>
      </c>
      <c r="O810" s="248">
        <v>11664.293000000001</v>
      </c>
    </row>
    <row r="811" spans="2:22" s="3" customFormat="1" x14ac:dyDescent="0.35">
      <c r="B811" s="43" t="s">
        <v>77</v>
      </c>
      <c r="C811" s="131">
        <v>38.5</v>
      </c>
      <c r="D811" s="131">
        <v>60.6</v>
      </c>
      <c r="E811" s="131">
        <v>256.64</v>
      </c>
      <c r="F811" s="131">
        <v>633.57799999999997</v>
      </c>
      <c r="G811" s="131">
        <v>1513.4460000000001</v>
      </c>
      <c r="H811" s="131">
        <v>769.39500000000032</v>
      </c>
      <c r="I811" s="131">
        <v>258.58499999999998</v>
      </c>
      <c r="J811" s="131">
        <v>372.524</v>
      </c>
      <c r="K811" s="131">
        <v>225.44300000000001</v>
      </c>
      <c r="L811" s="131">
        <v>114.38800000000001</v>
      </c>
      <c r="M811" s="131">
        <v>0</v>
      </c>
      <c r="N811" s="131">
        <v>22</v>
      </c>
      <c r="O811" s="248">
        <v>4265.0990000000002</v>
      </c>
    </row>
    <row r="812" spans="2:22" s="3" customFormat="1" x14ac:dyDescent="0.35">
      <c r="B812" s="43" t="s">
        <v>262</v>
      </c>
      <c r="C812" s="131">
        <v>363.56</v>
      </c>
      <c r="D812" s="131">
        <v>318.06</v>
      </c>
      <c r="E812" s="131">
        <v>426.30000000000007</v>
      </c>
      <c r="F812" s="131">
        <v>0</v>
      </c>
      <c r="G812" s="131">
        <v>0</v>
      </c>
      <c r="H812" s="131">
        <v>0</v>
      </c>
      <c r="I812" s="131">
        <v>0</v>
      </c>
      <c r="J812" s="131">
        <v>0</v>
      </c>
      <c r="K812" s="131">
        <v>0</v>
      </c>
      <c r="L812" s="131">
        <v>0</v>
      </c>
      <c r="M812" s="131">
        <v>728.4</v>
      </c>
      <c r="N812" s="131">
        <v>539.37</v>
      </c>
      <c r="O812" s="248">
        <v>2375.69</v>
      </c>
    </row>
    <row r="813" spans="2:22" s="3" customFormat="1" x14ac:dyDescent="0.35">
      <c r="B813" s="43" t="s">
        <v>95</v>
      </c>
      <c r="C813" s="131">
        <v>16.86016</v>
      </c>
      <c r="D813" s="131">
        <v>90.772999999999996</v>
      </c>
      <c r="E813" s="131">
        <v>101.52</v>
      </c>
      <c r="F813" s="131">
        <v>0</v>
      </c>
      <c r="G813" s="131">
        <v>48.973000000000006</v>
      </c>
      <c r="H813" s="131">
        <v>60.901000000000003</v>
      </c>
      <c r="I813" s="131">
        <v>470.142</v>
      </c>
      <c r="J813" s="131">
        <v>670.45799999999997</v>
      </c>
      <c r="K813" s="131">
        <v>788.81500000000005</v>
      </c>
      <c r="L813" s="131">
        <v>587.18299999999999</v>
      </c>
      <c r="M813" s="131">
        <v>198.54000000000002</v>
      </c>
      <c r="N813" s="131">
        <v>43.545000000000002</v>
      </c>
      <c r="O813" s="248">
        <v>3077.7101600000001</v>
      </c>
    </row>
    <row r="814" spans="2:22" s="3" customFormat="1" x14ac:dyDescent="0.35">
      <c r="B814" s="43" t="s">
        <v>144</v>
      </c>
      <c r="C814" s="131">
        <v>0</v>
      </c>
      <c r="D814" s="131">
        <v>0</v>
      </c>
      <c r="E814" s="131">
        <v>0</v>
      </c>
      <c r="F814" s="131">
        <v>0</v>
      </c>
      <c r="G814" s="131">
        <v>0</v>
      </c>
      <c r="H814" s="131">
        <v>0</v>
      </c>
      <c r="I814" s="131">
        <v>0</v>
      </c>
      <c r="J814" s="131">
        <v>2.3490000000000002</v>
      </c>
      <c r="K814" s="131">
        <v>0</v>
      </c>
      <c r="L814" s="131">
        <v>0</v>
      </c>
      <c r="M814" s="131">
        <v>12.05</v>
      </c>
      <c r="N814" s="131">
        <v>0</v>
      </c>
      <c r="O814" s="248">
        <v>14.399000000000001</v>
      </c>
    </row>
    <row r="815" spans="2:22" ht="15" customHeight="1" x14ac:dyDescent="0.35">
      <c r="B815" s="43" t="s">
        <v>69</v>
      </c>
      <c r="C815" s="131">
        <v>0</v>
      </c>
      <c r="D815" s="131">
        <v>0</v>
      </c>
      <c r="E815" s="131">
        <v>0</v>
      </c>
      <c r="F815" s="131">
        <v>0</v>
      </c>
      <c r="G815" s="131">
        <v>0</v>
      </c>
      <c r="H815" s="131">
        <v>0</v>
      </c>
      <c r="I815" s="131">
        <v>13.507999999999999</v>
      </c>
      <c r="J815" s="131">
        <v>0</v>
      </c>
      <c r="K815" s="131">
        <v>0</v>
      </c>
      <c r="L815" s="131">
        <v>0</v>
      </c>
      <c r="M815" s="131">
        <v>43.26</v>
      </c>
      <c r="N815" s="131">
        <v>0</v>
      </c>
      <c r="O815" s="248">
        <v>56.768000000000001</v>
      </c>
      <c r="P815" s="3"/>
      <c r="Q815" s="3"/>
      <c r="R815" s="3"/>
      <c r="S815" s="3"/>
      <c r="T815" s="3"/>
      <c r="U815" s="3"/>
      <c r="V815" s="3"/>
    </row>
    <row r="816" spans="2:22" x14ac:dyDescent="0.35">
      <c r="B816" s="43" t="s">
        <v>153</v>
      </c>
      <c r="C816" s="131">
        <v>0</v>
      </c>
      <c r="D816" s="131">
        <v>35.326000000000001</v>
      </c>
      <c r="E816" s="131">
        <v>18.3</v>
      </c>
      <c r="F816" s="131">
        <v>35.239000000000004</v>
      </c>
      <c r="G816" s="131">
        <v>19.103000000000002</v>
      </c>
      <c r="H816" s="131">
        <v>21.026</v>
      </c>
      <c r="I816" s="131">
        <v>0</v>
      </c>
      <c r="J816" s="131">
        <v>18.7</v>
      </c>
      <c r="K816" s="131">
        <v>0</v>
      </c>
      <c r="L816" s="131">
        <v>0</v>
      </c>
      <c r="M816" s="131">
        <v>20.815999999999999</v>
      </c>
      <c r="N816" s="131">
        <v>16.231999999999999</v>
      </c>
      <c r="O816" s="248">
        <v>184.74200000000002</v>
      </c>
    </row>
    <row r="817" spans="2:22" s="3" customFormat="1" x14ac:dyDescent="0.35">
      <c r="B817" s="43" t="s">
        <v>118</v>
      </c>
      <c r="C817" s="131">
        <v>1.9</v>
      </c>
      <c r="D817" s="131">
        <v>9</v>
      </c>
      <c r="E817" s="131">
        <v>9.02</v>
      </c>
      <c r="F817" s="131">
        <v>5.23</v>
      </c>
      <c r="G817" s="131">
        <v>19.46</v>
      </c>
      <c r="H817" s="131">
        <v>1.123</v>
      </c>
      <c r="I817" s="131">
        <v>9.1999999999999993</v>
      </c>
      <c r="J817" s="131">
        <v>16.100000000000001</v>
      </c>
      <c r="K817" s="131">
        <v>17.200000000000003</v>
      </c>
      <c r="L817" s="131">
        <v>5.74</v>
      </c>
      <c r="M817" s="131">
        <v>1.62</v>
      </c>
      <c r="N817" s="131">
        <v>3.04</v>
      </c>
      <c r="O817" s="248">
        <v>98.632999999999996</v>
      </c>
      <c r="P817" s="324"/>
      <c r="Q817" s="324"/>
      <c r="R817" s="324"/>
      <c r="S817" s="324"/>
      <c r="T817" s="324"/>
      <c r="U817" s="324"/>
      <c r="V817" s="324"/>
    </row>
    <row r="818" spans="2:22" s="3" customFormat="1" x14ac:dyDescent="0.35">
      <c r="B818" s="43" t="s">
        <v>224</v>
      </c>
      <c r="C818" s="131">
        <v>0</v>
      </c>
      <c r="D818" s="131">
        <v>0</v>
      </c>
      <c r="E818" s="131">
        <v>0</v>
      </c>
      <c r="F818" s="131">
        <v>0</v>
      </c>
      <c r="G818" s="131">
        <v>0</v>
      </c>
      <c r="H818" s="131">
        <v>0</v>
      </c>
      <c r="I818" s="131">
        <v>0</v>
      </c>
      <c r="J818" s="131">
        <v>0</v>
      </c>
      <c r="K818" s="131">
        <v>0</v>
      </c>
      <c r="L818" s="131">
        <v>0</v>
      </c>
      <c r="M818" s="131">
        <v>0</v>
      </c>
      <c r="N818" s="131">
        <v>0</v>
      </c>
      <c r="O818" s="248">
        <v>0</v>
      </c>
    </row>
    <row r="819" spans="2:22" s="3" customFormat="1" x14ac:dyDescent="0.35">
      <c r="B819" s="43" t="s">
        <v>474</v>
      </c>
      <c r="C819" s="131">
        <v>0</v>
      </c>
      <c r="D819" s="131">
        <v>0</v>
      </c>
      <c r="E819" s="131">
        <v>0</v>
      </c>
      <c r="F819" s="131">
        <v>0</v>
      </c>
      <c r="G819" s="131">
        <v>0</v>
      </c>
      <c r="H819" s="131">
        <v>0</v>
      </c>
      <c r="I819" s="131">
        <v>40</v>
      </c>
      <c r="J819" s="131">
        <v>0</v>
      </c>
      <c r="K819" s="131">
        <v>0</v>
      </c>
      <c r="L819" s="131">
        <v>0</v>
      </c>
      <c r="M819" s="131">
        <v>0</v>
      </c>
      <c r="N819" s="131">
        <v>0</v>
      </c>
      <c r="O819" s="248">
        <v>40</v>
      </c>
    </row>
    <row r="820" spans="2:22" s="3" customFormat="1" x14ac:dyDescent="0.35">
      <c r="B820" s="43" t="s">
        <v>103</v>
      </c>
      <c r="C820" s="131">
        <v>0</v>
      </c>
      <c r="D820" s="131">
        <v>15.84</v>
      </c>
      <c r="E820" s="131">
        <v>31.68</v>
      </c>
      <c r="F820" s="131">
        <v>15.84</v>
      </c>
      <c r="G820" s="131">
        <v>24</v>
      </c>
      <c r="H820" s="131">
        <v>0</v>
      </c>
      <c r="I820" s="131">
        <v>0</v>
      </c>
      <c r="J820" s="131">
        <v>0</v>
      </c>
      <c r="K820" s="131">
        <v>0</v>
      </c>
      <c r="L820" s="131">
        <v>0</v>
      </c>
      <c r="M820" s="131">
        <v>0</v>
      </c>
      <c r="N820" s="131">
        <v>15.84</v>
      </c>
      <c r="O820" s="248">
        <v>103.2</v>
      </c>
    </row>
    <row r="821" spans="2:22" s="3" customFormat="1" x14ac:dyDescent="0.35">
      <c r="B821" s="43" t="s">
        <v>501</v>
      </c>
      <c r="C821" s="131">
        <v>0</v>
      </c>
      <c r="D821" s="131">
        <v>0</v>
      </c>
      <c r="E821" s="131">
        <v>0</v>
      </c>
      <c r="F821" s="131">
        <v>0</v>
      </c>
      <c r="G821" s="131">
        <v>0</v>
      </c>
      <c r="H821" s="131">
        <v>0</v>
      </c>
      <c r="I821" s="131">
        <v>0</v>
      </c>
      <c r="J821" s="131">
        <v>0</v>
      </c>
      <c r="K821" s="131">
        <v>0</v>
      </c>
      <c r="L821" s="131">
        <v>0</v>
      </c>
      <c r="M821" s="131">
        <v>0</v>
      </c>
      <c r="N821" s="131">
        <v>0</v>
      </c>
      <c r="O821" s="248">
        <v>0</v>
      </c>
    </row>
    <row r="822" spans="2:22" s="3" customFormat="1" x14ac:dyDescent="0.35">
      <c r="B822" s="43" t="s">
        <v>475</v>
      </c>
      <c r="C822" s="131">
        <v>0</v>
      </c>
      <c r="D822" s="131">
        <v>0</v>
      </c>
      <c r="E822" s="131">
        <v>0</v>
      </c>
      <c r="F822" s="131">
        <v>0</v>
      </c>
      <c r="G822" s="131">
        <v>0</v>
      </c>
      <c r="H822" s="131">
        <v>0</v>
      </c>
      <c r="I822" s="131">
        <v>0</v>
      </c>
      <c r="J822" s="131">
        <v>25.47</v>
      </c>
      <c r="K822" s="131">
        <v>0</v>
      </c>
      <c r="L822" s="131">
        <v>0</v>
      </c>
      <c r="M822" s="131">
        <v>0</v>
      </c>
      <c r="N822" s="131">
        <v>0</v>
      </c>
      <c r="O822" s="248">
        <v>25.47</v>
      </c>
    </row>
    <row r="823" spans="2:22" s="3" customFormat="1" x14ac:dyDescent="0.35">
      <c r="B823" s="43" t="s">
        <v>73</v>
      </c>
      <c r="C823" s="131">
        <v>0</v>
      </c>
      <c r="D823" s="131">
        <v>14.295999999999999</v>
      </c>
      <c r="E823" s="131">
        <v>0</v>
      </c>
      <c r="F823" s="131">
        <v>0</v>
      </c>
      <c r="G823" s="131">
        <v>0</v>
      </c>
      <c r="H823" s="131">
        <v>0</v>
      </c>
      <c r="I823" s="131">
        <v>0</v>
      </c>
      <c r="J823" s="131">
        <v>0</v>
      </c>
      <c r="K823" s="131">
        <v>0</v>
      </c>
      <c r="L823" s="131">
        <v>0</v>
      </c>
      <c r="M823" s="131">
        <v>0</v>
      </c>
      <c r="N823" s="131">
        <v>10.257999999999999</v>
      </c>
      <c r="O823" s="248">
        <v>24.553999999999998</v>
      </c>
    </row>
    <row r="824" spans="2:22" s="3" customFormat="1" x14ac:dyDescent="0.35">
      <c r="B824" s="43" t="s">
        <v>89</v>
      </c>
      <c r="C824" s="131">
        <v>0</v>
      </c>
      <c r="D824" s="131">
        <v>7.8639999999999999</v>
      </c>
      <c r="E824" s="131">
        <v>1.95</v>
      </c>
      <c r="F824" s="131">
        <v>2.1920000000000002</v>
      </c>
      <c r="G824" s="131">
        <v>1.58</v>
      </c>
      <c r="H824" s="131">
        <v>7.8</v>
      </c>
      <c r="I824" s="131">
        <v>3.11</v>
      </c>
      <c r="J824" s="131">
        <v>3.91</v>
      </c>
      <c r="K824" s="131">
        <v>14.685</v>
      </c>
      <c r="L824" s="131">
        <v>1.583</v>
      </c>
      <c r="M824" s="131">
        <v>0</v>
      </c>
      <c r="N824" s="131">
        <v>2.2000000000000002</v>
      </c>
      <c r="O824" s="248">
        <v>46.874000000000002</v>
      </c>
    </row>
    <row r="825" spans="2:22" s="3" customFormat="1" x14ac:dyDescent="0.35">
      <c r="B825" s="43" t="s">
        <v>502</v>
      </c>
      <c r="C825" s="131">
        <v>0</v>
      </c>
      <c r="D825" s="131">
        <v>0</v>
      </c>
      <c r="E825" s="131">
        <v>0</v>
      </c>
      <c r="F825" s="131">
        <v>0</v>
      </c>
      <c r="G825" s="131">
        <v>0</v>
      </c>
      <c r="H825" s="131">
        <v>0</v>
      </c>
      <c r="I825" s="131">
        <v>0</v>
      </c>
      <c r="J825" s="131">
        <v>0</v>
      </c>
      <c r="K825" s="131">
        <v>0</v>
      </c>
      <c r="L825" s="131">
        <v>0</v>
      </c>
      <c r="M825" s="131">
        <v>0</v>
      </c>
      <c r="N825" s="131">
        <v>0</v>
      </c>
      <c r="O825" s="248">
        <v>0</v>
      </c>
    </row>
    <row r="826" spans="2:22" s="3" customFormat="1" x14ac:dyDescent="0.35">
      <c r="B826" s="43" t="s">
        <v>155</v>
      </c>
      <c r="C826" s="131">
        <v>108.72600000000001</v>
      </c>
      <c r="D826" s="131">
        <v>0</v>
      </c>
      <c r="E826" s="131">
        <v>0</v>
      </c>
      <c r="F826" s="131">
        <v>0</v>
      </c>
      <c r="G826" s="131">
        <v>0</v>
      </c>
      <c r="H826" s="131">
        <v>19.72</v>
      </c>
      <c r="I826" s="131">
        <v>0</v>
      </c>
      <c r="J826" s="131">
        <v>0</v>
      </c>
      <c r="K826" s="131">
        <v>0</v>
      </c>
      <c r="L826" s="131">
        <v>0</v>
      </c>
      <c r="M826" s="131">
        <v>0</v>
      </c>
      <c r="N826" s="131">
        <v>13.24</v>
      </c>
      <c r="O826" s="248">
        <v>141.68600000000004</v>
      </c>
    </row>
    <row r="827" spans="2:22" s="3" customFormat="1" x14ac:dyDescent="0.35">
      <c r="B827" s="43" t="s">
        <v>503</v>
      </c>
      <c r="C827" s="131">
        <v>0</v>
      </c>
      <c r="D827" s="131">
        <v>0</v>
      </c>
      <c r="E827" s="131">
        <v>0</v>
      </c>
      <c r="F827" s="131">
        <v>0</v>
      </c>
      <c r="G827" s="131">
        <v>0</v>
      </c>
      <c r="H827" s="131">
        <v>0</v>
      </c>
      <c r="I827" s="131">
        <v>0</v>
      </c>
      <c r="J827" s="131">
        <v>0</v>
      </c>
      <c r="K827" s="131">
        <v>0</v>
      </c>
      <c r="L827" s="131">
        <v>0</v>
      </c>
      <c r="M827" s="131">
        <v>0</v>
      </c>
      <c r="N827" s="131">
        <v>0</v>
      </c>
      <c r="O827" s="248">
        <v>0</v>
      </c>
    </row>
    <row r="828" spans="2:22" s="3" customFormat="1" x14ac:dyDescent="0.35">
      <c r="B828" s="796" t="s">
        <v>91</v>
      </c>
      <c r="C828" s="247">
        <v>576.63624999999865</v>
      </c>
      <c r="D828" s="247">
        <v>169.78100000000086</v>
      </c>
      <c r="E828" s="247">
        <v>109.09899999999288</v>
      </c>
      <c r="F828" s="247">
        <v>306.92900000000009</v>
      </c>
      <c r="G828" s="247">
        <v>81.620000000005348</v>
      </c>
      <c r="H828" s="247">
        <v>885.61499999999705</v>
      </c>
      <c r="I828" s="247">
        <v>1628.6399999999958</v>
      </c>
      <c r="J828" s="247">
        <v>1720.2009999999937</v>
      </c>
      <c r="K828" s="247">
        <v>831.04799999999977</v>
      </c>
      <c r="L828" s="247">
        <v>522.46000000000049</v>
      </c>
      <c r="M828" s="247">
        <v>344.11500000000024</v>
      </c>
      <c r="N828" s="247">
        <v>547.90940000000046</v>
      </c>
      <c r="O828" s="248">
        <v>7724.0536499999853</v>
      </c>
    </row>
    <row r="829" spans="2:22" x14ac:dyDescent="0.35">
      <c r="B829" s="43"/>
      <c r="C829" s="131"/>
      <c r="D829" s="184"/>
      <c r="E829" s="184"/>
      <c r="F829" s="184"/>
      <c r="G829" s="184"/>
      <c r="H829" s="184"/>
      <c r="I829" s="184"/>
      <c r="J829" s="184"/>
      <c r="K829" s="184"/>
      <c r="L829" s="184"/>
      <c r="M829" s="184"/>
      <c r="N829" s="184"/>
      <c r="O829" s="145"/>
      <c r="P829" s="3"/>
      <c r="Q829" s="3"/>
      <c r="R829" s="3"/>
      <c r="S829" s="3"/>
      <c r="T829" s="3"/>
      <c r="U829" s="3"/>
      <c r="V829" s="3"/>
    </row>
    <row r="830" spans="2:22" x14ac:dyDescent="0.35">
      <c r="B830" s="656" t="s">
        <v>149</v>
      </c>
      <c r="C830" s="657">
        <v>0</v>
      </c>
      <c r="D830" s="657">
        <v>0</v>
      </c>
      <c r="E830" s="657">
        <v>0</v>
      </c>
      <c r="F830" s="657">
        <v>0</v>
      </c>
      <c r="G830" s="657">
        <v>0</v>
      </c>
      <c r="H830" s="657">
        <v>0</v>
      </c>
      <c r="I830" s="657">
        <v>0</v>
      </c>
      <c r="J830" s="657">
        <v>0</v>
      </c>
      <c r="K830" s="657">
        <v>0</v>
      </c>
      <c r="L830" s="657">
        <v>0</v>
      </c>
      <c r="M830" s="657">
        <v>0</v>
      </c>
      <c r="N830" s="657">
        <v>0</v>
      </c>
      <c r="O830" s="429">
        <v>0</v>
      </c>
    </row>
    <row r="831" spans="2:22" x14ac:dyDescent="0.35">
      <c r="B831" s="656" t="s">
        <v>150</v>
      </c>
      <c r="C831" s="658">
        <v>6133.5364099999997</v>
      </c>
      <c r="D831" s="658">
        <v>9050.2849999999999</v>
      </c>
      <c r="E831" s="658">
        <v>11056.81699999999</v>
      </c>
      <c r="F831" s="658">
        <v>6327.572000000001</v>
      </c>
      <c r="G831" s="658">
        <v>6579.4500000000053</v>
      </c>
      <c r="H831" s="658">
        <v>7106.8659999999973</v>
      </c>
      <c r="I831" s="658">
        <v>8958.0759999999955</v>
      </c>
      <c r="J831" s="658">
        <v>8958.1119999999919</v>
      </c>
      <c r="K831" s="658">
        <v>4886.5720000000001</v>
      </c>
      <c r="L831" s="658">
        <v>3689.0440000000003</v>
      </c>
      <c r="M831" s="658">
        <v>3599.2490000000012</v>
      </c>
      <c r="N831" s="658">
        <v>3402.3493999999996</v>
      </c>
      <c r="O831" s="429">
        <v>79747.928809999969</v>
      </c>
    </row>
    <row r="832" spans="2:22" x14ac:dyDescent="0.35">
      <c r="B832" s="656" t="s">
        <v>151</v>
      </c>
      <c r="C832" s="658">
        <v>0</v>
      </c>
      <c r="D832" s="658">
        <v>0</v>
      </c>
      <c r="E832" s="658">
        <v>0</v>
      </c>
      <c r="F832" s="658">
        <v>0</v>
      </c>
      <c r="G832" s="658">
        <v>0</v>
      </c>
      <c r="H832" s="658">
        <v>0</v>
      </c>
      <c r="I832" s="658">
        <v>0</v>
      </c>
      <c r="J832" s="658">
        <v>0</v>
      </c>
      <c r="K832" s="658">
        <v>0</v>
      </c>
      <c r="L832" s="658">
        <v>0</v>
      </c>
      <c r="M832" s="658">
        <v>0</v>
      </c>
      <c r="N832" s="658">
        <v>0</v>
      </c>
      <c r="O832" s="429">
        <v>0</v>
      </c>
    </row>
    <row r="833" spans="2:15" x14ac:dyDescent="0.35">
      <c r="B833" s="44"/>
      <c r="C833" s="249"/>
      <c r="D833" s="247"/>
      <c r="E833" s="247"/>
      <c r="F833" s="247"/>
      <c r="G833" s="247"/>
      <c r="H833" s="247"/>
      <c r="I833" s="247"/>
      <c r="J833" s="247"/>
      <c r="K833" s="247"/>
      <c r="L833" s="247"/>
      <c r="M833" s="247"/>
      <c r="N833" s="247"/>
      <c r="O833" s="248"/>
    </row>
    <row r="834" spans="2:15" x14ac:dyDescent="0.35">
      <c r="B834" s="432" t="s">
        <v>36</v>
      </c>
      <c r="C834" s="250">
        <v>210926.53271200004</v>
      </c>
      <c r="D834" s="250">
        <v>207970.04413999934</v>
      </c>
      <c r="E834" s="250">
        <v>113908.90811999967</v>
      </c>
      <c r="F834" s="250">
        <v>311508.74016000045</v>
      </c>
      <c r="G834" s="250">
        <v>228138.47962000061</v>
      </c>
      <c r="H834" s="250">
        <v>187593.36399999977</v>
      </c>
      <c r="I834" s="250">
        <v>284897.78526000149</v>
      </c>
      <c r="J834" s="250">
        <v>237996.86500000194</v>
      </c>
      <c r="K834" s="250">
        <v>138938.53100000101</v>
      </c>
      <c r="L834" s="250">
        <v>160596.56671000045</v>
      </c>
      <c r="M834" s="250">
        <v>104471.12949999937</v>
      </c>
      <c r="N834" s="250">
        <v>179737.96360000042</v>
      </c>
      <c r="O834" s="659">
        <v>2366684.9098220044</v>
      </c>
    </row>
    <row r="835" spans="2:15" x14ac:dyDescent="0.35">
      <c r="B835" s="251"/>
      <c r="C835" s="118"/>
      <c r="D835" s="660"/>
      <c r="E835" s="660"/>
      <c r="F835" s="660"/>
      <c r="G835" s="660"/>
      <c r="H835" s="660"/>
      <c r="I835" s="660"/>
      <c r="J835" s="118"/>
      <c r="K835" s="118"/>
      <c r="L835" s="118"/>
      <c r="M835" s="118"/>
      <c r="N835" s="118"/>
      <c r="O835" s="160"/>
    </row>
    <row r="836" spans="2:15" x14ac:dyDescent="0.35">
      <c r="B836" s="1068" t="s">
        <v>156</v>
      </c>
      <c r="C836" s="1068"/>
      <c r="D836" s="1068"/>
      <c r="E836" s="1068"/>
      <c r="F836" s="1068"/>
      <c r="G836" s="1068"/>
      <c r="H836" s="1068"/>
      <c r="I836" s="1068"/>
      <c r="J836" s="1068"/>
      <c r="K836" s="1068"/>
      <c r="L836" s="1068"/>
      <c r="M836" s="1068"/>
      <c r="N836" s="1068"/>
      <c r="O836" s="1068"/>
    </row>
    <row r="837" spans="2:15" x14ac:dyDescent="0.35">
      <c r="B837" s="252"/>
      <c r="C837" s="253"/>
      <c r="D837" s="253"/>
      <c r="E837" s="253"/>
      <c r="F837" s="253"/>
      <c r="G837" s="253"/>
      <c r="H837" s="253"/>
      <c r="I837" s="253"/>
      <c r="J837" s="253"/>
      <c r="K837" s="253"/>
      <c r="L837" s="254"/>
      <c r="M837" s="254"/>
      <c r="N837" s="254"/>
      <c r="O837" s="255"/>
    </row>
    <row r="838" spans="2:15" ht="15" customHeight="1" x14ac:dyDescent="0.35">
      <c r="B838" s="1074" t="s">
        <v>13</v>
      </c>
      <c r="C838" s="1070" t="s">
        <v>0</v>
      </c>
      <c r="D838" s="1070" t="s">
        <v>1</v>
      </c>
      <c r="E838" s="1070" t="s">
        <v>2</v>
      </c>
      <c r="F838" s="1070" t="s">
        <v>3</v>
      </c>
      <c r="G838" s="1070" t="s">
        <v>4</v>
      </c>
      <c r="H838" s="1070" t="s">
        <v>5</v>
      </c>
      <c r="I838" s="1070" t="s">
        <v>6</v>
      </c>
      <c r="J838" s="1070" t="s">
        <v>7</v>
      </c>
      <c r="K838" s="1070" t="s">
        <v>8</v>
      </c>
      <c r="L838" s="1070" t="s">
        <v>9</v>
      </c>
      <c r="M838" s="1070" t="s">
        <v>10</v>
      </c>
      <c r="N838" s="1070" t="s">
        <v>14</v>
      </c>
      <c r="O838" s="1074" t="s">
        <v>15</v>
      </c>
    </row>
    <row r="839" spans="2:15" ht="15" customHeight="1" x14ac:dyDescent="0.35">
      <c r="B839" s="1080"/>
      <c r="C839" s="1071"/>
      <c r="D839" s="1071"/>
      <c r="E839" s="1071"/>
      <c r="F839" s="1071"/>
      <c r="G839" s="1071"/>
      <c r="H839" s="1071"/>
      <c r="I839" s="1071"/>
      <c r="J839" s="1071"/>
      <c r="K839" s="1071"/>
      <c r="L839" s="1071"/>
      <c r="M839" s="1078"/>
      <c r="N839" s="1078"/>
      <c r="O839" s="1079"/>
    </row>
    <row r="840" spans="2:15" x14ac:dyDescent="0.35">
      <c r="B840" s="242"/>
      <c r="C840" s="632">
        <v>0</v>
      </c>
      <c r="D840" s="632">
        <v>-1.3096723705530167E-10</v>
      </c>
      <c r="E840" s="632">
        <v>0</v>
      </c>
      <c r="F840" s="632">
        <v>0</v>
      </c>
      <c r="G840" s="632">
        <v>0</v>
      </c>
      <c r="H840" s="632">
        <v>0</v>
      </c>
      <c r="I840" s="632">
        <v>0</v>
      </c>
      <c r="J840" s="632">
        <v>0</v>
      </c>
      <c r="K840" s="632">
        <v>-1.1641532182693481E-10</v>
      </c>
      <c r="L840" s="632">
        <v>0</v>
      </c>
      <c r="M840" s="632">
        <v>0</v>
      </c>
      <c r="N840" s="632">
        <v>-1.1641532182693481E-10</v>
      </c>
      <c r="O840" s="243"/>
    </row>
    <row r="841" spans="2:15" x14ac:dyDescent="0.35">
      <c r="B841" s="114" t="s">
        <v>47</v>
      </c>
      <c r="C841" s="244">
        <v>97186.933720000161</v>
      </c>
      <c r="D841" s="244">
        <v>72429.536999999851</v>
      </c>
      <c r="E841" s="244">
        <v>55691.411000000073</v>
      </c>
      <c r="F841" s="244">
        <v>94879.528000000078</v>
      </c>
      <c r="G841" s="244">
        <v>101691.91925000022</v>
      </c>
      <c r="H841" s="244">
        <v>49799.779310000093</v>
      </c>
      <c r="I841" s="244">
        <v>118282.18749999977</v>
      </c>
      <c r="J841" s="244">
        <v>99886.648999999903</v>
      </c>
      <c r="K841" s="244">
        <v>92696.333999999784</v>
      </c>
      <c r="L841" s="244">
        <v>131319.31999999975</v>
      </c>
      <c r="M841" s="244">
        <v>93770.22600000033</v>
      </c>
      <c r="N841" s="244">
        <v>89981.484999999768</v>
      </c>
      <c r="O841" s="112">
        <v>1097615.3097799998</v>
      </c>
    </row>
    <row r="842" spans="2:15" ht="22.5" customHeight="1" x14ac:dyDescent="0.35">
      <c r="B842" s="797"/>
      <c r="C842" s="244"/>
      <c r="D842" s="244"/>
      <c r="E842" s="244"/>
      <c r="F842" s="244"/>
      <c r="G842" s="244"/>
      <c r="H842" s="244"/>
      <c r="I842" s="244"/>
      <c r="J842" s="244"/>
      <c r="K842" s="244"/>
      <c r="L842" s="244"/>
      <c r="M842" s="244"/>
      <c r="N842" s="244"/>
      <c r="O842" s="136"/>
    </row>
    <row r="843" spans="2:15" x14ac:dyDescent="0.35">
      <c r="B843" s="796" t="s">
        <v>67</v>
      </c>
      <c r="C843" s="131">
        <v>39775.612000000001</v>
      </c>
      <c r="D843" s="131">
        <v>17123.245000000003</v>
      </c>
      <c r="E843" s="131">
        <v>0</v>
      </c>
      <c r="F843" s="131">
        <v>42709.125000000058</v>
      </c>
      <c r="G843" s="131">
        <v>31037.884399999995</v>
      </c>
      <c r="H843" s="131">
        <v>1003.6</v>
      </c>
      <c r="I843" s="131">
        <v>44865.446000000011</v>
      </c>
      <c r="J843" s="131">
        <v>13188.552000000014</v>
      </c>
      <c r="K843" s="131">
        <v>21517.091999999913</v>
      </c>
      <c r="L843" s="131">
        <v>19459.182000000001</v>
      </c>
      <c r="M843" s="131">
        <v>10806.351999999999</v>
      </c>
      <c r="N843" s="131">
        <v>16328.884000000007</v>
      </c>
      <c r="O843" s="248">
        <v>257814.97440000006</v>
      </c>
    </row>
    <row r="844" spans="2:15" ht="15" customHeight="1" x14ac:dyDescent="0.35">
      <c r="B844" s="796" t="s">
        <v>68</v>
      </c>
      <c r="C844" s="131">
        <v>17434.97</v>
      </c>
      <c r="D844" s="131">
        <v>6013.78</v>
      </c>
      <c r="E844" s="131">
        <v>27286.530000000002</v>
      </c>
      <c r="F844" s="131">
        <v>23299.031999999999</v>
      </c>
      <c r="G844" s="131">
        <v>25557.039000000001</v>
      </c>
      <c r="H844" s="131">
        <v>6000</v>
      </c>
      <c r="I844" s="131">
        <v>39014.184999999998</v>
      </c>
      <c r="J844" s="131">
        <v>29921.891</v>
      </c>
      <c r="K844" s="131">
        <v>27687.360000000001</v>
      </c>
      <c r="L844" s="131">
        <v>43200</v>
      </c>
      <c r="M844" s="131">
        <v>29476.510000000002</v>
      </c>
      <c r="N844" s="131">
        <v>19925.010999999999</v>
      </c>
      <c r="O844" s="248">
        <v>294816.30800000002</v>
      </c>
    </row>
    <row r="845" spans="2:15" x14ac:dyDescent="0.35">
      <c r="B845" s="796" t="s">
        <v>71</v>
      </c>
      <c r="C845" s="131">
        <v>15458.449999999999</v>
      </c>
      <c r="D845" s="131">
        <v>541.67399999999998</v>
      </c>
      <c r="E845" s="131">
        <v>2058.2959999999998</v>
      </c>
      <c r="F845" s="131">
        <v>812.45699999999999</v>
      </c>
      <c r="G845" s="131">
        <v>7031.3990000000122</v>
      </c>
      <c r="H845" s="131">
        <v>1225.9110000000001</v>
      </c>
      <c r="I845" s="131">
        <v>1218.7530000000006</v>
      </c>
      <c r="J845" s="131">
        <v>3327.0720000000015</v>
      </c>
      <c r="K845" s="131">
        <v>2000</v>
      </c>
      <c r="L845" s="131">
        <v>1340.2750000000001</v>
      </c>
      <c r="M845" s="131">
        <v>6320.2830000000122</v>
      </c>
      <c r="N845" s="131">
        <v>4456.2389999999996</v>
      </c>
      <c r="O845" s="248">
        <v>45790.809000000023</v>
      </c>
    </row>
    <row r="846" spans="2:15" x14ac:dyDescent="0.35">
      <c r="B846" s="796" t="s">
        <v>70</v>
      </c>
      <c r="C846" s="131">
        <v>5012.6080000000002</v>
      </c>
      <c r="D846" s="131">
        <v>24.4</v>
      </c>
      <c r="E846" s="131">
        <v>0</v>
      </c>
      <c r="F846" s="131">
        <v>51.2</v>
      </c>
      <c r="G846" s="131">
        <v>0</v>
      </c>
      <c r="H846" s="131">
        <v>6000</v>
      </c>
      <c r="I846" s="131">
        <v>0</v>
      </c>
      <c r="J846" s="131">
        <v>0</v>
      </c>
      <c r="K846" s="131">
        <v>19.84</v>
      </c>
      <c r="L846" s="131">
        <v>0</v>
      </c>
      <c r="M846" s="131">
        <v>185.29900000000001</v>
      </c>
      <c r="N846" s="131">
        <v>2500</v>
      </c>
      <c r="O846" s="248">
        <v>13793.347</v>
      </c>
    </row>
    <row r="847" spans="2:15" x14ac:dyDescent="0.35">
      <c r="B847" s="796" t="s">
        <v>119</v>
      </c>
      <c r="C847" s="131">
        <v>1499.3250000000005</v>
      </c>
      <c r="D847" s="131">
        <v>1995.5620000000004</v>
      </c>
      <c r="E847" s="131">
        <v>2433.4719999999998</v>
      </c>
      <c r="F847" s="131">
        <v>3078.9449999999997</v>
      </c>
      <c r="G847" s="131">
        <v>2187.1330000000007</v>
      </c>
      <c r="H847" s="131">
        <v>1180.9210000000003</v>
      </c>
      <c r="I847" s="131">
        <v>1261.2450000000001</v>
      </c>
      <c r="J847" s="131">
        <v>2465.0419999999963</v>
      </c>
      <c r="K847" s="131">
        <v>947.72499999999991</v>
      </c>
      <c r="L847" s="131">
        <v>3339.8959999999979</v>
      </c>
      <c r="M847" s="131">
        <v>504.79199999999986</v>
      </c>
      <c r="N847" s="131">
        <v>689.76000000000022</v>
      </c>
      <c r="O847" s="248">
        <v>21583.817999999999</v>
      </c>
    </row>
    <row r="848" spans="2:15" x14ac:dyDescent="0.35">
      <c r="B848" s="796" t="s">
        <v>164</v>
      </c>
      <c r="C848" s="131">
        <v>1348.0240000000001</v>
      </c>
      <c r="D848" s="131">
        <v>2764.3869999999988</v>
      </c>
      <c r="E848" s="131">
        <v>1381.0289999999993</v>
      </c>
      <c r="F848" s="131">
        <v>2021.339999999999</v>
      </c>
      <c r="G848" s="131">
        <v>1923.4189999999992</v>
      </c>
      <c r="H848" s="131">
        <v>1780.1899999999994</v>
      </c>
      <c r="I848" s="131">
        <v>1664.0919999999999</v>
      </c>
      <c r="J848" s="131">
        <v>2371.9559999999983</v>
      </c>
      <c r="K848" s="131">
        <v>1842.3569999999997</v>
      </c>
      <c r="L848" s="131">
        <v>2621.1919999999982</v>
      </c>
      <c r="M848" s="131">
        <v>2220.8359999999989</v>
      </c>
      <c r="N848" s="131">
        <v>2634.7789999999991</v>
      </c>
      <c r="O848" s="248">
        <v>24573.600999999991</v>
      </c>
    </row>
    <row r="849" spans="2:15" x14ac:dyDescent="0.35">
      <c r="B849" s="796" t="s">
        <v>85</v>
      </c>
      <c r="C849" s="131">
        <v>0</v>
      </c>
      <c r="D849" s="131">
        <v>0</v>
      </c>
      <c r="E849" s="131">
        <v>1205.28</v>
      </c>
      <c r="F849" s="131">
        <v>0</v>
      </c>
      <c r="G849" s="131">
        <v>1510.92</v>
      </c>
      <c r="H849" s="131">
        <v>880.15000000000009</v>
      </c>
      <c r="I849" s="131">
        <v>1763.73</v>
      </c>
      <c r="J849" s="131">
        <v>0</v>
      </c>
      <c r="K849" s="131">
        <v>0</v>
      </c>
      <c r="L849" s="131">
        <v>55.28</v>
      </c>
      <c r="M849" s="131">
        <v>0</v>
      </c>
      <c r="N849" s="131">
        <v>2291.971</v>
      </c>
      <c r="O849" s="248">
        <v>7707.3310000000001</v>
      </c>
    </row>
    <row r="850" spans="2:15" x14ac:dyDescent="0.35">
      <c r="B850" s="796" t="s">
        <v>88</v>
      </c>
      <c r="C850" s="131">
        <v>1652.9989999999998</v>
      </c>
      <c r="D850" s="131">
        <v>3296.1410000000001</v>
      </c>
      <c r="E850" s="131">
        <v>4076.1860000000011</v>
      </c>
      <c r="F850" s="131">
        <v>3258.8809999999999</v>
      </c>
      <c r="G850" s="131">
        <v>4047.3570000000027</v>
      </c>
      <c r="H850" s="131">
        <v>3117.857</v>
      </c>
      <c r="I850" s="131">
        <v>5124.0769999999984</v>
      </c>
      <c r="J850" s="131">
        <v>8534.3599999999969</v>
      </c>
      <c r="K850" s="131">
        <v>5070.4559999999974</v>
      </c>
      <c r="L850" s="131">
        <v>4381.0189999999993</v>
      </c>
      <c r="M850" s="131">
        <v>466.98600000000005</v>
      </c>
      <c r="N850" s="131">
        <v>180.435</v>
      </c>
      <c r="O850" s="248">
        <v>43206.753999999986</v>
      </c>
    </row>
    <row r="851" spans="2:15" x14ac:dyDescent="0.35">
      <c r="B851" s="796" t="s">
        <v>470</v>
      </c>
      <c r="C851" s="131">
        <v>1289.07</v>
      </c>
      <c r="D851" s="131">
        <v>964.77299999999991</v>
      </c>
      <c r="E851" s="131">
        <v>0</v>
      </c>
      <c r="F851" s="131">
        <v>962.72399999999993</v>
      </c>
      <c r="G851" s="131">
        <v>1280.55</v>
      </c>
      <c r="H851" s="131">
        <v>2563.2200000000003</v>
      </c>
      <c r="I851" s="131">
        <v>3741.0169999999998</v>
      </c>
      <c r="J851" s="131">
        <v>36</v>
      </c>
      <c r="K851" s="131">
        <v>501.084</v>
      </c>
      <c r="L851" s="131">
        <v>1360.848</v>
      </c>
      <c r="M851" s="131">
        <v>0</v>
      </c>
      <c r="N851" s="131">
        <v>3247.0070000000001</v>
      </c>
      <c r="O851" s="248">
        <v>15946.293</v>
      </c>
    </row>
    <row r="852" spans="2:15" x14ac:dyDescent="0.35">
      <c r="B852" s="796" t="s">
        <v>147</v>
      </c>
      <c r="C852" s="131">
        <v>0</v>
      </c>
      <c r="D852" s="131">
        <v>0</v>
      </c>
      <c r="E852" s="131">
        <v>0</v>
      </c>
      <c r="F852" s="131">
        <v>0</v>
      </c>
      <c r="G852" s="131">
        <v>1075.796</v>
      </c>
      <c r="H852" s="131">
        <v>28.1</v>
      </c>
      <c r="I852" s="131">
        <v>0</v>
      </c>
      <c r="J852" s="131">
        <v>962.99999999999955</v>
      </c>
      <c r="K852" s="131">
        <v>714.7</v>
      </c>
      <c r="L852" s="131">
        <v>56.099999999999994</v>
      </c>
      <c r="M852" s="131">
        <v>0</v>
      </c>
      <c r="N852" s="131">
        <v>0</v>
      </c>
      <c r="O852" s="248">
        <v>2837.6959999999995</v>
      </c>
    </row>
    <row r="853" spans="2:15" x14ac:dyDescent="0.35">
      <c r="B853" s="796" t="s">
        <v>74</v>
      </c>
      <c r="C853" s="131">
        <v>585.846</v>
      </c>
      <c r="D853" s="131">
        <v>1848.1860000000001</v>
      </c>
      <c r="E853" s="131">
        <v>282.49599999999998</v>
      </c>
      <c r="F853" s="131">
        <v>1444.5</v>
      </c>
      <c r="G853" s="131">
        <v>284.95999999999998</v>
      </c>
      <c r="H853" s="131">
        <v>550.81399999999996</v>
      </c>
      <c r="I853" s="131">
        <v>3811.7990000000004</v>
      </c>
      <c r="J853" s="131">
        <v>7038.1859999999997</v>
      </c>
      <c r="K853" s="131">
        <v>2875.68</v>
      </c>
      <c r="L853" s="131">
        <v>4025.0289999999995</v>
      </c>
      <c r="M853" s="131">
        <v>3100.4259999999999</v>
      </c>
      <c r="N853" s="131">
        <v>254.52799999999999</v>
      </c>
      <c r="O853" s="248">
        <v>26102.449999999997</v>
      </c>
    </row>
    <row r="854" spans="2:15" x14ac:dyDescent="0.35">
      <c r="B854" s="796" t="s">
        <v>83</v>
      </c>
      <c r="C854" s="131">
        <v>124.11000000000001</v>
      </c>
      <c r="D854" s="131">
        <v>1024.3200000000002</v>
      </c>
      <c r="E854" s="131">
        <v>0</v>
      </c>
      <c r="F854" s="131">
        <v>1134.2</v>
      </c>
      <c r="G854" s="131">
        <v>331.94</v>
      </c>
      <c r="H854" s="131">
        <v>892.09</v>
      </c>
      <c r="I854" s="131">
        <v>256.45000000000005</v>
      </c>
      <c r="J854" s="131">
        <v>423.15000000000003</v>
      </c>
      <c r="K854" s="131">
        <v>1236.95</v>
      </c>
      <c r="L854" s="131">
        <v>1380.77</v>
      </c>
      <c r="M854" s="131">
        <v>2765.5909999999999</v>
      </c>
      <c r="N854" s="131">
        <v>317.87100000000004</v>
      </c>
      <c r="O854" s="248">
        <v>9887.4419999999991</v>
      </c>
    </row>
    <row r="855" spans="2:15" x14ac:dyDescent="0.35">
      <c r="B855" s="796" t="s">
        <v>500</v>
      </c>
      <c r="C855" s="131">
        <v>0</v>
      </c>
      <c r="D855" s="131">
        <v>0</v>
      </c>
      <c r="E855" s="131">
        <v>0</v>
      </c>
      <c r="F855" s="131">
        <v>0</v>
      </c>
      <c r="G855" s="131">
        <v>0</v>
      </c>
      <c r="H855" s="131">
        <v>0</v>
      </c>
      <c r="I855" s="131">
        <v>0</v>
      </c>
      <c r="J855" s="131">
        <v>0</v>
      </c>
      <c r="K855" s="131">
        <v>0</v>
      </c>
      <c r="L855" s="131">
        <v>0</v>
      </c>
      <c r="M855" s="131">
        <v>0</v>
      </c>
      <c r="N855" s="131">
        <v>136.19999999999999</v>
      </c>
      <c r="O855" s="248">
        <v>136.19999999999999</v>
      </c>
    </row>
    <row r="856" spans="2:15" x14ac:dyDescent="0.35">
      <c r="B856" s="796" t="s">
        <v>157</v>
      </c>
      <c r="C856" s="131">
        <v>480.74232000000006</v>
      </c>
      <c r="D856" s="131">
        <v>0</v>
      </c>
      <c r="E856" s="131">
        <v>0</v>
      </c>
      <c r="F856" s="131">
        <v>0</v>
      </c>
      <c r="G856" s="131">
        <v>0</v>
      </c>
      <c r="H856" s="131">
        <v>0</v>
      </c>
      <c r="I856" s="131">
        <v>0</v>
      </c>
      <c r="J856" s="131">
        <v>0</v>
      </c>
      <c r="K856" s="131">
        <v>0</v>
      </c>
      <c r="L856" s="131">
        <v>85.8</v>
      </c>
      <c r="M856" s="131">
        <v>0</v>
      </c>
      <c r="N856" s="131">
        <v>242.55000000000007</v>
      </c>
      <c r="O856" s="248">
        <v>809.09232000000009</v>
      </c>
    </row>
    <row r="857" spans="2:15" x14ac:dyDescent="0.35">
      <c r="B857" s="796" t="s">
        <v>148</v>
      </c>
      <c r="C857" s="131">
        <v>301.3</v>
      </c>
      <c r="D857" s="131">
        <v>686.30099999999993</v>
      </c>
      <c r="E857" s="131">
        <v>965.51299999999992</v>
      </c>
      <c r="F857" s="131">
        <v>509.08799999999997</v>
      </c>
      <c r="G857" s="131">
        <v>947.85</v>
      </c>
      <c r="H857" s="131">
        <v>586.67599999999993</v>
      </c>
      <c r="I857" s="131">
        <v>773.702</v>
      </c>
      <c r="J857" s="131">
        <v>1705.7319999999997</v>
      </c>
      <c r="K857" s="131">
        <v>217.76</v>
      </c>
      <c r="L857" s="131">
        <v>644.92999999999995</v>
      </c>
      <c r="M857" s="131">
        <v>749.98899999999992</v>
      </c>
      <c r="N857" s="131">
        <v>136</v>
      </c>
      <c r="O857" s="248">
        <v>8224.8410000000003</v>
      </c>
    </row>
    <row r="858" spans="2:15" x14ac:dyDescent="0.35">
      <c r="B858" s="796" t="s">
        <v>77</v>
      </c>
      <c r="C858" s="131">
        <v>494.59999999999991</v>
      </c>
      <c r="D858" s="131">
        <v>581.38</v>
      </c>
      <c r="E858" s="131">
        <v>754</v>
      </c>
      <c r="F858" s="131">
        <v>639.4</v>
      </c>
      <c r="G858" s="131">
        <v>812.92799999999988</v>
      </c>
      <c r="H858" s="131">
        <v>717.03300000000002</v>
      </c>
      <c r="I858" s="131">
        <v>262.15999999999997</v>
      </c>
      <c r="J858" s="131">
        <v>2659.3799999999997</v>
      </c>
      <c r="K858" s="131">
        <v>2079.4089999999997</v>
      </c>
      <c r="L858" s="131">
        <v>3979.0880000000002</v>
      </c>
      <c r="M858" s="131">
        <v>3211.5350000000008</v>
      </c>
      <c r="N858" s="131">
        <v>715.41499999999985</v>
      </c>
      <c r="O858" s="248">
        <v>16906.328000000001</v>
      </c>
    </row>
    <row r="859" spans="2:15" ht="19.5" customHeight="1" x14ac:dyDescent="0.35">
      <c r="B859" s="796" t="s">
        <v>69</v>
      </c>
      <c r="C859" s="131">
        <v>654.42980000000011</v>
      </c>
      <c r="D859" s="131">
        <v>1397.8579999999993</v>
      </c>
      <c r="E859" s="131">
        <v>389.97899999999998</v>
      </c>
      <c r="F859" s="131">
        <v>109.58800000000001</v>
      </c>
      <c r="G859" s="131">
        <v>1405.4280000000001</v>
      </c>
      <c r="H859" s="131">
        <v>790.09400000000016</v>
      </c>
      <c r="I859" s="131">
        <v>601.68799999999999</v>
      </c>
      <c r="J859" s="131">
        <v>452.97800000000001</v>
      </c>
      <c r="K859" s="131">
        <v>1521.6239999999998</v>
      </c>
      <c r="L859" s="131">
        <v>2630.1869999999967</v>
      </c>
      <c r="M859" s="131">
        <v>2360.1220000000003</v>
      </c>
      <c r="N859" s="131">
        <v>2203.7520000000009</v>
      </c>
      <c r="O859" s="248">
        <v>14517.727799999997</v>
      </c>
    </row>
    <row r="860" spans="2:15" x14ac:dyDescent="0.35">
      <c r="B860" s="796" t="s">
        <v>87</v>
      </c>
      <c r="C860" s="131">
        <v>198.94519</v>
      </c>
      <c r="D860" s="131">
        <v>205.71899999999999</v>
      </c>
      <c r="E860" s="131">
        <v>113.6</v>
      </c>
      <c r="F860" s="131">
        <v>472.33300000000008</v>
      </c>
      <c r="G860" s="131">
        <v>1104.1297500000001</v>
      </c>
      <c r="H860" s="131">
        <v>278.22500000000002</v>
      </c>
      <c r="I860" s="131">
        <v>130.47399999999999</v>
      </c>
      <c r="J860" s="131">
        <v>520.38800000000003</v>
      </c>
      <c r="K860" s="131">
        <v>566.33199999999999</v>
      </c>
      <c r="L860" s="131">
        <v>421.73500000000001</v>
      </c>
      <c r="M860" s="131">
        <v>237.03699999999998</v>
      </c>
      <c r="N860" s="131">
        <v>746.24900000000014</v>
      </c>
      <c r="O860" s="248">
        <v>4995.1669400000001</v>
      </c>
    </row>
    <row r="861" spans="2:15" x14ac:dyDescent="0.35">
      <c r="B861" s="796" t="s">
        <v>116</v>
      </c>
      <c r="C861" s="131">
        <v>0</v>
      </c>
      <c r="D861" s="131">
        <v>340.00099999999998</v>
      </c>
      <c r="E861" s="131">
        <v>730.03399999999999</v>
      </c>
      <c r="F861" s="131">
        <v>1026.3569999999997</v>
      </c>
      <c r="G861" s="131">
        <v>359.88499999999993</v>
      </c>
      <c r="H861" s="131">
        <v>97.346000000000004</v>
      </c>
      <c r="I861" s="131">
        <v>1151.6029999999996</v>
      </c>
      <c r="J861" s="131">
        <v>1700.9999999999991</v>
      </c>
      <c r="K861" s="131">
        <v>176.624</v>
      </c>
      <c r="L861" s="131">
        <v>564.70700000000011</v>
      </c>
      <c r="M861" s="131">
        <v>1870.0259999999994</v>
      </c>
      <c r="N861" s="131">
        <v>896.87299999999982</v>
      </c>
      <c r="O861" s="248">
        <v>8914.4559999999983</v>
      </c>
    </row>
    <row r="862" spans="2:15" x14ac:dyDescent="0.35">
      <c r="B862" s="796" t="s">
        <v>162</v>
      </c>
      <c r="C862" s="131">
        <v>852.6110000000001</v>
      </c>
      <c r="D862" s="131">
        <v>756.6350000000001</v>
      </c>
      <c r="E862" s="131">
        <v>577.99300000000005</v>
      </c>
      <c r="F862" s="131">
        <v>1093.8069999999998</v>
      </c>
      <c r="G862" s="131">
        <v>2011.4270000000004</v>
      </c>
      <c r="H862" s="131">
        <v>775.92200000000014</v>
      </c>
      <c r="I862" s="131">
        <v>345.52499999999998</v>
      </c>
      <c r="J862" s="131">
        <v>510.72699999999998</v>
      </c>
      <c r="K862" s="131">
        <v>509.66000000000008</v>
      </c>
      <c r="L862" s="131">
        <v>352.39599999999996</v>
      </c>
      <c r="M862" s="131">
        <v>637.95399999999995</v>
      </c>
      <c r="N862" s="131">
        <v>812.12899999999968</v>
      </c>
      <c r="O862" s="248">
        <v>9236.7859999999982</v>
      </c>
    </row>
    <row r="863" spans="2:15" x14ac:dyDescent="0.35">
      <c r="B863" s="796" t="s">
        <v>91</v>
      </c>
      <c r="C863" s="29">
        <v>10023.291410000122</v>
      </c>
      <c r="D863" s="29">
        <v>32865.174999999857</v>
      </c>
      <c r="E863" s="29">
        <v>13437.00300000007</v>
      </c>
      <c r="F863" s="29">
        <v>12256.551000000036</v>
      </c>
      <c r="G863" s="29">
        <v>18781.874100000219</v>
      </c>
      <c r="H863" s="29">
        <v>21331.630310000095</v>
      </c>
      <c r="I863" s="29">
        <v>12296.241499999756</v>
      </c>
      <c r="J863" s="29">
        <v>24067.234999999884</v>
      </c>
      <c r="K863" s="29">
        <v>23211.68099999988</v>
      </c>
      <c r="L863" s="29">
        <v>41420.885999999766</v>
      </c>
      <c r="M863" s="29">
        <v>28856.488000000325</v>
      </c>
      <c r="N863" s="29">
        <v>31265.831999999762</v>
      </c>
      <c r="O863" s="248">
        <v>269813.88831999979</v>
      </c>
    </row>
    <row r="864" spans="2:15" x14ac:dyDescent="0.35">
      <c r="B864" s="796"/>
      <c r="C864" s="247"/>
      <c r="D864" s="184"/>
      <c r="E864" s="184"/>
      <c r="F864" s="184"/>
      <c r="G864" s="184"/>
      <c r="H864" s="184"/>
      <c r="I864" s="184"/>
      <c r="J864" s="184"/>
      <c r="K864" s="184"/>
      <c r="L864" s="184"/>
      <c r="M864" s="184"/>
      <c r="N864" s="184"/>
      <c r="O864" s="248">
        <v>0</v>
      </c>
    </row>
    <row r="865" spans="2:15" x14ac:dyDescent="0.35">
      <c r="B865" s="798" t="s">
        <v>149</v>
      </c>
      <c r="C865" s="657">
        <v>465.5</v>
      </c>
      <c r="D865" s="657">
        <v>275.524</v>
      </c>
      <c r="E865" s="657">
        <v>56.632000000000005</v>
      </c>
      <c r="F865" s="657">
        <v>286.58199999999999</v>
      </c>
      <c r="G865" s="657">
        <v>76.037999999999997</v>
      </c>
      <c r="H865" s="657">
        <v>551.74799999999993</v>
      </c>
      <c r="I865" s="657">
        <v>723.12099999999998</v>
      </c>
      <c r="J865" s="657">
        <v>182.005</v>
      </c>
      <c r="K865" s="657">
        <v>764.61000000000013</v>
      </c>
      <c r="L865" s="657">
        <v>345.33700000000005</v>
      </c>
      <c r="M865" s="657">
        <v>447.80900000000008</v>
      </c>
      <c r="N865" s="657">
        <v>711.6189999999998</v>
      </c>
      <c r="O865" s="429">
        <v>4886.5249999999996</v>
      </c>
    </row>
    <row r="866" spans="2:15" ht="22.5" customHeight="1" x14ac:dyDescent="0.35">
      <c r="B866" s="798" t="s">
        <v>150</v>
      </c>
      <c r="C866" s="658">
        <v>95373.409720000112</v>
      </c>
      <c r="D866" s="658">
        <v>69389.625999999975</v>
      </c>
      <c r="E866" s="658">
        <v>54253.750000000058</v>
      </c>
      <c r="F866" s="658">
        <v>92571.606000000087</v>
      </c>
      <c r="G866" s="658">
        <v>99692.462250000259</v>
      </c>
      <c r="H866" s="658">
        <v>47467.841310000076</v>
      </c>
      <c r="I866" s="658">
        <v>115894.97449999978</v>
      </c>
      <c r="J866" s="658">
        <v>97332.687999999864</v>
      </c>
      <c r="K866" s="658">
        <v>90089.366999999897</v>
      </c>
      <c r="L866" s="658">
        <v>128352.79099999979</v>
      </c>
      <c r="M866" s="658">
        <v>91101.581000000282</v>
      </c>
      <c r="N866" s="658">
        <v>86635.086999999883</v>
      </c>
      <c r="O866" s="429">
        <v>1068155.1837799998</v>
      </c>
    </row>
    <row r="867" spans="2:15" x14ac:dyDescent="0.35">
      <c r="B867" s="798" t="s">
        <v>151</v>
      </c>
      <c r="C867" s="658">
        <v>1348.0239999999999</v>
      </c>
      <c r="D867" s="658">
        <v>2764.3869999999988</v>
      </c>
      <c r="E867" s="658">
        <v>1381.0289999999993</v>
      </c>
      <c r="F867" s="658">
        <v>2021.339999999999</v>
      </c>
      <c r="G867" s="658">
        <v>1923.4189999999992</v>
      </c>
      <c r="H867" s="658">
        <v>1780.1899999999994</v>
      </c>
      <c r="I867" s="658">
        <v>1664.0919999999999</v>
      </c>
      <c r="J867" s="658">
        <v>2371.9559999999983</v>
      </c>
      <c r="K867" s="658">
        <v>1842.3569999999997</v>
      </c>
      <c r="L867" s="658">
        <v>2621.1919999999982</v>
      </c>
      <c r="M867" s="658">
        <v>2220.8359999999989</v>
      </c>
      <c r="N867" s="658">
        <v>2634.7789999999991</v>
      </c>
      <c r="O867" s="429">
        <v>24573.600999999991</v>
      </c>
    </row>
    <row r="868" spans="2:15" ht="15" customHeight="1" x14ac:dyDescent="0.35">
      <c r="B868" s="799"/>
      <c r="C868" s="632">
        <v>0</v>
      </c>
      <c r="D868" s="632">
        <v>0</v>
      </c>
      <c r="E868" s="632">
        <v>0</v>
      </c>
      <c r="F868" s="632">
        <v>0</v>
      </c>
      <c r="G868" s="632">
        <v>0</v>
      </c>
      <c r="H868" s="632">
        <v>0</v>
      </c>
      <c r="I868" s="632">
        <v>0</v>
      </c>
      <c r="J868" s="632">
        <v>0</v>
      </c>
      <c r="K868" s="632">
        <v>0</v>
      </c>
      <c r="L868" s="632">
        <v>0</v>
      </c>
      <c r="M868" s="632">
        <v>0</v>
      </c>
      <c r="N868" s="632">
        <v>0</v>
      </c>
      <c r="O868" s="248"/>
    </row>
    <row r="869" spans="2:15" ht="28.5" customHeight="1" x14ac:dyDescent="0.35">
      <c r="B869" s="800" t="s">
        <v>56</v>
      </c>
      <c r="C869" s="244">
        <v>4002.9500000000007</v>
      </c>
      <c r="D869" s="244">
        <v>4102.09</v>
      </c>
      <c r="E869" s="244">
        <v>5610.5999999999995</v>
      </c>
      <c r="F869" s="244">
        <v>7335.0880000000006</v>
      </c>
      <c r="G869" s="244">
        <v>8030.9449999999924</v>
      </c>
      <c r="H869" s="244">
        <v>88356.507000000129</v>
      </c>
      <c r="I869" s="244">
        <v>3342.9699999999993</v>
      </c>
      <c r="J869" s="244">
        <v>8042.4740000000011</v>
      </c>
      <c r="K869" s="244">
        <v>56432.01999999999</v>
      </c>
      <c r="L869" s="244">
        <v>136264.72600000005</v>
      </c>
      <c r="M869" s="244">
        <v>11874.879999999994</v>
      </c>
      <c r="N869" s="244">
        <v>97904.420000000027</v>
      </c>
      <c r="O869" s="112">
        <v>431299.67000000022</v>
      </c>
    </row>
    <row r="870" spans="2:15" x14ac:dyDescent="0.35">
      <c r="B870" s="797"/>
      <c r="C870" s="244"/>
      <c r="D870" s="244"/>
      <c r="E870" s="244"/>
      <c r="F870" s="244"/>
      <c r="G870" s="244"/>
      <c r="H870" s="244"/>
      <c r="I870" s="244"/>
      <c r="J870" s="244"/>
      <c r="K870" s="244"/>
      <c r="L870" s="244"/>
      <c r="M870" s="244"/>
      <c r="N870" s="244"/>
      <c r="O870" s="136"/>
    </row>
    <row r="871" spans="2:15" x14ac:dyDescent="0.35">
      <c r="B871" s="796" t="s">
        <v>98</v>
      </c>
      <c r="C871" s="131">
        <v>1900.0900000000004</v>
      </c>
      <c r="D871" s="131">
        <v>4102.09</v>
      </c>
      <c r="E871" s="131">
        <v>5610.5999999999995</v>
      </c>
      <c r="F871" s="131">
        <v>5192.880000000001</v>
      </c>
      <c r="G871" s="131">
        <v>1815.16</v>
      </c>
      <c r="H871" s="131">
        <v>3896.8100000000004</v>
      </c>
      <c r="I871" s="131">
        <v>3142.2499999999995</v>
      </c>
      <c r="J871" s="131">
        <v>7915.9500000000007</v>
      </c>
      <c r="K871" s="131">
        <v>10561.919999999991</v>
      </c>
      <c r="L871" s="131">
        <v>7976.0900000000029</v>
      </c>
      <c r="M871" s="131">
        <v>11874.879999999994</v>
      </c>
      <c r="N871" s="131">
        <v>6576.98</v>
      </c>
      <c r="O871" s="138">
        <v>70565.699999999983</v>
      </c>
    </row>
    <row r="872" spans="2:15" x14ac:dyDescent="0.35">
      <c r="B872" s="796" t="s">
        <v>105</v>
      </c>
      <c r="C872" s="131">
        <v>0</v>
      </c>
      <c r="D872" s="131">
        <v>0</v>
      </c>
      <c r="E872" s="131">
        <v>0</v>
      </c>
      <c r="F872" s="131">
        <v>0</v>
      </c>
      <c r="G872" s="131">
        <v>0</v>
      </c>
      <c r="H872" s="131">
        <v>0</v>
      </c>
      <c r="I872" s="131">
        <v>0</v>
      </c>
      <c r="J872" s="131">
        <v>0</v>
      </c>
      <c r="K872" s="131">
        <v>0</v>
      </c>
      <c r="L872" s="131">
        <v>0</v>
      </c>
      <c r="M872" s="131">
        <v>0</v>
      </c>
      <c r="N872" s="131">
        <v>0</v>
      </c>
      <c r="O872" s="138">
        <v>0</v>
      </c>
    </row>
    <row r="873" spans="2:15" x14ac:dyDescent="0.35">
      <c r="B873" s="796" t="s">
        <v>313</v>
      </c>
      <c r="C873" s="131">
        <v>0</v>
      </c>
      <c r="D873" s="131">
        <v>0</v>
      </c>
      <c r="E873" s="131">
        <v>0</v>
      </c>
      <c r="F873" s="131">
        <v>0</v>
      </c>
      <c r="G873" s="131">
        <v>0</v>
      </c>
      <c r="H873" s="131">
        <v>0</v>
      </c>
      <c r="I873" s="131">
        <v>0</v>
      </c>
      <c r="J873" s="131">
        <v>0</v>
      </c>
      <c r="K873" s="131">
        <v>0</v>
      </c>
      <c r="L873" s="131">
        <v>0</v>
      </c>
      <c r="M873" s="131">
        <v>0</v>
      </c>
      <c r="N873" s="131">
        <v>0</v>
      </c>
      <c r="O873" s="138">
        <v>0</v>
      </c>
    </row>
    <row r="874" spans="2:15" x14ac:dyDescent="0.35">
      <c r="B874" s="796" t="s">
        <v>77</v>
      </c>
      <c r="C874" s="131">
        <v>0</v>
      </c>
      <c r="D874" s="131">
        <v>0</v>
      </c>
      <c r="E874" s="131">
        <v>0</v>
      </c>
      <c r="F874" s="131">
        <v>2142.2079999999987</v>
      </c>
      <c r="G874" s="131">
        <v>6166.1529999999957</v>
      </c>
      <c r="H874" s="131">
        <v>1525.3039999999992</v>
      </c>
      <c r="I874" s="131">
        <v>101.12</v>
      </c>
      <c r="J874" s="131">
        <v>120.65</v>
      </c>
      <c r="K874" s="131">
        <v>0</v>
      </c>
      <c r="L874" s="131">
        <v>64.442999999999998</v>
      </c>
      <c r="M874" s="131">
        <v>0</v>
      </c>
      <c r="N874" s="131">
        <v>0</v>
      </c>
      <c r="O874" s="138">
        <v>10119.877999999993</v>
      </c>
    </row>
    <row r="875" spans="2:15" x14ac:dyDescent="0.35">
      <c r="B875" s="796" t="s">
        <v>102</v>
      </c>
      <c r="C875" s="131">
        <v>2102.86</v>
      </c>
      <c r="D875" s="131">
        <v>0</v>
      </c>
      <c r="E875" s="131">
        <v>0</v>
      </c>
      <c r="F875" s="131">
        <v>0</v>
      </c>
      <c r="G875" s="131">
        <v>0</v>
      </c>
      <c r="H875" s="131">
        <v>0</v>
      </c>
      <c r="I875" s="131">
        <v>0</v>
      </c>
      <c r="J875" s="131">
        <v>0</v>
      </c>
      <c r="K875" s="131">
        <v>0</v>
      </c>
      <c r="L875" s="131">
        <v>0</v>
      </c>
      <c r="M875" s="131">
        <v>0</v>
      </c>
      <c r="N875" s="131">
        <v>0</v>
      </c>
      <c r="O875" s="138">
        <v>2102.86</v>
      </c>
    </row>
    <row r="876" spans="2:15" x14ac:dyDescent="0.35">
      <c r="B876" s="796" t="s">
        <v>146</v>
      </c>
      <c r="C876" s="131">
        <v>0</v>
      </c>
      <c r="D876" s="131">
        <v>0</v>
      </c>
      <c r="E876" s="131">
        <v>0</v>
      </c>
      <c r="F876" s="131">
        <v>0</v>
      </c>
      <c r="G876" s="131">
        <v>0</v>
      </c>
      <c r="H876" s="131">
        <v>0</v>
      </c>
      <c r="I876" s="131">
        <v>0</v>
      </c>
      <c r="J876" s="131">
        <v>0</v>
      </c>
      <c r="K876" s="131">
        <v>0</v>
      </c>
      <c r="L876" s="131">
        <v>0</v>
      </c>
      <c r="M876" s="131">
        <v>0</v>
      </c>
      <c r="N876" s="131">
        <v>0</v>
      </c>
      <c r="O876" s="138">
        <v>0</v>
      </c>
    </row>
    <row r="877" spans="2:15" x14ac:dyDescent="0.35">
      <c r="B877" s="796" t="s">
        <v>152</v>
      </c>
      <c r="C877" s="131">
        <v>0</v>
      </c>
      <c r="D877" s="131">
        <v>0</v>
      </c>
      <c r="E877" s="131">
        <v>0</v>
      </c>
      <c r="F877" s="131">
        <v>0</v>
      </c>
      <c r="G877" s="131">
        <v>0</v>
      </c>
      <c r="H877" s="131">
        <v>146.6</v>
      </c>
      <c r="I877" s="131">
        <v>0</v>
      </c>
      <c r="J877" s="131">
        <v>0</v>
      </c>
      <c r="K877" s="131">
        <v>0</v>
      </c>
      <c r="L877" s="131">
        <v>0</v>
      </c>
      <c r="M877" s="131">
        <v>0</v>
      </c>
      <c r="N877" s="131">
        <v>0</v>
      </c>
      <c r="O877" s="138">
        <v>146.6</v>
      </c>
    </row>
    <row r="878" spans="2:15" x14ac:dyDescent="0.35">
      <c r="B878" s="796" t="s">
        <v>476</v>
      </c>
      <c r="C878" s="131">
        <v>0</v>
      </c>
      <c r="D878" s="131">
        <v>0</v>
      </c>
      <c r="E878" s="131">
        <v>0</v>
      </c>
      <c r="F878" s="131">
        <v>0</v>
      </c>
      <c r="G878" s="131">
        <v>0</v>
      </c>
      <c r="H878" s="131">
        <v>0</v>
      </c>
      <c r="I878" s="131">
        <v>0</v>
      </c>
      <c r="J878" s="131">
        <v>0</v>
      </c>
      <c r="K878" s="131">
        <v>0</v>
      </c>
      <c r="L878" s="131">
        <v>0</v>
      </c>
      <c r="M878" s="131">
        <v>0</v>
      </c>
      <c r="N878" s="131">
        <v>0</v>
      </c>
      <c r="O878" s="138">
        <v>0</v>
      </c>
    </row>
    <row r="879" spans="2:15" x14ac:dyDescent="0.35">
      <c r="B879" s="796" t="s">
        <v>159</v>
      </c>
      <c r="C879" s="131">
        <v>0</v>
      </c>
      <c r="D879" s="131">
        <v>0</v>
      </c>
      <c r="E879" s="131">
        <v>0</v>
      </c>
      <c r="F879" s="131">
        <v>0</v>
      </c>
      <c r="G879" s="131">
        <v>0</v>
      </c>
      <c r="H879" s="131">
        <v>0</v>
      </c>
      <c r="I879" s="131">
        <v>0</v>
      </c>
      <c r="J879" s="131">
        <v>0</v>
      </c>
      <c r="K879" s="131">
        <v>0</v>
      </c>
      <c r="L879" s="131">
        <v>0</v>
      </c>
      <c r="M879" s="131">
        <v>0</v>
      </c>
      <c r="N879" s="131">
        <v>0</v>
      </c>
      <c r="O879" s="138">
        <v>0</v>
      </c>
    </row>
    <row r="880" spans="2:15" x14ac:dyDescent="0.35">
      <c r="B880" s="796" t="s">
        <v>96</v>
      </c>
      <c r="C880" s="131">
        <v>0</v>
      </c>
      <c r="D880" s="131">
        <v>0</v>
      </c>
      <c r="E880" s="131">
        <v>0</v>
      </c>
      <c r="F880" s="131">
        <v>0</v>
      </c>
      <c r="G880" s="131">
        <v>0</v>
      </c>
      <c r="H880" s="131">
        <v>23.231999999999999</v>
      </c>
      <c r="I880" s="131">
        <v>0</v>
      </c>
      <c r="J880" s="131">
        <v>0</v>
      </c>
      <c r="K880" s="131">
        <v>0</v>
      </c>
      <c r="L880" s="131">
        <v>0</v>
      </c>
      <c r="M880" s="131">
        <v>0</v>
      </c>
      <c r="N880" s="131">
        <v>0</v>
      </c>
      <c r="O880" s="138">
        <v>23.231999999999999</v>
      </c>
    </row>
    <row r="881" spans="2:22" x14ac:dyDescent="0.35">
      <c r="B881" s="796" t="s">
        <v>89</v>
      </c>
      <c r="C881" s="131">
        <v>0</v>
      </c>
      <c r="D881" s="131">
        <v>0</v>
      </c>
      <c r="E881" s="131">
        <v>0</v>
      </c>
      <c r="F881" s="131">
        <v>0</v>
      </c>
      <c r="G881" s="131">
        <v>0</v>
      </c>
      <c r="H881" s="131">
        <v>0</v>
      </c>
      <c r="I881" s="131">
        <v>0</v>
      </c>
      <c r="J881" s="131">
        <v>0</v>
      </c>
      <c r="K881" s="131">
        <v>0</v>
      </c>
      <c r="L881" s="131">
        <v>0</v>
      </c>
      <c r="M881" s="131">
        <v>0</v>
      </c>
      <c r="N881" s="131">
        <v>0</v>
      </c>
      <c r="O881" s="138">
        <v>0</v>
      </c>
    </row>
    <row r="882" spans="2:22" x14ac:dyDescent="0.35">
      <c r="B882" s="796" t="s">
        <v>95</v>
      </c>
      <c r="C882" s="131">
        <v>0</v>
      </c>
      <c r="D882" s="131">
        <v>0</v>
      </c>
      <c r="E882" s="131">
        <v>0</v>
      </c>
      <c r="F882" s="131">
        <v>0</v>
      </c>
      <c r="G882" s="131">
        <v>0</v>
      </c>
      <c r="H882" s="131">
        <v>0</v>
      </c>
      <c r="I882" s="131">
        <v>0</v>
      </c>
      <c r="J882" s="131">
        <v>0</v>
      </c>
      <c r="K882" s="131">
        <v>0</v>
      </c>
      <c r="L882" s="131">
        <v>0</v>
      </c>
      <c r="M882" s="131">
        <v>0</v>
      </c>
      <c r="N882" s="131">
        <v>0</v>
      </c>
      <c r="O882" s="138">
        <v>0</v>
      </c>
    </row>
    <row r="883" spans="2:22" s="3" customFormat="1" x14ac:dyDescent="0.35">
      <c r="B883" s="796" t="s">
        <v>94</v>
      </c>
      <c r="C883" s="131">
        <v>0</v>
      </c>
      <c r="D883" s="131">
        <v>0</v>
      </c>
      <c r="E883" s="131">
        <v>0</v>
      </c>
      <c r="F883" s="131">
        <v>0</v>
      </c>
      <c r="G883" s="131">
        <v>0</v>
      </c>
      <c r="H883" s="131">
        <v>0</v>
      </c>
      <c r="I883" s="131">
        <v>0</v>
      </c>
      <c r="J883" s="131">
        <v>0</v>
      </c>
      <c r="K883" s="131">
        <v>0</v>
      </c>
      <c r="L883" s="131">
        <v>0</v>
      </c>
      <c r="M883" s="131">
        <v>0</v>
      </c>
      <c r="N883" s="131">
        <v>0</v>
      </c>
      <c r="O883" s="138">
        <v>0</v>
      </c>
      <c r="P883" s="324"/>
      <c r="Q883" s="324"/>
      <c r="R883" s="324"/>
      <c r="S883" s="324"/>
      <c r="T883" s="324"/>
      <c r="U883" s="324"/>
      <c r="V883" s="324"/>
    </row>
    <row r="884" spans="2:22" s="3" customFormat="1" x14ac:dyDescent="0.35">
      <c r="B884" s="796" t="s">
        <v>224</v>
      </c>
      <c r="C884" s="131">
        <v>0</v>
      </c>
      <c r="D884" s="131">
        <v>0</v>
      </c>
      <c r="E884" s="131">
        <v>0</v>
      </c>
      <c r="F884" s="131">
        <v>0</v>
      </c>
      <c r="G884" s="131">
        <v>0</v>
      </c>
      <c r="H884" s="131">
        <v>0</v>
      </c>
      <c r="I884" s="131">
        <v>0</v>
      </c>
      <c r="J884" s="131">
        <v>0</v>
      </c>
      <c r="K884" s="131">
        <v>0</v>
      </c>
      <c r="L884" s="131">
        <v>0</v>
      </c>
      <c r="M884" s="131">
        <v>0</v>
      </c>
      <c r="N884" s="131">
        <v>0</v>
      </c>
      <c r="O884" s="138">
        <v>0</v>
      </c>
    </row>
    <row r="885" spans="2:22" s="3" customFormat="1" x14ac:dyDescent="0.35">
      <c r="B885" s="796" t="s">
        <v>73</v>
      </c>
      <c r="C885" s="131">
        <v>0</v>
      </c>
      <c r="D885" s="131">
        <v>0</v>
      </c>
      <c r="E885" s="131">
        <v>0</v>
      </c>
      <c r="F885" s="131">
        <v>0</v>
      </c>
      <c r="G885" s="131">
        <v>0</v>
      </c>
      <c r="H885" s="131">
        <v>0</v>
      </c>
      <c r="I885" s="131">
        <v>0</v>
      </c>
      <c r="J885" s="131">
        <v>0</v>
      </c>
      <c r="K885" s="131">
        <v>0</v>
      </c>
      <c r="L885" s="131">
        <v>0</v>
      </c>
      <c r="M885" s="131">
        <v>0</v>
      </c>
      <c r="N885" s="131">
        <v>0</v>
      </c>
      <c r="O885" s="138">
        <v>0</v>
      </c>
    </row>
    <row r="886" spans="2:22" s="3" customFormat="1" x14ac:dyDescent="0.35">
      <c r="B886" s="796" t="s">
        <v>75</v>
      </c>
      <c r="C886" s="131">
        <v>0</v>
      </c>
      <c r="D886" s="131">
        <v>0</v>
      </c>
      <c r="E886" s="131">
        <v>0</v>
      </c>
      <c r="F886" s="131">
        <v>0</v>
      </c>
      <c r="G886" s="131">
        <v>0</v>
      </c>
      <c r="H886" s="131">
        <v>0</v>
      </c>
      <c r="I886" s="131">
        <v>0</v>
      </c>
      <c r="J886" s="131">
        <v>0</v>
      </c>
      <c r="K886" s="131">
        <v>0</v>
      </c>
      <c r="L886" s="131">
        <v>0</v>
      </c>
      <c r="M886" s="131">
        <v>0</v>
      </c>
      <c r="N886" s="131">
        <v>0</v>
      </c>
      <c r="O886" s="138">
        <v>0</v>
      </c>
    </row>
    <row r="887" spans="2:22" s="3" customFormat="1" x14ac:dyDescent="0.35">
      <c r="B887" s="796" t="s">
        <v>154</v>
      </c>
      <c r="C887" s="131">
        <v>0</v>
      </c>
      <c r="D887" s="131">
        <v>0</v>
      </c>
      <c r="E887" s="131">
        <v>0</v>
      </c>
      <c r="F887" s="131">
        <v>0</v>
      </c>
      <c r="G887" s="131">
        <v>0</v>
      </c>
      <c r="H887" s="131">
        <v>0</v>
      </c>
      <c r="I887" s="131">
        <v>0</v>
      </c>
      <c r="J887" s="131">
        <v>0</v>
      </c>
      <c r="K887" s="131">
        <v>0</v>
      </c>
      <c r="L887" s="131">
        <v>0</v>
      </c>
      <c r="M887" s="131">
        <v>0</v>
      </c>
      <c r="N887" s="131">
        <v>0</v>
      </c>
      <c r="O887" s="138">
        <v>0</v>
      </c>
    </row>
    <row r="888" spans="2:22" s="3" customFormat="1" x14ac:dyDescent="0.35">
      <c r="B888" s="796" t="s">
        <v>87</v>
      </c>
      <c r="C888" s="131">
        <v>0</v>
      </c>
      <c r="D888" s="131">
        <v>0</v>
      </c>
      <c r="E888" s="131">
        <v>0</v>
      </c>
      <c r="F888" s="131">
        <v>0</v>
      </c>
      <c r="G888" s="131">
        <v>0</v>
      </c>
      <c r="H888" s="131">
        <v>0</v>
      </c>
      <c r="I888" s="131">
        <v>0</v>
      </c>
      <c r="J888" s="131">
        <v>0</v>
      </c>
      <c r="K888" s="131">
        <v>0</v>
      </c>
      <c r="L888" s="131">
        <v>0</v>
      </c>
      <c r="M888" s="131">
        <v>0</v>
      </c>
      <c r="N888" s="131">
        <v>0</v>
      </c>
      <c r="O888" s="138">
        <v>0</v>
      </c>
    </row>
    <row r="889" spans="2:22" s="3" customFormat="1" x14ac:dyDescent="0.35">
      <c r="B889" s="796" t="s">
        <v>397</v>
      </c>
      <c r="C889" s="131">
        <v>0</v>
      </c>
      <c r="D889" s="131">
        <v>0</v>
      </c>
      <c r="E889" s="131">
        <v>0</v>
      </c>
      <c r="F889" s="131">
        <v>0</v>
      </c>
      <c r="G889" s="131">
        <v>0</v>
      </c>
      <c r="H889" s="131">
        <v>0</v>
      </c>
      <c r="I889" s="131">
        <v>0</v>
      </c>
      <c r="J889" s="131">
        <v>0</v>
      </c>
      <c r="K889" s="131">
        <v>0</v>
      </c>
      <c r="L889" s="131">
        <v>0</v>
      </c>
      <c r="M889" s="131">
        <v>0</v>
      </c>
      <c r="N889" s="131">
        <v>0</v>
      </c>
      <c r="O889" s="138">
        <v>0</v>
      </c>
    </row>
    <row r="890" spans="2:22" s="3" customFormat="1" x14ac:dyDescent="0.35">
      <c r="B890" s="796" t="s">
        <v>88</v>
      </c>
      <c r="C890" s="131">
        <v>0</v>
      </c>
      <c r="D890" s="131">
        <v>0</v>
      </c>
      <c r="E890" s="131">
        <v>0</v>
      </c>
      <c r="F890" s="131">
        <v>0</v>
      </c>
      <c r="G890" s="131">
        <v>0</v>
      </c>
      <c r="H890" s="131">
        <v>0</v>
      </c>
      <c r="I890" s="131">
        <v>0</v>
      </c>
      <c r="J890" s="131">
        <v>0</v>
      </c>
      <c r="K890" s="131">
        <v>0</v>
      </c>
      <c r="L890" s="131">
        <v>0</v>
      </c>
      <c r="M890" s="131">
        <v>0</v>
      </c>
      <c r="N890" s="131">
        <v>0</v>
      </c>
      <c r="O890" s="138">
        <v>0</v>
      </c>
    </row>
    <row r="891" spans="2:22" s="3" customFormat="1" x14ac:dyDescent="0.35">
      <c r="B891" s="796" t="s">
        <v>91</v>
      </c>
      <c r="C891" s="29">
        <v>0</v>
      </c>
      <c r="D891" s="29">
        <v>0</v>
      </c>
      <c r="E891" s="29">
        <v>0</v>
      </c>
      <c r="F891" s="29">
        <v>0</v>
      </c>
      <c r="G891" s="29">
        <v>49.631999999996879</v>
      </c>
      <c r="H891" s="29">
        <v>82764.561000000132</v>
      </c>
      <c r="I891" s="29">
        <v>99.599999999999909</v>
      </c>
      <c r="J891" s="29">
        <v>5.8740000000007058</v>
      </c>
      <c r="K891" s="29">
        <v>45870.1</v>
      </c>
      <c r="L891" s="29">
        <v>128224.19300000006</v>
      </c>
      <c r="M891" s="29">
        <v>0</v>
      </c>
      <c r="N891" s="29">
        <v>91327.440000000031</v>
      </c>
      <c r="O891" s="138">
        <v>348341.40000000026</v>
      </c>
    </row>
    <row r="892" spans="2:22" s="3" customFormat="1" x14ac:dyDescent="0.35">
      <c r="B892" s="661"/>
      <c r="C892" s="662"/>
      <c r="D892" s="139"/>
      <c r="E892" s="139"/>
      <c r="F892" s="139"/>
      <c r="G892" s="139"/>
      <c r="H892" s="139"/>
      <c r="I892" s="139"/>
      <c r="J892" s="139"/>
      <c r="K892" s="139"/>
      <c r="L892" s="139"/>
      <c r="M892" s="139"/>
      <c r="N892" s="139"/>
      <c r="O892" s="138"/>
    </row>
    <row r="893" spans="2:22" s="3" customFormat="1" x14ac:dyDescent="0.35">
      <c r="B893" s="798" t="s">
        <v>149</v>
      </c>
      <c r="C893" s="657">
        <v>0</v>
      </c>
      <c r="D893" s="657">
        <v>0</v>
      </c>
      <c r="E893" s="657">
        <v>0</v>
      </c>
      <c r="F893" s="657">
        <v>0</v>
      </c>
      <c r="G893" s="657">
        <v>0</v>
      </c>
      <c r="H893" s="657">
        <v>0</v>
      </c>
      <c r="I893" s="657">
        <v>0</v>
      </c>
      <c r="J893" s="657">
        <v>0</v>
      </c>
      <c r="K893" s="657">
        <v>0</v>
      </c>
      <c r="L893" s="657">
        <v>0</v>
      </c>
      <c r="M893" s="657">
        <v>0</v>
      </c>
      <c r="N893" s="657">
        <v>0</v>
      </c>
      <c r="O893" s="429">
        <v>0</v>
      </c>
    </row>
    <row r="894" spans="2:22" s="3" customFormat="1" x14ac:dyDescent="0.35">
      <c r="B894" s="798" t="s">
        <v>150</v>
      </c>
      <c r="C894" s="658">
        <v>4002.9500000000007</v>
      </c>
      <c r="D894" s="658">
        <v>4102.09</v>
      </c>
      <c r="E894" s="658">
        <v>5610.5999999999995</v>
      </c>
      <c r="F894" s="658">
        <v>7335.0880000000006</v>
      </c>
      <c r="G894" s="658">
        <v>8030.9449999999924</v>
      </c>
      <c r="H894" s="658">
        <v>88356.507000000129</v>
      </c>
      <c r="I894" s="658">
        <v>3342.9699999999993</v>
      </c>
      <c r="J894" s="658">
        <v>8042.4740000000011</v>
      </c>
      <c r="K894" s="658">
        <v>56432.01999999999</v>
      </c>
      <c r="L894" s="658">
        <v>136264.72600000005</v>
      </c>
      <c r="M894" s="658">
        <v>11874.879999999994</v>
      </c>
      <c r="N894" s="658">
        <v>97904.420000000027</v>
      </c>
      <c r="O894" s="429">
        <v>431299.67000000022</v>
      </c>
    </row>
    <row r="895" spans="2:22" s="3" customFormat="1" x14ac:dyDescent="0.35">
      <c r="B895" s="798" t="s">
        <v>151</v>
      </c>
      <c r="C895" s="658">
        <v>0</v>
      </c>
      <c r="D895" s="658">
        <v>0</v>
      </c>
      <c r="E895" s="658">
        <v>0</v>
      </c>
      <c r="F895" s="658">
        <v>0</v>
      </c>
      <c r="G895" s="658">
        <v>0</v>
      </c>
      <c r="H895" s="658">
        <v>0</v>
      </c>
      <c r="I895" s="658">
        <v>0</v>
      </c>
      <c r="J895" s="658">
        <v>0</v>
      </c>
      <c r="K895" s="658">
        <v>0</v>
      </c>
      <c r="L895" s="658">
        <v>0</v>
      </c>
      <c r="M895" s="658">
        <v>0</v>
      </c>
      <c r="N895" s="658">
        <v>0</v>
      </c>
      <c r="O895" s="429">
        <v>0</v>
      </c>
    </row>
    <row r="896" spans="2:22" s="3" customFormat="1" x14ac:dyDescent="0.35">
      <c r="B896" s="796"/>
      <c r="C896" s="257"/>
      <c r="D896" s="257"/>
      <c r="E896" s="257"/>
      <c r="F896" s="257"/>
      <c r="G896" s="256"/>
      <c r="H896" s="256"/>
      <c r="I896" s="256"/>
      <c r="J896" s="256"/>
      <c r="K896" s="256"/>
      <c r="L896" s="257"/>
      <c r="M896" s="256"/>
      <c r="N896" s="256"/>
      <c r="O896" s="138"/>
    </row>
    <row r="897" spans="2:15" s="3" customFormat="1" ht="15" customHeight="1" x14ac:dyDescent="0.35">
      <c r="B897" s="432" t="s">
        <v>36</v>
      </c>
      <c r="C897" s="250">
        <v>101189.88372000016</v>
      </c>
      <c r="D897" s="250">
        <v>76531.626999999848</v>
      </c>
      <c r="E897" s="250">
        <v>61302.011000000071</v>
      </c>
      <c r="F897" s="250">
        <v>102214.61600000008</v>
      </c>
      <c r="G897" s="250">
        <v>109722.86425000022</v>
      </c>
      <c r="H897" s="250">
        <v>138156.28631000023</v>
      </c>
      <c r="I897" s="250">
        <v>121625.15749999977</v>
      </c>
      <c r="J897" s="250">
        <v>107929.12299999991</v>
      </c>
      <c r="K897" s="250">
        <v>149128.35399999976</v>
      </c>
      <c r="L897" s="250">
        <v>267584.0459999998</v>
      </c>
      <c r="M897" s="250">
        <v>105645.10600000032</v>
      </c>
      <c r="N897" s="250">
        <v>187885.9049999998</v>
      </c>
      <c r="O897" s="659">
        <v>1528914.9797800002</v>
      </c>
    </row>
    <row r="898" spans="2:15" s="3" customFormat="1" ht="15" customHeight="1" x14ac:dyDescent="0.35">
      <c r="B898" s="158"/>
      <c r="C898" s="118"/>
      <c r="D898" s="118"/>
      <c r="E898" s="118"/>
      <c r="F898" s="118"/>
      <c r="G898" s="118"/>
      <c r="H898" s="118"/>
      <c r="I898" s="118"/>
      <c r="J898" s="118"/>
      <c r="K898" s="118"/>
      <c r="L898" s="118"/>
      <c r="M898" s="118"/>
      <c r="N898" s="118"/>
      <c r="O898" s="160"/>
    </row>
    <row r="899" spans="2:15" s="3" customFormat="1" x14ac:dyDescent="0.35">
      <c r="B899" s="1068" t="s">
        <v>160</v>
      </c>
      <c r="C899" s="1068"/>
      <c r="D899" s="1068"/>
      <c r="E899" s="1068"/>
      <c r="F899" s="1068"/>
      <c r="G899" s="1068"/>
      <c r="H899" s="1068"/>
      <c r="I899" s="1068"/>
      <c r="J899" s="1068"/>
      <c r="K899" s="1068"/>
      <c r="L899" s="1068"/>
      <c r="M899" s="1068"/>
      <c r="N899" s="1068"/>
      <c r="O899" s="1068"/>
    </row>
    <row r="900" spans="2:15" s="3" customFormat="1" x14ac:dyDescent="0.35">
      <c r="B900" s="125"/>
      <c r="C900" s="241"/>
      <c r="D900" s="241"/>
      <c r="E900" s="241"/>
      <c r="F900" s="241"/>
      <c r="G900" s="241"/>
      <c r="H900" s="241"/>
      <c r="I900" s="241"/>
      <c r="J900" s="241"/>
      <c r="K900" s="241"/>
      <c r="L900" s="241"/>
      <c r="M900" s="241"/>
      <c r="N900" s="241"/>
      <c r="O900" s="125"/>
    </row>
    <row r="901" spans="2:15" s="3" customFormat="1" ht="15" customHeight="1" x14ac:dyDescent="0.35">
      <c r="B901" s="1074" t="s">
        <v>13</v>
      </c>
      <c r="C901" s="1070" t="s">
        <v>0</v>
      </c>
      <c r="D901" s="1070" t="s">
        <v>1</v>
      </c>
      <c r="E901" s="1070" t="s">
        <v>2</v>
      </c>
      <c r="F901" s="1070" t="s">
        <v>3</v>
      </c>
      <c r="G901" s="1070" t="s">
        <v>4</v>
      </c>
      <c r="H901" s="1070" t="s">
        <v>5</v>
      </c>
      <c r="I901" s="1070" t="s">
        <v>6</v>
      </c>
      <c r="J901" s="1070" t="s">
        <v>7</v>
      </c>
      <c r="K901" s="1070" t="s">
        <v>8</v>
      </c>
      <c r="L901" s="1070" t="s">
        <v>9</v>
      </c>
      <c r="M901" s="1070" t="s">
        <v>10</v>
      </c>
      <c r="N901" s="1070" t="s">
        <v>14</v>
      </c>
      <c r="O901" s="1074" t="s">
        <v>15</v>
      </c>
    </row>
    <row r="902" spans="2:15" s="3" customFormat="1" ht="15" customHeight="1" x14ac:dyDescent="0.35">
      <c r="B902" s="1080"/>
      <c r="C902" s="1071"/>
      <c r="D902" s="1071"/>
      <c r="E902" s="1071"/>
      <c r="F902" s="1071"/>
      <c r="G902" s="1071"/>
      <c r="H902" s="1071"/>
      <c r="I902" s="1071"/>
      <c r="J902" s="1071"/>
      <c r="K902" s="1071"/>
      <c r="L902" s="1071"/>
      <c r="M902" s="1071"/>
      <c r="N902" s="1071"/>
      <c r="O902" s="1080"/>
    </row>
    <row r="903" spans="2:15" s="3" customFormat="1" x14ac:dyDescent="0.35">
      <c r="B903" s="242"/>
      <c r="C903" s="632">
        <v>0</v>
      </c>
      <c r="D903" s="632">
        <v>0</v>
      </c>
      <c r="E903" s="632">
        <v>0</v>
      </c>
      <c r="F903" s="632">
        <v>0</v>
      </c>
      <c r="G903" s="632">
        <v>0</v>
      </c>
      <c r="H903" s="632">
        <v>0</v>
      </c>
      <c r="I903" s="632">
        <v>0</v>
      </c>
      <c r="J903" s="632">
        <v>0</v>
      </c>
      <c r="K903" s="632">
        <v>0</v>
      </c>
      <c r="L903" s="632">
        <v>0</v>
      </c>
      <c r="M903" s="632">
        <v>0</v>
      </c>
      <c r="N903" s="632">
        <v>0</v>
      </c>
      <c r="O903" s="243"/>
    </row>
    <row r="904" spans="2:15" s="3" customFormat="1" x14ac:dyDescent="0.35">
      <c r="B904" s="114" t="s">
        <v>47</v>
      </c>
      <c r="C904" s="244">
        <v>43.558999999999997</v>
      </c>
      <c r="D904" s="244">
        <v>0</v>
      </c>
      <c r="E904" s="244">
        <v>0</v>
      </c>
      <c r="F904" s="244">
        <v>3.56</v>
      </c>
      <c r="G904" s="244">
        <v>0</v>
      </c>
      <c r="H904" s="244">
        <v>7.62</v>
      </c>
      <c r="I904" s="244">
        <v>0</v>
      </c>
      <c r="J904" s="244">
        <v>23</v>
      </c>
      <c r="K904" s="244">
        <v>0</v>
      </c>
      <c r="L904" s="244">
        <v>0</v>
      </c>
      <c r="M904" s="244">
        <v>8.6</v>
      </c>
      <c r="N904" s="244">
        <v>0</v>
      </c>
      <c r="O904" s="112">
        <v>86.338999999999999</v>
      </c>
    </row>
    <row r="905" spans="2:15" s="3" customFormat="1" x14ac:dyDescent="0.35">
      <c r="B905" s="114"/>
      <c r="C905" s="244"/>
      <c r="D905" s="244"/>
      <c r="E905" s="244"/>
      <c r="F905" s="244"/>
      <c r="G905" s="244"/>
      <c r="H905" s="244"/>
      <c r="I905" s="244"/>
      <c r="J905" s="244"/>
      <c r="K905" s="244"/>
      <c r="L905" s="244"/>
      <c r="M905" s="244"/>
      <c r="N905" s="245"/>
      <c r="O905" s="136"/>
    </row>
    <row r="906" spans="2:15" s="3" customFormat="1" x14ac:dyDescent="0.35">
      <c r="B906" s="43" t="s">
        <v>477</v>
      </c>
      <c r="C906" s="131">
        <v>0</v>
      </c>
      <c r="D906" s="131">
        <v>0</v>
      </c>
      <c r="E906" s="131">
        <v>0</v>
      </c>
      <c r="F906" s="131">
        <v>0</v>
      </c>
      <c r="G906" s="131">
        <v>0</v>
      </c>
      <c r="H906" s="131">
        <v>0</v>
      </c>
      <c r="I906" s="131">
        <v>0</v>
      </c>
      <c r="J906" s="131">
        <v>0</v>
      </c>
      <c r="K906" s="131">
        <v>0</v>
      </c>
      <c r="L906" s="131">
        <v>0</v>
      </c>
      <c r="M906" s="131">
        <v>0</v>
      </c>
      <c r="N906" s="131">
        <v>0</v>
      </c>
      <c r="O906" s="248">
        <v>0</v>
      </c>
    </row>
    <row r="907" spans="2:15" s="3" customFormat="1" x14ac:dyDescent="0.35">
      <c r="B907" s="43" t="s">
        <v>146</v>
      </c>
      <c r="C907" s="131">
        <v>43.558999999999997</v>
      </c>
      <c r="D907" s="131">
        <v>0</v>
      </c>
      <c r="E907" s="131">
        <v>0</v>
      </c>
      <c r="F907" s="131">
        <v>0</v>
      </c>
      <c r="G907" s="131">
        <v>0</v>
      </c>
      <c r="H907" s="131">
        <v>0</v>
      </c>
      <c r="I907" s="131">
        <v>0</v>
      </c>
      <c r="J907" s="131">
        <v>0</v>
      </c>
      <c r="K907" s="131">
        <v>0</v>
      </c>
      <c r="L907" s="131">
        <v>0</v>
      </c>
      <c r="M907" s="131">
        <v>0</v>
      </c>
      <c r="N907" s="131">
        <v>0</v>
      </c>
      <c r="O907" s="248">
        <v>43.558999999999997</v>
      </c>
    </row>
    <row r="908" spans="2:15" s="3" customFormat="1" x14ac:dyDescent="0.35">
      <c r="B908" s="43" t="s">
        <v>83</v>
      </c>
      <c r="C908" s="131">
        <v>0</v>
      </c>
      <c r="D908" s="131">
        <v>0</v>
      </c>
      <c r="E908" s="131">
        <v>0</v>
      </c>
      <c r="F908" s="131">
        <v>0</v>
      </c>
      <c r="G908" s="131">
        <v>0</v>
      </c>
      <c r="H908" s="131">
        <v>7.62</v>
      </c>
      <c r="I908" s="131">
        <v>0</v>
      </c>
      <c r="J908" s="131">
        <v>0</v>
      </c>
      <c r="K908" s="131">
        <v>0</v>
      </c>
      <c r="L908" s="131">
        <v>0</v>
      </c>
      <c r="M908" s="131">
        <v>0</v>
      </c>
      <c r="N908" s="131">
        <v>0</v>
      </c>
      <c r="O908" s="248">
        <v>7.62</v>
      </c>
    </row>
    <row r="909" spans="2:15" s="3" customFormat="1" x14ac:dyDescent="0.35">
      <c r="B909" s="43" t="s">
        <v>264</v>
      </c>
      <c r="C909" s="131">
        <v>0</v>
      </c>
      <c r="D909" s="131">
        <v>0</v>
      </c>
      <c r="E909" s="131">
        <v>0</v>
      </c>
      <c r="F909" s="131">
        <v>0</v>
      </c>
      <c r="G909" s="131">
        <v>0</v>
      </c>
      <c r="H909" s="131">
        <v>0</v>
      </c>
      <c r="I909" s="131">
        <v>0</v>
      </c>
      <c r="J909" s="131">
        <v>0</v>
      </c>
      <c r="K909" s="131">
        <v>0</v>
      </c>
      <c r="L909" s="131">
        <v>0</v>
      </c>
      <c r="M909" s="131">
        <v>0</v>
      </c>
      <c r="N909" s="131">
        <v>0</v>
      </c>
      <c r="O909" s="248">
        <v>0</v>
      </c>
    </row>
    <row r="910" spans="2:15" s="3" customFormat="1" x14ac:dyDescent="0.35">
      <c r="B910" s="43" t="s">
        <v>478</v>
      </c>
      <c r="C910" s="131">
        <v>0</v>
      </c>
      <c r="D910" s="131">
        <v>0</v>
      </c>
      <c r="E910" s="131">
        <v>0</v>
      </c>
      <c r="F910" s="131">
        <v>0</v>
      </c>
      <c r="G910" s="131">
        <v>0</v>
      </c>
      <c r="H910" s="131">
        <v>0</v>
      </c>
      <c r="I910" s="131">
        <v>0</v>
      </c>
      <c r="J910" s="131">
        <v>0</v>
      </c>
      <c r="K910" s="131">
        <v>0</v>
      </c>
      <c r="L910" s="131">
        <v>0</v>
      </c>
      <c r="M910" s="131">
        <v>0</v>
      </c>
      <c r="N910" s="131">
        <v>0</v>
      </c>
      <c r="O910" s="248">
        <v>0</v>
      </c>
    </row>
    <row r="911" spans="2:15" s="3" customFormat="1" x14ac:dyDescent="0.35">
      <c r="B911" s="43" t="s">
        <v>479</v>
      </c>
      <c r="C911" s="131">
        <v>0</v>
      </c>
      <c r="D911" s="131">
        <v>0</v>
      </c>
      <c r="E911" s="131">
        <v>0</v>
      </c>
      <c r="F911" s="131">
        <v>0</v>
      </c>
      <c r="G911" s="131">
        <v>0</v>
      </c>
      <c r="H911" s="131">
        <v>0</v>
      </c>
      <c r="I911" s="131">
        <v>0</v>
      </c>
      <c r="J911" s="131">
        <v>0</v>
      </c>
      <c r="K911" s="131">
        <v>0</v>
      </c>
      <c r="L911" s="131">
        <v>0</v>
      </c>
      <c r="M911" s="131">
        <v>0</v>
      </c>
      <c r="N911" s="131">
        <v>0</v>
      </c>
      <c r="O911" s="248">
        <v>0</v>
      </c>
    </row>
    <row r="912" spans="2:15" s="3" customFormat="1" x14ac:dyDescent="0.35">
      <c r="B912" s="43" t="s">
        <v>480</v>
      </c>
      <c r="C912" s="131">
        <v>0</v>
      </c>
      <c r="D912" s="131">
        <v>0</v>
      </c>
      <c r="E912" s="131">
        <v>0</v>
      </c>
      <c r="F912" s="131">
        <v>0</v>
      </c>
      <c r="G912" s="131">
        <v>0</v>
      </c>
      <c r="H912" s="131">
        <v>0</v>
      </c>
      <c r="I912" s="131">
        <v>0</v>
      </c>
      <c r="J912" s="131">
        <v>0</v>
      </c>
      <c r="K912" s="131">
        <v>0</v>
      </c>
      <c r="L912" s="131">
        <v>0</v>
      </c>
      <c r="M912" s="131">
        <v>0</v>
      </c>
      <c r="N912" s="131">
        <v>0</v>
      </c>
      <c r="O912" s="248">
        <v>0</v>
      </c>
    </row>
    <row r="913" spans="2:15" s="3" customFormat="1" x14ac:dyDescent="0.35">
      <c r="B913" s="43" t="s">
        <v>77</v>
      </c>
      <c r="C913" s="131">
        <v>0</v>
      </c>
      <c r="D913" s="131">
        <v>0</v>
      </c>
      <c r="E913" s="131">
        <v>0</v>
      </c>
      <c r="F913" s="131">
        <v>0</v>
      </c>
      <c r="G913" s="131">
        <v>0</v>
      </c>
      <c r="H913" s="131">
        <v>0</v>
      </c>
      <c r="I913" s="131">
        <v>0</v>
      </c>
      <c r="J913" s="131">
        <v>0</v>
      </c>
      <c r="K913" s="131">
        <v>0</v>
      </c>
      <c r="L913" s="131">
        <v>0</v>
      </c>
      <c r="M913" s="131">
        <v>0</v>
      </c>
      <c r="N913" s="131">
        <v>0</v>
      </c>
      <c r="O913" s="248">
        <v>0</v>
      </c>
    </row>
    <row r="914" spans="2:15" s="3" customFormat="1" x14ac:dyDescent="0.35">
      <c r="B914" s="43" t="s">
        <v>263</v>
      </c>
      <c r="C914" s="131">
        <v>0</v>
      </c>
      <c r="D914" s="131">
        <v>0</v>
      </c>
      <c r="E914" s="131">
        <v>0</v>
      </c>
      <c r="F914" s="131">
        <v>0</v>
      </c>
      <c r="G914" s="131">
        <v>0</v>
      </c>
      <c r="H914" s="131">
        <v>0</v>
      </c>
      <c r="I914" s="131">
        <v>0</v>
      </c>
      <c r="J914" s="131">
        <v>0</v>
      </c>
      <c r="K914" s="131">
        <v>0</v>
      </c>
      <c r="L914" s="131">
        <v>0</v>
      </c>
      <c r="M914" s="131">
        <v>0</v>
      </c>
      <c r="N914" s="131">
        <v>0</v>
      </c>
      <c r="O914" s="248">
        <v>0</v>
      </c>
    </row>
    <row r="915" spans="2:15" s="3" customFormat="1" x14ac:dyDescent="0.35">
      <c r="B915" s="43" t="s">
        <v>115</v>
      </c>
      <c r="C915" s="131">
        <v>0</v>
      </c>
      <c r="D915" s="131">
        <v>0</v>
      </c>
      <c r="E915" s="131">
        <v>0</v>
      </c>
      <c r="F915" s="131">
        <v>0</v>
      </c>
      <c r="G915" s="131">
        <v>0</v>
      </c>
      <c r="H915" s="131">
        <v>0</v>
      </c>
      <c r="I915" s="131">
        <v>0</v>
      </c>
      <c r="J915" s="131">
        <v>0</v>
      </c>
      <c r="K915" s="131">
        <v>0</v>
      </c>
      <c r="L915" s="131">
        <v>0</v>
      </c>
      <c r="M915" s="131">
        <v>0</v>
      </c>
      <c r="N915" s="131">
        <v>0</v>
      </c>
      <c r="O915" s="248">
        <v>0</v>
      </c>
    </row>
    <row r="916" spans="2:15" s="3" customFormat="1" x14ac:dyDescent="0.35">
      <c r="B916" s="43" t="s">
        <v>266</v>
      </c>
      <c r="C916" s="131">
        <v>0</v>
      </c>
      <c r="D916" s="131">
        <v>0</v>
      </c>
      <c r="E916" s="131">
        <v>0</v>
      </c>
      <c r="F916" s="131">
        <v>0</v>
      </c>
      <c r="G916" s="131">
        <v>0</v>
      </c>
      <c r="H916" s="131">
        <v>0</v>
      </c>
      <c r="I916" s="131">
        <v>0</v>
      </c>
      <c r="J916" s="131">
        <v>0</v>
      </c>
      <c r="K916" s="131">
        <v>0</v>
      </c>
      <c r="L916" s="131">
        <v>0</v>
      </c>
      <c r="M916" s="131">
        <v>0</v>
      </c>
      <c r="N916" s="131">
        <v>0</v>
      </c>
      <c r="O916" s="248">
        <v>0</v>
      </c>
    </row>
    <row r="917" spans="2:15" s="3" customFormat="1" x14ac:dyDescent="0.35">
      <c r="B917" s="43" t="s">
        <v>265</v>
      </c>
      <c r="C917" s="131">
        <v>0</v>
      </c>
      <c r="D917" s="131">
        <v>0</v>
      </c>
      <c r="E917" s="131">
        <v>0</v>
      </c>
      <c r="F917" s="131">
        <v>0</v>
      </c>
      <c r="G917" s="131">
        <v>0</v>
      </c>
      <c r="H917" s="131">
        <v>0</v>
      </c>
      <c r="I917" s="131">
        <v>0</v>
      </c>
      <c r="J917" s="131">
        <v>0</v>
      </c>
      <c r="K917" s="131">
        <v>0</v>
      </c>
      <c r="L917" s="131">
        <v>0</v>
      </c>
      <c r="M917" s="131">
        <v>0</v>
      </c>
      <c r="N917" s="131">
        <v>0</v>
      </c>
      <c r="O917" s="248">
        <v>0</v>
      </c>
    </row>
    <row r="918" spans="2:15" s="3" customFormat="1" x14ac:dyDescent="0.35">
      <c r="B918" s="43" t="s">
        <v>506</v>
      </c>
      <c r="C918" s="131">
        <v>0</v>
      </c>
      <c r="D918" s="131">
        <v>0</v>
      </c>
      <c r="E918" s="131">
        <v>0</v>
      </c>
      <c r="F918" s="131">
        <v>0</v>
      </c>
      <c r="G918" s="131">
        <v>0</v>
      </c>
      <c r="H918" s="131">
        <v>0</v>
      </c>
      <c r="I918" s="131">
        <v>0</v>
      </c>
      <c r="J918" s="131">
        <v>0</v>
      </c>
      <c r="K918" s="131">
        <v>0</v>
      </c>
      <c r="L918" s="131">
        <v>0</v>
      </c>
      <c r="M918" s="131">
        <v>0</v>
      </c>
      <c r="N918" s="131">
        <v>0</v>
      </c>
      <c r="O918" s="248">
        <v>0</v>
      </c>
    </row>
    <row r="919" spans="2:15" s="3" customFormat="1" x14ac:dyDescent="0.35">
      <c r="B919" s="43" t="s">
        <v>117</v>
      </c>
      <c r="C919" s="131">
        <v>0</v>
      </c>
      <c r="D919" s="131">
        <v>0</v>
      </c>
      <c r="E919" s="131">
        <v>0</v>
      </c>
      <c r="F919" s="131">
        <v>3.56</v>
      </c>
      <c r="G919" s="131">
        <v>0</v>
      </c>
      <c r="H919" s="131">
        <v>0</v>
      </c>
      <c r="I919" s="131">
        <v>0</v>
      </c>
      <c r="J919" s="131">
        <v>0</v>
      </c>
      <c r="K919" s="131">
        <v>0</v>
      </c>
      <c r="L919" s="131">
        <v>0</v>
      </c>
      <c r="M919" s="131">
        <v>0</v>
      </c>
      <c r="N919" s="131">
        <v>0</v>
      </c>
      <c r="O919" s="248">
        <v>3.56</v>
      </c>
    </row>
    <row r="920" spans="2:15" s="3" customFormat="1" x14ac:dyDescent="0.35">
      <c r="B920" s="43" t="s">
        <v>161</v>
      </c>
      <c r="C920" s="131">
        <v>0</v>
      </c>
      <c r="D920" s="131">
        <v>0</v>
      </c>
      <c r="E920" s="131">
        <v>0</v>
      </c>
      <c r="F920" s="131">
        <v>0</v>
      </c>
      <c r="G920" s="131">
        <v>0</v>
      </c>
      <c r="H920" s="131">
        <v>0</v>
      </c>
      <c r="I920" s="131">
        <v>0</v>
      </c>
      <c r="J920" s="131">
        <v>0</v>
      </c>
      <c r="K920" s="131">
        <v>0</v>
      </c>
      <c r="L920" s="131">
        <v>0</v>
      </c>
      <c r="M920" s="131">
        <v>0</v>
      </c>
      <c r="N920" s="131">
        <v>0</v>
      </c>
      <c r="O920" s="248">
        <v>0</v>
      </c>
    </row>
    <row r="921" spans="2:15" s="3" customFormat="1" x14ac:dyDescent="0.35">
      <c r="B921" s="43" t="s">
        <v>507</v>
      </c>
      <c r="C921" s="131">
        <v>0</v>
      </c>
      <c r="D921" s="131">
        <v>0</v>
      </c>
      <c r="E921" s="131">
        <v>0</v>
      </c>
      <c r="F921" s="131">
        <v>0</v>
      </c>
      <c r="G921" s="131">
        <v>0</v>
      </c>
      <c r="H921" s="131">
        <v>0</v>
      </c>
      <c r="I921" s="131">
        <v>0</v>
      </c>
      <c r="J921" s="131">
        <v>0</v>
      </c>
      <c r="K921" s="131">
        <v>0</v>
      </c>
      <c r="L921" s="131">
        <v>0</v>
      </c>
      <c r="M921" s="131">
        <v>0</v>
      </c>
      <c r="N921" s="131">
        <v>0</v>
      </c>
      <c r="O921" s="248">
        <v>0</v>
      </c>
    </row>
    <row r="922" spans="2:15" s="3" customFormat="1" x14ac:dyDescent="0.35">
      <c r="B922" s="43" t="s">
        <v>508</v>
      </c>
      <c r="C922" s="131">
        <v>0</v>
      </c>
      <c r="D922" s="131">
        <v>0</v>
      </c>
      <c r="E922" s="131">
        <v>0</v>
      </c>
      <c r="F922" s="131">
        <v>0</v>
      </c>
      <c r="G922" s="131">
        <v>0</v>
      </c>
      <c r="H922" s="131">
        <v>0</v>
      </c>
      <c r="I922" s="131">
        <v>0</v>
      </c>
      <c r="J922" s="131">
        <v>0</v>
      </c>
      <c r="K922" s="131">
        <v>0</v>
      </c>
      <c r="L922" s="131">
        <v>0</v>
      </c>
      <c r="M922" s="131">
        <v>0</v>
      </c>
      <c r="N922" s="131">
        <v>0</v>
      </c>
      <c r="O922" s="248">
        <v>0</v>
      </c>
    </row>
    <row r="923" spans="2:15" s="3" customFormat="1" x14ac:dyDescent="0.35">
      <c r="B923" s="43" t="s">
        <v>312</v>
      </c>
      <c r="C923" s="131">
        <v>0</v>
      </c>
      <c r="D923" s="131">
        <v>0</v>
      </c>
      <c r="E923" s="131">
        <v>0</v>
      </c>
      <c r="F923" s="131">
        <v>0</v>
      </c>
      <c r="G923" s="131">
        <v>0</v>
      </c>
      <c r="H923" s="131">
        <v>0</v>
      </c>
      <c r="I923" s="131">
        <v>0</v>
      </c>
      <c r="J923" s="131">
        <v>0</v>
      </c>
      <c r="K923" s="131">
        <v>0</v>
      </c>
      <c r="L923" s="131">
        <v>0</v>
      </c>
      <c r="M923" s="131">
        <v>0</v>
      </c>
      <c r="N923" s="131">
        <v>0</v>
      </c>
      <c r="O923" s="248">
        <v>0</v>
      </c>
    </row>
    <row r="924" spans="2:15" s="3" customFormat="1" x14ac:dyDescent="0.35">
      <c r="B924" s="43" t="s">
        <v>162</v>
      </c>
      <c r="C924" s="131">
        <v>0</v>
      </c>
      <c r="D924" s="131">
        <v>0</v>
      </c>
      <c r="E924" s="131">
        <v>0</v>
      </c>
      <c r="F924" s="131">
        <v>0</v>
      </c>
      <c r="G924" s="131">
        <v>0</v>
      </c>
      <c r="H924" s="131">
        <v>0</v>
      </c>
      <c r="I924" s="131">
        <v>0</v>
      </c>
      <c r="J924" s="131">
        <v>0</v>
      </c>
      <c r="K924" s="131">
        <v>0</v>
      </c>
      <c r="L924" s="131">
        <v>0</v>
      </c>
      <c r="M924" s="131">
        <v>0</v>
      </c>
      <c r="N924" s="131">
        <v>0</v>
      </c>
      <c r="O924" s="248">
        <v>0</v>
      </c>
    </row>
    <row r="925" spans="2:15" s="3" customFormat="1" x14ac:dyDescent="0.35">
      <c r="B925" s="43" t="s">
        <v>73</v>
      </c>
      <c r="C925" s="131">
        <v>0</v>
      </c>
      <c r="D925" s="131">
        <v>0</v>
      </c>
      <c r="E925" s="131">
        <v>0</v>
      </c>
      <c r="F925" s="131">
        <v>0</v>
      </c>
      <c r="G925" s="131">
        <v>0</v>
      </c>
      <c r="H925" s="131">
        <v>0</v>
      </c>
      <c r="I925" s="131">
        <v>0</v>
      </c>
      <c r="J925" s="131">
        <v>0</v>
      </c>
      <c r="K925" s="131">
        <v>0</v>
      </c>
      <c r="L925" s="131">
        <v>0</v>
      </c>
      <c r="M925" s="131">
        <v>0</v>
      </c>
      <c r="N925" s="131">
        <v>0</v>
      </c>
      <c r="O925" s="248">
        <v>0</v>
      </c>
    </row>
    <row r="926" spans="2:15" s="3" customFormat="1" x14ac:dyDescent="0.35">
      <c r="B926" s="796" t="s">
        <v>91</v>
      </c>
      <c r="C926" s="29">
        <v>0</v>
      </c>
      <c r="D926" s="29">
        <v>0</v>
      </c>
      <c r="E926" s="29">
        <v>0</v>
      </c>
      <c r="F926" s="29">
        <v>0</v>
      </c>
      <c r="G926" s="29">
        <v>0</v>
      </c>
      <c r="H926" s="29">
        <v>0</v>
      </c>
      <c r="I926" s="29">
        <v>0</v>
      </c>
      <c r="J926" s="29">
        <v>23</v>
      </c>
      <c r="K926" s="29">
        <v>0</v>
      </c>
      <c r="L926" s="29">
        <v>0</v>
      </c>
      <c r="M926" s="29">
        <v>8.6</v>
      </c>
      <c r="N926" s="29">
        <v>0</v>
      </c>
      <c r="O926" s="248">
        <v>31.6</v>
      </c>
    </row>
    <row r="927" spans="2:15" s="3" customFormat="1" x14ac:dyDescent="0.35">
      <c r="B927" s="43"/>
      <c r="C927" s="247"/>
      <c r="D927" s="247"/>
      <c r="E927" s="247"/>
      <c r="F927" s="247"/>
      <c r="G927" s="247"/>
      <c r="H927" s="247"/>
      <c r="I927" s="247"/>
      <c r="J927" s="247"/>
      <c r="K927" s="247"/>
      <c r="L927" s="247"/>
      <c r="M927" s="247"/>
      <c r="N927" s="247"/>
      <c r="O927" s="248"/>
    </row>
    <row r="928" spans="2:15" s="3" customFormat="1" x14ac:dyDescent="0.35">
      <c r="B928" s="798" t="s">
        <v>149</v>
      </c>
      <c r="C928" s="657">
        <v>0</v>
      </c>
      <c r="D928" s="657">
        <v>0</v>
      </c>
      <c r="E928" s="657">
        <v>0</v>
      </c>
      <c r="F928" s="657">
        <v>0</v>
      </c>
      <c r="G928" s="657">
        <v>0</v>
      </c>
      <c r="H928" s="657">
        <v>0</v>
      </c>
      <c r="I928" s="657">
        <v>0</v>
      </c>
      <c r="J928" s="657">
        <v>0</v>
      </c>
      <c r="K928" s="657">
        <v>0</v>
      </c>
      <c r="L928" s="657">
        <v>0</v>
      </c>
      <c r="M928" s="657">
        <v>0</v>
      </c>
      <c r="N928" s="657">
        <v>0</v>
      </c>
      <c r="O928" s="429">
        <v>0</v>
      </c>
    </row>
    <row r="929" spans="2:15" s="3" customFormat="1" x14ac:dyDescent="0.35">
      <c r="B929" s="798" t="s">
        <v>150</v>
      </c>
      <c r="C929" s="658">
        <v>43.558999999999997</v>
      </c>
      <c r="D929" s="658">
        <v>0</v>
      </c>
      <c r="E929" s="658">
        <v>0</v>
      </c>
      <c r="F929" s="657">
        <v>3.56</v>
      </c>
      <c r="G929" s="657">
        <v>0</v>
      </c>
      <c r="H929" s="657">
        <v>7.62</v>
      </c>
      <c r="I929" s="658">
        <v>0</v>
      </c>
      <c r="J929" s="658">
        <v>23</v>
      </c>
      <c r="K929" s="658">
        <v>0</v>
      </c>
      <c r="L929" s="658">
        <v>0</v>
      </c>
      <c r="M929" s="658">
        <v>8.6</v>
      </c>
      <c r="N929" s="658">
        <v>0</v>
      </c>
      <c r="O929" s="429">
        <v>86.338999999999999</v>
      </c>
    </row>
    <row r="930" spans="2:15" s="3" customFormat="1" x14ac:dyDescent="0.35">
      <c r="B930" s="798" t="s">
        <v>151</v>
      </c>
      <c r="C930" s="658">
        <v>0</v>
      </c>
      <c r="D930" s="658">
        <v>0</v>
      </c>
      <c r="E930" s="658">
        <v>0</v>
      </c>
      <c r="F930" s="658">
        <v>0</v>
      </c>
      <c r="G930" s="658">
        <v>0</v>
      </c>
      <c r="H930" s="658">
        <v>0</v>
      </c>
      <c r="I930" s="658">
        <v>0</v>
      </c>
      <c r="J930" s="658">
        <v>0</v>
      </c>
      <c r="K930" s="658">
        <v>0</v>
      </c>
      <c r="L930" s="658">
        <v>0</v>
      </c>
      <c r="M930" s="658">
        <v>0</v>
      </c>
      <c r="N930" s="658">
        <v>0</v>
      </c>
      <c r="O930" s="429">
        <v>0</v>
      </c>
    </row>
    <row r="931" spans="2:15" s="3" customFormat="1" x14ac:dyDescent="0.35">
      <c r="B931" s="44"/>
      <c r="C931" s="632">
        <v>0</v>
      </c>
      <c r="D931" s="632">
        <v>0</v>
      </c>
      <c r="E931" s="632">
        <v>0</v>
      </c>
      <c r="F931" s="632">
        <v>0</v>
      </c>
      <c r="G931" s="632">
        <v>0</v>
      </c>
      <c r="H931" s="632">
        <v>0</v>
      </c>
      <c r="I931" s="632">
        <v>0</v>
      </c>
      <c r="J931" s="632">
        <v>0</v>
      </c>
      <c r="K931" s="632">
        <v>0</v>
      </c>
      <c r="L931" s="632">
        <v>0</v>
      </c>
      <c r="M931" s="632">
        <v>0</v>
      </c>
      <c r="N931" s="632">
        <v>0</v>
      </c>
      <c r="O931" s="248"/>
    </row>
    <row r="932" spans="2:15" s="3" customFormat="1" x14ac:dyDescent="0.35">
      <c r="B932" s="114" t="s">
        <v>56</v>
      </c>
      <c r="C932" s="111">
        <v>0</v>
      </c>
      <c r="D932" s="111">
        <v>0</v>
      </c>
      <c r="E932" s="111">
        <v>0</v>
      </c>
      <c r="F932" s="111">
        <v>0</v>
      </c>
      <c r="G932" s="111">
        <v>0</v>
      </c>
      <c r="H932" s="111">
        <v>0</v>
      </c>
      <c r="I932" s="111">
        <v>0</v>
      </c>
      <c r="J932" s="111">
        <v>0</v>
      </c>
      <c r="K932" s="111">
        <v>0</v>
      </c>
      <c r="L932" s="111">
        <v>0</v>
      </c>
      <c r="M932" s="111">
        <v>0</v>
      </c>
      <c r="N932" s="111">
        <v>0</v>
      </c>
      <c r="O932" s="112">
        <v>0</v>
      </c>
    </row>
    <row r="933" spans="2:15" s="3" customFormat="1" x14ac:dyDescent="0.35">
      <c r="B933" s="114"/>
      <c r="C933" s="256"/>
      <c r="D933" s="111"/>
      <c r="E933" s="111"/>
      <c r="F933" s="111"/>
      <c r="G933" s="111"/>
      <c r="H933" s="111"/>
      <c r="I933" s="111"/>
      <c r="J933" s="111"/>
      <c r="K933" s="111"/>
      <c r="L933" s="111"/>
      <c r="M933" s="111"/>
      <c r="N933" s="111"/>
      <c r="O933" s="112"/>
    </row>
    <row r="934" spans="2:15" s="3" customFormat="1" x14ac:dyDescent="0.35">
      <c r="B934" s="43"/>
      <c r="C934" s="256"/>
      <c r="D934" s="256"/>
      <c r="E934" s="256"/>
      <c r="F934" s="256"/>
      <c r="G934" s="129"/>
      <c r="H934" s="129"/>
      <c r="I934" s="129"/>
      <c r="J934" s="129"/>
      <c r="K934" s="129"/>
      <c r="L934" s="129"/>
      <c r="M934" s="129"/>
      <c r="N934" s="129"/>
      <c r="O934" s="248">
        <v>0</v>
      </c>
    </row>
    <row r="935" spans="2:15" s="3" customFormat="1" x14ac:dyDescent="0.35">
      <c r="B935" s="796" t="s">
        <v>91</v>
      </c>
      <c r="C935" s="131">
        <v>0</v>
      </c>
      <c r="D935" s="131">
        <v>0</v>
      </c>
      <c r="E935" s="131">
        <v>0</v>
      </c>
      <c r="F935" s="131">
        <v>0</v>
      </c>
      <c r="G935" s="131">
        <v>0</v>
      </c>
      <c r="H935" s="131">
        <v>0</v>
      </c>
      <c r="I935" s="131">
        <v>0</v>
      </c>
      <c r="J935" s="131">
        <v>0</v>
      </c>
      <c r="K935" s="131">
        <v>0</v>
      </c>
      <c r="L935" s="131">
        <v>0</v>
      </c>
      <c r="M935" s="131">
        <v>0</v>
      </c>
      <c r="N935" s="131">
        <v>0</v>
      </c>
      <c r="O935" s="248">
        <v>0</v>
      </c>
    </row>
    <row r="936" spans="2:15" s="3" customFormat="1" x14ac:dyDescent="0.35">
      <c r="B936" s="43"/>
      <c r="C936" s="247"/>
      <c r="D936" s="247"/>
      <c r="E936" s="247"/>
      <c r="F936" s="247"/>
      <c r="G936" s="247"/>
      <c r="H936" s="247"/>
      <c r="I936" s="247"/>
      <c r="J936" s="247"/>
      <c r="K936" s="247"/>
      <c r="L936" s="247"/>
      <c r="M936" s="247"/>
      <c r="N936" s="247"/>
      <c r="O936" s="248"/>
    </row>
    <row r="937" spans="2:15" s="3" customFormat="1" x14ac:dyDescent="0.35">
      <c r="B937" s="798" t="s">
        <v>149</v>
      </c>
      <c r="C937" s="657">
        <v>0</v>
      </c>
      <c r="D937" s="657">
        <v>0</v>
      </c>
      <c r="E937" s="657">
        <v>0</v>
      </c>
      <c r="F937" s="657">
        <v>0</v>
      </c>
      <c r="G937" s="657">
        <v>0</v>
      </c>
      <c r="H937" s="657">
        <v>0</v>
      </c>
      <c r="I937" s="657">
        <v>0</v>
      </c>
      <c r="J937" s="657">
        <v>0</v>
      </c>
      <c r="K937" s="657">
        <v>0</v>
      </c>
      <c r="L937" s="657">
        <v>0</v>
      </c>
      <c r="M937" s="657">
        <v>0</v>
      </c>
      <c r="N937" s="657">
        <v>0</v>
      </c>
      <c r="O937" s="430">
        <v>0</v>
      </c>
    </row>
    <row r="938" spans="2:15" s="3" customFormat="1" x14ac:dyDescent="0.35">
      <c r="B938" s="798" t="s">
        <v>150</v>
      </c>
      <c r="C938" s="658">
        <v>0</v>
      </c>
      <c r="D938" s="658">
        <v>0</v>
      </c>
      <c r="E938" s="658">
        <v>0</v>
      </c>
      <c r="F938" s="658">
        <v>0</v>
      </c>
      <c r="G938" s="658">
        <v>0</v>
      </c>
      <c r="H938" s="658">
        <v>0</v>
      </c>
      <c r="I938" s="658">
        <v>0</v>
      </c>
      <c r="J938" s="658">
        <v>0</v>
      </c>
      <c r="K938" s="658">
        <v>0</v>
      </c>
      <c r="L938" s="658">
        <v>0</v>
      </c>
      <c r="M938" s="658">
        <v>0</v>
      </c>
      <c r="N938" s="658">
        <v>0</v>
      </c>
      <c r="O938" s="430">
        <v>0</v>
      </c>
    </row>
    <row r="939" spans="2:15" s="3" customFormat="1" x14ac:dyDescent="0.35">
      <c r="B939" s="798" t="s">
        <v>151</v>
      </c>
      <c r="C939" s="658">
        <v>0</v>
      </c>
      <c r="D939" s="658">
        <v>0</v>
      </c>
      <c r="E939" s="658">
        <v>0</v>
      </c>
      <c r="F939" s="658">
        <v>0</v>
      </c>
      <c r="G939" s="658">
        <v>0</v>
      </c>
      <c r="H939" s="658">
        <v>0</v>
      </c>
      <c r="I939" s="658">
        <v>0</v>
      </c>
      <c r="J939" s="658">
        <v>0</v>
      </c>
      <c r="K939" s="658">
        <v>0</v>
      </c>
      <c r="L939" s="658">
        <v>0</v>
      </c>
      <c r="M939" s="658">
        <v>0</v>
      </c>
      <c r="N939" s="658">
        <v>0</v>
      </c>
      <c r="O939" s="430">
        <v>0</v>
      </c>
    </row>
    <row r="940" spans="2:15" s="3" customFormat="1" x14ac:dyDescent="0.35">
      <c r="B940" s="44"/>
      <c r="C940" s="259"/>
      <c r="D940" s="259"/>
      <c r="E940" s="256"/>
      <c r="F940" s="256"/>
      <c r="G940" s="256"/>
      <c r="H940" s="663"/>
      <c r="I940" s="256"/>
      <c r="J940" s="256"/>
      <c r="K940" s="256"/>
      <c r="L940" s="256"/>
      <c r="M940" s="256"/>
      <c r="N940" s="256"/>
      <c r="O940" s="138"/>
    </row>
    <row r="941" spans="2:15" s="3" customFormat="1" x14ac:dyDescent="0.35">
      <c r="B941" s="432" t="s">
        <v>36</v>
      </c>
      <c r="C941" s="250">
        <v>43.558999999999997</v>
      </c>
      <c r="D941" s="250">
        <v>0</v>
      </c>
      <c r="E941" s="250">
        <v>0</v>
      </c>
      <c r="F941" s="250">
        <v>3.56</v>
      </c>
      <c r="G941" s="250">
        <v>0</v>
      </c>
      <c r="H941" s="250">
        <v>7.62</v>
      </c>
      <c r="I941" s="250">
        <v>0</v>
      </c>
      <c r="J941" s="250">
        <v>23</v>
      </c>
      <c r="K941" s="250">
        <v>0</v>
      </c>
      <c r="L941" s="250">
        <v>0</v>
      </c>
      <c r="M941" s="250">
        <v>8.6</v>
      </c>
      <c r="N941" s="250">
        <v>0</v>
      </c>
      <c r="O941" s="659">
        <v>86.338999999999999</v>
      </c>
    </row>
    <row r="942" spans="2:15" s="3" customFormat="1" x14ac:dyDescent="0.35">
      <c r="B942" s="260"/>
      <c r="C942" s="261"/>
      <c r="D942" s="261"/>
      <c r="E942" s="261"/>
      <c r="F942" s="261"/>
      <c r="G942" s="261"/>
      <c r="H942" s="261"/>
      <c r="I942" s="261"/>
      <c r="J942" s="261"/>
      <c r="K942" s="261"/>
      <c r="L942" s="261"/>
      <c r="M942" s="261"/>
      <c r="N942" s="261"/>
      <c r="O942" s="262"/>
    </row>
    <row r="943" spans="2:15" s="3" customFormat="1" x14ac:dyDescent="0.35">
      <c r="B943" s="1068" t="s">
        <v>163</v>
      </c>
      <c r="C943" s="1068"/>
      <c r="D943" s="1068"/>
      <c r="E943" s="1068"/>
      <c r="F943" s="1068"/>
      <c r="G943" s="1068"/>
      <c r="H943" s="1068"/>
      <c r="I943" s="1068"/>
      <c r="J943" s="1068"/>
      <c r="K943" s="1068"/>
      <c r="L943" s="1068"/>
      <c r="M943" s="1068"/>
      <c r="N943" s="1068"/>
      <c r="O943" s="1068"/>
    </row>
    <row r="944" spans="2:15" s="3" customFormat="1" x14ac:dyDescent="0.35">
      <c r="B944" s="125"/>
      <c r="C944" s="241"/>
      <c r="D944" s="241"/>
      <c r="E944" s="241"/>
      <c r="F944" s="241"/>
      <c r="G944" s="241"/>
      <c r="H944" s="241"/>
      <c r="I944" s="241"/>
      <c r="J944" s="241"/>
      <c r="K944" s="241"/>
      <c r="L944" s="241"/>
      <c r="M944" s="241"/>
      <c r="N944" s="241"/>
      <c r="O944" s="125"/>
    </row>
    <row r="945" spans="2:15" s="3" customFormat="1" ht="15" customHeight="1" x14ac:dyDescent="0.35">
      <c r="B945" s="1074" t="s">
        <v>13</v>
      </c>
      <c r="C945" s="1070" t="s">
        <v>0</v>
      </c>
      <c r="D945" s="1070" t="s">
        <v>1</v>
      </c>
      <c r="E945" s="1070" t="s">
        <v>2</v>
      </c>
      <c r="F945" s="1070" t="s">
        <v>3</v>
      </c>
      <c r="G945" s="1070" t="s">
        <v>4</v>
      </c>
      <c r="H945" s="1070" t="s">
        <v>5</v>
      </c>
      <c r="I945" s="1070" t="s">
        <v>6</v>
      </c>
      <c r="J945" s="1070" t="s">
        <v>7</v>
      </c>
      <c r="K945" s="1070" t="s">
        <v>8</v>
      </c>
      <c r="L945" s="1070" t="s">
        <v>9</v>
      </c>
      <c r="M945" s="1070" t="s">
        <v>10</v>
      </c>
      <c r="N945" s="1070" t="s">
        <v>14</v>
      </c>
      <c r="O945" s="1074" t="s">
        <v>15</v>
      </c>
    </row>
    <row r="946" spans="2:15" s="3" customFormat="1" ht="15" customHeight="1" x14ac:dyDescent="0.35">
      <c r="B946" s="1080"/>
      <c r="C946" s="1071"/>
      <c r="D946" s="1071"/>
      <c r="E946" s="1071"/>
      <c r="F946" s="1071"/>
      <c r="G946" s="1071"/>
      <c r="H946" s="1071"/>
      <c r="I946" s="1071"/>
      <c r="J946" s="1071"/>
      <c r="K946" s="1071"/>
      <c r="L946" s="1071"/>
      <c r="M946" s="1071"/>
      <c r="N946" s="1071"/>
      <c r="O946" s="1080"/>
    </row>
    <row r="947" spans="2:15" s="3" customFormat="1" x14ac:dyDescent="0.35">
      <c r="B947" s="242"/>
      <c r="C947" s="632">
        <v>0</v>
      </c>
      <c r="D947" s="632">
        <v>0</v>
      </c>
      <c r="E947" s="632">
        <v>0</v>
      </c>
      <c r="F947" s="632">
        <v>0</v>
      </c>
      <c r="G947" s="632">
        <v>0</v>
      </c>
      <c r="H947" s="632">
        <v>0</v>
      </c>
      <c r="I947" s="632">
        <v>0</v>
      </c>
      <c r="J947" s="632">
        <v>0</v>
      </c>
      <c r="K947" s="632">
        <v>0</v>
      </c>
      <c r="L947" s="632">
        <v>0</v>
      </c>
      <c r="M947" s="632">
        <v>0</v>
      </c>
      <c r="N947" s="632">
        <v>0</v>
      </c>
      <c r="O947" s="243"/>
    </row>
    <row r="948" spans="2:15" s="3" customFormat="1" x14ac:dyDescent="0.35">
      <c r="B948" s="800" t="s">
        <v>47</v>
      </c>
      <c r="C948" s="244">
        <v>2377.4240000000004</v>
      </c>
      <c r="D948" s="244">
        <v>2302.0390000000007</v>
      </c>
      <c r="E948" s="244">
        <v>1483.6929999999998</v>
      </c>
      <c r="F948" s="244">
        <v>378.45600000000002</v>
      </c>
      <c r="G948" s="244">
        <v>2126.1659999999997</v>
      </c>
      <c r="H948" s="244">
        <v>3107.9609999999998</v>
      </c>
      <c r="I948" s="244">
        <v>16019.016000000001</v>
      </c>
      <c r="J948" s="244">
        <v>1420.0539999999994</v>
      </c>
      <c r="K948" s="244">
        <v>2388.0420000000004</v>
      </c>
      <c r="L948" s="244">
        <v>4096.1480000000001</v>
      </c>
      <c r="M948" s="244">
        <v>2920.5179999999996</v>
      </c>
      <c r="N948" s="244">
        <v>4401.7700000000004</v>
      </c>
      <c r="O948" s="112">
        <v>43021.286999999997</v>
      </c>
    </row>
    <row r="949" spans="2:15" s="3" customFormat="1" x14ac:dyDescent="0.35">
      <c r="B949" s="797"/>
      <c r="C949" s="244"/>
      <c r="D949" s="244"/>
      <c r="E949" s="244"/>
      <c r="F949" s="244"/>
      <c r="G949" s="244"/>
      <c r="H949" s="244"/>
      <c r="I949" s="244"/>
      <c r="J949" s="244"/>
      <c r="K949" s="244"/>
      <c r="L949" s="244"/>
      <c r="M949" s="244"/>
      <c r="N949" s="245"/>
      <c r="O949" s="136"/>
    </row>
    <row r="950" spans="2:15" s="3" customFormat="1" x14ac:dyDescent="0.35">
      <c r="B950" s="796" t="s">
        <v>267</v>
      </c>
      <c r="C950" s="131">
        <v>995.22699999999998</v>
      </c>
      <c r="D950" s="131">
        <v>663.05</v>
      </c>
      <c r="E950" s="131">
        <v>192.16399999999999</v>
      </c>
      <c r="F950" s="131">
        <v>279.97199999999998</v>
      </c>
      <c r="G950" s="131">
        <v>690.14600000000007</v>
      </c>
      <c r="H950" s="131">
        <v>329.23</v>
      </c>
      <c r="I950" s="131">
        <v>602.60900000000004</v>
      </c>
      <c r="J950" s="131">
        <v>431.77</v>
      </c>
      <c r="K950" s="131">
        <v>76.448000000000008</v>
      </c>
      <c r="L950" s="131">
        <v>860.92200000000014</v>
      </c>
      <c r="M950" s="131">
        <v>398.47500000000008</v>
      </c>
      <c r="N950" s="131">
        <v>457.00800000000004</v>
      </c>
      <c r="O950" s="248">
        <v>5977.0210000000006</v>
      </c>
    </row>
    <row r="951" spans="2:15" s="3" customFormat="1" x14ac:dyDescent="0.35">
      <c r="B951" s="796" t="s">
        <v>74</v>
      </c>
      <c r="C951" s="131">
        <v>0</v>
      </c>
      <c r="D951" s="131">
        <v>194.047</v>
      </c>
      <c r="E951" s="131">
        <v>0</v>
      </c>
      <c r="F951" s="131">
        <v>0</v>
      </c>
      <c r="G951" s="131">
        <v>0</v>
      </c>
      <c r="H951" s="131">
        <v>0</v>
      </c>
      <c r="I951" s="131">
        <v>1423.086</v>
      </c>
      <c r="J951" s="131">
        <v>0</v>
      </c>
      <c r="K951" s="131">
        <v>0</v>
      </c>
      <c r="L951" s="131">
        <v>0</v>
      </c>
      <c r="M951" s="131">
        <v>0</v>
      </c>
      <c r="N951" s="131">
        <v>0</v>
      </c>
      <c r="O951" s="248">
        <v>1617.133</v>
      </c>
    </row>
    <row r="952" spans="2:15" s="3" customFormat="1" x14ac:dyDescent="0.35">
      <c r="B952" s="796" t="s">
        <v>307</v>
      </c>
      <c r="C952" s="131">
        <v>125.726</v>
      </c>
      <c r="D952" s="131">
        <v>278.81700000000001</v>
      </c>
      <c r="E952" s="131">
        <v>0</v>
      </c>
      <c r="F952" s="131">
        <v>0</v>
      </c>
      <c r="G952" s="131">
        <v>0</v>
      </c>
      <c r="H952" s="131">
        <v>101.35000000000001</v>
      </c>
      <c r="I952" s="131">
        <v>0</v>
      </c>
      <c r="J952" s="131">
        <v>0</v>
      </c>
      <c r="K952" s="131">
        <v>0</v>
      </c>
      <c r="L952" s="131">
        <v>0</v>
      </c>
      <c r="M952" s="131">
        <v>0</v>
      </c>
      <c r="N952" s="131">
        <v>76.042000000000002</v>
      </c>
      <c r="O952" s="248">
        <v>581.93500000000006</v>
      </c>
    </row>
    <row r="953" spans="2:15" s="3" customFormat="1" x14ac:dyDescent="0.35">
      <c r="B953" s="796" t="s">
        <v>85</v>
      </c>
      <c r="C953" s="131">
        <v>0</v>
      </c>
      <c r="D953" s="131">
        <v>0</v>
      </c>
      <c r="E953" s="131">
        <v>0</v>
      </c>
      <c r="F953" s="131">
        <v>0</v>
      </c>
      <c r="G953" s="131">
        <v>0</v>
      </c>
      <c r="H953" s="131">
        <v>0</v>
      </c>
      <c r="I953" s="131">
        <v>3987.1109999999999</v>
      </c>
      <c r="J953" s="131">
        <v>0</v>
      </c>
      <c r="K953" s="131">
        <v>0</v>
      </c>
      <c r="L953" s="131">
        <v>406.81599999999997</v>
      </c>
      <c r="M953" s="131">
        <v>0</v>
      </c>
      <c r="N953" s="131">
        <v>434.04500000000002</v>
      </c>
      <c r="O953" s="248">
        <v>4827.9719999999998</v>
      </c>
    </row>
    <row r="954" spans="2:15" s="3" customFormat="1" x14ac:dyDescent="0.35">
      <c r="B954" s="796" t="s">
        <v>306</v>
      </c>
      <c r="C954" s="131">
        <v>551.56400000000008</v>
      </c>
      <c r="D954" s="131">
        <v>0</v>
      </c>
      <c r="E954" s="131">
        <v>1020.8689999999999</v>
      </c>
      <c r="F954" s="131">
        <v>0</v>
      </c>
      <c r="G954" s="131">
        <v>0</v>
      </c>
      <c r="H954" s="131">
        <v>397.84000000000003</v>
      </c>
      <c r="I954" s="131">
        <v>0</v>
      </c>
      <c r="J954" s="131">
        <v>274.74</v>
      </c>
      <c r="K954" s="131">
        <v>90.24</v>
      </c>
      <c r="L954" s="131">
        <v>239.828</v>
      </c>
      <c r="M954" s="131">
        <v>482.25000000000017</v>
      </c>
      <c r="N954" s="131">
        <v>334.46</v>
      </c>
      <c r="O954" s="248">
        <v>3391.7909999999997</v>
      </c>
    </row>
    <row r="955" spans="2:15" s="3" customFormat="1" x14ac:dyDescent="0.35">
      <c r="B955" s="796" t="s">
        <v>470</v>
      </c>
      <c r="C955" s="131">
        <v>0</v>
      </c>
      <c r="D955" s="131">
        <v>0</v>
      </c>
      <c r="E955" s="131">
        <v>0</v>
      </c>
      <c r="F955" s="131">
        <v>0</v>
      </c>
      <c r="G955" s="131">
        <v>0</v>
      </c>
      <c r="H955" s="131">
        <v>0</v>
      </c>
      <c r="I955" s="131">
        <v>6383.6840000000002</v>
      </c>
      <c r="J955" s="131">
        <v>0</v>
      </c>
      <c r="K955" s="131">
        <v>0</v>
      </c>
      <c r="L955" s="131">
        <v>1472.9630000000002</v>
      </c>
      <c r="M955" s="131">
        <v>392.54500000000002</v>
      </c>
      <c r="N955" s="131">
        <v>0</v>
      </c>
      <c r="O955" s="248">
        <v>8249.1920000000009</v>
      </c>
    </row>
    <row r="956" spans="2:15" s="3" customFormat="1" x14ac:dyDescent="0.35">
      <c r="B956" s="796" t="s">
        <v>116</v>
      </c>
      <c r="C956" s="131">
        <v>226.74700000000001</v>
      </c>
      <c r="D956" s="131">
        <v>226.06</v>
      </c>
      <c r="E956" s="131">
        <v>199.845</v>
      </c>
      <c r="F956" s="131">
        <v>0</v>
      </c>
      <c r="G956" s="131">
        <v>202.85</v>
      </c>
      <c r="H956" s="131">
        <v>0</v>
      </c>
      <c r="I956" s="131">
        <v>278.34300000000002</v>
      </c>
      <c r="J956" s="131">
        <v>0</v>
      </c>
      <c r="K956" s="131">
        <v>0</v>
      </c>
      <c r="L956" s="131">
        <v>0</v>
      </c>
      <c r="M956" s="131">
        <v>50.572000000000003</v>
      </c>
      <c r="N956" s="131">
        <v>0</v>
      </c>
      <c r="O956" s="248">
        <v>1184.4169999999999</v>
      </c>
    </row>
    <row r="957" spans="2:15" s="3" customFormat="1" x14ac:dyDescent="0.35">
      <c r="B957" s="796" t="s">
        <v>83</v>
      </c>
      <c r="C957" s="131">
        <v>136.80000000000001</v>
      </c>
      <c r="D957" s="131">
        <v>0</v>
      </c>
      <c r="E957" s="131">
        <v>0</v>
      </c>
      <c r="F957" s="131">
        <v>0</v>
      </c>
      <c r="G957" s="131">
        <v>25.13</v>
      </c>
      <c r="H957" s="131">
        <v>58</v>
      </c>
      <c r="I957" s="131">
        <v>85.685000000000002</v>
      </c>
      <c r="J957" s="131">
        <v>19.3</v>
      </c>
      <c r="K957" s="131">
        <v>1473.6</v>
      </c>
      <c r="L957" s="131">
        <v>15.8</v>
      </c>
      <c r="M957" s="131">
        <v>981.42</v>
      </c>
      <c r="N957" s="131">
        <v>15.53</v>
      </c>
      <c r="O957" s="248">
        <v>2811.2649999999999</v>
      </c>
    </row>
    <row r="958" spans="2:15" s="3" customFormat="1" x14ac:dyDescent="0.35">
      <c r="B958" s="796" t="s">
        <v>509</v>
      </c>
      <c r="C958" s="131">
        <v>0</v>
      </c>
      <c r="D958" s="131">
        <v>0</v>
      </c>
      <c r="E958" s="131">
        <v>0</v>
      </c>
      <c r="F958" s="131">
        <v>0</v>
      </c>
      <c r="G958" s="131">
        <v>0</v>
      </c>
      <c r="H958" s="131">
        <v>0</v>
      </c>
      <c r="I958" s="131">
        <v>0</v>
      </c>
      <c r="J958" s="131">
        <v>0</v>
      </c>
      <c r="K958" s="131">
        <v>0</v>
      </c>
      <c r="L958" s="131">
        <v>0</v>
      </c>
      <c r="M958" s="131">
        <v>0</v>
      </c>
      <c r="N958" s="131">
        <v>0</v>
      </c>
      <c r="O958" s="248">
        <v>0</v>
      </c>
    </row>
    <row r="959" spans="2:15" s="3" customFormat="1" x14ac:dyDescent="0.35">
      <c r="B959" s="796" t="s">
        <v>75</v>
      </c>
      <c r="C959" s="131">
        <v>0</v>
      </c>
      <c r="D959" s="131">
        <v>0</v>
      </c>
      <c r="E959" s="131">
        <v>0</v>
      </c>
      <c r="F959" s="131">
        <v>0</v>
      </c>
      <c r="G959" s="131">
        <v>0</v>
      </c>
      <c r="H959" s="131">
        <v>0</v>
      </c>
      <c r="I959" s="131">
        <v>0</v>
      </c>
      <c r="J959" s="131">
        <v>0</v>
      </c>
      <c r="K959" s="131">
        <v>0</v>
      </c>
      <c r="L959" s="131">
        <v>0</v>
      </c>
      <c r="M959" s="131">
        <v>0</v>
      </c>
      <c r="N959" s="131">
        <v>0</v>
      </c>
      <c r="O959" s="248">
        <v>0</v>
      </c>
    </row>
    <row r="960" spans="2:15" s="3" customFormat="1" ht="15" customHeight="1" x14ac:dyDescent="0.35">
      <c r="B960" s="796" t="s">
        <v>394</v>
      </c>
      <c r="C960" s="131">
        <v>0</v>
      </c>
      <c r="D960" s="131">
        <v>0</v>
      </c>
      <c r="E960" s="131">
        <v>0</v>
      </c>
      <c r="F960" s="131">
        <v>0</v>
      </c>
      <c r="G960" s="131">
        <v>0</v>
      </c>
      <c r="H960" s="131">
        <v>0</v>
      </c>
      <c r="I960" s="131">
        <v>0</v>
      </c>
      <c r="J960" s="131">
        <v>0</v>
      </c>
      <c r="K960" s="131">
        <v>0</v>
      </c>
      <c r="L960" s="131">
        <v>0</v>
      </c>
      <c r="M960" s="131">
        <v>0</v>
      </c>
      <c r="N960" s="131">
        <v>0</v>
      </c>
      <c r="O960" s="248">
        <v>0</v>
      </c>
    </row>
    <row r="961" spans="2:15" s="3" customFormat="1" ht="15" customHeight="1" x14ac:dyDescent="0.35">
      <c r="B961" s="796" t="s">
        <v>398</v>
      </c>
      <c r="C961" s="131">
        <v>0</v>
      </c>
      <c r="D961" s="131">
        <v>0</v>
      </c>
      <c r="E961" s="131">
        <v>0</v>
      </c>
      <c r="F961" s="131">
        <v>0</v>
      </c>
      <c r="G961" s="131">
        <v>0</v>
      </c>
      <c r="H961" s="131">
        <v>0</v>
      </c>
      <c r="I961" s="131">
        <v>0</v>
      </c>
      <c r="J961" s="131">
        <v>0</v>
      </c>
      <c r="K961" s="131">
        <v>0</v>
      </c>
      <c r="L961" s="131">
        <v>0</v>
      </c>
      <c r="M961" s="131">
        <v>0</v>
      </c>
      <c r="N961" s="131">
        <v>0</v>
      </c>
      <c r="O961" s="248">
        <v>0</v>
      </c>
    </row>
    <row r="962" spans="2:15" s="3" customFormat="1" x14ac:dyDescent="0.35">
      <c r="B962" s="796" t="s">
        <v>222</v>
      </c>
      <c r="C962" s="131">
        <v>110.92</v>
      </c>
      <c r="D962" s="131">
        <v>135.36000000000001</v>
      </c>
      <c r="E962" s="131">
        <v>0</v>
      </c>
      <c r="F962" s="131">
        <v>0</v>
      </c>
      <c r="G962" s="131">
        <v>173.92400000000001</v>
      </c>
      <c r="H962" s="131">
        <v>41</v>
      </c>
      <c r="I962" s="131">
        <v>124.97499999999999</v>
      </c>
      <c r="J962" s="131">
        <v>0</v>
      </c>
      <c r="K962" s="131">
        <v>0</v>
      </c>
      <c r="L962" s="131">
        <v>0</v>
      </c>
      <c r="M962" s="131">
        <v>0</v>
      </c>
      <c r="N962" s="131">
        <v>913.36999999999978</v>
      </c>
      <c r="O962" s="248">
        <v>1499.549</v>
      </c>
    </row>
    <row r="963" spans="2:15" s="3" customFormat="1" x14ac:dyDescent="0.35">
      <c r="B963" s="796" t="s">
        <v>77</v>
      </c>
      <c r="C963" s="131">
        <v>0</v>
      </c>
      <c r="D963" s="131">
        <v>0</v>
      </c>
      <c r="E963" s="131">
        <v>0</v>
      </c>
      <c r="F963" s="131">
        <v>0</v>
      </c>
      <c r="G963" s="131">
        <v>0</v>
      </c>
      <c r="H963" s="131">
        <v>0</v>
      </c>
      <c r="I963" s="131">
        <v>0</v>
      </c>
      <c r="J963" s="131">
        <v>0</v>
      </c>
      <c r="K963" s="131">
        <v>0</v>
      </c>
      <c r="L963" s="131">
        <v>0</v>
      </c>
      <c r="M963" s="131">
        <v>0</v>
      </c>
      <c r="N963" s="131">
        <v>0</v>
      </c>
      <c r="O963" s="248">
        <v>0</v>
      </c>
    </row>
    <row r="964" spans="2:15" s="3" customFormat="1" x14ac:dyDescent="0.35">
      <c r="B964" s="796" t="s">
        <v>164</v>
      </c>
      <c r="C964" s="131">
        <v>0</v>
      </c>
      <c r="D964" s="131">
        <v>0</v>
      </c>
      <c r="E964" s="131">
        <v>0</v>
      </c>
      <c r="F964" s="131">
        <v>0</v>
      </c>
      <c r="G964" s="131">
        <v>0</v>
      </c>
      <c r="H964" s="131">
        <v>0</v>
      </c>
      <c r="I964" s="131">
        <v>0</v>
      </c>
      <c r="J964" s="131">
        <v>0</v>
      </c>
      <c r="K964" s="131">
        <v>0</v>
      </c>
      <c r="L964" s="131">
        <v>0</v>
      </c>
      <c r="M964" s="131">
        <v>0</v>
      </c>
      <c r="N964" s="131">
        <v>0</v>
      </c>
      <c r="O964" s="248">
        <v>0</v>
      </c>
    </row>
    <row r="965" spans="2:15" s="3" customFormat="1" x14ac:dyDescent="0.35">
      <c r="B965" s="796" t="s">
        <v>165</v>
      </c>
      <c r="C965" s="131">
        <v>0</v>
      </c>
      <c r="D965" s="131">
        <v>0</v>
      </c>
      <c r="E965" s="131">
        <v>0</v>
      </c>
      <c r="F965" s="131">
        <v>0</v>
      </c>
      <c r="G965" s="131">
        <v>0</v>
      </c>
      <c r="H965" s="131">
        <v>0</v>
      </c>
      <c r="I965" s="131">
        <v>0</v>
      </c>
      <c r="J965" s="131">
        <v>0</v>
      </c>
      <c r="K965" s="131">
        <v>0</v>
      </c>
      <c r="L965" s="131">
        <v>0</v>
      </c>
      <c r="M965" s="131">
        <v>0</v>
      </c>
      <c r="N965" s="131">
        <v>0</v>
      </c>
      <c r="O965" s="248">
        <v>0</v>
      </c>
    </row>
    <row r="966" spans="2:15" s="3" customFormat="1" x14ac:dyDescent="0.35">
      <c r="B966" s="796" t="s">
        <v>69</v>
      </c>
      <c r="C966" s="131">
        <v>0</v>
      </c>
      <c r="D966" s="131">
        <v>0</v>
      </c>
      <c r="E966" s="131">
        <v>0</v>
      </c>
      <c r="F966" s="131">
        <v>0</v>
      </c>
      <c r="G966" s="131">
        <v>0</v>
      </c>
      <c r="H966" s="131">
        <v>0</v>
      </c>
      <c r="I966" s="131">
        <v>0</v>
      </c>
      <c r="J966" s="131">
        <v>0</v>
      </c>
      <c r="K966" s="131">
        <v>0</v>
      </c>
      <c r="L966" s="131">
        <v>0</v>
      </c>
      <c r="M966" s="131">
        <v>0</v>
      </c>
      <c r="N966" s="131">
        <v>0</v>
      </c>
      <c r="O966" s="248">
        <v>0</v>
      </c>
    </row>
    <row r="967" spans="2:15" s="3" customFormat="1" x14ac:dyDescent="0.35">
      <c r="B967" s="796" t="s">
        <v>503</v>
      </c>
      <c r="C967" s="131">
        <v>0</v>
      </c>
      <c r="D967" s="131">
        <v>0</v>
      </c>
      <c r="E967" s="131">
        <v>0</v>
      </c>
      <c r="F967" s="131">
        <v>0</v>
      </c>
      <c r="G967" s="131">
        <v>0</v>
      </c>
      <c r="H967" s="131">
        <v>28.105</v>
      </c>
      <c r="I967" s="131">
        <v>0</v>
      </c>
      <c r="J967" s="131">
        <v>0</v>
      </c>
      <c r="K967" s="131">
        <v>0</v>
      </c>
      <c r="L967" s="131">
        <v>0</v>
      </c>
      <c r="M967" s="131">
        <v>0</v>
      </c>
      <c r="N967" s="131">
        <v>0</v>
      </c>
      <c r="O967" s="248">
        <v>28.105</v>
      </c>
    </row>
    <row r="968" spans="2:15" s="3" customFormat="1" x14ac:dyDescent="0.35">
      <c r="B968" s="796" t="s">
        <v>117</v>
      </c>
      <c r="C968" s="131">
        <v>0</v>
      </c>
      <c r="D968" s="131">
        <v>0</v>
      </c>
      <c r="E968" s="131">
        <v>0</v>
      </c>
      <c r="F968" s="131">
        <v>0</v>
      </c>
      <c r="G968" s="131">
        <v>0</v>
      </c>
      <c r="H968" s="131">
        <v>0</v>
      </c>
      <c r="I968" s="131">
        <v>0</v>
      </c>
      <c r="J968" s="131">
        <v>0</v>
      </c>
      <c r="K968" s="131">
        <v>0</v>
      </c>
      <c r="L968" s="131">
        <v>0</v>
      </c>
      <c r="M968" s="131">
        <v>0</v>
      </c>
      <c r="N968" s="131">
        <v>0</v>
      </c>
      <c r="O968" s="248">
        <v>0</v>
      </c>
    </row>
    <row r="969" spans="2:15" s="3" customFormat="1" x14ac:dyDescent="0.35">
      <c r="B969" s="796" t="s">
        <v>510</v>
      </c>
      <c r="C969" s="131">
        <v>0</v>
      </c>
      <c r="D969" s="131">
        <v>0</v>
      </c>
      <c r="E969" s="131">
        <v>0</v>
      </c>
      <c r="F969" s="131">
        <v>0</v>
      </c>
      <c r="G969" s="131">
        <v>0</v>
      </c>
      <c r="H969" s="131">
        <v>0</v>
      </c>
      <c r="I969" s="131">
        <v>0</v>
      </c>
      <c r="J969" s="131">
        <v>39.909999999999997</v>
      </c>
      <c r="K969" s="131">
        <v>0</v>
      </c>
      <c r="L969" s="131">
        <v>0</v>
      </c>
      <c r="M969" s="131">
        <v>0</v>
      </c>
      <c r="N969" s="131">
        <v>0</v>
      </c>
      <c r="O969" s="248">
        <v>39.909999999999997</v>
      </c>
    </row>
    <row r="970" spans="2:15" s="3" customFormat="1" x14ac:dyDescent="0.35">
      <c r="B970" s="796" t="s">
        <v>91</v>
      </c>
      <c r="C970" s="29">
        <v>230.44000000000051</v>
      </c>
      <c r="D970" s="29">
        <v>804.70500000000084</v>
      </c>
      <c r="E970" s="29">
        <v>70.814999999999827</v>
      </c>
      <c r="F970" s="29">
        <v>98.484000000000037</v>
      </c>
      <c r="G970" s="29">
        <v>1034.1159999999995</v>
      </c>
      <c r="H970" s="29">
        <v>2152.4359999999997</v>
      </c>
      <c r="I970" s="29">
        <v>3133.5229999999992</v>
      </c>
      <c r="J970" s="29">
        <v>654.33399999999949</v>
      </c>
      <c r="K970" s="29">
        <v>747.75400000000036</v>
      </c>
      <c r="L970" s="29">
        <v>1099.8189999999995</v>
      </c>
      <c r="M970" s="29">
        <v>615.2559999999994</v>
      </c>
      <c r="N970" s="29">
        <v>2171.3150000000005</v>
      </c>
      <c r="O970" s="248">
        <v>12812.996999999999</v>
      </c>
    </row>
    <row r="971" spans="2:15" s="3" customFormat="1" x14ac:dyDescent="0.35">
      <c r="B971" s="796"/>
      <c r="C971" s="247"/>
      <c r="D971" s="247"/>
      <c r="E971" s="247"/>
      <c r="F971" s="247"/>
      <c r="G971" s="247"/>
      <c r="H971" s="139"/>
      <c r="I971" s="247"/>
      <c r="J971" s="247"/>
      <c r="K971" s="247"/>
      <c r="L971" s="247"/>
      <c r="M971" s="247"/>
      <c r="N971" s="247"/>
      <c r="O971" s="248">
        <v>0</v>
      </c>
    </row>
    <row r="972" spans="2:15" s="3" customFormat="1" x14ac:dyDescent="0.35">
      <c r="B972" s="798" t="s">
        <v>149</v>
      </c>
      <c r="C972" s="657">
        <v>0</v>
      </c>
      <c r="D972" s="657">
        <v>0</v>
      </c>
      <c r="E972" s="657">
        <v>0</v>
      </c>
      <c r="F972" s="657">
        <v>0</v>
      </c>
      <c r="G972" s="657">
        <v>0</v>
      </c>
      <c r="H972" s="657">
        <v>28</v>
      </c>
      <c r="I972" s="657">
        <v>27.728999999999999</v>
      </c>
      <c r="J972" s="657">
        <v>27.969000000000001</v>
      </c>
      <c r="K972" s="657">
        <v>0</v>
      </c>
      <c r="L972" s="657">
        <v>0</v>
      </c>
      <c r="M972" s="657">
        <v>0</v>
      </c>
      <c r="N972" s="657">
        <v>0</v>
      </c>
      <c r="O972" s="429">
        <v>83.698000000000008</v>
      </c>
    </row>
    <row r="973" spans="2:15" s="3" customFormat="1" x14ac:dyDescent="0.35">
      <c r="B973" s="798" t="s">
        <v>150</v>
      </c>
      <c r="C973" s="658">
        <v>2377.4240000000004</v>
      </c>
      <c r="D973" s="658">
        <v>2302.0390000000002</v>
      </c>
      <c r="E973" s="658">
        <v>1483.6929999999998</v>
      </c>
      <c r="F973" s="658">
        <v>378.45600000000002</v>
      </c>
      <c r="G973" s="658">
        <v>2126.1659999999997</v>
      </c>
      <c r="H973" s="658">
        <v>3079.9610000000002</v>
      </c>
      <c r="I973" s="658">
        <v>15991.287000000002</v>
      </c>
      <c r="J973" s="658">
        <v>1392.0849999999996</v>
      </c>
      <c r="K973" s="658">
        <v>2388.0420000000004</v>
      </c>
      <c r="L973" s="658">
        <v>4096.1480000000001</v>
      </c>
      <c r="M973" s="658">
        <v>2920.5179999999996</v>
      </c>
      <c r="N973" s="658">
        <v>4401.7700000000004</v>
      </c>
      <c r="O973" s="429">
        <v>42937.589000000007</v>
      </c>
    </row>
    <row r="974" spans="2:15" s="3" customFormat="1" x14ac:dyDescent="0.35">
      <c r="B974" s="798" t="s">
        <v>151</v>
      </c>
      <c r="C974" s="658">
        <v>0</v>
      </c>
      <c r="D974" s="658">
        <v>0</v>
      </c>
      <c r="E974" s="658">
        <v>0</v>
      </c>
      <c r="F974" s="658">
        <v>0</v>
      </c>
      <c r="G974" s="658">
        <v>0</v>
      </c>
      <c r="H974" s="658">
        <v>0</v>
      </c>
      <c r="I974" s="658">
        <v>0</v>
      </c>
      <c r="J974" s="658">
        <v>0</v>
      </c>
      <c r="K974" s="658">
        <v>0</v>
      </c>
      <c r="L974" s="658">
        <v>0</v>
      </c>
      <c r="M974" s="658">
        <v>0</v>
      </c>
      <c r="N974" s="658">
        <v>0</v>
      </c>
      <c r="O974" s="429">
        <v>0</v>
      </c>
    </row>
    <row r="975" spans="2:15" s="3" customFormat="1" x14ac:dyDescent="0.35">
      <c r="B975" s="801"/>
      <c r="C975" s="632">
        <v>0</v>
      </c>
      <c r="D975" s="632">
        <v>0</v>
      </c>
      <c r="E975" s="632">
        <v>0</v>
      </c>
      <c r="F975" s="632">
        <v>0</v>
      </c>
      <c r="G975" s="632">
        <v>0</v>
      </c>
      <c r="H975" s="632">
        <v>0</v>
      </c>
      <c r="I975" s="632">
        <v>0</v>
      </c>
      <c r="J975" s="632">
        <v>0</v>
      </c>
      <c r="K975" s="632">
        <v>0</v>
      </c>
      <c r="L975" s="632">
        <v>0</v>
      </c>
      <c r="M975" s="632">
        <v>0</v>
      </c>
      <c r="N975" s="632">
        <v>0</v>
      </c>
      <c r="O975" s="248"/>
    </row>
    <row r="976" spans="2:15" s="3" customFormat="1" x14ac:dyDescent="0.35">
      <c r="B976" s="800" t="s">
        <v>56</v>
      </c>
      <c r="C976" s="111">
        <v>0</v>
      </c>
      <c r="D976" s="244">
        <v>0</v>
      </c>
      <c r="E976" s="244">
        <v>0</v>
      </c>
      <c r="F976" s="244">
        <v>0</v>
      </c>
      <c r="G976" s="244">
        <v>0</v>
      </c>
      <c r="H976" s="244">
        <v>0</v>
      </c>
      <c r="I976" s="244">
        <v>0</v>
      </c>
      <c r="J976" s="244">
        <v>0</v>
      </c>
      <c r="K976" s="244">
        <v>0</v>
      </c>
      <c r="L976" s="244">
        <v>0</v>
      </c>
      <c r="M976" s="244">
        <v>0</v>
      </c>
      <c r="N976" s="244">
        <v>0</v>
      </c>
      <c r="O976" s="112">
        <v>0</v>
      </c>
    </row>
    <row r="977" spans="2:15" s="3" customFormat="1" x14ac:dyDescent="0.35">
      <c r="B977" s="800"/>
      <c r="C977" s="256"/>
      <c r="D977" s="111"/>
      <c r="E977" s="111"/>
      <c r="F977" s="111"/>
      <c r="G977" s="111"/>
      <c r="H977" s="111"/>
      <c r="I977" s="111"/>
      <c r="J977" s="111"/>
      <c r="K977" s="111"/>
      <c r="L977" s="111"/>
      <c r="M977" s="111"/>
      <c r="N977" s="111"/>
      <c r="O977" s="112"/>
    </row>
    <row r="978" spans="2:15" s="3" customFormat="1" x14ac:dyDescent="0.35">
      <c r="B978" s="796" t="s">
        <v>91</v>
      </c>
      <c r="C978" s="131">
        <v>0</v>
      </c>
      <c r="D978" s="131">
        <v>0</v>
      </c>
      <c r="E978" s="131">
        <v>0</v>
      </c>
      <c r="F978" s="131">
        <v>0</v>
      </c>
      <c r="G978" s="131">
        <v>0</v>
      </c>
      <c r="H978" s="131">
        <v>0</v>
      </c>
      <c r="I978" s="131">
        <v>0</v>
      </c>
      <c r="J978" s="131">
        <v>0</v>
      </c>
      <c r="K978" s="131">
        <v>0</v>
      </c>
      <c r="L978" s="131">
        <v>0</v>
      </c>
      <c r="M978" s="131">
        <v>0</v>
      </c>
      <c r="N978" s="131">
        <v>0</v>
      </c>
      <c r="O978" s="138">
        <v>0</v>
      </c>
    </row>
    <row r="979" spans="2:15" s="3" customFormat="1" x14ac:dyDescent="0.35">
      <c r="B979" s="43"/>
      <c r="C979" s="247"/>
      <c r="D979" s="139"/>
      <c r="E979" s="139"/>
      <c r="F979" s="139"/>
      <c r="G979" s="139"/>
      <c r="H979" s="139"/>
      <c r="I979" s="139"/>
      <c r="J979" s="139"/>
      <c r="K979" s="139"/>
      <c r="L979" s="139"/>
      <c r="M979" s="139"/>
      <c r="N979" s="139"/>
      <c r="O979" s="138"/>
    </row>
    <row r="980" spans="2:15" s="3" customFormat="1" x14ac:dyDescent="0.35">
      <c r="B980" s="798" t="s">
        <v>149</v>
      </c>
      <c r="C980" s="657">
        <v>0</v>
      </c>
      <c r="D980" s="657">
        <v>0</v>
      </c>
      <c r="E980" s="657">
        <v>0</v>
      </c>
      <c r="F980" s="657">
        <v>0</v>
      </c>
      <c r="G980" s="657">
        <v>0</v>
      </c>
      <c r="H980" s="657">
        <v>0</v>
      </c>
      <c r="I980" s="657">
        <v>0</v>
      </c>
      <c r="J980" s="657">
        <v>0</v>
      </c>
      <c r="K980" s="657">
        <v>0</v>
      </c>
      <c r="L980" s="657">
        <v>0</v>
      </c>
      <c r="M980" s="657">
        <v>0</v>
      </c>
      <c r="N980" s="657">
        <v>0</v>
      </c>
      <c r="O980" s="429">
        <v>0</v>
      </c>
    </row>
    <row r="981" spans="2:15" s="3" customFormat="1" x14ac:dyDescent="0.35">
      <c r="B981" s="798" t="s">
        <v>150</v>
      </c>
      <c r="C981" s="657">
        <v>0</v>
      </c>
      <c r="D981" s="657">
        <v>0</v>
      </c>
      <c r="E981" s="657">
        <v>0</v>
      </c>
      <c r="F981" s="657">
        <v>0</v>
      </c>
      <c r="G981" s="657">
        <v>0</v>
      </c>
      <c r="H981" s="657">
        <v>0</v>
      </c>
      <c r="I981" s="657">
        <v>0</v>
      </c>
      <c r="J981" s="657">
        <v>0</v>
      </c>
      <c r="K981" s="657">
        <v>0</v>
      </c>
      <c r="L981" s="657">
        <v>0</v>
      </c>
      <c r="M981" s="657">
        <v>0</v>
      </c>
      <c r="N981" s="657">
        <v>0</v>
      </c>
      <c r="O981" s="429">
        <v>0</v>
      </c>
    </row>
    <row r="982" spans="2:15" s="3" customFormat="1" x14ac:dyDescent="0.35">
      <c r="B982" s="798" t="s">
        <v>151</v>
      </c>
      <c r="C982" s="658">
        <v>0</v>
      </c>
      <c r="D982" s="658">
        <v>0</v>
      </c>
      <c r="E982" s="658">
        <v>0</v>
      </c>
      <c r="F982" s="658">
        <v>0</v>
      </c>
      <c r="G982" s="658">
        <v>0</v>
      </c>
      <c r="H982" s="658">
        <v>0</v>
      </c>
      <c r="I982" s="658">
        <v>0</v>
      </c>
      <c r="J982" s="658">
        <v>0</v>
      </c>
      <c r="K982" s="658">
        <v>0</v>
      </c>
      <c r="L982" s="658">
        <v>0</v>
      </c>
      <c r="M982" s="658">
        <v>0</v>
      </c>
      <c r="N982" s="658">
        <v>0</v>
      </c>
      <c r="O982" s="429">
        <v>0</v>
      </c>
    </row>
    <row r="983" spans="2:15" s="3" customFormat="1" x14ac:dyDescent="0.35">
      <c r="B983" s="263"/>
      <c r="C983" s="258"/>
      <c r="D983" s="264"/>
      <c r="E983" s="264"/>
      <c r="F983" s="264"/>
      <c r="G983" s="264"/>
      <c r="H983" s="264"/>
      <c r="I983" s="264"/>
      <c r="J983" s="264"/>
      <c r="K983" s="264"/>
      <c r="L983" s="264"/>
      <c r="M983" s="264"/>
      <c r="N983" s="264"/>
      <c r="O983" s="248"/>
    </row>
    <row r="984" spans="2:15" s="3" customFormat="1" x14ac:dyDescent="0.35">
      <c r="B984" s="432" t="s">
        <v>36</v>
      </c>
      <c r="C984" s="250">
        <v>2377.4240000000004</v>
      </c>
      <c r="D984" s="250">
        <v>2302.0390000000007</v>
      </c>
      <c r="E984" s="250">
        <v>1483.6929999999998</v>
      </c>
      <c r="F984" s="250">
        <v>378.45600000000002</v>
      </c>
      <c r="G984" s="250">
        <v>2126.1659999999997</v>
      </c>
      <c r="H984" s="250">
        <v>3107.9609999999998</v>
      </c>
      <c r="I984" s="250">
        <v>16019.016000000001</v>
      </c>
      <c r="J984" s="250">
        <v>1420.0539999999994</v>
      </c>
      <c r="K984" s="250">
        <v>2388.0420000000004</v>
      </c>
      <c r="L984" s="250">
        <v>4096.1480000000001</v>
      </c>
      <c r="M984" s="250">
        <v>2920.5179999999996</v>
      </c>
      <c r="N984" s="250">
        <v>4401.7700000000004</v>
      </c>
      <c r="O984" s="659">
        <v>43021.286999999997</v>
      </c>
    </row>
    <row r="985" spans="2:15" s="3" customFormat="1" x14ac:dyDescent="0.35">
      <c r="B985" s="265"/>
      <c r="C985" s="266"/>
      <c r="D985" s="133"/>
      <c r="E985" s="133"/>
      <c r="F985" s="133"/>
      <c r="G985" s="133"/>
      <c r="H985" s="133"/>
      <c r="I985" s="133"/>
      <c r="J985" s="133"/>
      <c r="K985" s="133"/>
      <c r="L985" s="133"/>
      <c r="M985" s="133"/>
      <c r="N985" s="133"/>
      <c r="O985" s="134"/>
    </row>
    <row r="986" spans="2:15" s="3" customFormat="1" x14ac:dyDescent="0.35">
      <c r="B986" s="1068" t="s">
        <v>379</v>
      </c>
      <c r="C986" s="1068"/>
      <c r="D986" s="1068"/>
      <c r="E986" s="1068"/>
      <c r="F986" s="1068"/>
      <c r="G986" s="1068"/>
      <c r="H986" s="1068"/>
      <c r="I986" s="1068"/>
      <c r="J986" s="1068"/>
      <c r="K986" s="555">
        <v>2025</v>
      </c>
      <c r="L986" s="173"/>
      <c r="M986" s="173"/>
      <c r="N986" s="173"/>
      <c r="O986" s="173"/>
    </row>
    <row r="987" spans="2:15" s="3" customFormat="1" x14ac:dyDescent="0.35">
      <c r="B987" s="125"/>
      <c r="C987" s="267" t="s">
        <v>11</v>
      </c>
      <c r="D987" s="241"/>
      <c r="E987" s="241"/>
      <c r="F987" s="241"/>
      <c r="G987" s="241"/>
      <c r="H987" s="241"/>
      <c r="I987" s="241"/>
      <c r="J987" s="241"/>
      <c r="K987" s="241"/>
      <c r="L987" s="241"/>
      <c r="M987" s="241"/>
      <c r="N987" s="241"/>
      <c r="O987" s="125"/>
    </row>
    <row r="988" spans="2:15" s="3" customFormat="1" ht="15" customHeight="1" x14ac:dyDescent="0.35">
      <c r="B988" s="1074" t="s">
        <v>13</v>
      </c>
      <c r="C988" s="1070" t="s">
        <v>0</v>
      </c>
      <c r="D988" s="1070" t="s">
        <v>1</v>
      </c>
      <c r="E988" s="1070" t="s">
        <v>2</v>
      </c>
      <c r="F988" s="1070" t="s">
        <v>3</v>
      </c>
      <c r="G988" s="1070" t="s">
        <v>4</v>
      </c>
      <c r="H988" s="1070" t="s">
        <v>5</v>
      </c>
      <c r="I988" s="1070" t="s">
        <v>6</v>
      </c>
      <c r="J988" s="1070" t="s">
        <v>7</v>
      </c>
      <c r="K988" s="1070" t="s">
        <v>8</v>
      </c>
      <c r="L988" s="1070" t="s">
        <v>9</v>
      </c>
      <c r="M988" s="1070" t="s">
        <v>10</v>
      </c>
      <c r="N988" s="1070" t="s">
        <v>14</v>
      </c>
      <c r="O988" s="1074" t="s">
        <v>15</v>
      </c>
    </row>
    <row r="989" spans="2:15" s="3" customFormat="1" ht="15" customHeight="1" x14ac:dyDescent="0.35">
      <c r="B989" s="1080"/>
      <c r="C989" s="1071"/>
      <c r="D989" s="1071"/>
      <c r="E989" s="1071"/>
      <c r="F989" s="1071"/>
      <c r="G989" s="1071"/>
      <c r="H989" s="1071"/>
      <c r="I989" s="1071"/>
      <c r="J989" s="1071"/>
      <c r="K989" s="1071"/>
      <c r="L989" s="1071"/>
      <c r="M989" s="1078"/>
      <c r="N989" s="1078"/>
      <c r="O989" s="1079"/>
    </row>
    <row r="990" spans="2:15" s="3" customFormat="1" x14ac:dyDescent="0.35">
      <c r="B990" s="447"/>
      <c r="C990" s="632">
        <v>0</v>
      </c>
      <c r="D990" s="632">
        <v>-4.6566128730773926E-10</v>
      </c>
      <c r="E990" s="632">
        <v>0</v>
      </c>
      <c r="F990" s="632">
        <v>0</v>
      </c>
      <c r="G990" s="632">
        <v>0</v>
      </c>
      <c r="H990" s="632">
        <v>0</v>
      </c>
      <c r="I990" s="632">
        <v>0</v>
      </c>
      <c r="J990" s="632">
        <v>0</v>
      </c>
      <c r="K990" s="632">
        <v>0</v>
      </c>
      <c r="L990" s="632">
        <v>0</v>
      </c>
      <c r="M990" s="632">
        <v>0</v>
      </c>
      <c r="N990" s="632">
        <v>0</v>
      </c>
      <c r="O990" s="144"/>
    </row>
    <row r="991" spans="2:15" s="3" customFormat="1" x14ac:dyDescent="0.35">
      <c r="B991" s="647" t="s">
        <v>47</v>
      </c>
      <c r="C991" s="244">
        <v>304400.91302200011</v>
      </c>
      <c r="D991" s="244">
        <v>273651.3351399987</v>
      </c>
      <c r="E991" s="244">
        <v>160027.19511999979</v>
      </c>
      <c r="F991" s="244">
        <v>400442.71216000052</v>
      </c>
      <c r="G991" s="244">
        <v>325377.11487000086</v>
      </c>
      <c r="H991" s="244">
        <v>233401.85830999987</v>
      </c>
      <c r="I991" s="244">
        <v>410240.91276000126</v>
      </c>
      <c r="J991" s="244">
        <v>330368.45600000193</v>
      </c>
      <c r="K991" s="244">
        <v>229136.33500000078</v>
      </c>
      <c r="L991" s="244">
        <v>292322.99071000016</v>
      </c>
      <c r="M991" s="244">
        <v>197571.22449999978</v>
      </c>
      <c r="N991" s="244">
        <v>270718.86920000031</v>
      </c>
      <c r="O991" s="268">
        <v>3427659.9167920044</v>
      </c>
    </row>
    <row r="992" spans="2:15" s="3" customFormat="1" x14ac:dyDescent="0.35">
      <c r="B992" s="269"/>
      <c r="C992" s="131"/>
      <c r="D992" s="662"/>
      <c r="E992" s="662"/>
      <c r="F992" s="662"/>
      <c r="G992" s="662"/>
      <c r="H992" s="662"/>
      <c r="I992" s="662"/>
      <c r="J992" s="662"/>
      <c r="K992" s="662"/>
      <c r="L992" s="662"/>
      <c r="M992" s="662"/>
      <c r="N992" s="662"/>
      <c r="O992" s="270"/>
    </row>
    <row r="993" spans="2:15" s="3" customFormat="1" x14ac:dyDescent="0.35">
      <c r="B993" s="650" t="s">
        <v>41</v>
      </c>
      <c r="C993" s="247">
        <v>1722.36</v>
      </c>
      <c r="D993" s="247">
        <v>1311.2752500000001</v>
      </c>
      <c r="E993" s="247">
        <v>2056.0619999999994</v>
      </c>
      <c r="F993" s="247">
        <v>1481.4687800000002</v>
      </c>
      <c r="G993" s="247">
        <v>1764.9480000000001</v>
      </c>
      <c r="H993" s="247">
        <v>1409.3090000000002</v>
      </c>
      <c r="I993" s="247">
        <v>2532.9199999999996</v>
      </c>
      <c r="J993" s="247">
        <v>1255.2700000000004</v>
      </c>
      <c r="K993" s="247">
        <v>2196.0379999999996</v>
      </c>
      <c r="L993" s="247">
        <v>1549.9370000000001</v>
      </c>
      <c r="M993" s="247">
        <v>1050.6529999999998</v>
      </c>
      <c r="N993" s="247">
        <v>2086.683</v>
      </c>
      <c r="O993" s="248">
        <v>20416.924029999998</v>
      </c>
    </row>
    <row r="994" spans="2:15" s="3" customFormat="1" x14ac:dyDescent="0.35">
      <c r="B994" s="650" t="s">
        <v>42</v>
      </c>
      <c r="C994" s="247">
        <v>301248.18102200015</v>
      </c>
      <c r="D994" s="247">
        <v>269349.14288999868</v>
      </c>
      <c r="E994" s="247">
        <v>156445.00911999977</v>
      </c>
      <c r="F994" s="247">
        <v>396709.13938000053</v>
      </c>
      <c r="G994" s="247">
        <v>321285.65287000086</v>
      </c>
      <c r="H994" s="247">
        <v>230073.11930999986</v>
      </c>
      <c r="I994" s="247">
        <v>405532.22876000125</v>
      </c>
      <c r="J994" s="247">
        <v>326372.6050000019</v>
      </c>
      <c r="K994" s="247">
        <v>224868.56500000079</v>
      </c>
      <c r="L994" s="247">
        <v>287464.43971000018</v>
      </c>
      <c r="M994" s="247">
        <v>193927.05549999978</v>
      </c>
      <c r="N994" s="247">
        <v>265136.84120000032</v>
      </c>
      <c r="O994" s="248">
        <v>3378411.9797620038</v>
      </c>
    </row>
    <row r="995" spans="2:15" s="3" customFormat="1" x14ac:dyDescent="0.35">
      <c r="B995" s="650" t="s">
        <v>43</v>
      </c>
      <c r="C995" s="247">
        <v>1430.3719999999996</v>
      </c>
      <c r="D995" s="247">
        <v>2990.9169999999986</v>
      </c>
      <c r="E995" s="247">
        <v>1526.1239999999991</v>
      </c>
      <c r="F995" s="247">
        <v>2252.1039999999989</v>
      </c>
      <c r="G995" s="247">
        <v>2326.5139999999992</v>
      </c>
      <c r="H995" s="247">
        <v>1919.4299999999992</v>
      </c>
      <c r="I995" s="247">
        <v>2175.7639999999983</v>
      </c>
      <c r="J995" s="247">
        <v>2740.5809999999979</v>
      </c>
      <c r="K995" s="247">
        <v>2071.7319999999995</v>
      </c>
      <c r="L995" s="247">
        <v>3308.6139999999991</v>
      </c>
      <c r="M995" s="247">
        <v>2593.5159999999983</v>
      </c>
      <c r="N995" s="247">
        <v>3495.344999999998</v>
      </c>
      <c r="O995" s="248">
        <v>28831.012999999984</v>
      </c>
    </row>
    <row r="996" spans="2:15" s="3" customFormat="1" x14ac:dyDescent="0.35">
      <c r="B996" s="113" t="s">
        <v>44</v>
      </c>
      <c r="C996" s="247">
        <v>1430.3719999999996</v>
      </c>
      <c r="D996" s="247">
        <v>2990.9169999999986</v>
      </c>
      <c r="E996" s="247">
        <v>1526.1239999999991</v>
      </c>
      <c r="F996" s="247">
        <v>2252.1039999999989</v>
      </c>
      <c r="G996" s="247">
        <v>2326.5139999999992</v>
      </c>
      <c r="H996" s="247">
        <v>1919.4299999999992</v>
      </c>
      <c r="I996" s="247">
        <v>2175.7639999999983</v>
      </c>
      <c r="J996" s="247">
        <v>2740.5809999999979</v>
      </c>
      <c r="K996" s="247">
        <v>2071.7319999999995</v>
      </c>
      <c r="L996" s="247">
        <v>3308.6139999999991</v>
      </c>
      <c r="M996" s="247">
        <v>2593.5159999999983</v>
      </c>
      <c r="N996" s="247">
        <v>3495.344999999998</v>
      </c>
      <c r="O996" s="248">
        <v>28831.012999999984</v>
      </c>
    </row>
    <row r="997" spans="2:15" s="3" customFormat="1" x14ac:dyDescent="0.35">
      <c r="B997" s="113" t="s">
        <v>45</v>
      </c>
      <c r="C997" s="247">
        <v>0</v>
      </c>
      <c r="D997" s="247">
        <v>0</v>
      </c>
      <c r="E997" s="247">
        <v>0</v>
      </c>
      <c r="F997" s="247">
        <v>0</v>
      </c>
      <c r="G997" s="247">
        <v>0</v>
      </c>
      <c r="H997" s="247">
        <v>0</v>
      </c>
      <c r="I997" s="247">
        <v>0</v>
      </c>
      <c r="J997" s="247">
        <v>0</v>
      </c>
      <c r="K997" s="247">
        <v>0</v>
      </c>
      <c r="L997" s="247">
        <v>0</v>
      </c>
      <c r="M997" s="247">
        <v>0</v>
      </c>
      <c r="N997" s="247">
        <v>0</v>
      </c>
      <c r="O997" s="248">
        <v>0</v>
      </c>
    </row>
    <row r="998" spans="2:15" s="3" customFormat="1" x14ac:dyDescent="0.35">
      <c r="B998" s="650"/>
      <c r="C998" s="632">
        <v>0</v>
      </c>
      <c r="D998" s="632">
        <v>0</v>
      </c>
      <c r="E998" s="632">
        <v>0</v>
      </c>
      <c r="F998" s="632">
        <v>0</v>
      </c>
      <c r="G998" s="632">
        <v>0</v>
      </c>
      <c r="H998" s="632">
        <v>0</v>
      </c>
      <c r="I998" s="632">
        <v>0</v>
      </c>
      <c r="J998" s="632">
        <v>0</v>
      </c>
      <c r="K998" s="632">
        <v>0</v>
      </c>
      <c r="L998" s="632">
        <v>0</v>
      </c>
      <c r="M998" s="632">
        <v>0</v>
      </c>
      <c r="N998" s="632">
        <v>0</v>
      </c>
      <c r="O998" s="270"/>
    </row>
    <row r="999" spans="2:15" s="3" customFormat="1" x14ac:dyDescent="0.35">
      <c r="B999" s="647" t="s">
        <v>56</v>
      </c>
      <c r="C999" s="244">
        <v>10136.486410000001</v>
      </c>
      <c r="D999" s="244">
        <v>13152.375</v>
      </c>
      <c r="E999" s="244">
        <v>16667.41699999999</v>
      </c>
      <c r="F999" s="244">
        <v>13662.660000000002</v>
      </c>
      <c r="G999" s="244">
        <v>14610.394999999997</v>
      </c>
      <c r="H999" s="244">
        <v>95463.373000000123</v>
      </c>
      <c r="I999" s="244">
        <v>12301.045999999995</v>
      </c>
      <c r="J999" s="244">
        <v>17000.585999999992</v>
      </c>
      <c r="K999" s="244">
        <v>61318.59199999999</v>
      </c>
      <c r="L999" s="244">
        <v>139953.77000000005</v>
      </c>
      <c r="M999" s="244">
        <v>15474.128999999995</v>
      </c>
      <c r="N999" s="244">
        <v>101306.76940000003</v>
      </c>
      <c r="O999" s="268">
        <v>511047.59881000023</v>
      </c>
    </row>
    <row r="1000" spans="2:15" s="3" customFormat="1" x14ac:dyDescent="0.35">
      <c r="B1000" s="650"/>
      <c r="C1000" s="131"/>
      <c r="D1000" s="662"/>
      <c r="E1000" s="662"/>
      <c r="F1000" s="662"/>
      <c r="G1000" s="662"/>
      <c r="H1000" s="662"/>
      <c r="I1000" s="29"/>
      <c r="J1000" s="29"/>
      <c r="K1000" s="29"/>
      <c r="L1000" s="29"/>
      <c r="M1000" s="29"/>
      <c r="N1000" s="29"/>
      <c r="O1000" s="270"/>
    </row>
    <row r="1001" spans="2:15" s="3" customFormat="1" x14ac:dyDescent="0.35">
      <c r="B1001" s="650" t="s">
        <v>41</v>
      </c>
      <c r="C1001" s="29">
        <v>0</v>
      </c>
      <c r="D1001" s="29">
        <v>0</v>
      </c>
      <c r="E1001" s="29">
        <v>0</v>
      </c>
      <c r="F1001" s="29">
        <v>0</v>
      </c>
      <c r="G1001" s="29">
        <v>0</v>
      </c>
      <c r="H1001" s="29">
        <v>0</v>
      </c>
      <c r="I1001" s="29">
        <v>0</v>
      </c>
      <c r="J1001" s="29">
        <v>0</v>
      </c>
      <c r="K1001" s="29">
        <v>0</v>
      </c>
      <c r="L1001" s="29">
        <v>0</v>
      </c>
      <c r="M1001" s="29">
        <v>0</v>
      </c>
      <c r="N1001" s="29">
        <v>0</v>
      </c>
      <c r="O1001" s="248">
        <v>0</v>
      </c>
    </row>
    <row r="1002" spans="2:15" s="3" customFormat="1" x14ac:dyDescent="0.35">
      <c r="B1002" s="650" t="s">
        <v>42</v>
      </c>
      <c r="C1002" s="29">
        <v>10136.486410000001</v>
      </c>
      <c r="D1002" s="29">
        <v>13152.375</v>
      </c>
      <c r="E1002" s="29">
        <v>16667.41699999999</v>
      </c>
      <c r="F1002" s="29">
        <v>13662.660000000002</v>
      </c>
      <c r="G1002" s="29">
        <v>14610.394999999997</v>
      </c>
      <c r="H1002" s="29">
        <v>95463.373000000123</v>
      </c>
      <c r="I1002" s="29">
        <v>12301.045999999995</v>
      </c>
      <c r="J1002" s="29">
        <v>17000.585999999992</v>
      </c>
      <c r="K1002" s="29">
        <v>61318.59199999999</v>
      </c>
      <c r="L1002" s="29">
        <v>139953.77000000005</v>
      </c>
      <c r="M1002" s="29">
        <v>15474.128999999995</v>
      </c>
      <c r="N1002" s="29">
        <v>101306.76940000003</v>
      </c>
      <c r="O1002" s="248">
        <v>511047.59881000023</v>
      </c>
    </row>
    <row r="1003" spans="2:15" s="3" customFormat="1" x14ac:dyDescent="0.35">
      <c r="B1003" s="650" t="s">
        <v>43</v>
      </c>
      <c r="C1003" s="247">
        <v>0</v>
      </c>
      <c r="D1003" s="247">
        <v>0</v>
      </c>
      <c r="E1003" s="247">
        <v>0</v>
      </c>
      <c r="F1003" s="247">
        <v>0</v>
      </c>
      <c r="G1003" s="247">
        <v>0</v>
      </c>
      <c r="H1003" s="247">
        <v>0</v>
      </c>
      <c r="I1003" s="247">
        <v>0</v>
      </c>
      <c r="J1003" s="247">
        <v>0</v>
      </c>
      <c r="K1003" s="247">
        <v>0</v>
      </c>
      <c r="L1003" s="247">
        <v>0</v>
      </c>
      <c r="M1003" s="247">
        <v>0</v>
      </c>
      <c r="N1003" s="247">
        <v>0</v>
      </c>
      <c r="O1003" s="248">
        <v>0</v>
      </c>
    </row>
    <row r="1004" spans="2:15" s="3" customFormat="1" x14ac:dyDescent="0.35">
      <c r="B1004" s="113" t="s">
        <v>44</v>
      </c>
      <c r="C1004" s="29">
        <v>0</v>
      </c>
      <c r="D1004" s="29">
        <v>0</v>
      </c>
      <c r="E1004" s="29">
        <v>0</v>
      </c>
      <c r="F1004" s="29">
        <v>0</v>
      </c>
      <c r="G1004" s="29">
        <v>0</v>
      </c>
      <c r="H1004" s="29">
        <v>0</v>
      </c>
      <c r="I1004" s="29">
        <v>0</v>
      </c>
      <c r="J1004" s="29">
        <v>0</v>
      </c>
      <c r="K1004" s="29">
        <v>0</v>
      </c>
      <c r="L1004" s="29">
        <v>0</v>
      </c>
      <c r="M1004" s="29">
        <v>0</v>
      </c>
      <c r="N1004" s="29">
        <v>0</v>
      </c>
      <c r="O1004" s="248">
        <v>0</v>
      </c>
    </row>
    <row r="1005" spans="2:15" s="3" customFormat="1" x14ac:dyDescent="0.35">
      <c r="B1005" s="113" t="s">
        <v>45</v>
      </c>
      <c r="C1005" s="29">
        <v>0</v>
      </c>
      <c r="D1005" s="29">
        <v>0</v>
      </c>
      <c r="E1005" s="29">
        <v>0</v>
      </c>
      <c r="F1005" s="29">
        <v>0</v>
      </c>
      <c r="G1005" s="29">
        <v>0</v>
      </c>
      <c r="H1005" s="29">
        <v>0</v>
      </c>
      <c r="I1005" s="29">
        <v>0</v>
      </c>
      <c r="J1005" s="29">
        <v>0</v>
      </c>
      <c r="K1005" s="29">
        <v>0</v>
      </c>
      <c r="L1005" s="29">
        <v>0</v>
      </c>
      <c r="M1005" s="29">
        <v>0</v>
      </c>
      <c r="N1005" s="29">
        <v>0</v>
      </c>
      <c r="O1005" s="248">
        <v>0</v>
      </c>
    </row>
    <row r="1006" spans="2:15" s="3" customFormat="1" x14ac:dyDescent="0.35">
      <c r="B1006" s="650"/>
      <c r="C1006" s="29"/>
      <c r="D1006" s="29"/>
      <c r="E1006" s="29"/>
      <c r="F1006" s="29"/>
      <c r="G1006" s="29"/>
      <c r="H1006" s="29"/>
      <c r="I1006" s="29"/>
      <c r="J1006" s="29"/>
      <c r="K1006" s="29"/>
      <c r="L1006" s="29"/>
      <c r="M1006" s="29"/>
      <c r="N1006" s="29"/>
      <c r="O1006" s="270"/>
    </row>
    <row r="1007" spans="2:15" s="3" customFormat="1" x14ac:dyDescent="0.35">
      <c r="B1007" s="433" t="s">
        <v>36</v>
      </c>
      <c r="C1007" s="271">
        <v>314537.39943200012</v>
      </c>
      <c r="D1007" s="271">
        <v>286803.7101399987</v>
      </c>
      <c r="E1007" s="271">
        <v>176694.61211999977</v>
      </c>
      <c r="F1007" s="271">
        <v>414105.37216000049</v>
      </c>
      <c r="G1007" s="271">
        <v>339987.50987000088</v>
      </c>
      <c r="H1007" s="271">
        <v>328865.23131</v>
      </c>
      <c r="I1007" s="271">
        <v>422541.95876000123</v>
      </c>
      <c r="J1007" s="271">
        <v>347369.04200000194</v>
      </c>
      <c r="K1007" s="271">
        <v>290454.92700000078</v>
      </c>
      <c r="L1007" s="271">
        <v>432276.76071000018</v>
      </c>
      <c r="M1007" s="271">
        <v>213045.35349999976</v>
      </c>
      <c r="N1007" s="271">
        <v>372025.63860000035</v>
      </c>
      <c r="O1007" s="141">
        <v>3938707.5156020033</v>
      </c>
    </row>
    <row r="1008" spans="2:15" s="3" customFormat="1" x14ac:dyDescent="0.35">
      <c r="B1008" s="269"/>
      <c r="C1008" s="244"/>
      <c r="D1008" s="244"/>
      <c r="E1008" s="244"/>
      <c r="F1008" s="244"/>
      <c r="G1008" s="244"/>
      <c r="H1008" s="244"/>
      <c r="I1008" s="244"/>
      <c r="J1008" s="244"/>
      <c r="K1008" s="244"/>
      <c r="L1008" s="244"/>
      <c r="M1008" s="244"/>
      <c r="N1008" s="244"/>
      <c r="O1008" s="248"/>
    </row>
    <row r="1009" spans="2:15" s="3" customFormat="1" x14ac:dyDescent="0.35">
      <c r="B1009" s="650" t="s">
        <v>41</v>
      </c>
      <c r="C1009" s="247">
        <v>1722.36</v>
      </c>
      <c r="D1009" s="247">
        <v>1311.2752500000001</v>
      </c>
      <c r="E1009" s="247">
        <v>2056.0619999999994</v>
      </c>
      <c r="F1009" s="247">
        <v>1481.4687800000002</v>
      </c>
      <c r="G1009" s="247">
        <v>1764.9480000000001</v>
      </c>
      <c r="H1009" s="247">
        <v>1409.3090000000002</v>
      </c>
      <c r="I1009" s="247">
        <v>2532.9199999999996</v>
      </c>
      <c r="J1009" s="247">
        <v>1255.2700000000004</v>
      </c>
      <c r="K1009" s="247">
        <v>2196.0379999999996</v>
      </c>
      <c r="L1009" s="247">
        <v>1549.9370000000001</v>
      </c>
      <c r="M1009" s="247">
        <v>1050.6529999999998</v>
      </c>
      <c r="N1009" s="247">
        <v>2086.683</v>
      </c>
      <c r="O1009" s="248">
        <v>20416.924029999998</v>
      </c>
    </row>
    <row r="1010" spans="2:15" s="3" customFormat="1" ht="15" customHeight="1" x14ac:dyDescent="0.35">
      <c r="B1010" s="650" t="s">
        <v>42</v>
      </c>
      <c r="C1010" s="247">
        <v>311384.66743200016</v>
      </c>
      <c r="D1010" s="247">
        <v>282501.51788999868</v>
      </c>
      <c r="E1010" s="247">
        <v>173112.42611999976</v>
      </c>
      <c r="F1010" s="247">
        <v>410371.79938000051</v>
      </c>
      <c r="G1010" s="247">
        <v>335896.04787000088</v>
      </c>
      <c r="H1010" s="247">
        <v>325536.49231</v>
      </c>
      <c r="I1010" s="247">
        <v>417833.27476000122</v>
      </c>
      <c r="J1010" s="247">
        <v>343373.19100000191</v>
      </c>
      <c r="K1010" s="247">
        <v>286187.15700000076</v>
      </c>
      <c r="L1010" s="247">
        <v>427418.2097100002</v>
      </c>
      <c r="M1010" s="247">
        <v>209401.18449999977</v>
      </c>
      <c r="N1010" s="247">
        <v>366443.61060000036</v>
      </c>
      <c r="O1010" s="248">
        <v>3889459.5785720041</v>
      </c>
    </row>
    <row r="1011" spans="2:15" s="3" customFormat="1" ht="15" customHeight="1" x14ac:dyDescent="0.35">
      <c r="B1011" s="650" t="s">
        <v>43</v>
      </c>
      <c r="C1011" s="247">
        <v>1430.3719999999996</v>
      </c>
      <c r="D1011" s="247">
        <v>2990.9169999999986</v>
      </c>
      <c r="E1011" s="247">
        <v>1526.1239999999991</v>
      </c>
      <c r="F1011" s="247">
        <v>2252.1039999999989</v>
      </c>
      <c r="G1011" s="247">
        <v>2326.5139999999992</v>
      </c>
      <c r="H1011" s="247">
        <v>1919.4299999999992</v>
      </c>
      <c r="I1011" s="247">
        <v>2175.7639999999983</v>
      </c>
      <c r="J1011" s="247">
        <v>2740.5809999999979</v>
      </c>
      <c r="K1011" s="247">
        <v>2071.7319999999995</v>
      </c>
      <c r="L1011" s="247">
        <v>3308.6139999999991</v>
      </c>
      <c r="M1011" s="247">
        <v>2593.5159999999983</v>
      </c>
      <c r="N1011" s="247">
        <v>3495.344999999998</v>
      </c>
      <c r="O1011" s="248">
        <v>28831.012999999984</v>
      </c>
    </row>
    <row r="1012" spans="2:15" s="3" customFormat="1" x14ac:dyDescent="0.35">
      <c r="B1012" s="113" t="s">
        <v>44</v>
      </c>
      <c r="C1012" s="247">
        <v>1430.3719999999996</v>
      </c>
      <c r="D1012" s="29">
        <v>2990.9169999999986</v>
      </c>
      <c r="E1012" s="29">
        <v>1526.1239999999991</v>
      </c>
      <c r="F1012" s="29">
        <v>2252.1039999999989</v>
      </c>
      <c r="G1012" s="29">
        <v>2326.5139999999992</v>
      </c>
      <c r="H1012" s="29">
        <v>1919.4299999999992</v>
      </c>
      <c r="I1012" s="29">
        <v>2175.7639999999983</v>
      </c>
      <c r="J1012" s="29">
        <v>2740.5809999999979</v>
      </c>
      <c r="K1012" s="29">
        <v>2071.7319999999995</v>
      </c>
      <c r="L1012" s="29">
        <v>3308.6139999999991</v>
      </c>
      <c r="M1012" s="29">
        <v>2593.5159999999983</v>
      </c>
      <c r="N1012" s="29">
        <v>3495.344999999998</v>
      </c>
      <c r="O1012" s="248">
        <v>28831.012999999984</v>
      </c>
    </row>
    <row r="1013" spans="2:15" s="3" customFormat="1" x14ac:dyDescent="0.35">
      <c r="B1013" s="113" t="s">
        <v>45</v>
      </c>
      <c r="C1013" s="247">
        <v>0</v>
      </c>
      <c r="D1013" s="29">
        <v>0</v>
      </c>
      <c r="E1013" s="29">
        <v>0</v>
      </c>
      <c r="F1013" s="29">
        <v>0</v>
      </c>
      <c r="G1013" s="29">
        <v>0</v>
      </c>
      <c r="H1013" s="29">
        <v>0</v>
      </c>
      <c r="I1013" s="29">
        <v>0</v>
      </c>
      <c r="J1013" s="29">
        <v>0</v>
      </c>
      <c r="K1013" s="29">
        <v>0</v>
      </c>
      <c r="L1013" s="29">
        <v>0</v>
      </c>
      <c r="M1013" s="29">
        <v>0</v>
      </c>
      <c r="N1013" s="29">
        <v>0</v>
      </c>
      <c r="O1013" s="248">
        <v>0</v>
      </c>
    </row>
    <row r="1014" spans="2:15" s="3" customFormat="1" x14ac:dyDescent="0.35">
      <c r="B1014" s="115"/>
      <c r="C1014" s="116"/>
      <c r="D1014" s="116"/>
      <c r="E1014" s="116"/>
      <c r="F1014" s="116"/>
      <c r="G1014" s="116"/>
      <c r="H1014" s="116"/>
      <c r="I1014" s="116"/>
      <c r="J1014" s="116"/>
      <c r="K1014" s="116"/>
      <c r="L1014" s="116"/>
      <c r="M1014" s="116"/>
      <c r="N1014" s="116"/>
      <c r="O1014" s="272"/>
    </row>
    <row r="1015" spans="2:15" s="3" customFormat="1" x14ac:dyDescent="0.35">
      <c r="B1015" s="117"/>
      <c r="C1015" s="118"/>
      <c r="D1015" s="118"/>
      <c r="E1015" s="118"/>
      <c r="F1015" s="118"/>
      <c r="G1015" s="118"/>
      <c r="H1015" s="118"/>
      <c r="I1015" s="118"/>
      <c r="J1015" s="118"/>
      <c r="K1015" s="118"/>
      <c r="L1015" s="118"/>
      <c r="M1015" s="118"/>
      <c r="N1015" s="118"/>
      <c r="O1015" s="273"/>
    </row>
    <row r="1016" spans="2:15" s="3" customFormat="1" x14ac:dyDescent="0.35">
      <c r="B1016" s="1075" t="s">
        <v>166</v>
      </c>
      <c r="C1016" s="1075"/>
      <c r="D1016" s="1075"/>
      <c r="E1016" s="1075"/>
      <c r="F1016" s="1075"/>
      <c r="G1016" s="1075"/>
      <c r="H1016" s="1075"/>
      <c r="I1016" s="1075"/>
      <c r="J1016" s="1075"/>
      <c r="K1016" s="1075"/>
      <c r="L1016" s="1075"/>
      <c r="M1016" s="1075"/>
      <c r="N1016" s="1075"/>
      <c r="O1016" s="1075"/>
    </row>
    <row r="1017" spans="2:15" s="3" customFormat="1" x14ac:dyDescent="0.35">
      <c r="B1017" s="125"/>
      <c r="C1017" s="106"/>
      <c r="D1017" s="554"/>
      <c r="E1017" s="554"/>
      <c r="F1017" s="554"/>
      <c r="G1017" s="554"/>
      <c r="H1017" s="554"/>
      <c r="I1017" s="554"/>
      <c r="J1017" s="554"/>
      <c r="K1017" s="554"/>
      <c r="L1017" s="554"/>
      <c r="M1017" s="554"/>
      <c r="N1017" s="554"/>
      <c r="O1017" s="8"/>
    </row>
    <row r="1018" spans="2:15" s="3" customFormat="1" x14ac:dyDescent="0.35">
      <c r="B1018" s="1068" t="s">
        <v>380</v>
      </c>
      <c r="C1018" s="1068"/>
      <c r="D1018" s="1068"/>
      <c r="E1018" s="1068"/>
      <c r="F1018" s="1068"/>
      <c r="G1018" s="1068"/>
      <c r="H1018" s="1068"/>
      <c r="I1018" s="1068"/>
      <c r="J1018" s="1068"/>
      <c r="K1018" s="1068"/>
      <c r="L1018" s="555">
        <v>2025</v>
      </c>
      <c r="M1018" s="173"/>
      <c r="N1018" s="173"/>
      <c r="O1018" s="173"/>
    </row>
    <row r="1019" spans="2:15" s="3" customFormat="1" x14ac:dyDescent="0.35">
      <c r="B1019" s="553"/>
      <c r="C1019" s="274"/>
      <c r="D1019" s="664"/>
      <c r="E1019" s="664"/>
      <c r="F1019" s="664"/>
      <c r="G1019" s="664"/>
      <c r="H1019" s="664"/>
      <c r="I1019" s="664"/>
      <c r="J1019" s="664"/>
      <c r="K1019" s="664"/>
      <c r="L1019" s="664"/>
      <c r="M1019" s="664"/>
      <c r="N1019" s="665"/>
      <c r="O1019" s="8"/>
    </row>
    <row r="1020" spans="2:15" s="3" customFormat="1" ht="15" customHeight="1" x14ac:dyDescent="0.35">
      <c r="B1020" s="1074" t="s">
        <v>13</v>
      </c>
      <c r="C1020" s="1070" t="s">
        <v>0</v>
      </c>
      <c r="D1020" s="1070" t="s">
        <v>1</v>
      </c>
      <c r="E1020" s="1070" t="s">
        <v>2</v>
      </c>
      <c r="F1020" s="1070" t="s">
        <v>3</v>
      </c>
      <c r="G1020" s="1070" t="s">
        <v>4</v>
      </c>
      <c r="H1020" s="1070" t="s">
        <v>5</v>
      </c>
      <c r="I1020" s="1070" t="s">
        <v>6</v>
      </c>
      <c r="J1020" s="1070" t="s">
        <v>7</v>
      </c>
      <c r="K1020" s="1070" t="s">
        <v>8</v>
      </c>
      <c r="L1020" s="1070" t="s">
        <v>9</v>
      </c>
      <c r="M1020" s="1070" t="s">
        <v>10</v>
      </c>
      <c r="N1020" s="1070" t="s">
        <v>14</v>
      </c>
      <c r="O1020" s="1074" t="s">
        <v>15</v>
      </c>
    </row>
    <row r="1021" spans="2:15" s="3" customFormat="1" ht="15" customHeight="1" x14ac:dyDescent="0.35">
      <c r="B1021" s="1080"/>
      <c r="C1021" s="1071"/>
      <c r="D1021" s="1071"/>
      <c r="E1021" s="1071"/>
      <c r="F1021" s="1071"/>
      <c r="G1021" s="1071"/>
      <c r="H1021" s="1071"/>
      <c r="I1021" s="1071"/>
      <c r="J1021" s="1071"/>
      <c r="K1021" s="1071"/>
      <c r="L1021" s="1071"/>
      <c r="M1021" s="1071"/>
      <c r="N1021" s="1071"/>
      <c r="O1021" s="1080"/>
    </row>
    <row r="1022" spans="2:15" s="3" customFormat="1" x14ac:dyDescent="0.35">
      <c r="B1022" s="447"/>
      <c r="C1022" s="632">
        <v>-2.6542693376541138E-8</v>
      </c>
      <c r="D1022" s="632">
        <v>7.4505805969238281E-9</v>
      </c>
      <c r="E1022" s="632">
        <v>8.8475644588470459E-9</v>
      </c>
      <c r="F1022" s="632">
        <v>-1.3038516044616699E-8</v>
      </c>
      <c r="G1022" s="632">
        <v>-2.1886080503463745E-8</v>
      </c>
      <c r="H1022" s="632">
        <v>-3.9115548133850098E-8</v>
      </c>
      <c r="I1022" s="632">
        <v>-2.2351741790771484E-8</v>
      </c>
      <c r="J1022" s="632">
        <v>3.119930624961853E-8</v>
      </c>
      <c r="K1022" s="632">
        <v>1.862645149230957E-8</v>
      </c>
      <c r="L1022" s="632">
        <v>-8.8941305875778198E-8</v>
      </c>
      <c r="M1022" s="632">
        <v>-3.4458935260772705E-8</v>
      </c>
      <c r="N1022" s="632">
        <v>1.3504177331924438E-8</v>
      </c>
      <c r="O1022" s="144"/>
    </row>
    <row r="1023" spans="2:15" s="3" customFormat="1" x14ac:dyDescent="0.35">
      <c r="B1023" s="647" t="s">
        <v>47</v>
      </c>
      <c r="C1023" s="162">
        <v>2536817.6175349951</v>
      </c>
      <c r="D1023" s="162">
        <v>2648209.2272410006</v>
      </c>
      <c r="E1023" s="162">
        <v>2571540.6556430017</v>
      </c>
      <c r="F1023" s="162">
        <v>2636077.4785830108</v>
      </c>
      <c r="G1023" s="162">
        <v>2876729.3862020075</v>
      </c>
      <c r="H1023" s="162">
        <v>2332144.1678909971</v>
      </c>
      <c r="I1023" s="162">
        <v>3021281.5425100029</v>
      </c>
      <c r="J1023" s="162">
        <v>2974422.2105200137</v>
      </c>
      <c r="K1023" s="162">
        <v>2611323.3181700162</v>
      </c>
      <c r="L1023" s="162">
        <v>2618723.7277909932</v>
      </c>
      <c r="M1023" s="162">
        <v>2611739.9676800063</v>
      </c>
      <c r="N1023" s="162">
        <v>2888003.1066270145</v>
      </c>
      <c r="O1023" s="163">
        <v>32327012.406393055</v>
      </c>
    </row>
    <row r="1024" spans="2:15" s="3" customFormat="1" x14ac:dyDescent="0.35">
      <c r="B1024" s="647"/>
      <c r="C1024" s="162"/>
      <c r="D1024" s="162"/>
      <c r="E1024" s="162"/>
      <c r="F1024" s="162"/>
      <c r="G1024" s="162"/>
      <c r="H1024" s="162"/>
      <c r="I1024" s="162"/>
      <c r="J1024" s="162"/>
      <c r="K1024" s="162"/>
      <c r="L1024" s="162"/>
      <c r="M1024" s="162"/>
      <c r="N1024" s="162"/>
      <c r="O1024" s="163"/>
    </row>
    <row r="1025" spans="2:15" s="3" customFormat="1" x14ac:dyDescent="0.35">
      <c r="B1025" s="666" t="s">
        <v>167</v>
      </c>
      <c r="C1025" s="275">
        <v>1807531.7553129948</v>
      </c>
      <c r="D1025" s="275">
        <v>1897287.1145510029</v>
      </c>
      <c r="E1025" s="275">
        <v>2020791.2475730015</v>
      </c>
      <c r="F1025" s="275">
        <v>1903777.1194230104</v>
      </c>
      <c r="G1025" s="275">
        <v>2076856.9379720087</v>
      </c>
      <c r="H1025" s="275">
        <v>1784928.7499609971</v>
      </c>
      <c r="I1025" s="275">
        <v>2248815.7644300018</v>
      </c>
      <c r="J1025" s="275">
        <v>2282478.140520012</v>
      </c>
      <c r="K1025" s="275">
        <v>2118994.7958300156</v>
      </c>
      <c r="L1025" s="275">
        <v>2086497.299080993</v>
      </c>
      <c r="M1025" s="275">
        <v>2103284.8351800074</v>
      </c>
      <c r="N1025" s="275">
        <v>2207448.8964270148</v>
      </c>
      <c r="O1025" s="276">
        <v>24538692.656261064</v>
      </c>
    </row>
    <row r="1026" spans="2:15" s="3" customFormat="1" x14ac:dyDescent="0.35">
      <c r="B1026" s="666"/>
      <c r="C1026" s="275"/>
      <c r="D1026" s="275"/>
      <c r="E1026" s="275"/>
      <c r="F1026" s="275"/>
      <c r="G1026" s="275"/>
      <c r="H1026" s="275"/>
      <c r="I1026" s="275"/>
      <c r="J1026" s="275"/>
      <c r="K1026" s="275"/>
      <c r="L1026" s="275"/>
      <c r="M1026" s="275"/>
      <c r="N1026" s="275"/>
      <c r="O1026" s="276"/>
    </row>
    <row r="1027" spans="2:15" s="3" customFormat="1" x14ac:dyDescent="0.35">
      <c r="B1027" s="653" t="s">
        <v>168</v>
      </c>
      <c r="C1027" s="167">
        <v>725257.18232299993</v>
      </c>
      <c r="D1027" s="167">
        <v>459547.56499999977</v>
      </c>
      <c r="E1027" s="167">
        <v>602386.40219999931</v>
      </c>
      <c r="F1027" s="167">
        <v>543619.75022599951</v>
      </c>
      <c r="G1027" s="167">
        <v>628630.48870000208</v>
      </c>
      <c r="H1027" s="167">
        <v>508945.25100000011</v>
      </c>
      <c r="I1027" s="167">
        <v>737710.33700000076</v>
      </c>
      <c r="J1027" s="167">
        <v>640331.40699999989</v>
      </c>
      <c r="K1027" s="167">
        <v>672606.91400000022</v>
      </c>
      <c r="L1027" s="167">
        <v>498804.49884499982</v>
      </c>
      <c r="M1027" s="167">
        <v>609940.51099999959</v>
      </c>
      <c r="N1027" s="167">
        <v>759094.18157799845</v>
      </c>
      <c r="O1027" s="277">
        <v>7386874.4888719991</v>
      </c>
    </row>
    <row r="1028" spans="2:15" s="3" customFormat="1" x14ac:dyDescent="0.35">
      <c r="B1028" s="653" t="s">
        <v>169</v>
      </c>
      <c r="C1028" s="167">
        <v>1007053.815679995</v>
      </c>
      <c r="D1028" s="167">
        <v>1369918.4995510031</v>
      </c>
      <c r="E1028" s="167">
        <v>1345638.7475630024</v>
      </c>
      <c r="F1028" s="167">
        <v>1282145.8141970106</v>
      </c>
      <c r="G1028" s="167">
        <v>1356821.0803920068</v>
      </c>
      <c r="H1028" s="167">
        <v>1198241.683460997</v>
      </c>
      <c r="I1028" s="167">
        <v>1449759.6579300012</v>
      </c>
      <c r="J1028" s="167">
        <v>1566696.4875200118</v>
      </c>
      <c r="K1028" s="167">
        <v>1374922.5988300156</v>
      </c>
      <c r="L1028" s="167">
        <v>1506847.473735993</v>
      </c>
      <c r="M1028" s="167">
        <v>1418219.0821800078</v>
      </c>
      <c r="N1028" s="167">
        <v>1373091.9633490164</v>
      </c>
      <c r="O1028" s="277">
        <v>16249356.904389063</v>
      </c>
    </row>
    <row r="1029" spans="2:15" s="3" customFormat="1" x14ac:dyDescent="0.35">
      <c r="B1029" s="653" t="s">
        <v>170</v>
      </c>
      <c r="C1029" s="167">
        <v>75220.757310000059</v>
      </c>
      <c r="D1029" s="167">
        <v>67821.050000000017</v>
      </c>
      <c r="E1029" s="167">
        <v>72766.09780999989</v>
      </c>
      <c r="F1029" s="167">
        <v>78011.55500000008</v>
      </c>
      <c r="G1029" s="167">
        <v>91405.368880000024</v>
      </c>
      <c r="H1029" s="167">
        <v>77741.815500000026</v>
      </c>
      <c r="I1029" s="167">
        <v>61345.769499999835</v>
      </c>
      <c r="J1029" s="167">
        <v>75450.246000000145</v>
      </c>
      <c r="K1029" s="167">
        <v>71465.282999999908</v>
      </c>
      <c r="L1029" s="167">
        <v>80845.326500000214</v>
      </c>
      <c r="M1029" s="167">
        <v>75125.242000000246</v>
      </c>
      <c r="N1029" s="167">
        <v>75262.751500000362</v>
      </c>
      <c r="O1029" s="277">
        <v>902461.26300000085</v>
      </c>
    </row>
    <row r="1030" spans="2:15" s="3" customFormat="1" x14ac:dyDescent="0.35">
      <c r="B1030" s="666"/>
      <c r="C1030" s="275"/>
      <c r="D1030" s="275"/>
      <c r="E1030" s="275"/>
      <c r="F1030" s="275"/>
      <c r="G1030" s="275"/>
      <c r="H1030" s="275"/>
      <c r="I1030" s="275"/>
      <c r="J1030" s="275"/>
      <c r="K1030" s="275"/>
      <c r="L1030" s="275"/>
      <c r="M1030" s="275"/>
      <c r="N1030" s="275"/>
      <c r="O1030" s="270"/>
    </row>
    <row r="1031" spans="2:15" s="3" customFormat="1" x14ac:dyDescent="0.35">
      <c r="B1031" s="666" t="s">
        <v>171</v>
      </c>
      <c r="C1031" s="275">
        <v>424884.94919999986</v>
      </c>
      <c r="D1031" s="275">
        <v>477270.77754999901</v>
      </c>
      <c r="E1031" s="275">
        <v>390722.21295000013</v>
      </c>
      <c r="F1031" s="275">
        <v>331857.64700000006</v>
      </c>
      <c r="G1031" s="275">
        <v>474495.33335999824</v>
      </c>
      <c r="H1031" s="275">
        <v>313813.55962000013</v>
      </c>
      <c r="I1031" s="275">
        <v>362224.86531999987</v>
      </c>
      <c r="J1031" s="275">
        <v>361575.61399999942</v>
      </c>
      <c r="K1031" s="275">
        <v>263192.18733999971</v>
      </c>
      <c r="L1031" s="275">
        <v>239903.43799999999</v>
      </c>
      <c r="M1031" s="275">
        <v>310883.90799999959</v>
      </c>
      <c r="N1031" s="275">
        <v>409835.34099999949</v>
      </c>
      <c r="O1031" s="276">
        <v>4360659.8333399957</v>
      </c>
    </row>
    <row r="1032" spans="2:15" s="3" customFormat="1" x14ac:dyDescent="0.35">
      <c r="B1032" s="666"/>
      <c r="C1032" s="139"/>
      <c r="D1032" s="275"/>
      <c r="E1032" s="275"/>
      <c r="F1032" s="275"/>
      <c r="G1032" s="275"/>
      <c r="H1032" s="275"/>
      <c r="I1032" s="275"/>
      <c r="J1032" s="275"/>
      <c r="K1032" s="275"/>
      <c r="L1032" s="275"/>
      <c r="M1032" s="275"/>
      <c r="N1032" s="275"/>
      <c r="O1032" s="276"/>
    </row>
    <row r="1033" spans="2:15" s="3" customFormat="1" x14ac:dyDescent="0.35">
      <c r="B1033" s="666" t="s">
        <v>172</v>
      </c>
      <c r="C1033" s="275">
        <v>304400.91302200011</v>
      </c>
      <c r="D1033" s="275">
        <v>273651.3351399987</v>
      </c>
      <c r="E1033" s="275">
        <v>160027.19511999979</v>
      </c>
      <c r="F1033" s="275">
        <v>400442.71216000052</v>
      </c>
      <c r="G1033" s="275">
        <v>325377.11487000086</v>
      </c>
      <c r="H1033" s="275">
        <v>233401.85830999987</v>
      </c>
      <c r="I1033" s="275">
        <v>410240.91276000126</v>
      </c>
      <c r="J1033" s="275">
        <v>330368.45600000193</v>
      </c>
      <c r="K1033" s="275">
        <v>229136.33500000078</v>
      </c>
      <c r="L1033" s="275">
        <v>292322.99071000016</v>
      </c>
      <c r="M1033" s="275">
        <v>197571.22449999978</v>
      </c>
      <c r="N1033" s="275">
        <v>270718.86920000031</v>
      </c>
      <c r="O1033" s="276">
        <v>3427659.9167920044</v>
      </c>
    </row>
    <row r="1034" spans="2:15" s="3" customFormat="1" x14ac:dyDescent="0.35">
      <c r="B1034" s="666"/>
      <c r="C1034" s="275"/>
      <c r="D1034" s="275"/>
      <c r="E1034" s="275"/>
      <c r="F1034" s="275"/>
      <c r="G1034" s="275"/>
      <c r="H1034" s="275"/>
      <c r="I1034" s="275"/>
      <c r="J1034" s="275"/>
      <c r="K1034" s="275"/>
      <c r="L1034" s="275"/>
      <c r="M1034" s="275"/>
      <c r="N1034" s="275"/>
      <c r="O1034" s="276"/>
    </row>
    <row r="1035" spans="2:15" s="3" customFormat="1" x14ac:dyDescent="0.35">
      <c r="B1035" s="653" t="s">
        <v>168</v>
      </c>
      <c r="C1035" s="278">
        <v>1722.36</v>
      </c>
      <c r="D1035" s="167">
        <v>1311.2752500000001</v>
      </c>
      <c r="E1035" s="167">
        <v>2056.0619999999994</v>
      </c>
      <c r="F1035" s="167">
        <v>1481.4687800000002</v>
      </c>
      <c r="G1035" s="167">
        <v>1764.9480000000001</v>
      </c>
      <c r="H1035" s="167">
        <v>1409.3090000000002</v>
      </c>
      <c r="I1035" s="167">
        <v>2532.9199999999996</v>
      </c>
      <c r="J1035" s="167">
        <v>1255.2700000000004</v>
      </c>
      <c r="K1035" s="167">
        <v>2196.0379999999996</v>
      </c>
      <c r="L1035" s="167">
        <v>1549.9370000000001</v>
      </c>
      <c r="M1035" s="167">
        <v>1050.6529999999998</v>
      </c>
      <c r="N1035" s="167">
        <v>2086.683</v>
      </c>
      <c r="O1035" s="277">
        <v>20416.924029999998</v>
      </c>
    </row>
    <row r="1036" spans="2:15" s="3" customFormat="1" x14ac:dyDescent="0.35">
      <c r="B1036" s="653" t="s">
        <v>169</v>
      </c>
      <c r="C1036" s="278">
        <v>301248.18102200015</v>
      </c>
      <c r="D1036" s="167">
        <v>269349.14288999868</v>
      </c>
      <c r="E1036" s="167">
        <v>156445.00911999977</v>
      </c>
      <c r="F1036" s="167">
        <v>396709.13938000053</v>
      </c>
      <c r="G1036" s="167">
        <v>321285.65287000086</v>
      </c>
      <c r="H1036" s="167">
        <v>230073.11930999986</v>
      </c>
      <c r="I1036" s="167">
        <v>405532.22876000125</v>
      </c>
      <c r="J1036" s="167">
        <v>326372.6050000019</v>
      </c>
      <c r="K1036" s="167">
        <v>224868.56500000079</v>
      </c>
      <c r="L1036" s="167">
        <v>287464.43971000018</v>
      </c>
      <c r="M1036" s="167">
        <v>193927.05549999978</v>
      </c>
      <c r="N1036" s="167">
        <v>265136.84120000032</v>
      </c>
      <c r="O1036" s="277">
        <v>3378411.9797620038</v>
      </c>
    </row>
    <row r="1037" spans="2:15" s="3" customFormat="1" x14ac:dyDescent="0.35">
      <c r="B1037" s="653" t="s">
        <v>170</v>
      </c>
      <c r="C1037" s="278">
        <v>1430.3719999999996</v>
      </c>
      <c r="D1037" s="167">
        <v>2990.9169999999986</v>
      </c>
      <c r="E1037" s="167">
        <v>1526.1239999999991</v>
      </c>
      <c r="F1037" s="167">
        <v>2252.1039999999989</v>
      </c>
      <c r="G1037" s="167">
        <v>2326.5139999999992</v>
      </c>
      <c r="H1037" s="167">
        <v>1919.4299999999992</v>
      </c>
      <c r="I1037" s="167">
        <v>2175.7639999999983</v>
      </c>
      <c r="J1037" s="167">
        <v>2740.5809999999979</v>
      </c>
      <c r="K1037" s="167">
        <v>2071.7319999999995</v>
      </c>
      <c r="L1037" s="167">
        <v>3308.6139999999991</v>
      </c>
      <c r="M1037" s="167">
        <v>2593.5159999999983</v>
      </c>
      <c r="N1037" s="167">
        <v>3495.344999999998</v>
      </c>
      <c r="O1037" s="277">
        <v>28831.012999999984</v>
      </c>
    </row>
    <row r="1038" spans="2:15" s="3" customFormat="1" x14ac:dyDescent="0.35">
      <c r="B1038" s="269"/>
      <c r="C1038" s="169"/>
      <c r="D1038" s="667"/>
      <c r="E1038" s="667"/>
      <c r="F1038" s="667"/>
      <c r="G1038" s="667"/>
      <c r="H1038" s="667"/>
      <c r="I1038" s="667"/>
      <c r="J1038" s="667"/>
      <c r="K1038" s="667"/>
      <c r="L1038" s="667"/>
      <c r="M1038" s="667"/>
      <c r="N1038" s="667"/>
      <c r="O1038" s="270"/>
    </row>
    <row r="1039" spans="2:15" s="3" customFormat="1" x14ac:dyDescent="0.35">
      <c r="B1039" s="666" t="s">
        <v>173</v>
      </c>
      <c r="C1039" s="275">
        <v>302023.48902200023</v>
      </c>
      <c r="D1039" s="275">
        <v>271349.29613999918</v>
      </c>
      <c r="E1039" s="275">
        <v>158543.50211999976</v>
      </c>
      <c r="F1039" s="275">
        <v>400064.25616000051</v>
      </c>
      <c r="G1039" s="275">
        <v>323250.94887000084</v>
      </c>
      <c r="H1039" s="275">
        <v>230293.89730999985</v>
      </c>
      <c r="I1039" s="275">
        <v>394221.89676000125</v>
      </c>
      <c r="J1039" s="275">
        <v>328948.40200000186</v>
      </c>
      <c r="K1039" s="275">
        <v>226748.29300000076</v>
      </c>
      <c r="L1039" s="275">
        <v>288226.84271000023</v>
      </c>
      <c r="M1039" s="275">
        <v>194650.70649999971</v>
      </c>
      <c r="N1039" s="275">
        <v>266317.09920000017</v>
      </c>
      <c r="O1039" s="276">
        <v>3384638.6297920044</v>
      </c>
    </row>
    <row r="1040" spans="2:15" s="3" customFormat="1" x14ac:dyDescent="0.35">
      <c r="B1040" s="653" t="s">
        <v>62</v>
      </c>
      <c r="C1040" s="278">
        <v>204792.99630200004</v>
      </c>
      <c r="D1040" s="167">
        <v>198919.75913999934</v>
      </c>
      <c r="E1040" s="167">
        <v>102852.09111999968</v>
      </c>
      <c r="F1040" s="167">
        <v>305181.16816000047</v>
      </c>
      <c r="G1040" s="167">
        <v>221559.0296200006</v>
      </c>
      <c r="H1040" s="167">
        <v>180486.49799999976</v>
      </c>
      <c r="I1040" s="167">
        <v>275939.70926000149</v>
      </c>
      <c r="J1040" s="167">
        <v>229038.75300000195</v>
      </c>
      <c r="K1040" s="167">
        <v>134051.95900000099</v>
      </c>
      <c r="L1040" s="167">
        <v>156907.52271000046</v>
      </c>
      <c r="M1040" s="167">
        <v>100871.88049999937</v>
      </c>
      <c r="N1040" s="167">
        <v>176335.61420000042</v>
      </c>
      <c r="O1040" s="277">
        <v>2286936.9810120044</v>
      </c>
    </row>
    <row r="1041" spans="2:22" s="3" customFormat="1" x14ac:dyDescent="0.35">
      <c r="B1041" s="653" t="s">
        <v>63</v>
      </c>
      <c r="C1041" s="278">
        <v>97186.933720000161</v>
      </c>
      <c r="D1041" s="167">
        <v>72429.536999999851</v>
      </c>
      <c r="E1041" s="167">
        <v>55691.411000000073</v>
      </c>
      <c r="F1041" s="167">
        <v>94879.528000000078</v>
      </c>
      <c r="G1041" s="167">
        <v>101691.91925000022</v>
      </c>
      <c r="H1041" s="167">
        <v>49799.779310000093</v>
      </c>
      <c r="I1041" s="167">
        <v>118282.18749999977</v>
      </c>
      <c r="J1041" s="167">
        <v>99886.648999999903</v>
      </c>
      <c r="K1041" s="167">
        <v>92696.333999999784</v>
      </c>
      <c r="L1041" s="167">
        <v>131319.31999999975</v>
      </c>
      <c r="M1041" s="167">
        <v>93770.22600000033</v>
      </c>
      <c r="N1041" s="167">
        <v>89981.484999999768</v>
      </c>
      <c r="O1041" s="277">
        <v>1097615.3097799998</v>
      </c>
    </row>
    <row r="1042" spans="2:22" s="3" customFormat="1" x14ac:dyDescent="0.35">
      <c r="B1042" s="653" t="s">
        <v>64</v>
      </c>
      <c r="C1042" s="278">
        <v>43.558999999999997</v>
      </c>
      <c r="D1042" s="167">
        <v>0</v>
      </c>
      <c r="E1042" s="167">
        <v>0</v>
      </c>
      <c r="F1042" s="167">
        <v>3.56</v>
      </c>
      <c r="G1042" s="167">
        <v>0</v>
      </c>
      <c r="H1042" s="167">
        <v>7.62</v>
      </c>
      <c r="I1042" s="167">
        <v>0</v>
      </c>
      <c r="J1042" s="167">
        <v>23</v>
      </c>
      <c r="K1042" s="167">
        <v>0</v>
      </c>
      <c r="L1042" s="167">
        <v>0</v>
      </c>
      <c r="M1042" s="167">
        <v>8.6</v>
      </c>
      <c r="N1042" s="167">
        <v>0</v>
      </c>
      <c r="O1042" s="277">
        <v>86.338999999999999</v>
      </c>
    </row>
    <row r="1043" spans="2:22" s="3" customFormat="1" x14ac:dyDescent="0.35">
      <c r="B1043" s="668" t="s">
        <v>174</v>
      </c>
      <c r="C1043" s="279">
        <v>2377.4240000000004</v>
      </c>
      <c r="D1043" s="279">
        <v>2302.0390000000007</v>
      </c>
      <c r="E1043" s="279">
        <v>1483.6929999999998</v>
      </c>
      <c r="F1043" s="279">
        <v>378.45600000000002</v>
      </c>
      <c r="G1043" s="279">
        <v>2126.1659999999997</v>
      </c>
      <c r="H1043" s="279">
        <v>3107.9609999999998</v>
      </c>
      <c r="I1043" s="279">
        <v>16019.016000000001</v>
      </c>
      <c r="J1043" s="279">
        <v>1420.0539999999994</v>
      </c>
      <c r="K1043" s="279">
        <v>2388.0420000000004</v>
      </c>
      <c r="L1043" s="279">
        <v>4096.1480000000001</v>
      </c>
      <c r="M1043" s="279">
        <v>2920.5179999999996</v>
      </c>
      <c r="N1043" s="279">
        <v>4401.7700000000004</v>
      </c>
      <c r="O1043" s="280">
        <v>43021.286999999997</v>
      </c>
    </row>
    <row r="1044" spans="2:22" s="3" customFormat="1" x14ac:dyDescent="0.35">
      <c r="B1044" s="236"/>
      <c r="C1044" s="632">
        <v>3.2596290111541748E-9</v>
      </c>
      <c r="D1044" s="632">
        <v>5.3551048040390015E-9</v>
      </c>
      <c r="E1044" s="632">
        <v>-4.1909515857696533E-9</v>
      </c>
      <c r="F1044" s="632">
        <v>5.5879354476928711E-9</v>
      </c>
      <c r="G1044" s="632">
        <v>1.4901161193847656E-8</v>
      </c>
      <c r="H1044" s="632">
        <v>1.0011717677116394E-8</v>
      </c>
      <c r="I1044" s="632">
        <v>4.6566128730773926E-9</v>
      </c>
      <c r="J1044" s="632">
        <v>-1.7695128917694092E-8</v>
      </c>
      <c r="K1044" s="632">
        <v>8.6147338151931763E-9</v>
      </c>
      <c r="L1044" s="632">
        <v>9.7788870334625244E-9</v>
      </c>
      <c r="M1044" s="632">
        <v>1.8160790205001831E-8</v>
      </c>
      <c r="N1044" s="632">
        <v>1.9324943423271179E-8</v>
      </c>
      <c r="O1044" s="270"/>
    </row>
    <row r="1045" spans="2:22" s="3" customFormat="1" x14ac:dyDescent="0.35">
      <c r="B1045" s="647" t="s">
        <v>56</v>
      </c>
      <c r="C1045" s="162">
        <v>1078327.8939540037</v>
      </c>
      <c r="D1045" s="162">
        <v>1135533.9252000034</v>
      </c>
      <c r="E1045" s="162">
        <v>1231693.2610000016</v>
      </c>
      <c r="F1045" s="162">
        <v>1207641.5022900063</v>
      </c>
      <c r="G1045" s="162">
        <v>1285509.4020000037</v>
      </c>
      <c r="H1045" s="162">
        <v>1293429.6510000001</v>
      </c>
      <c r="I1045" s="162">
        <v>1114014.6106200037</v>
      </c>
      <c r="J1045" s="162">
        <v>1298911.5350000029</v>
      </c>
      <c r="K1045" s="162">
        <v>1234838.6947500079</v>
      </c>
      <c r="L1045" s="162">
        <v>1167767.1200000027</v>
      </c>
      <c r="M1045" s="162">
        <v>1078593.4010000036</v>
      </c>
      <c r="N1045" s="162">
        <v>1482327.7075000168</v>
      </c>
      <c r="O1045" s="163">
        <v>14608588.704314057</v>
      </c>
    </row>
    <row r="1046" spans="2:22" s="3" customFormat="1" x14ac:dyDescent="0.35">
      <c r="B1046" s="647"/>
      <c r="C1046" s="162"/>
      <c r="D1046" s="162"/>
      <c r="E1046" s="162"/>
      <c r="F1046" s="162"/>
      <c r="G1046" s="162"/>
      <c r="H1046" s="162"/>
      <c r="I1046" s="162"/>
      <c r="J1046" s="162"/>
      <c r="K1046" s="162"/>
      <c r="L1046" s="162"/>
      <c r="M1046" s="162"/>
      <c r="N1046" s="162"/>
      <c r="O1046" s="163"/>
    </row>
    <row r="1047" spans="2:22" s="3" customFormat="1" x14ac:dyDescent="0.35">
      <c r="B1047" s="666" t="s">
        <v>167</v>
      </c>
      <c r="C1047" s="275">
        <v>667892.64737000223</v>
      </c>
      <c r="D1047" s="275">
        <v>734803.45120000246</v>
      </c>
      <c r="E1047" s="275">
        <v>721048.71000000148</v>
      </c>
      <c r="F1047" s="275">
        <v>851560.03034000588</v>
      </c>
      <c r="G1047" s="275">
        <v>875056.56000000413</v>
      </c>
      <c r="H1047" s="275">
        <v>852577.07700000063</v>
      </c>
      <c r="I1047" s="275">
        <v>742655.45000000461</v>
      </c>
      <c r="J1047" s="275">
        <v>961675.2630000033</v>
      </c>
      <c r="K1047" s="275">
        <v>907638.21400000807</v>
      </c>
      <c r="L1047" s="275">
        <v>798681.59900000237</v>
      </c>
      <c r="M1047" s="275">
        <v>789273.91600000265</v>
      </c>
      <c r="N1047" s="275">
        <v>1033632.393100017</v>
      </c>
      <c r="O1047" s="276">
        <v>9936495.3110100552</v>
      </c>
    </row>
    <row r="1048" spans="2:22" s="3" customFormat="1" x14ac:dyDescent="0.35">
      <c r="B1048" s="666"/>
      <c r="C1048" s="275"/>
      <c r="D1048" s="275"/>
      <c r="E1048" s="275"/>
      <c r="F1048" s="275"/>
      <c r="G1048" s="275"/>
      <c r="H1048" s="275"/>
      <c r="I1048" s="275"/>
      <c r="J1048" s="275"/>
      <c r="K1048" s="275"/>
      <c r="L1048" s="275"/>
      <c r="M1048" s="275"/>
      <c r="N1048" s="275"/>
      <c r="O1048" s="276"/>
    </row>
    <row r="1049" spans="2:22" s="3" customFormat="1" x14ac:dyDescent="0.35">
      <c r="B1049" s="653" t="s">
        <v>168</v>
      </c>
      <c r="C1049" s="278">
        <v>262208.15399999998</v>
      </c>
      <c r="D1049" s="167">
        <v>297652.53600000002</v>
      </c>
      <c r="E1049" s="167">
        <v>310717.74699999997</v>
      </c>
      <c r="F1049" s="167">
        <v>308062.58999999997</v>
      </c>
      <c r="G1049" s="167">
        <v>249453.943</v>
      </c>
      <c r="H1049" s="167">
        <v>366478.35599999991</v>
      </c>
      <c r="I1049" s="167">
        <v>276710.12799999997</v>
      </c>
      <c r="J1049" s="167">
        <v>410875.712</v>
      </c>
      <c r="K1049" s="167">
        <v>384781.65299999999</v>
      </c>
      <c r="L1049" s="167">
        <v>321106.99599999998</v>
      </c>
      <c r="M1049" s="167">
        <v>326982.74599999998</v>
      </c>
      <c r="N1049" s="167">
        <v>439969.8839999999</v>
      </c>
      <c r="O1049" s="277">
        <v>3955000.4449999994</v>
      </c>
    </row>
    <row r="1050" spans="2:22" s="3" customFormat="1" x14ac:dyDescent="0.35">
      <c r="B1050" s="653" t="s">
        <v>169</v>
      </c>
      <c r="C1050" s="278">
        <v>405214.89337000228</v>
      </c>
      <c r="D1050" s="167">
        <v>435605.93020000251</v>
      </c>
      <c r="E1050" s="167">
        <v>409749.64300000161</v>
      </c>
      <c r="F1050" s="167">
        <v>543358.00034000596</v>
      </c>
      <c r="G1050" s="167">
        <v>625423.12700000417</v>
      </c>
      <c r="H1050" s="167">
        <v>485644.58800000075</v>
      </c>
      <c r="I1050" s="167">
        <v>465724.04200000456</v>
      </c>
      <c r="J1050" s="167">
        <v>550414.70600000327</v>
      </c>
      <c r="K1050" s="167">
        <v>522600.99100000813</v>
      </c>
      <c r="L1050" s="167">
        <v>475248.55000000249</v>
      </c>
      <c r="M1050" s="167">
        <v>461980.03700000263</v>
      </c>
      <c r="N1050" s="167">
        <v>592802.67210001708</v>
      </c>
      <c r="O1050" s="277">
        <v>5973767.1800100552</v>
      </c>
    </row>
    <row r="1051" spans="2:22" s="3" customFormat="1" x14ac:dyDescent="0.35">
      <c r="B1051" s="653" t="s">
        <v>170</v>
      </c>
      <c r="C1051" s="278">
        <v>469.60000000000014</v>
      </c>
      <c r="D1051" s="167">
        <v>1544.9849999999999</v>
      </c>
      <c r="E1051" s="167">
        <v>581.32000000000005</v>
      </c>
      <c r="F1051" s="167">
        <v>139.44000000000003</v>
      </c>
      <c r="G1051" s="167">
        <v>179.49</v>
      </c>
      <c r="H1051" s="167">
        <v>454.13300000000004</v>
      </c>
      <c r="I1051" s="167">
        <v>221.28</v>
      </c>
      <c r="J1051" s="167">
        <v>384.84499999999997</v>
      </c>
      <c r="K1051" s="167">
        <v>255.57</v>
      </c>
      <c r="L1051" s="167">
        <v>2326.0529999999999</v>
      </c>
      <c r="M1051" s="167">
        <v>311.13300000000004</v>
      </c>
      <c r="N1051" s="167">
        <v>859.83699999999999</v>
      </c>
      <c r="O1051" s="277">
        <v>7727.6859999999997</v>
      </c>
    </row>
    <row r="1052" spans="2:22" s="3" customFormat="1" ht="22.5" customHeight="1" x14ac:dyDescent="0.35">
      <c r="B1052" s="666"/>
      <c r="C1052" s="275"/>
      <c r="D1052" s="275"/>
      <c r="E1052" s="275"/>
      <c r="F1052" s="275"/>
      <c r="G1052" s="275"/>
      <c r="H1052" s="275"/>
      <c r="I1052" s="275"/>
      <c r="J1052" s="275"/>
      <c r="K1052" s="275"/>
      <c r="L1052" s="275"/>
      <c r="M1052" s="275"/>
      <c r="N1052" s="275"/>
      <c r="O1052" s="276"/>
    </row>
    <row r="1053" spans="2:22" s="3" customFormat="1" x14ac:dyDescent="0.35">
      <c r="B1053" s="666" t="s">
        <v>171</v>
      </c>
      <c r="C1053" s="275">
        <v>400298.76017400145</v>
      </c>
      <c r="D1053" s="275">
        <v>387578.09900000092</v>
      </c>
      <c r="E1053" s="275">
        <v>493977.13400000019</v>
      </c>
      <c r="F1053" s="275">
        <v>342418.81195000053</v>
      </c>
      <c r="G1053" s="275">
        <v>395842.44699999952</v>
      </c>
      <c r="H1053" s="275">
        <v>345389.20099999924</v>
      </c>
      <c r="I1053" s="275">
        <v>359058.11461999896</v>
      </c>
      <c r="J1053" s="275">
        <v>320235.6859999997</v>
      </c>
      <c r="K1053" s="275">
        <v>265881.88874999987</v>
      </c>
      <c r="L1053" s="275">
        <v>229131.75100000016</v>
      </c>
      <c r="M1053" s="275">
        <v>273845.3560000009</v>
      </c>
      <c r="N1053" s="275">
        <v>347388.54499999958</v>
      </c>
      <c r="O1053" s="276">
        <v>4161045.7944940012</v>
      </c>
    </row>
    <row r="1054" spans="2:22" ht="15" customHeight="1" x14ac:dyDescent="0.35">
      <c r="B1054" s="666"/>
      <c r="C1054" s="275"/>
      <c r="D1054" s="275"/>
      <c r="E1054" s="275"/>
      <c r="F1054" s="275"/>
      <c r="G1054" s="275"/>
      <c r="H1054" s="275"/>
      <c r="I1054" s="275"/>
      <c r="J1054" s="275"/>
      <c r="K1054" s="275"/>
      <c r="L1054" s="275"/>
      <c r="M1054" s="275"/>
      <c r="N1054" s="275"/>
      <c r="O1054" s="270"/>
      <c r="P1054" s="3"/>
      <c r="Q1054" s="3"/>
      <c r="R1054" s="3"/>
      <c r="S1054" s="3"/>
      <c r="T1054" s="3"/>
      <c r="U1054" s="3"/>
      <c r="V1054" s="3"/>
    </row>
    <row r="1055" spans="2:22" ht="28.5" customHeight="1" x14ac:dyDescent="0.35">
      <c r="B1055" s="666" t="s">
        <v>172</v>
      </c>
      <c r="C1055" s="275">
        <v>10136.486410000001</v>
      </c>
      <c r="D1055" s="275">
        <v>13152.375</v>
      </c>
      <c r="E1055" s="275">
        <v>16667.41699999999</v>
      </c>
      <c r="F1055" s="275">
        <v>13662.660000000002</v>
      </c>
      <c r="G1055" s="275">
        <v>14610.394999999997</v>
      </c>
      <c r="H1055" s="275">
        <v>95463.373000000123</v>
      </c>
      <c r="I1055" s="275">
        <v>12301.045999999995</v>
      </c>
      <c r="J1055" s="275">
        <v>17000.585999999992</v>
      </c>
      <c r="K1055" s="275">
        <v>61318.59199999999</v>
      </c>
      <c r="L1055" s="275">
        <v>139953.77000000005</v>
      </c>
      <c r="M1055" s="275">
        <v>15474.128999999995</v>
      </c>
      <c r="N1055" s="275">
        <v>101306.76940000003</v>
      </c>
      <c r="O1055" s="276">
        <v>511047.59881000023</v>
      </c>
    </row>
    <row r="1056" spans="2:22" s="3" customFormat="1" ht="15" customHeight="1" x14ac:dyDescent="0.35">
      <c r="B1056" s="666"/>
      <c r="C1056" s="275"/>
      <c r="D1056" s="275"/>
      <c r="E1056" s="275"/>
      <c r="F1056" s="275"/>
      <c r="G1056" s="275"/>
      <c r="H1056" s="275"/>
      <c r="I1056" s="275"/>
      <c r="J1056" s="275"/>
      <c r="K1056" s="275"/>
      <c r="L1056" s="275"/>
      <c r="M1056" s="275"/>
      <c r="N1056" s="275"/>
      <c r="O1056" s="276"/>
      <c r="P1056" s="324"/>
      <c r="Q1056" s="324"/>
      <c r="R1056" s="324"/>
      <c r="S1056" s="324"/>
      <c r="T1056" s="324"/>
      <c r="U1056" s="324"/>
      <c r="V1056" s="324"/>
    </row>
    <row r="1057" spans="1:22" s="3" customFormat="1" x14ac:dyDescent="0.35">
      <c r="B1057" s="653" t="s">
        <v>168</v>
      </c>
      <c r="C1057" s="278">
        <v>0</v>
      </c>
      <c r="D1057" s="167">
        <v>0</v>
      </c>
      <c r="E1057" s="167">
        <v>0</v>
      </c>
      <c r="F1057" s="167">
        <v>0</v>
      </c>
      <c r="G1057" s="167">
        <v>0</v>
      </c>
      <c r="H1057" s="167">
        <v>0</v>
      </c>
      <c r="I1057" s="167">
        <v>0</v>
      </c>
      <c r="J1057" s="167">
        <v>0</v>
      </c>
      <c r="K1057" s="167">
        <v>0</v>
      </c>
      <c r="L1057" s="167">
        <v>0</v>
      </c>
      <c r="M1057" s="167">
        <v>0</v>
      </c>
      <c r="N1057" s="167">
        <v>0</v>
      </c>
      <c r="O1057" s="277">
        <v>0</v>
      </c>
    </row>
    <row r="1058" spans="1:22" s="3" customFormat="1" x14ac:dyDescent="0.35">
      <c r="B1058" s="653" t="s">
        <v>169</v>
      </c>
      <c r="C1058" s="278">
        <v>10136.486410000001</v>
      </c>
      <c r="D1058" s="167">
        <v>13152.375</v>
      </c>
      <c r="E1058" s="167">
        <v>16667.41699999999</v>
      </c>
      <c r="F1058" s="167">
        <v>13662.660000000002</v>
      </c>
      <c r="G1058" s="167">
        <v>14610.394999999997</v>
      </c>
      <c r="H1058" s="167">
        <v>95463.373000000123</v>
      </c>
      <c r="I1058" s="167">
        <v>12301.045999999995</v>
      </c>
      <c r="J1058" s="167">
        <v>17000.585999999992</v>
      </c>
      <c r="K1058" s="167">
        <v>61318.59199999999</v>
      </c>
      <c r="L1058" s="167">
        <v>139953.77000000005</v>
      </c>
      <c r="M1058" s="167">
        <v>15474.128999999995</v>
      </c>
      <c r="N1058" s="167">
        <v>101306.76940000003</v>
      </c>
      <c r="O1058" s="277">
        <v>511047.59881000023</v>
      </c>
    </row>
    <row r="1059" spans="1:22" s="3" customFormat="1" x14ac:dyDescent="0.35">
      <c r="B1059" s="653" t="s">
        <v>170</v>
      </c>
      <c r="C1059" s="278">
        <v>0</v>
      </c>
      <c r="D1059" s="167">
        <v>0</v>
      </c>
      <c r="E1059" s="167">
        <v>0</v>
      </c>
      <c r="F1059" s="167">
        <v>0</v>
      </c>
      <c r="G1059" s="167">
        <v>0</v>
      </c>
      <c r="H1059" s="167">
        <v>0</v>
      </c>
      <c r="I1059" s="167">
        <v>0</v>
      </c>
      <c r="J1059" s="167">
        <v>0</v>
      </c>
      <c r="K1059" s="167">
        <v>0</v>
      </c>
      <c r="L1059" s="167">
        <v>0</v>
      </c>
      <c r="M1059" s="167">
        <v>0</v>
      </c>
      <c r="N1059" s="167">
        <v>0</v>
      </c>
      <c r="O1059" s="277">
        <v>0</v>
      </c>
    </row>
    <row r="1060" spans="1:22" s="3" customFormat="1" x14ac:dyDescent="0.35">
      <c r="B1060" s="269"/>
      <c r="C1060" s="275"/>
      <c r="D1060" s="275"/>
      <c r="E1060" s="275"/>
      <c r="F1060" s="275"/>
      <c r="G1060" s="275"/>
      <c r="H1060" s="275"/>
      <c r="I1060" s="275"/>
      <c r="J1060" s="275"/>
      <c r="K1060" s="275"/>
      <c r="L1060" s="275"/>
      <c r="M1060" s="275"/>
      <c r="N1060" s="275"/>
      <c r="O1060" s="270"/>
    </row>
    <row r="1061" spans="1:22" s="3" customFormat="1" x14ac:dyDescent="0.35">
      <c r="B1061" s="666" t="s">
        <v>173</v>
      </c>
      <c r="C1061" s="279">
        <v>10136.486410000001</v>
      </c>
      <c r="D1061" s="279">
        <v>13152.375</v>
      </c>
      <c r="E1061" s="279">
        <v>16667.41699999999</v>
      </c>
      <c r="F1061" s="279">
        <v>13662.660000000002</v>
      </c>
      <c r="G1061" s="279">
        <v>14610.394999999997</v>
      </c>
      <c r="H1061" s="279">
        <v>95463.373000000123</v>
      </c>
      <c r="I1061" s="279">
        <v>12301.045999999995</v>
      </c>
      <c r="J1061" s="279">
        <v>17000.585999999992</v>
      </c>
      <c r="K1061" s="279">
        <v>61318.59199999999</v>
      </c>
      <c r="L1061" s="279">
        <v>139953.77000000005</v>
      </c>
      <c r="M1061" s="279">
        <v>15474.128999999995</v>
      </c>
      <c r="N1061" s="279">
        <v>101306.76940000003</v>
      </c>
      <c r="O1061" s="281">
        <v>511047.59881000023</v>
      </c>
    </row>
    <row r="1062" spans="1:22" s="3" customFormat="1" x14ac:dyDescent="0.35">
      <c r="B1062" s="653" t="s">
        <v>62</v>
      </c>
      <c r="C1062" s="278">
        <v>6133.5364099999997</v>
      </c>
      <c r="D1062" s="167">
        <v>9050.2849999999999</v>
      </c>
      <c r="E1062" s="167">
        <v>11056.81699999999</v>
      </c>
      <c r="F1062" s="167">
        <v>6327.572000000001</v>
      </c>
      <c r="G1062" s="167">
        <v>6579.4500000000053</v>
      </c>
      <c r="H1062" s="167">
        <v>7106.8659999999973</v>
      </c>
      <c r="I1062" s="167">
        <v>8958.0759999999955</v>
      </c>
      <c r="J1062" s="167">
        <v>8958.1119999999919</v>
      </c>
      <c r="K1062" s="167">
        <v>4886.5720000000001</v>
      </c>
      <c r="L1062" s="167">
        <v>3689.0440000000003</v>
      </c>
      <c r="M1062" s="167">
        <v>3599.2490000000012</v>
      </c>
      <c r="N1062" s="167">
        <v>3402.3493999999996</v>
      </c>
      <c r="O1062" s="277">
        <v>79747.928809999969</v>
      </c>
    </row>
    <row r="1063" spans="1:22" s="3" customFormat="1" x14ac:dyDescent="0.35">
      <c r="B1063" s="653" t="s">
        <v>63</v>
      </c>
      <c r="C1063" s="278">
        <v>4002.9500000000007</v>
      </c>
      <c r="D1063" s="167">
        <v>4102.09</v>
      </c>
      <c r="E1063" s="167">
        <v>5610.5999999999995</v>
      </c>
      <c r="F1063" s="167">
        <v>7335.0880000000006</v>
      </c>
      <c r="G1063" s="167">
        <v>8030.9449999999924</v>
      </c>
      <c r="H1063" s="167">
        <v>88356.507000000129</v>
      </c>
      <c r="I1063" s="167">
        <v>3342.9699999999993</v>
      </c>
      <c r="J1063" s="167">
        <v>8042.4740000000011</v>
      </c>
      <c r="K1063" s="167">
        <v>56432.01999999999</v>
      </c>
      <c r="L1063" s="167">
        <v>136264.72600000005</v>
      </c>
      <c r="M1063" s="167">
        <v>11874.879999999994</v>
      </c>
      <c r="N1063" s="167">
        <v>97904.420000000027</v>
      </c>
      <c r="O1063" s="277">
        <v>431299.67000000022</v>
      </c>
    </row>
    <row r="1064" spans="1:22" s="3" customFormat="1" x14ac:dyDescent="0.35">
      <c r="B1064" s="653" t="s">
        <v>64</v>
      </c>
      <c r="C1064" s="278">
        <v>0</v>
      </c>
      <c r="D1064" s="167">
        <v>0</v>
      </c>
      <c r="E1064" s="167">
        <v>0</v>
      </c>
      <c r="F1064" s="167">
        <v>0</v>
      </c>
      <c r="G1064" s="167">
        <v>0</v>
      </c>
      <c r="H1064" s="167">
        <v>0</v>
      </c>
      <c r="I1064" s="167">
        <v>0</v>
      </c>
      <c r="J1064" s="167">
        <v>0</v>
      </c>
      <c r="K1064" s="167">
        <v>0</v>
      </c>
      <c r="L1064" s="167">
        <v>0</v>
      </c>
      <c r="M1064" s="167">
        <v>0</v>
      </c>
      <c r="N1064" s="167">
        <v>0</v>
      </c>
      <c r="O1064" s="277">
        <v>0</v>
      </c>
    </row>
    <row r="1065" spans="1:22" s="3" customFormat="1" x14ac:dyDescent="0.35">
      <c r="B1065" s="668" t="s">
        <v>174</v>
      </c>
      <c r="C1065" s="279">
        <v>0</v>
      </c>
      <c r="D1065" s="279">
        <v>0</v>
      </c>
      <c r="E1065" s="279">
        <v>0</v>
      </c>
      <c r="F1065" s="279">
        <v>0</v>
      </c>
      <c r="G1065" s="279">
        <v>0</v>
      </c>
      <c r="H1065" s="279">
        <v>0</v>
      </c>
      <c r="I1065" s="279">
        <v>0</v>
      </c>
      <c r="J1065" s="279">
        <v>0</v>
      </c>
      <c r="K1065" s="279">
        <v>0</v>
      </c>
      <c r="L1065" s="279">
        <v>0</v>
      </c>
      <c r="M1065" s="279">
        <v>0</v>
      </c>
      <c r="N1065" s="279">
        <v>0</v>
      </c>
      <c r="O1065" s="280">
        <v>0</v>
      </c>
    </row>
    <row r="1066" spans="1:22" s="3" customFormat="1" x14ac:dyDescent="0.35">
      <c r="B1066" s="668"/>
      <c r="C1066" s="279"/>
      <c r="D1066" s="279"/>
      <c r="E1066" s="279"/>
      <c r="F1066" s="279"/>
      <c r="G1066" s="279"/>
      <c r="H1066" s="279"/>
      <c r="I1066" s="279"/>
      <c r="J1066" s="279"/>
      <c r="K1066" s="279"/>
      <c r="L1066" s="279"/>
      <c r="M1066" s="279"/>
      <c r="N1066" s="279"/>
      <c r="O1066" s="270"/>
    </row>
    <row r="1067" spans="1:22" s="3" customFormat="1" x14ac:dyDescent="0.35">
      <c r="B1067" s="431" t="s">
        <v>175</v>
      </c>
      <c r="C1067" s="178">
        <v>3615145.5114889988</v>
      </c>
      <c r="D1067" s="178">
        <v>3783743.1524410043</v>
      </c>
      <c r="E1067" s="178">
        <v>3803233.916643003</v>
      </c>
      <c r="F1067" s="178">
        <v>3843718.9808730171</v>
      </c>
      <c r="G1067" s="178">
        <v>4162238.788202011</v>
      </c>
      <c r="H1067" s="178">
        <v>3625573.8188909972</v>
      </c>
      <c r="I1067" s="178">
        <v>4135296.1531300065</v>
      </c>
      <c r="J1067" s="178">
        <v>4273333.7455200162</v>
      </c>
      <c r="K1067" s="178">
        <v>3846162.0129200239</v>
      </c>
      <c r="L1067" s="178">
        <v>3786490.8477909956</v>
      </c>
      <c r="M1067" s="178">
        <v>3690333.3686800096</v>
      </c>
      <c r="N1067" s="178">
        <v>4370330.8141270317</v>
      </c>
      <c r="O1067" s="179">
        <v>46935601.110707104</v>
      </c>
    </row>
    <row r="1068" spans="1:22" s="3" customFormat="1" x14ac:dyDescent="0.35">
      <c r="B1068" s="669"/>
      <c r="C1068" s="282"/>
      <c r="D1068" s="282"/>
      <c r="E1068" s="282"/>
      <c r="F1068" s="282"/>
      <c r="G1068" s="282"/>
      <c r="H1068" s="282"/>
      <c r="I1068" s="282"/>
      <c r="J1068" s="282"/>
      <c r="K1068" s="282"/>
      <c r="L1068" s="282"/>
      <c r="M1068" s="282"/>
      <c r="N1068" s="282"/>
      <c r="O1068" s="270"/>
    </row>
    <row r="1069" spans="1:22" s="3" customFormat="1" x14ac:dyDescent="0.35">
      <c r="A1069" s="359"/>
      <c r="B1069" s="666" t="s">
        <v>167</v>
      </c>
      <c r="C1069" s="275">
        <v>2475424.4026829973</v>
      </c>
      <c r="D1069" s="275">
        <v>2632090.5657510054</v>
      </c>
      <c r="E1069" s="275">
        <v>2741839.9575730031</v>
      </c>
      <c r="F1069" s="275">
        <v>2755337.149763016</v>
      </c>
      <c r="G1069" s="275">
        <v>2951913.497972013</v>
      </c>
      <c r="H1069" s="275">
        <v>2637505.8269609977</v>
      </c>
      <c r="I1069" s="275">
        <v>2991471.2144300062</v>
      </c>
      <c r="J1069" s="275">
        <v>3244153.4035200151</v>
      </c>
      <c r="K1069" s="275">
        <v>3026633.0098300236</v>
      </c>
      <c r="L1069" s="275">
        <v>2885178.8980809953</v>
      </c>
      <c r="M1069" s="275">
        <v>2892558.7511800099</v>
      </c>
      <c r="N1069" s="275">
        <v>3241081.2895270316</v>
      </c>
      <c r="O1069" s="276">
        <v>34475187.967271112</v>
      </c>
      <c r="P1069" s="28">
        <f>O1069/$O$1067</f>
        <v>0.73452107039077674</v>
      </c>
    </row>
    <row r="1070" spans="1:22" s="3" customFormat="1" x14ac:dyDescent="0.35">
      <c r="A1070" s="359"/>
      <c r="B1070" s="666"/>
      <c r="C1070" s="275"/>
      <c r="D1070" s="275"/>
      <c r="E1070" s="275"/>
      <c r="F1070" s="275"/>
      <c r="G1070" s="275"/>
      <c r="H1070" s="275"/>
      <c r="I1070" s="275"/>
      <c r="J1070" s="275"/>
      <c r="K1070" s="275"/>
      <c r="L1070" s="275"/>
      <c r="M1070" s="275"/>
      <c r="N1070" s="275"/>
      <c r="O1070" s="276"/>
      <c r="P1070" s="325"/>
    </row>
    <row r="1071" spans="1:22" x14ac:dyDescent="0.35">
      <c r="B1071" s="653" t="s">
        <v>168</v>
      </c>
      <c r="C1071" s="167">
        <v>987465.33632299991</v>
      </c>
      <c r="D1071" s="167">
        <v>757200.10099999979</v>
      </c>
      <c r="E1071" s="167">
        <v>913104.14919999929</v>
      </c>
      <c r="F1071" s="167">
        <v>851682.34022599948</v>
      </c>
      <c r="G1071" s="167">
        <v>878084.43170000205</v>
      </c>
      <c r="H1071" s="167">
        <v>875423.60700000008</v>
      </c>
      <c r="I1071" s="167">
        <v>1014420.4650000008</v>
      </c>
      <c r="J1071" s="167">
        <v>1051207.1189999999</v>
      </c>
      <c r="K1071" s="167">
        <v>1057388.5670000003</v>
      </c>
      <c r="L1071" s="167">
        <v>819911.49484499986</v>
      </c>
      <c r="M1071" s="167">
        <v>936923.25699999952</v>
      </c>
      <c r="N1071" s="167">
        <v>1199064.0655779983</v>
      </c>
      <c r="O1071" s="277">
        <v>11341874.933871999</v>
      </c>
      <c r="Q1071" s="3"/>
      <c r="R1071" s="3"/>
      <c r="S1071" s="3"/>
      <c r="T1071" s="3"/>
      <c r="U1071" s="3"/>
      <c r="V1071" s="3"/>
    </row>
    <row r="1072" spans="1:22" s="3" customFormat="1" x14ac:dyDescent="0.35">
      <c r="B1072" s="653" t="s">
        <v>169</v>
      </c>
      <c r="C1072" s="167">
        <v>1412268.7090499974</v>
      </c>
      <c r="D1072" s="167">
        <v>1805524.4297510055</v>
      </c>
      <c r="E1072" s="167">
        <v>1755388.390563004</v>
      </c>
      <c r="F1072" s="167">
        <v>1825503.8145370167</v>
      </c>
      <c r="G1072" s="167">
        <v>1982244.2073920108</v>
      </c>
      <c r="H1072" s="167">
        <v>1683886.2714609976</v>
      </c>
      <c r="I1072" s="167">
        <v>1915483.6999300057</v>
      </c>
      <c r="J1072" s="167">
        <v>2117111.1935200151</v>
      </c>
      <c r="K1072" s="167">
        <v>1897523.5898300237</v>
      </c>
      <c r="L1072" s="167">
        <v>1982096.0237359954</v>
      </c>
      <c r="M1072" s="167">
        <v>1880199.1191800104</v>
      </c>
      <c r="N1072" s="167">
        <v>1965894.6354490335</v>
      </c>
      <c r="O1072" s="277">
        <v>22223124.084399115</v>
      </c>
      <c r="P1072" s="324"/>
      <c r="Q1072" s="324"/>
      <c r="R1072" s="324"/>
      <c r="S1072" s="324"/>
      <c r="T1072" s="324"/>
      <c r="U1072" s="324"/>
      <c r="V1072" s="324"/>
    </row>
    <row r="1073" spans="1:22" s="3" customFormat="1" x14ac:dyDescent="0.35">
      <c r="B1073" s="653" t="s">
        <v>170</v>
      </c>
      <c r="C1073" s="167">
        <v>75690.357310000065</v>
      </c>
      <c r="D1073" s="167">
        <v>69366.035000000018</v>
      </c>
      <c r="E1073" s="167">
        <v>73347.417809999897</v>
      </c>
      <c r="F1073" s="167">
        <v>78150.995000000083</v>
      </c>
      <c r="G1073" s="167">
        <v>91584.858880000029</v>
      </c>
      <c r="H1073" s="167">
        <v>78195.948500000028</v>
      </c>
      <c r="I1073" s="167">
        <v>61567.049499999834</v>
      </c>
      <c r="J1073" s="167">
        <v>75835.091000000146</v>
      </c>
      <c r="K1073" s="167">
        <v>71720.852999999915</v>
      </c>
      <c r="L1073" s="167">
        <v>83171.379500000214</v>
      </c>
      <c r="M1073" s="167">
        <v>75436.375000000247</v>
      </c>
      <c r="N1073" s="167">
        <v>76122.588500000362</v>
      </c>
      <c r="O1073" s="277">
        <v>910188.94900000072</v>
      </c>
      <c r="P1073" s="2"/>
    </row>
    <row r="1074" spans="1:22" s="3" customFormat="1" x14ac:dyDescent="0.35">
      <c r="B1074" s="666"/>
      <c r="C1074" s="275"/>
      <c r="D1074" s="275"/>
      <c r="E1074" s="275"/>
      <c r="F1074" s="275"/>
      <c r="G1074" s="275"/>
      <c r="H1074" s="275"/>
      <c r="I1074" s="275"/>
      <c r="J1074" s="275"/>
      <c r="K1074" s="275"/>
      <c r="L1074" s="275"/>
      <c r="M1074" s="275"/>
      <c r="N1074" s="275"/>
      <c r="O1074" s="270"/>
      <c r="P1074" s="2"/>
    </row>
    <row r="1075" spans="1:22" s="3" customFormat="1" x14ac:dyDescent="0.35">
      <c r="A1075" s="359"/>
      <c r="B1075" s="666" t="s">
        <v>171</v>
      </c>
      <c r="C1075" s="275">
        <v>825183.70937400125</v>
      </c>
      <c r="D1075" s="275">
        <v>864848.87654999993</v>
      </c>
      <c r="E1075" s="275">
        <v>884699.34695000038</v>
      </c>
      <c r="F1075" s="275">
        <v>674276.45895000058</v>
      </c>
      <c r="G1075" s="275">
        <v>870337.78035999776</v>
      </c>
      <c r="H1075" s="275">
        <v>659202.76061999938</v>
      </c>
      <c r="I1075" s="275">
        <v>721282.97993999883</v>
      </c>
      <c r="J1075" s="275">
        <v>681811.29999999912</v>
      </c>
      <c r="K1075" s="275">
        <v>529074.07608999964</v>
      </c>
      <c r="L1075" s="275">
        <v>469035.18900000013</v>
      </c>
      <c r="M1075" s="275">
        <v>584729.26400000043</v>
      </c>
      <c r="N1075" s="275">
        <v>757223.88599999901</v>
      </c>
      <c r="O1075" s="283">
        <v>8521705.627833996</v>
      </c>
      <c r="P1075" s="28">
        <f>O1075/$O$1067</f>
        <v>0.18156165951158973</v>
      </c>
    </row>
    <row r="1076" spans="1:22" s="3" customFormat="1" x14ac:dyDescent="0.35">
      <c r="A1076" s="359"/>
      <c r="B1076" s="666"/>
      <c r="C1076" s="275"/>
      <c r="D1076" s="275"/>
      <c r="E1076" s="275"/>
      <c r="F1076" s="275"/>
      <c r="G1076" s="275"/>
      <c r="H1076" s="275"/>
      <c r="I1076" s="275"/>
      <c r="J1076" s="275"/>
      <c r="K1076" s="275"/>
      <c r="L1076" s="275"/>
      <c r="M1076" s="275"/>
      <c r="N1076" s="275"/>
      <c r="O1076" s="284"/>
      <c r="P1076" s="324"/>
    </row>
    <row r="1077" spans="1:22" s="3" customFormat="1" x14ac:dyDescent="0.35">
      <c r="B1077" s="666" t="s">
        <v>172</v>
      </c>
      <c r="C1077" s="275">
        <v>314537.39943200012</v>
      </c>
      <c r="D1077" s="275">
        <v>286803.7101399987</v>
      </c>
      <c r="E1077" s="275">
        <v>176694.61211999977</v>
      </c>
      <c r="F1077" s="275">
        <v>414105.37216000049</v>
      </c>
      <c r="G1077" s="275">
        <v>339987.50987000088</v>
      </c>
      <c r="H1077" s="275">
        <v>328865.23131</v>
      </c>
      <c r="I1077" s="275">
        <v>422541.95876000123</v>
      </c>
      <c r="J1077" s="275">
        <v>347369.04200000194</v>
      </c>
      <c r="K1077" s="275">
        <v>290454.92700000078</v>
      </c>
      <c r="L1077" s="275">
        <v>432276.76071000018</v>
      </c>
      <c r="M1077" s="275">
        <v>213045.35349999976</v>
      </c>
      <c r="N1077" s="275">
        <v>372025.63860000035</v>
      </c>
      <c r="O1077" s="276">
        <v>3938707.5156020033</v>
      </c>
      <c r="P1077" s="28">
        <f>O1077/$O$1067</f>
        <v>8.3917270097633681E-2</v>
      </c>
    </row>
    <row r="1078" spans="1:22" s="3" customFormat="1" x14ac:dyDescent="0.35">
      <c r="B1078" s="666"/>
      <c r="C1078" s="275"/>
      <c r="D1078" s="275"/>
      <c r="E1078" s="275"/>
      <c r="F1078" s="275"/>
      <c r="G1078" s="275"/>
      <c r="H1078" s="275"/>
      <c r="I1078" s="275"/>
      <c r="J1078" s="275"/>
      <c r="K1078" s="275"/>
      <c r="L1078" s="275"/>
      <c r="M1078" s="275"/>
      <c r="N1078" s="275"/>
      <c r="O1078" s="276"/>
    </row>
    <row r="1079" spans="1:22" s="3" customFormat="1" x14ac:dyDescent="0.35">
      <c r="B1079" s="653" t="s">
        <v>168</v>
      </c>
      <c r="C1079" s="167">
        <v>1722.36</v>
      </c>
      <c r="D1079" s="167">
        <v>1311.2752500000001</v>
      </c>
      <c r="E1079" s="167">
        <v>2056.0619999999994</v>
      </c>
      <c r="F1079" s="167">
        <v>1481.4687800000002</v>
      </c>
      <c r="G1079" s="167">
        <v>1764.9480000000001</v>
      </c>
      <c r="H1079" s="167">
        <v>1409.3090000000002</v>
      </c>
      <c r="I1079" s="167">
        <v>2532.9199999999996</v>
      </c>
      <c r="J1079" s="167">
        <v>1255.2700000000004</v>
      </c>
      <c r="K1079" s="167">
        <v>2196.0379999999996</v>
      </c>
      <c r="L1079" s="167">
        <v>1549.9370000000001</v>
      </c>
      <c r="M1079" s="167">
        <v>1050.6529999999998</v>
      </c>
      <c r="N1079" s="167">
        <v>2086.683</v>
      </c>
      <c r="O1079" s="277">
        <v>20416.924029999998</v>
      </c>
    </row>
    <row r="1080" spans="1:22" s="3" customFormat="1" x14ac:dyDescent="0.35">
      <c r="B1080" s="653" t="s">
        <v>169</v>
      </c>
      <c r="C1080" s="167">
        <v>311384.66743200016</v>
      </c>
      <c r="D1080" s="167">
        <v>282501.51788999868</v>
      </c>
      <c r="E1080" s="167">
        <v>173112.42611999976</v>
      </c>
      <c r="F1080" s="167">
        <v>410371.79938000051</v>
      </c>
      <c r="G1080" s="167">
        <v>335896.04787000088</v>
      </c>
      <c r="H1080" s="167">
        <v>325536.49231</v>
      </c>
      <c r="I1080" s="167">
        <v>417833.27476000122</v>
      </c>
      <c r="J1080" s="167">
        <v>343373.19100000191</v>
      </c>
      <c r="K1080" s="167">
        <v>286187.15700000076</v>
      </c>
      <c r="L1080" s="167">
        <v>427418.2097100002</v>
      </c>
      <c r="M1080" s="167">
        <v>209401.18449999977</v>
      </c>
      <c r="N1080" s="167">
        <v>366443.61060000036</v>
      </c>
      <c r="O1080" s="277">
        <v>3889459.5785720041</v>
      </c>
    </row>
    <row r="1081" spans="1:22" s="3" customFormat="1" x14ac:dyDescent="0.35">
      <c r="B1081" s="653" t="s">
        <v>170</v>
      </c>
      <c r="C1081" s="167">
        <v>1430.3719999999996</v>
      </c>
      <c r="D1081" s="167">
        <v>2990.9169999999986</v>
      </c>
      <c r="E1081" s="167">
        <v>1526.1239999999991</v>
      </c>
      <c r="F1081" s="167">
        <v>2252.1039999999989</v>
      </c>
      <c r="G1081" s="167">
        <v>2326.5139999999992</v>
      </c>
      <c r="H1081" s="167">
        <v>1919.4299999999992</v>
      </c>
      <c r="I1081" s="167">
        <v>2175.7639999999983</v>
      </c>
      <c r="J1081" s="167">
        <v>2740.5809999999979</v>
      </c>
      <c r="K1081" s="167">
        <v>2071.7319999999995</v>
      </c>
      <c r="L1081" s="167">
        <v>3308.6139999999991</v>
      </c>
      <c r="M1081" s="167">
        <v>2593.5159999999983</v>
      </c>
      <c r="N1081" s="167">
        <v>3495.344999999998</v>
      </c>
      <c r="O1081" s="277">
        <v>28831.012999999984</v>
      </c>
    </row>
    <row r="1082" spans="1:22" s="3" customFormat="1" x14ac:dyDescent="0.35">
      <c r="B1082" s="269"/>
      <c r="C1082" s="275"/>
      <c r="D1082" s="275"/>
      <c r="E1082" s="275"/>
      <c r="F1082" s="275"/>
      <c r="G1082" s="275"/>
      <c r="H1082" s="275"/>
      <c r="I1082" s="275"/>
      <c r="J1082" s="275"/>
      <c r="K1082" s="275"/>
      <c r="L1082" s="275"/>
      <c r="M1082" s="275"/>
      <c r="N1082" s="275"/>
      <c r="O1082" s="270"/>
    </row>
    <row r="1083" spans="1:22" s="3" customFormat="1" x14ac:dyDescent="0.35">
      <c r="B1083" s="666" t="s">
        <v>173</v>
      </c>
      <c r="C1083" s="279">
        <v>312159.97543200024</v>
      </c>
      <c r="D1083" s="279">
        <v>284501.67113999918</v>
      </c>
      <c r="E1083" s="279">
        <v>175210.91911999974</v>
      </c>
      <c r="F1083" s="279">
        <v>413726.91616000049</v>
      </c>
      <c r="G1083" s="279">
        <v>337861.34387000086</v>
      </c>
      <c r="H1083" s="279">
        <v>325757.27030999999</v>
      </c>
      <c r="I1083" s="279">
        <v>406522.94276000123</v>
      </c>
      <c r="J1083" s="279">
        <v>345948.98800000187</v>
      </c>
      <c r="K1083" s="279">
        <v>288066.88500000077</v>
      </c>
      <c r="L1083" s="279">
        <v>428180.61271000025</v>
      </c>
      <c r="M1083" s="279">
        <v>210124.8354999997</v>
      </c>
      <c r="N1083" s="279">
        <v>367623.86860000022</v>
      </c>
      <c r="O1083" s="281">
        <v>3895686.2286020042</v>
      </c>
    </row>
    <row r="1084" spans="1:22" s="3" customFormat="1" x14ac:dyDescent="0.35">
      <c r="B1084" s="653" t="s">
        <v>62</v>
      </c>
      <c r="C1084" s="167">
        <v>210926.53271200004</v>
      </c>
      <c r="D1084" s="167">
        <v>207970.04413999934</v>
      </c>
      <c r="E1084" s="167">
        <v>113908.90811999967</v>
      </c>
      <c r="F1084" s="167">
        <v>311508.74016000045</v>
      </c>
      <c r="G1084" s="167">
        <v>228138.47962000061</v>
      </c>
      <c r="H1084" s="167">
        <v>187593.36399999977</v>
      </c>
      <c r="I1084" s="167">
        <v>284897.78526000149</v>
      </c>
      <c r="J1084" s="167">
        <v>237996.86500000194</v>
      </c>
      <c r="K1084" s="167">
        <v>138938.53100000101</v>
      </c>
      <c r="L1084" s="167">
        <v>160596.56671000045</v>
      </c>
      <c r="M1084" s="167">
        <v>104471.12949999937</v>
      </c>
      <c r="N1084" s="167">
        <v>179737.96360000042</v>
      </c>
      <c r="O1084" s="277">
        <v>2366684.9098220044</v>
      </c>
    </row>
    <row r="1085" spans="1:22" s="3" customFormat="1" ht="22.5" customHeight="1" x14ac:dyDescent="0.35">
      <c r="B1085" s="653" t="s">
        <v>63</v>
      </c>
      <c r="C1085" s="167">
        <v>101189.88372000016</v>
      </c>
      <c r="D1085" s="167">
        <v>76531.626999999848</v>
      </c>
      <c r="E1085" s="167">
        <v>61302.011000000071</v>
      </c>
      <c r="F1085" s="167">
        <v>102214.61600000008</v>
      </c>
      <c r="G1085" s="167">
        <v>109722.86425000022</v>
      </c>
      <c r="H1085" s="167">
        <v>138156.28631000023</v>
      </c>
      <c r="I1085" s="167">
        <v>121625.15749999977</v>
      </c>
      <c r="J1085" s="167">
        <v>107929.12299999991</v>
      </c>
      <c r="K1085" s="167">
        <v>149128.35399999976</v>
      </c>
      <c r="L1085" s="167">
        <v>267584.0459999998</v>
      </c>
      <c r="M1085" s="167">
        <v>105645.10600000032</v>
      </c>
      <c r="N1085" s="167">
        <v>187885.9049999998</v>
      </c>
      <c r="O1085" s="277">
        <v>1528914.9797800002</v>
      </c>
    </row>
    <row r="1086" spans="1:22" s="3" customFormat="1" x14ac:dyDescent="0.35">
      <c r="B1086" s="653" t="s">
        <v>64</v>
      </c>
      <c r="C1086" s="167">
        <v>43.558999999999997</v>
      </c>
      <c r="D1086" s="167">
        <v>0</v>
      </c>
      <c r="E1086" s="167">
        <v>0</v>
      </c>
      <c r="F1086" s="167">
        <v>3.56</v>
      </c>
      <c r="G1086" s="167">
        <v>0</v>
      </c>
      <c r="H1086" s="167">
        <v>7.62</v>
      </c>
      <c r="I1086" s="167">
        <v>0</v>
      </c>
      <c r="J1086" s="167">
        <v>23</v>
      </c>
      <c r="K1086" s="167">
        <v>0</v>
      </c>
      <c r="L1086" s="167">
        <v>0</v>
      </c>
      <c r="M1086" s="167">
        <v>8.6</v>
      </c>
      <c r="N1086" s="167">
        <v>0</v>
      </c>
      <c r="O1086" s="277">
        <v>86.338999999999999</v>
      </c>
    </row>
    <row r="1087" spans="1:22" x14ac:dyDescent="0.35">
      <c r="B1087" s="670" t="s">
        <v>174</v>
      </c>
      <c r="C1087" s="285">
        <v>2377.4240000000004</v>
      </c>
      <c r="D1087" s="285">
        <v>2302.0390000000007</v>
      </c>
      <c r="E1087" s="285">
        <v>1483.6929999999998</v>
      </c>
      <c r="F1087" s="285">
        <v>378.45600000000002</v>
      </c>
      <c r="G1087" s="285">
        <v>2126.1659999999997</v>
      </c>
      <c r="H1087" s="285">
        <v>3107.9609999999998</v>
      </c>
      <c r="I1087" s="285">
        <v>16019.016000000001</v>
      </c>
      <c r="J1087" s="285">
        <v>1420.0539999999994</v>
      </c>
      <c r="K1087" s="285">
        <v>2388.0420000000004</v>
      </c>
      <c r="L1087" s="285">
        <v>4096.1480000000001</v>
      </c>
      <c r="M1087" s="285">
        <v>2920.5179999999996</v>
      </c>
      <c r="N1087" s="285">
        <v>4401.7700000000004</v>
      </c>
      <c r="O1087" s="286">
        <v>43021.286999999997</v>
      </c>
      <c r="P1087" s="3"/>
      <c r="Q1087" s="3"/>
      <c r="R1087" s="3"/>
      <c r="S1087" s="3"/>
      <c r="T1087" s="3"/>
      <c r="U1087" s="3"/>
      <c r="V1087" s="3"/>
    </row>
    <row r="1088" spans="1:22" s="3" customFormat="1" x14ac:dyDescent="0.35">
      <c r="B1088" s="6"/>
      <c r="C1088" s="287"/>
      <c r="D1088" s="671"/>
      <c r="E1088" s="671"/>
      <c r="F1088" s="671"/>
      <c r="G1088" s="671"/>
      <c r="H1088" s="671"/>
      <c r="I1088" s="671"/>
      <c r="J1088" s="671"/>
      <c r="K1088" s="671"/>
      <c r="L1088" s="671"/>
      <c r="M1088" s="671"/>
      <c r="N1088" s="671"/>
      <c r="O1088" s="6"/>
      <c r="P1088" s="324"/>
      <c r="Q1088" s="324"/>
      <c r="R1088" s="324"/>
      <c r="S1088" s="324"/>
      <c r="T1088" s="324"/>
      <c r="U1088" s="324"/>
      <c r="V1088" s="324"/>
    </row>
    <row r="1089" spans="1:24" s="3" customFormat="1" x14ac:dyDescent="0.35">
      <c r="B1089" s="1068" t="s">
        <v>176</v>
      </c>
      <c r="C1089" s="1068"/>
      <c r="D1089" s="1068"/>
      <c r="E1089" s="1068"/>
      <c r="F1089" s="1068"/>
      <c r="G1089" s="1068"/>
      <c r="H1089" s="1068"/>
      <c r="I1089" s="1068"/>
      <c r="J1089" s="1068"/>
      <c r="K1089" s="1068"/>
      <c r="L1089" s="1068"/>
      <c r="M1089" s="1068"/>
      <c r="N1089" s="1068"/>
      <c r="O1089" s="1068"/>
    </row>
    <row r="1090" spans="1:24" s="3" customFormat="1" x14ac:dyDescent="0.35">
      <c r="B1090" s="125"/>
      <c r="C1090" s="288"/>
      <c r="D1090" s="672"/>
      <c r="E1090" s="672"/>
      <c r="F1090" s="672"/>
      <c r="G1090" s="672"/>
      <c r="H1090" s="672"/>
      <c r="I1090" s="672"/>
      <c r="J1090" s="672"/>
      <c r="K1090" s="672" t="s">
        <v>11</v>
      </c>
      <c r="L1090" s="672"/>
      <c r="M1090" s="672"/>
      <c r="N1090" s="672"/>
      <c r="O1090" s="289"/>
    </row>
    <row r="1091" spans="1:24" s="3" customFormat="1" x14ac:dyDescent="0.35">
      <c r="B1091" s="1068" t="s">
        <v>381</v>
      </c>
      <c r="C1091" s="1068"/>
      <c r="D1091" s="1068"/>
      <c r="E1091" s="1068"/>
      <c r="F1091" s="1068"/>
      <c r="G1091" s="1068"/>
      <c r="H1091" s="1068"/>
      <c r="I1091" s="1068"/>
      <c r="J1091" s="1068"/>
      <c r="K1091" s="555">
        <v>2025</v>
      </c>
      <c r="L1091" s="173"/>
      <c r="M1091" s="173"/>
      <c r="N1091" s="173"/>
      <c r="O1091" s="173"/>
    </row>
    <row r="1092" spans="1:24" s="3" customFormat="1" x14ac:dyDescent="0.35">
      <c r="B1092" s="8"/>
      <c r="C1092" s="290"/>
      <c r="D1092" s="7"/>
      <c r="E1092" s="7"/>
      <c r="F1092" s="7"/>
      <c r="G1092" s="7"/>
      <c r="H1092" s="7"/>
      <c r="I1092" s="7"/>
      <c r="J1092" s="7"/>
      <c r="K1092" s="7"/>
      <c r="L1092" s="7"/>
      <c r="M1092" s="7"/>
      <c r="N1092" s="7"/>
      <c r="O1092" s="7"/>
    </row>
    <row r="1093" spans="1:24" s="3" customFormat="1" ht="15" customHeight="1" x14ac:dyDescent="0.35">
      <c r="B1093" s="1074" t="s">
        <v>13</v>
      </c>
      <c r="C1093" s="1072" t="s">
        <v>0</v>
      </c>
      <c r="D1093" s="1072" t="s">
        <v>1</v>
      </c>
      <c r="E1093" s="1072" t="s">
        <v>2</v>
      </c>
      <c r="F1093" s="1072" t="s">
        <v>3</v>
      </c>
      <c r="G1093" s="1072" t="s">
        <v>4</v>
      </c>
      <c r="H1093" s="1072" t="s">
        <v>5</v>
      </c>
      <c r="I1093" s="1072" t="s">
        <v>6</v>
      </c>
      <c r="J1093" s="1072" t="s">
        <v>7</v>
      </c>
      <c r="K1093" s="1072" t="s">
        <v>8</v>
      </c>
      <c r="L1093" s="1072" t="s">
        <v>9</v>
      </c>
      <c r="M1093" s="1072" t="s">
        <v>10</v>
      </c>
      <c r="N1093" s="1072" t="s">
        <v>14</v>
      </c>
      <c r="O1093" s="1074" t="s">
        <v>15</v>
      </c>
    </row>
    <row r="1094" spans="1:24" s="3" customFormat="1" ht="15" customHeight="1" x14ac:dyDescent="0.35">
      <c r="B1094" s="1080"/>
      <c r="C1094" s="1073"/>
      <c r="D1094" s="1073"/>
      <c r="E1094" s="1073"/>
      <c r="F1094" s="1073"/>
      <c r="G1094" s="1073"/>
      <c r="H1094" s="1073"/>
      <c r="I1094" s="1073"/>
      <c r="J1094" s="1073"/>
      <c r="K1094" s="1073"/>
      <c r="L1094" s="1073"/>
      <c r="M1094" s="1079"/>
      <c r="N1094" s="1079"/>
      <c r="O1094" s="1081"/>
    </row>
    <row r="1095" spans="1:24" s="3" customFormat="1" x14ac:dyDescent="0.35">
      <c r="B1095" s="447"/>
      <c r="C1095" s="632">
        <v>1.7462298274040222E-9</v>
      </c>
      <c r="D1095" s="632">
        <v>3.2596290111541748E-9</v>
      </c>
      <c r="E1095" s="632">
        <v>5.9371814131736755E-9</v>
      </c>
      <c r="F1095" s="632">
        <v>0</v>
      </c>
      <c r="G1095" s="632">
        <v>0</v>
      </c>
      <c r="H1095" s="632">
        <v>-4.3073669075965881E-9</v>
      </c>
      <c r="I1095" s="632">
        <v>0</v>
      </c>
      <c r="J1095" s="632">
        <v>0</v>
      </c>
      <c r="K1095" s="632">
        <v>0</v>
      </c>
      <c r="L1095" s="632">
        <v>-8.7311491370201111E-9</v>
      </c>
      <c r="M1095" s="632">
        <v>1.6414560377597809E-8</v>
      </c>
      <c r="N1095" s="632">
        <v>5.8207660913467407E-9</v>
      </c>
      <c r="O1095" s="10"/>
    </row>
    <row r="1096" spans="1:24" s="3" customFormat="1" x14ac:dyDescent="0.35">
      <c r="B1096" s="291" t="s">
        <v>216</v>
      </c>
      <c r="C1096" s="292">
        <v>945476.55853500299</v>
      </c>
      <c r="D1096" s="292">
        <v>995664.8902410001</v>
      </c>
      <c r="E1096" s="292">
        <v>958330.27264300559</v>
      </c>
      <c r="F1096" s="292">
        <v>907060.64240000327</v>
      </c>
      <c r="G1096" s="292">
        <v>1092372.2112019989</v>
      </c>
      <c r="H1096" s="292">
        <v>881870.28539099591</v>
      </c>
      <c r="I1096" s="292">
        <v>962535.81601000286</v>
      </c>
      <c r="J1096" s="292">
        <v>1024912.6715200008</v>
      </c>
      <c r="K1096" s="292">
        <v>861491.46617000271</v>
      </c>
      <c r="L1096" s="292">
        <v>910483.28729099035</v>
      </c>
      <c r="M1096" s="292">
        <v>932016.38868001231</v>
      </c>
      <c r="N1096" s="292">
        <v>1033331.9421270178</v>
      </c>
      <c r="O1096" s="293">
        <v>11505546.432210032</v>
      </c>
    </row>
    <row r="1097" spans="1:24" x14ac:dyDescent="0.35">
      <c r="B1097" s="127"/>
      <c r="C1097" s="128"/>
      <c r="D1097" s="128"/>
      <c r="E1097" s="128"/>
      <c r="F1097" s="128"/>
      <c r="G1097" s="128"/>
      <c r="H1097" s="128"/>
      <c r="I1097" s="128"/>
      <c r="J1097" s="128"/>
      <c r="K1097" s="128"/>
      <c r="L1097" s="128"/>
      <c r="M1097" s="128"/>
      <c r="N1097" s="128"/>
      <c r="O1097" s="126"/>
      <c r="P1097" s="3"/>
      <c r="Q1097" s="3"/>
      <c r="R1097" s="3"/>
      <c r="S1097" s="3"/>
      <c r="T1097" s="3"/>
      <c r="U1097" s="3"/>
      <c r="V1097" s="3"/>
    </row>
    <row r="1098" spans="1:24" ht="15" customHeight="1" x14ac:dyDescent="0.35">
      <c r="B1098" s="236" t="s">
        <v>177</v>
      </c>
      <c r="C1098" s="131">
        <v>528219.14933500311</v>
      </c>
      <c r="D1098" s="131">
        <v>523683.17669100105</v>
      </c>
      <c r="E1098" s="131">
        <v>570699.23769300547</v>
      </c>
      <c r="F1098" s="131">
        <v>579760.52240000351</v>
      </c>
      <c r="G1098" s="131">
        <v>622321.06784199912</v>
      </c>
      <c r="H1098" s="131">
        <v>571522.07177099562</v>
      </c>
      <c r="I1098" s="131">
        <v>602029.93069000251</v>
      </c>
      <c r="J1098" s="131">
        <v>668556.66852000251</v>
      </c>
      <c r="K1098" s="131">
        <v>602459.25983000291</v>
      </c>
      <c r="L1098" s="131">
        <v>672935.57929099014</v>
      </c>
      <c r="M1098" s="131">
        <v>622494.57468001172</v>
      </c>
      <c r="N1098" s="131">
        <v>625029.65612701839</v>
      </c>
      <c r="O1098" s="294">
        <v>7189710.8948700354</v>
      </c>
      <c r="Q1098" s="327"/>
      <c r="R1098" s="327"/>
      <c r="S1098" s="334"/>
      <c r="T1098" s="334"/>
      <c r="U1098" s="334"/>
      <c r="V1098" s="334"/>
      <c r="W1098" s="333"/>
      <c r="X1098" s="333"/>
    </row>
    <row r="1099" spans="1:24" ht="15" customHeight="1" x14ac:dyDescent="0.35">
      <c r="B1099" s="236" t="s">
        <v>178</v>
      </c>
      <c r="C1099" s="131">
        <v>417257.40919999988</v>
      </c>
      <c r="D1099" s="131">
        <v>471981.71354999905</v>
      </c>
      <c r="E1099" s="131">
        <v>387631.03495000012</v>
      </c>
      <c r="F1099" s="131">
        <v>327300.11999999982</v>
      </c>
      <c r="G1099" s="131">
        <v>470051.14335999981</v>
      </c>
      <c r="H1099" s="131">
        <v>310348.21362000029</v>
      </c>
      <c r="I1099" s="131">
        <v>360505.88532000035</v>
      </c>
      <c r="J1099" s="131">
        <v>356356.00299999828</v>
      </c>
      <c r="K1099" s="131">
        <v>259032.2063399998</v>
      </c>
      <c r="L1099" s="131">
        <v>237547.70800000022</v>
      </c>
      <c r="M1099" s="131">
        <v>309521.8140000006</v>
      </c>
      <c r="N1099" s="131">
        <v>408302.28599999944</v>
      </c>
      <c r="O1099" s="294">
        <v>4315835.5373399975</v>
      </c>
      <c r="P1099" s="327"/>
      <c r="Q1099" s="327"/>
      <c r="R1099" s="327"/>
      <c r="S1099" s="334"/>
      <c r="T1099" s="334"/>
      <c r="U1099" s="334"/>
      <c r="V1099" s="334"/>
      <c r="W1099" s="334"/>
      <c r="X1099" s="334"/>
    </row>
    <row r="1100" spans="1:24" ht="15" customHeight="1" x14ac:dyDescent="0.35">
      <c r="B1100" s="130"/>
      <c r="C1100" s="632">
        <v>-1.1641532182693481E-9</v>
      </c>
      <c r="D1100" s="632">
        <v>0</v>
      </c>
      <c r="E1100" s="632">
        <v>0</v>
      </c>
      <c r="F1100" s="632">
        <v>0</v>
      </c>
      <c r="G1100" s="632">
        <v>0</v>
      </c>
      <c r="H1100" s="632">
        <v>0</v>
      </c>
      <c r="I1100" s="632">
        <v>0</v>
      </c>
      <c r="J1100" s="632">
        <v>0</v>
      </c>
      <c r="K1100" s="632">
        <v>0</v>
      </c>
      <c r="L1100" s="632">
        <v>0</v>
      </c>
      <c r="M1100" s="632">
        <v>0</v>
      </c>
      <c r="N1100" s="632">
        <v>0</v>
      </c>
      <c r="O1100" s="131"/>
      <c r="P1100" s="327"/>
      <c r="Q1100" s="327"/>
      <c r="R1100" s="330"/>
      <c r="S1100" s="334"/>
      <c r="T1100" s="334"/>
      <c r="U1100" s="334"/>
      <c r="V1100" s="334"/>
      <c r="W1100" s="334"/>
      <c r="X1100" s="334"/>
    </row>
    <row r="1101" spans="1:24" x14ac:dyDescent="0.35">
      <c r="B1101" s="291" t="s">
        <v>217</v>
      </c>
      <c r="C1101" s="292">
        <v>677666.98195399449</v>
      </c>
      <c r="D1101" s="292">
        <v>662708.98019999976</v>
      </c>
      <c r="E1101" s="292">
        <v>758212.39799999841</v>
      </c>
      <c r="F1101" s="292">
        <v>694048.38229000394</v>
      </c>
      <c r="G1101" s="292">
        <v>804356.93100000033</v>
      </c>
      <c r="H1101" s="292">
        <v>706147.51300000027</v>
      </c>
      <c r="I1101" s="292">
        <v>693679.67462000158</v>
      </c>
      <c r="J1101" s="292">
        <v>693753.80300000147</v>
      </c>
      <c r="K1101" s="292">
        <v>549444.17674999987</v>
      </c>
      <c r="L1101" s="292">
        <v>558892.47100000258</v>
      </c>
      <c r="M1101" s="292">
        <v>557718.59899999993</v>
      </c>
      <c r="N1101" s="292">
        <v>704719.82450000849</v>
      </c>
      <c r="O1101" s="293">
        <v>8061349.7353140106</v>
      </c>
      <c r="P1101" s="327"/>
      <c r="Q1101" s="47"/>
      <c r="R1101" s="330"/>
      <c r="S1101" s="336"/>
      <c r="T1101" s="336"/>
      <c r="U1101" s="336"/>
      <c r="V1101" s="336"/>
      <c r="W1101" s="336"/>
      <c r="X1101" s="336"/>
    </row>
    <row r="1102" spans="1:24" x14ac:dyDescent="0.35">
      <c r="A1102" s="359"/>
      <c r="B1102" s="127"/>
      <c r="C1102" s="128"/>
      <c r="D1102" s="128"/>
      <c r="E1102" s="128"/>
      <c r="F1102" s="128"/>
      <c r="G1102" s="128"/>
      <c r="H1102" s="128"/>
      <c r="I1102" s="128"/>
      <c r="J1102" s="128"/>
      <c r="K1102" s="128"/>
      <c r="L1102" s="128"/>
      <c r="M1102" s="128"/>
      <c r="N1102" s="128"/>
      <c r="O1102" s="126"/>
      <c r="P1102" s="47"/>
      <c r="R1102" s="330"/>
      <c r="S1102" s="335"/>
      <c r="T1102" s="335"/>
      <c r="U1102" s="335"/>
      <c r="V1102" s="335"/>
      <c r="W1102" s="335"/>
      <c r="X1102" s="335"/>
    </row>
    <row r="1103" spans="1:24" x14ac:dyDescent="0.35">
      <c r="B1103" s="236" t="s">
        <v>177</v>
      </c>
      <c r="C1103" s="131">
        <v>285666.60377999308</v>
      </c>
      <c r="D1103" s="131">
        <v>275132.49619999883</v>
      </c>
      <c r="E1103" s="131">
        <v>272972.28099999763</v>
      </c>
      <c r="F1103" s="131">
        <v>359074.61634000367</v>
      </c>
      <c r="G1103" s="131">
        <v>413196.95000000083</v>
      </c>
      <c r="H1103" s="131">
        <v>364035.6360000011</v>
      </c>
      <c r="I1103" s="131">
        <v>337801.07500000251</v>
      </c>
      <c r="J1103" s="131">
        <v>375766.81300000194</v>
      </c>
      <c r="K1103" s="131">
        <v>285915.76</v>
      </c>
      <c r="L1103" s="131">
        <v>331678.38000000239</v>
      </c>
      <c r="M1103" s="131">
        <v>284377.31699999905</v>
      </c>
      <c r="N1103" s="131">
        <v>357344.91950000892</v>
      </c>
      <c r="O1103" s="294">
        <v>3942962.8478200091</v>
      </c>
      <c r="Q1103" s="41"/>
      <c r="R1103" s="330"/>
      <c r="S1103" s="41"/>
      <c r="T1103" s="41"/>
      <c r="U1103" s="41"/>
      <c r="V1103" s="41"/>
      <c r="W1103" s="41"/>
      <c r="X1103" s="41"/>
    </row>
    <row r="1104" spans="1:24" x14ac:dyDescent="0.35">
      <c r="B1104" s="236" t="s">
        <v>178</v>
      </c>
      <c r="C1104" s="131">
        <v>392000.37817400141</v>
      </c>
      <c r="D1104" s="131">
        <v>387576.48400000093</v>
      </c>
      <c r="E1104" s="131">
        <v>485240.11700000073</v>
      </c>
      <c r="F1104" s="131">
        <v>334973.76595000026</v>
      </c>
      <c r="G1104" s="131">
        <v>391159.98099999945</v>
      </c>
      <c r="H1104" s="131">
        <v>342111.87699999916</v>
      </c>
      <c r="I1104" s="131">
        <v>355878.599619999</v>
      </c>
      <c r="J1104" s="131">
        <v>317986.98999999958</v>
      </c>
      <c r="K1104" s="131">
        <v>263528.41674999986</v>
      </c>
      <c r="L1104" s="131">
        <v>227214.09100000016</v>
      </c>
      <c r="M1104" s="131">
        <v>273341.28200000094</v>
      </c>
      <c r="N1104" s="131">
        <v>347374.90499999956</v>
      </c>
      <c r="O1104" s="294">
        <v>4118386.8874940015</v>
      </c>
      <c r="P1104" s="41"/>
      <c r="Q1104" s="41"/>
      <c r="R1104" s="41"/>
      <c r="S1104" s="331"/>
      <c r="T1104" s="331"/>
      <c r="U1104" s="331"/>
      <c r="V1104" s="41"/>
      <c r="W1104" s="41"/>
      <c r="X1104" s="41"/>
    </row>
    <row r="1105" spans="1:24" s="42" customFormat="1" x14ac:dyDescent="0.35">
      <c r="B1105" s="130"/>
      <c r="C1105" s="169"/>
      <c r="D1105" s="169"/>
      <c r="E1105" s="169"/>
      <c r="F1105" s="169"/>
      <c r="G1105" s="169"/>
      <c r="H1105" s="169"/>
      <c r="I1105" s="169"/>
      <c r="J1105" s="169"/>
      <c r="K1105" s="169"/>
      <c r="L1105" s="169"/>
      <c r="M1105" s="169"/>
      <c r="N1105" s="169"/>
      <c r="O1105" s="131"/>
      <c r="P1105" s="41"/>
      <c r="Q1105" s="324"/>
      <c r="R1105" s="324"/>
      <c r="S1105" s="25"/>
      <c r="T1105" s="25"/>
      <c r="U1105" s="25"/>
      <c r="V1105" s="324"/>
      <c r="W1105" s="324"/>
      <c r="X1105" s="324"/>
    </row>
    <row r="1106" spans="1:24" x14ac:dyDescent="0.35">
      <c r="A1106" s="359"/>
      <c r="B1106" s="431" t="s">
        <v>179</v>
      </c>
      <c r="C1106" s="295">
        <v>1623143.5404889975</v>
      </c>
      <c r="D1106" s="295">
        <v>1658373.870441</v>
      </c>
      <c r="E1106" s="295">
        <v>1716542.6706430041</v>
      </c>
      <c r="F1106" s="295">
        <v>1601109.0246900073</v>
      </c>
      <c r="G1106" s="295">
        <v>1896729.1422019992</v>
      </c>
      <c r="H1106" s="295">
        <v>1588017.7983909962</v>
      </c>
      <c r="I1106" s="295">
        <v>1656215.4906300046</v>
      </c>
      <c r="J1106" s="295">
        <v>1718666.4745200023</v>
      </c>
      <c r="K1106" s="295">
        <v>1410935.6429200026</v>
      </c>
      <c r="L1106" s="295">
        <v>1469375.758290993</v>
      </c>
      <c r="M1106" s="295">
        <v>1489734.9876800124</v>
      </c>
      <c r="N1106" s="295">
        <v>1738051.7666270263</v>
      </c>
      <c r="O1106" s="296">
        <v>19566896.167524043</v>
      </c>
      <c r="Q1106" s="28">
        <f>O1106/O73</f>
        <v>0.41688815535506879</v>
      </c>
      <c r="S1106" s="25"/>
      <c r="T1106" s="25"/>
      <c r="U1106" s="25"/>
    </row>
    <row r="1107" spans="1:24" x14ac:dyDescent="0.35">
      <c r="A1107" s="359"/>
      <c r="B1107" s="130"/>
      <c r="C1107" s="169"/>
      <c r="D1107" s="169"/>
      <c r="E1107" s="169"/>
      <c r="F1107" s="169"/>
      <c r="G1107" s="169"/>
      <c r="H1107" s="169"/>
      <c r="I1107" s="169"/>
      <c r="J1107" s="169"/>
      <c r="K1107" s="169"/>
      <c r="L1107" s="169"/>
      <c r="M1107" s="169"/>
      <c r="N1107" s="169"/>
      <c r="O1107" s="131"/>
      <c r="S1107" s="25"/>
      <c r="T1107" s="25"/>
      <c r="U1107" s="25"/>
    </row>
    <row r="1108" spans="1:24" x14ac:dyDescent="0.35">
      <c r="B1108" s="236" t="s">
        <v>177</v>
      </c>
      <c r="C1108" s="297">
        <v>813885.75311499625</v>
      </c>
      <c r="D1108" s="297">
        <v>798815.67289099982</v>
      </c>
      <c r="E1108" s="297">
        <v>843671.5186930031</v>
      </c>
      <c r="F1108" s="297">
        <v>938835.13874000718</v>
      </c>
      <c r="G1108" s="297">
        <v>1035518.0178419999</v>
      </c>
      <c r="H1108" s="297">
        <v>935557.70777099673</v>
      </c>
      <c r="I1108" s="297">
        <v>939831.00569000503</v>
      </c>
      <c r="J1108" s="297">
        <v>1044323.4815200045</v>
      </c>
      <c r="K1108" s="297">
        <v>888375.01983000292</v>
      </c>
      <c r="L1108" s="297">
        <v>1004613.9592909925</v>
      </c>
      <c r="M1108" s="297">
        <v>906871.89168001083</v>
      </c>
      <c r="N1108" s="297">
        <v>982374.57562702731</v>
      </c>
      <c r="O1108" s="294">
        <v>11132673.742690045</v>
      </c>
      <c r="P1108" s="28">
        <f>O1108/$O$1106</f>
        <v>0.56895450598687114</v>
      </c>
      <c r="S1108" s="25"/>
      <c r="T1108" s="25"/>
      <c r="U1108" s="25"/>
    </row>
    <row r="1109" spans="1:24" x14ac:dyDescent="0.35">
      <c r="B1109" s="236" t="s">
        <v>178</v>
      </c>
      <c r="C1109" s="297">
        <v>809257.78737400123</v>
      </c>
      <c r="D1109" s="297">
        <v>859558.19754999992</v>
      </c>
      <c r="E1109" s="297">
        <v>872871.15195000079</v>
      </c>
      <c r="F1109" s="297">
        <v>662273.88595000003</v>
      </c>
      <c r="G1109" s="297">
        <v>861211.12435999932</v>
      </c>
      <c r="H1109" s="297">
        <v>652460.09061999945</v>
      </c>
      <c r="I1109" s="297">
        <v>716384.48493999941</v>
      </c>
      <c r="J1109" s="297">
        <v>674342.99299999792</v>
      </c>
      <c r="K1109" s="297">
        <v>522560.62308999966</v>
      </c>
      <c r="L1109" s="297">
        <v>464761.79900000035</v>
      </c>
      <c r="M1109" s="297">
        <v>582863.09600000153</v>
      </c>
      <c r="N1109" s="297">
        <v>755677.19099999894</v>
      </c>
      <c r="O1109" s="294">
        <v>8434222.4248339999</v>
      </c>
      <c r="P1109" s="28">
        <f>O1109/$O$1106</f>
        <v>0.43104549401312892</v>
      </c>
    </row>
    <row r="1110" spans="1:24" x14ac:dyDescent="0.35">
      <c r="B1110" s="240"/>
      <c r="C1110" s="298"/>
      <c r="D1110" s="298"/>
      <c r="E1110" s="298"/>
      <c r="F1110" s="298"/>
      <c r="G1110" s="298"/>
      <c r="H1110" s="298"/>
      <c r="I1110" s="298"/>
      <c r="J1110" s="298"/>
      <c r="K1110" s="298"/>
      <c r="L1110" s="298"/>
      <c r="M1110" s="298"/>
      <c r="N1110" s="298"/>
      <c r="O1110" s="299"/>
      <c r="Q1110" s="327"/>
      <c r="R1110" s="381">
        <f>Q1111/O739</f>
        <v>1.0265926426073E-2</v>
      </c>
      <c r="S1110" s="327"/>
      <c r="T1110" s="333"/>
      <c r="U1110" s="333"/>
      <c r="V1110" s="333"/>
      <c r="W1110" s="333"/>
      <c r="X1110" s="333"/>
    </row>
    <row r="1111" spans="1:24" x14ac:dyDescent="0.35">
      <c r="B1111" s="125"/>
      <c r="C1111" s="300"/>
      <c r="D1111" s="673"/>
      <c r="E1111" s="673"/>
      <c r="F1111" s="673"/>
      <c r="G1111" s="673"/>
      <c r="H1111" s="673"/>
      <c r="I1111" s="673"/>
      <c r="J1111" s="673"/>
      <c r="K1111" s="673"/>
      <c r="L1111" s="673"/>
      <c r="M1111" s="673"/>
      <c r="N1111" s="673"/>
      <c r="O1111" s="301"/>
      <c r="P1111" s="327"/>
      <c r="Q1111" s="359">
        <f>O739-O1109</f>
        <v>87483.202999996021</v>
      </c>
      <c r="R1111" s="381">
        <f>O1109/O739</f>
        <v>0.98973407357392695</v>
      </c>
      <c r="S1111" s="327"/>
      <c r="T1111" s="334"/>
      <c r="U1111" s="334"/>
      <c r="V1111" s="334"/>
      <c r="W1111" s="334"/>
      <c r="X1111" s="334"/>
    </row>
    <row r="1112" spans="1:24" x14ac:dyDescent="0.35">
      <c r="B1112" s="1068" t="s">
        <v>382</v>
      </c>
      <c r="C1112" s="1068"/>
      <c r="D1112" s="1068"/>
      <c r="E1112" s="1068"/>
      <c r="F1112" s="1068"/>
      <c r="G1112" s="1068"/>
      <c r="H1112" s="1068"/>
      <c r="I1112" s="1068"/>
      <c r="J1112" s="1068"/>
      <c r="K1112" s="1068"/>
      <c r="L1112" s="1068"/>
      <c r="M1112" s="555">
        <v>2025</v>
      </c>
      <c r="N1112" s="173"/>
      <c r="O1112" s="173"/>
      <c r="P1112" s="327"/>
      <c r="Q1112" s="327"/>
      <c r="R1112" s="327"/>
      <c r="S1112" s="327"/>
      <c r="T1112" s="334"/>
      <c r="U1112" s="334"/>
      <c r="V1112" s="334"/>
      <c r="W1112" s="334"/>
      <c r="X1112" s="334"/>
    </row>
    <row r="1113" spans="1:24" x14ac:dyDescent="0.35">
      <c r="B1113" s="553"/>
      <c r="C1113" s="302"/>
      <c r="D1113" s="395"/>
      <c r="E1113" s="395"/>
      <c r="F1113" s="395"/>
      <c r="G1113" s="395"/>
      <c r="H1113" s="395"/>
      <c r="I1113" s="395"/>
      <c r="J1113" s="395"/>
      <c r="K1113" s="395"/>
      <c r="L1113" s="395"/>
      <c r="M1113" s="395"/>
      <c r="N1113" s="674"/>
      <c r="O1113" s="7"/>
      <c r="P1113" s="24"/>
      <c r="Q1113" s="327"/>
      <c r="R1113" s="327"/>
      <c r="S1113" s="327"/>
      <c r="T1113" s="335"/>
      <c r="U1113" s="335"/>
      <c r="V1113" s="335"/>
      <c r="W1113" s="335"/>
      <c r="X1113" s="335"/>
    </row>
    <row r="1114" spans="1:24" ht="15" customHeight="1" x14ac:dyDescent="0.35">
      <c r="B1114" s="1074" t="s">
        <v>13</v>
      </c>
      <c r="C1114" s="1072" t="s">
        <v>0</v>
      </c>
      <c r="D1114" s="1072" t="s">
        <v>1</v>
      </c>
      <c r="E1114" s="1072" t="s">
        <v>2</v>
      </c>
      <c r="F1114" s="1072" t="s">
        <v>3</v>
      </c>
      <c r="G1114" s="1072" t="s">
        <v>4</v>
      </c>
      <c r="H1114" s="1072" t="s">
        <v>5</v>
      </c>
      <c r="I1114" s="1072" t="s">
        <v>6</v>
      </c>
      <c r="J1114" s="1072" t="s">
        <v>7</v>
      </c>
      <c r="K1114" s="1072" t="s">
        <v>8</v>
      </c>
      <c r="L1114" s="1072" t="s">
        <v>9</v>
      </c>
      <c r="M1114" s="1072" t="s">
        <v>10</v>
      </c>
      <c r="N1114" s="1072" t="s">
        <v>14</v>
      </c>
      <c r="O1114" s="1074" t="s">
        <v>15</v>
      </c>
      <c r="P1114" s="40"/>
      <c r="Q1114" s="327"/>
      <c r="R1114" s="327"/>
      <c r="S1114" s="327"/>
      <c r="T1114" s="335"/>
      <c r="U1114" s="335"/>
      <c r="V1114" s="335"/>
      <c r="W1114" s="335"/>
      <c r="X1114" s="335"/>
    </row>
    <row r="1115" spans="1:24" ht="15" customHeight="1" x14ac:dyDescent="0.35">
      <c r="B1115" s="1080"/>
      <c r="C1115" s="1073"/>
      <c r="D1115" s="1073"/>
      <c r="E1115" s="1073"/>
      <c r="F1115" s="1073"/>
      <c r="G1115" s="1073"/>
      <c r="H1115" s="1073"/>
      <c r="I1115" s="1073"/>
      <c r="J1115" s="1073"/>
      <c r="K1115" s="1073"/>
      <c r="L1115" s="1073"/>
      <c r="M1115" s="1081"/>
      <c r="N1115" s="1081"/>
      <c r="O1115" s="1081"/>
      <c r="P1115" s="40"/>
      <c r="Q1115" s="327"/>
      <c r="R1115" s="327"/>
      <c r="S1115" s="327"/>
      <c r="T1115" s="327"/>
      <c r="U1115" s="327"/>
      <c r="V1115" s="327"/>
      <c r="W1115" s="327"/>
      <c r="X1115" s="327"/>
    </row>
    <row r="1116" spans="1:24" x14ac:dyDescent="0.35">
      <c r="B1116" s="447"/>
      <c r="C1116" s="632">
        <v>-1.7462298274040222E-9</v>
      </c>
      <c r="D1116" s="632">
        <v>-3.2596290111541748E-9</v>
      </c>
      <c r="E1116" s="632">
        <v>-5.9371814131736755E-9</v>
      </c>
      <c r="F1116" s="632">
        <v>0</v>
      </c>
      <c r="G1116" s="632">
        <v>0</v>
      </c>
      <c r="H1116" s="632">
        <v>4.3073669075965881E-9</v>
      </c>
      <c r="I1116" s="632">
        <v>0</v>
      </c>
      <c r="J1116" s="632">
        <v>0</v>
      </c>
      <c r="K1116" s="632">
        <v>0</v>
      </c>
      <c r="L1116" s="632">
        <v>8.7311491370201111E-9</v>
      </c>
      <c r="M1116" s="632">
        <v>-1.6414560377597809E-8</v>
      </c>
      <c r="N1116" s="632">
        <v>-5.8207660913467407E-9</v>
      </c>
      <c r="O1116" s="304"/>
      <c r="P1116" s="40"/>
      <c r="Q1116" s="327"/>
      <c r="R1116" s="327"/>
      <c r="S1116" s="327"/>
      <c r="T1116" s="327"/>
      <c r="U1116" s="327"/>
      <c r="V1116" s="327"/>
      <c r="W1116" s="327"/>
      <c r="X1116" s="327"/>
    </row>
    <row r="1117" spans="1:24" x14ac:dyDescent="0.35">
      <c r="B1117" s="647" t="s">
        <v>47</v>
      </c>
      <c r="C1117" s="162">
        <v>945476.55853500124</v>
      </c>
      <c r="D1117" s="162">
        <v>995664.89024099684</v>
      </c>
      <c r="E1117" s="162">
        <v>958330.27264299965</v>
      </c>
      <c r="F1117" s="162">
        <v>907060.64240000257</v>
      </c>
      <c r="G1117" s="162">
        <v>1092372.2112019986</v>
      </c>
      <c r="H1117" s="162">
        <v>881870.28539100022</v>
      </c>
      <c r="I1117" s="162">
        <v>962535.81601000309</v>
      </c>
      <c r="J1117" s="162">
        <v>1024912.6715200003</v>
      </c>
      <c r="K1117" s="162">
        <v>861491.46617000236</v>
      </c>
      <c r="L1117" s="162">
        <v>910483.28729099908</v>
      </c>
      <c r="M1117" s="162">
        <v>932016.3886799959</v>
      </c>
      <c r="N1117" s="162">
        <v>1033331.9421270119</v>
      </c>
      <c r="O1117" s="305">
        <v>11505546.432210011</v>
      </c>
      <c r="P1117" s="40"/>
      <c r="Q1117" s="327"/>
      <c r="R1117" s="327"/>
      <c r="S1117" s="327"/>
      <c r="T1117" s="333"/>
      <c r="U1117" s="333"/>
      <c r="V1117" s="333"/>
      <c r="W1117" s="333"/>
      <c r="X1117" s="333"/>
    </row>
    <row r="1118" spans="1:24" x14ac:dyDescent="0.35">
      <c r="B1118" s="647"/>
      <c r="C1118" s="162"/>
      <c r="D1118" s="162"/>
      <c r="E1118" s="162"/>
      <c r="F1118" s="162"/>
      <c r="G1118" s="162"/>
      <c r="H1118" s="162"/>
      <c r="I1118" s="162"/>
      <c r="J1118" s="162"/>
      <c r="K1118" s="162"/>
      <c r="L1118" s="162"/>
      <c r="M1118" s="162"/>
      <c r="N1118" s="162"/>
      <c r="O1118" s="306"/>
      <c r="P1118" s="40"/>
      <c r="Q1118" s="327"/>
      <c r="R1118" s="327"/>
      <c r="S1118" s="327"/>
      <c r="T1118" s="334"/>
      <c r="U1118" s="334"/>
      <c r="V1118" s="334"/>
      <c r="W1118" s="334"/>
      <c r="X1118" s="334"/>
    </row>
    <row r="1119" spans="1:24" ht="13.5" customHeight="1" x14ac:dyDescent="0.35">
      <c r="B1119" s="666" t="s">
        <v>167</v>
      </c>
      <c r="C1119" s="275">
        <v>449214.44231300143</v>
      </c>
      <c r="D1119" s="275">
        <v>451990.76955099771</v>
      </c>
      <c r="E1119" s="275">
        <v>492449.46757299965</v>
      </c>
      <c r="F1119" s="275">
        <v>480810.21424000256</v>
      </c>
      <c r="G1119" s="275">
        <v>511794.7739719997</v>
      </c>
      <c r="H1119" s="275">
        <v>495192.98946100002</v>
      </c>
      <c r="I1119" s="275">
        <v>513564.21393000335</v>
      </c>
      <c r="J1119" s="275">
        <v>545873.04552000132</v>
      </c>
      <c r="K1119" s="275">
        <v>513221.33383000182</v>
      </c>
      <c r="L1119" s="275">
        <v>582919.47258099844</v>
      </c>
      <c r="M1119" s="275">
        <v>525226.23417999584</v>
      </c>
      <c r="N1119" s="275">
        <v>533534.97292701236</v>
      </c>
      <c r="O1119" s="305">
        <v>6095791.9300780138</v>
      </c>
      <c r="P1119" s="24"/>
      <c r="Q1119" s="327"/>
      <c r="R1119" s="327"/>
      <c r="S1119" s="327"/>
      <c r="T1119" s="334"/>
      <c r="U1119" s="334"/>
      <c r="V1119" s="334"/>
      <c r="W1119" s="334"/>
      <c r="X1119" s="334"/>
    </row>
    <row r="1120" spans="1:24" s="41" customFormat="1" ht="21.75" customHeight="1" x14ac:dyDescent="0.35">
      <c r="B1120" s="666"/>
      <c r="C1120" s="275"/>
      <c r="D1120" s="275"/>
      <c r="E1120" s="275"/>
      <c r="F1120" s="275"/>
      <c r="G1120" s="275"/>
      <c r="H1120" s="275"/>
      <c r="I1120" s="275"/>
      <c r="J1120" s="275"/>
      <c r="K1120" s="275"/>
      <c r="L1120" s="275"/>
      <c r="M1120" s="275"/>
      <c r="N1120" s="275"/>
      <c r="O1120" s="305"/>
      <c r="P1120" s="40"/>
      <c r="Q1120" s="327"/>
      <c r="R1120" s="327"/>
      <c r="S1120" s="327"/>
      <c r="T1120" s="335"/>
      <c r="U1120" s="335"/>
      <c r="V1120" s="335"/>
      <c r="W1120" s="335"/>
      <c r="X1120" s="335"/>
    </row>
    <row r="1121" spans="2:24" x14ac:dyDescent="0.35">
      <c r="B1121" s="653" t="s">
        <v>168</v>
      </c>
      <c r="C1121" s="131">
        <v>6682.7593230000011</v>
      </c>
      <c r="D1121" s="131">
        <v>8359.2909999999956</v>
      </c>
      <c r="E1121" s="131">
        <v>9135.8311999999933</v>
      </c>
      <c r="F1121" s="131">
        <v>8859.6362259999987</v>
      </c>
      <c r="G1121" s="131">
        <v>8812.8327000000027</v>
      </c>
      <c r="H1121" s="131">
        <v>7741.6049999999996</v>
      </c>
      <c r="I1121" s="131">
        <v>11245.908000000009</v>
      </c>
      <c r="J1121" s="131">
        <v>7849.3310000000038</v>
      </c>
      <c r="K1121" s="131">
        <v>10432.861000000017</v>
      </c>
      <c r="L1121" s="131">
        <v>11476.990845000026</v>
      </c>
      <c r="M1121" s="131">
        <v>8695.4400000000169</v>
      </c>
      <c r="N1121" s="131">
        <v>9850.0315780000037</v>
      </c>
      <c r="O1121" s="166">
        <v>109142.51787200007</v>
      </c>
      <c r="P1121" s="40"/>
      <c r="Q1121" s="327"/>
      <c r="R1121" s="327"/>
      <c r="S1121" s="327"/>
      <c r="T1121" s="335"/>
      <c r="U1121" s="335"/>
      <c r="V1121" s="335"/>
      <c r="W1121" s="335"/>
      <c r="X1121" s="335"/>
    </row>
    <row r="1122" spans="2:24" x14ac:dyDescent="0.35">
      <c r="B1122" s="653" t="s">
        <v>169</v>
      </c>
      <c r="C1122" s="131">
        <v>383435.07168000139</v>
      </c>
      <c r="D1122" s="131">
        <v>391672.63855099771</v>
      </c>
      <c r="E1122" s="131">
        <v>429680.41956299957</v>
      </c>
      <c r="F1122" s="131">
        <v>401080.17901400244</v>
      </c>
      <c r="G1122" s="131">
        <v>428562.24139199924</v>
      </c>
      <c r="H1122" s="131">
        <v>421730.93746099988</v>
      </c>
      <c r="I1122" s="131">
        <v>449485.89293000329</v>
      </c>
      <c r="J1122" s="131">
        <v>476743.58852000145</v>
      </c>
      <c r="K1122" s="131">
        <v>454019.62083000189</v>
      </c>
      <c r="L1122" s="131">
        <v>508166.74473599816</v>
      </c>
      <c r="M1122" s="131">
        <v>457585.68917999562</v>
      </c>
      <c r="N1122" s="131">
        <v>465332.95634901203</v>
      </c>
      <c r="O1122" s="166">
        <v>5267495.9802060137</v>
      </c>
      <c r="P1122" s="40"/>
      <c r="Q1122" s="327"/>
      <c r="R1122" s="327"/>
      <c r="S1122" s="327"/>
      <c r="T1122" s="327"/>
      <c r="U1122" s="327"/>
      <c r="V1122" s="327"/>
      <c r="W1122" s="327"/>
      <c r="X1122" s="327"/>
    </row>
    <row r="1123" spans="2:24" x14ac:dyDescent="0.35">
      <c r="B1123" s="653" t="s">
        <v>170</v>
      </c>
      <c r="C1123" s="131">
        <v>59096.611310000058</v>
      </c>
      <c r="D1123" s="131">
        <v>51958.840000000018</v>
      </c>
      <c r="E1123" s="131">
        <v>53633.216810000042</v>
      </c>
      <c r="F1123" s="131">
        <v>70870.399000000121</v>
      </c>
      <c r="G1123" s="131">
        <v>74419.699880000422</v>
      </c>
      <c r="H1123" s="131">
        <v>65720.447000000146</v>
      </c>
      <c r="I1123" s="131">
        <v>52832.413000000081</v>
      </c>
      <c r="J1123" s="131">
        <v>61280.125999999931</v>
      </c>
      <c r="K1123" s="131">
        <v>48768.851999999919</v>
      </c>
      <c r="L1123" s="131">
        <v>63275.737000000212</v>
      </c>
      <c r="M1123" s="131">
        <v>58945.105000000243</v>
      </c>
      <c r="N1123" s="131">
        <v>58351.985000000357</v>
      </c>
      <c r="O1123" s="166">
        <v>719153.43200000143</v>
      </c>
      <c r="P1123" s="40"/>
    </row>
    <row r="1124" spans="2:24" x14ac:dyDescent="0.35">
      <c r="B1124" s="666"/>
      <c r="C1124" s="275"/>
      <c r="D1124" s="275"/>
      <c r="E1124" s="275"/>
      <c r="F1124" s="275"/>
      <c r="G1124" s="275"/>
      <c r="H1124" s="275"/>
      <c r="I1124" s="275"/>
      <c r="J1124" s="275"/>
      <c r="K1124" s="275"/>
      <c r="L1124" s="275"/>
      <c r="M1124" s="275"/>
      <c r="N1124" s="275"/>
      <c r="O1124" s="139"/>
      <c r="P1124" s="3"/>
    </row>
    <row r="1125" spans="2:24" x14ac:dyDescent="0.35">
      <c r="B1125" s="666" t="s">
        <v>171</v>
      </c>
      <c r="C1125" s="275">
        <v>417257.40919999988</v>
      </c>
      <c r="D1125" s="275">
        <v>471981.71354999905</v>
      </c>
      <c r="E1125" s="275">
        <v>387631.03495000012</v>
      </c>
      <c r="F1125" s="275">
        <v>327300.12000000023</v>
      </c>
      <c r="G1125" s="275">
        <v>470051.1433599983</v>
      </c>
      <c r="H1125" s="275">
        <v>310348.21362000029</v>
      </c>
      <c r="I1125" s="275">
        <v>360505.88531999983</v>
      </c>
      <c r="J1125" s="275">
        <v>356356.00299999933</v>
      </c>
      <c r="K1125" s="275">
        <v>259032.20633999971</v>
      </c>
      <c r="L1125" s="275">
        <v>237547.70800000001</v>
      </c>
      <c r="M1125" s="275">
        <v>309521.81399999955</v>
      </c>
      <c r="N1125" s="275">
        <v>408302.28599999944</v>
      </c>
      <c r="O1125" s="305">
        <v>4315835.5373399947</v>
      </c>
      <c r="P1125" s="24"/>
    </row>
    <row r="1126" spans="2:24" x14ac:dyDescent="0.35">
      <c r="B1126" s="666"/>
      <c r="C1126" s="139"/>
      <c r="D1126" s="275"/>
      <c r="E1126" s="275"/>
      <c r="F1126" s="275"/>
      <c r="G1126" s="275"/>
      <c r="H1126" s="275"/>
      <c r="I1126" s="275"/>
      <c r="J1126" s="275"/>
      <c r="K1126" s="275"/>
      <c r="L1126" s="275"/>
      <c r="M1126" s="275"/>
      <c r="N1126" s="275"/>
      <c r="O1126" s="139"/>
      <c r="Q1126" s="5"/>
      <c r="R1126" s="5"/>
      <c r="S1126" s="5"/>
      <c r="T1126" s="5"/>
      <c r="U1126" s="5"/>
      <c r="V1126" s="5"/>
      <c r="W1126" s="5"/>
      <c r="X1126" s="5"/>
    </row>
    <row r="1127" spans="2:24" s="42" customFormat="1" x14ac:dyDescent="0.35">
      <c r="B1127" s="666" t="s">
        <v>172</v>
      </c>
      <c r="C1127" s="275">
        <v>79004.707021999842</v>
      </c>
      <c r="D1127" s="275">
        <v>71692.407140000039</v>
      </c>
      <c r="E1127" s="275">
        <v>78249.770119999826</v>
      </c>
      <c r="F1127" s="275">
        <v>98950.308159999768</v>
      </c>
      <c r="G1127" s="275">
        <v>110526.29387000058</v>
      </c>
      <c r="H1127" s="275">
        <v>76329.082309999852</v>
      </c>
      <c r="I1127" s="275">
        <v>88465.716759999865</v>
      </c>
      <c r="J1127" s="275">
        <v>122683.62299999967</v>
      </c>
      <c r="K1127" s="275">
        <v>89237.926000000807</v>
      </c>
      <c r="L1127" s="275">
        <v>90016.106710000677</v>
      </c>
      <c r="M1127" s="275">
        <v>97268.34050000053</v>
      </c>
      <c r="N1127" s="275">
        <v>91494.683200000116</v>
      </c>
      <c r="O1127" s="305">
        <v>1093918.9647920015</v>
      </c>
      <c r="P1127" s="324"/>
      <c r="Q1127" s="5"/>
      <c r="R1127" s="5"/>
      <c r="S1127" s="5"/>
      <c r="T1127" s="5"/>
      <c r="U1127" s="5"/>
      <c r="V1127" s="5"/>
      <c r="W1127" s="5"/>
      <c r="X1127" s="5"/>
    </row>
    <row r="1128" spans="2:24" ht="18.75" customHeight="1" x14ac:dyDescent="0.35">
      <c r="B1128" s="666"/>
      <c r="C1128" s="275"/>
      <c r="D1128" s="275"/>
      <c r="E1128" s="275"/>
      <c r="F1128" s="275"/>
      <c r="G1128" s="275"/>
      <c r="H1128" s="275"/>
      <c r="I1128" s="275"/>
      <c r="J1128" s="275"/>
      <c r="K1128" s="275"/>
      <c r="L1128" s="275"/>
      <c r="M1128" s="275"/>
      <c r="N1128" s="275"/>
      <c r="O1128" s="305"/>
      <c r="P1128" s="42"/>
      <c r="Q1128" s="42"/>
      <c r="R1128" s="42"/>
      <c r="S1128" s="42"/>
      <c r="T1128" s="42"/>
      <c r="U1128" s="42"/>
      <c r="V1128" s="42"/>
    </row>
    <row r="1129" spans="2:24" x14ac:dyDescent="0.35">
      <c r="B1129" s="653" t="s">
        <v>168</v>
      </c>
      <c r="C1129" s="131">
        <v>1722.36</v>
      </c>
      <c r="D1129" s="131">
        <v>1311.2752500000001</v>
      </c>
      <c r="E1129" s="131">
        <v>2056.0619999999994</v>
      </c>
      <c r="F1129" s="131">
        <v>1481.4687800000004</v>
      </c>
      <c r="G1129" s="131">
        <v>1764.9480000000003</v>
      </c>
      <c r="H1129" s="131">
        <v>1409.3089999999997</v>
      </c>
      <c r="I1129" s="131">
        <v>2532.9199999999996</v>
      </c>
      <c r="J1129" s="131">
        <v>1255.27</v>
      </c>
      <c r="K1129" s="131">
        <v>2196.0379999999986</v>
      </c>
      <c r="L1129" s="131">
        <v>1549.9370000000004</v>
      </c>
      <c r="M1129" s="131">
        <v>1050.6529999999998</v>
      </c>
      <c r="N1129" s="131">
        <v>2086.683</v>
      </c>
      <c r="O1129" s="166">
        <v>20416.924029999998</v>
      </c>
    </row>
    <row r="1130" spans="2:24" ht="18.75" customHeight="1" x14ac:dyDescent="0.35">
      <c r="B1130" s="653" t="s">
        <v>169</v>
      </c>
      <c r="C1130" s="131">
        <v>75851.975021999839</v>
      </c>
      <c r="D1130" s="131">
        <v>67390.214890000032</v>
      </c>
      <c r="E1130" s="131">
        <v>74667.584119999825</v>
      </c>
      <c r="F1130" s="131">
        <v>95216.73537999978</v>
      </c>
      <c r="G1130" s="131">
        <v>106434.83187000058</v>
      </c>
      <c r="H1130" s="131">
        <v>73000.343309999866</v>
      </c>
      <c r="I1130" s="131">
        <v>83757.032759999871</v>
      </c>
      <c r="J1130" s="131">
        <v>118687.77199999968</v>
      </c>
      <c r="K1130" s="131">
        <v>84970.156000000803</v>
      </c>
      <c r="L1130" s="131">
        <v>85157.55571000067</v>
      </c>
      <c r="M1130" s="131">
        <v>93624.171500000521</v>
      </c>
      <c r="N1130" s="131">
        <v>85912.65520000011</v>
      </c>
      <c r="O1130" s="166">
        <v>1044671.0277620016</v>
      </c>
    </row>
    <row r="1131" spans="2:24" s="42" customFormat="1" ht="18.75" customHeight="1" x14ac:dyDescent="0.35">
      <c r="B1131" s="653" t="s">
        <v>170</v>
      </c>
      <c r="C1131" s="131">
        <v>1430.3720000000003</v>
      </c>
      <c r="D1131" s="131">
        <v>2990.9169999999986</v>
      </c>
      <c r="E1131" s="131">
        <v>1526.1239999999991</v>
      </c>
      <c r="F1131" s="131">
        <v>2252.1039999999989</v>
      </c>
      <c r="G1131" s="131">
        <v>2326.5139999999992</v>
      </c>
      <c r="H1131" s="131">
        <v>1919.4299999999992</v>
      </c>
      <c r="I1131" s="131">
        <v>2175.7639999999983</v>
      </c>
      <c r="J1131" s="131">
        <v>2740.5809999999979</v>
      </c>
      <c r="K1131" s="131">
        <v>2071.7319999999995</v>
      </c>
      <c r="L1131" s="131">
        <v>3308.6139999999991</v>
      </c>
      <c r="M1131" s="131">
        <v>2593.5159999999983</v>
      </c>
      <c r="N1131" s="131">
        <v>3495.344999999998</v>
      </c>
      <c r="O1131" s="166">
        <v>28831.012999999984</v>
      </c>
      <c r="P1131" s="324"/>
      <c r="Q1131" s="324"/>
      <c r="R1131" s="324"/>
      <c r="S1131" s="324"/>
      <c r="T1131" s="324"/>
      <c r="U1131" s="324"/>
      <c r="V1131" s="324"/>
    </row>
    <row r="1132" spans="2:24" ht="18.75" customHeight="1" x14ac:dyDescent="0.35">
      <c r="B1132" s="269"/>
      <c r="C1132" s="632">
        <v>-1.787157088983804E-10</v>
      </c>
      <c r="D1132" s="632">
        <v>-3.1332092476077378E-10</v>
      </c>
      <c r="E1132" s="632">
        <v>-3.1741365091875196E-10</v>
      </c>
      <c r="F1132" s="632">
        <v>-1.5450041246367618E-10</v>
      </c>
      <c r="G1132" s="632">
        <v>4.4974513002671301E-10</v>
      </c>
      <c r="H1132" s="632">
        <v>-9.4132701633498073E-11</v>
      </c>
      <c r="I1132" s="632">
        <v>-1.1596057447604835E-10</v>
      </c>
      <c r="J1132" s="632">
        <v>-2.7512214728631079E-10</v>
      </c>
      <c r="K1132" s="632">
        <v>1.6253807189059444E-9</v>
      </c>
      <c r="L1132" s="632">
        <v>9.8248165159020573E-10</v>
      </c>
      <c r="M1132" s="632">
        <v>2.7148416847921908E-10</v>
      </c>
      <c r="N1132" s="632">
        <v>-2.319211489520967E-11</v>
      </c>
      <c r="O1132" s="139"/>
      <c r="P1132" s="42"/>
      <c r="Q1132" s="42"/>
      <c r="R1132" s="42"/>
      <c r="S1132" s="42"/>
      <c r="T1132" s="42"/>
      <c r="U1132" s="42"/>
      <c r="V1132" s="42"/>
    </row>
    <row r="1133" spans="2:24" ht="18.75" customHeight="1" x14ac:dyDescent="0.35">
      <c r="B1133" s="666" t="s">
        <v>173</v>
      </c>
      <c r="C1133" s="275">
        <v>76794.083022000021</v>
      </c>
      <c r="D1133" s="275">
        <v>69871.015140000352</v>
      </c>
      <c r="E1133" s="275">
        <v>76812.667120000144</v>
      </c>
      <c r="F1133" s="275">
        <v>98571.852159999922</v>
      </c>
      <c r="G1133" s="275">
        <v>109204.35487000013</v>
      </c>
      <c r="H1133" s="275">
        <v>73771.921309999947</v>
      </c>
      <c r="I1133" s="275">
        <v>85689.326759999982</v>
      </c>
      <c r="J1133" s="275">
        <v>121282.86899999995</v>
      </c>
      <c r="K1133" s="275">
        <v>88323.483999999182</v>
      </c>
      <c r="L1133" s="275">
        <v>88071.892709999694</v>
      </c>
      <c r="M1133" s="275">
        <v>95791.387500000259</v>
      </c>
      <c r="N1133" s="275">
        <v>87542.488200000138</v>
      </c>
      <c r="O1133" s="305">
        <v>1071727.341792</v>
      </c>
    </row>
    <row r="1134" spans="2:24" ht="18.75" customHeight="1" x14ac:dyDescent="0.35">
      <c r="B1134" s="653" t="s">
        <v>62</v>
      </c>
      <c r="C1134" s="131">
        <v>57138.052302000026</v>
      </c>
      <c r="D1134" s="131">
        <v>48398.235140000332</v>
      </c>
      <c r="E1134" s="131">
        <v>52437.123120000106</v>
      </c>
      <c r="F1134" s="131">
        <v>68849.113159999877</v>
      </c>
      <c r="G1134" s="131">
        <v>71431.890620000107</v>
      </c>
      <c r="H1134" s="131">
        <v>51975.921999999919</v>
      </c>
      <c r="I1134" s="131">
        <v>61398.993259999988</v>
      </c>
      <c r="J1134" s="131">
        <v>74705.808999999819</v>
      </c>
      <c r="K1134" s="131">
        <v>53270.231999999203</v>
      </c>
      <c r="L1134" s="131">
        <v>40614.431709999757</v>
      </c>
      <c r="M1134" s="131">
        <v>52938.892500000118</v>
      </c>
      <c r="N1134" s="131">
        <v>47570.739199999982</v>
      </c>
      <c r="O1134" s="166">
        <v>680729.43401199928</v>
      </c>
    </row>
    <row r="1135" spans="2:24" ht="18.75" customHeight="1" x14ac:dyDescent="0.35">
      <c r="B1135" s="653" t="s">
        <v>63</v>
      </c>
      <c r="C1135" s="131">
        <v>19612.471719999998</v>
      </c>
      <c r="D1135" s="131">
        <v>21472.780000000013</v>
      </c>
      <c r="E1135" s="131">
        <v>24375.544000000034</v>
      </c>
      <c r="F1135" s="131">
        <v>29722.739000000049</v>
      </c>
      <c r="G1135" s="131">
        <v>37772.464250000012</v>
      </c>
      <c r="H1135" s="131">
        <v>21795.999310000021</v>
      </c>
      <c r="I1135" s="131">
        <v>24290.333499999997</v>
      </c>
      <c r="J1135" s="131">
        <v>46577.060000000136</v>
      </c>
      <c r="K1135" s="131">
        <v>35053.251999999986</v>
      </c>
      <c r="L1135" s="131">
        <v>47457.460999999937</v>
      </c>
      <c r="M1135" s="131">
        <v>42843.895000000135</v>
      </c>
      <c r="N1135" s="131">
        <v>39971.749000000156</v>
      </c>
      <c r="O1135" s="166">
        <v>390945.74878000049</v>
      </c>
    </row>
    <row r="1136" spans="2:24" ht="18.75" customHeight="1" x14ac:dyDescent="0.35">
      <c r="B1136" s="653" t="s">
        <v>64</v>
      </c>
      <c r="C1136" s="131">
        <v>43.558999999999997</v>
      </c>
      <c r="D1136" s="131">
        <v>0</v>
      </c>
      <c r="E1136" s="131">
        <v>0</v>
      </c>
      <c r="F1136" s="131">
        <v>0</v>
      </c>
      <c r="G1136" s="131">
        <v>0</v>
      </c>
      <c r="H1136" s="131">
        <v>0</v>
      </c>
      <c r="I1136" s="131">
        <v>0</v>
      </c>
      <c r="J1136" s="131">
        <v>0</v>
      </c>
      <c r="K1136" s="131">
        <v>0</v>
      </c>
      <c r="L1136" s="131">
        <v>0</v>
      </c>
      <c r="M1136" s="131">
        <v>8.6</v>
      </c>
      <c r="N1136" s="131">
        <v>0</v>
      </c>
      <c r="O1136" s="166">
        <v>52.158999999999999</v>
      </c>
    </row>
    <row r="1137" spans="2:22" x14ac:dyDescent="0.35">
      <c r="B1137" s="666" t="s">
        <v>174</v>
      </c>
      <c r="C1137" s="275">
        <v>2210.6240000000003</v>
      </c>
      <c r="D1137" s="275">
        <v>1821.3920000000003</v>
      </c>
      <c r="E1137" s="275">
        <v>1437.1030000000001</v>
      </c>
      <c r="F1137" s="275">
        <v>378.45600000000002</v>
      </c>
      <c r="G1137" s="275">
        <v>1321.9389999999999</v>
      </c>
      <c r="H1137" s="275">
        <v>2557.1609999999996</v>
      </c>
      <c r="I1137" s="275">
        <v>2776.389999999999</v>
      </c>
      <c r="J1137" s="275">
        <v>1400.7539999999995</v>
      </c>
      <c r="K1137" s="275">
        <v>914.44199999999989</v>
      </c>
      <c r="L1137" s="275">
        <v>1944.2139999999997</v>
      </c>
      <c r="M1137" s="275">
        <v>1476.9529999999991</v>
      </c>
      <c r="N1137" s="275">
        <v>3952.1950000000011</v>
      </c>
      <c r="O1137" s="307">
        <v>22191.622999999996</v>
      </c>
    </row>
    <row r="1138" spans="2:22" ht="18.75" customHeight="1" x14ac:dyDescent="0.35">
      <c r="B1138" s="236"/>
      <c r="C1138" s="632">
        <v>1.1641532182693481E-9</v>
      </c>
      <c r="D1138" s="632">
        <v>0</v>
      </c>
      <c r="E1138" s="632">
        <v>0</v>
      </c>
      <c r="F1138" s="632">
        <v>0</v>
      </c>
      <c r="G1138" s="632">
        <v>0</v>
      </c>
      <c r="H1138" s="632">
        <v>0</v>
      </c>
      <c r="I1138" s="632">
        <v>0</v>
      </c>
      <c r="J1138" s="632">
        <v>0</v>
      </c>
      <c r="K1138" s="632">
        <v>0</v>
      </c>
      <c r="L1138" s="632">
        <v>0</v>
      </c>
      <c r="M1138" s="632">
        <v>0</v>
      </c>
      <c r="N1138" s="632">
        <v>0</v>
      </c>
      <c r="O1138" s="139"/>
    </row>
    <row r="1139" spans="2:22" ht="18.75" customHeight="1" x14ac:dyDescent="0.35">
      <c r="B1139" s="647" t="s">
        <v>56</v>
      </c>
      <c r="C1139" s="162">
        <v>677666.98195399565</v>
      </c>
      <c r="D1139" s="162">
        <v>662708.98019999894</v>
      </c>
      <c r="E1139" s="162">
        <v>758212.39799999807</v>
      </c>
      <c r="F1139" s="162">
        <v>694048.38229000359</v>
      </c>
      <c r="G1139" s="162">
        <v>804356.9310000001</v>
      </c>
      <c r="H1139" s="162">
        <v>706147.51299999945</v>
      </c>
      <c r="I1139" s="162">
        <v>693679.67462000169</v>
      </c>
      <c r="J1139" s="162">
        <v>693753.8030000017</v>
      </c>
      <c r="K1139" s="162">
        <v>549444.1767500001</v>
      </c>
      <c r="L1139" s="162">
        <v>558892.47100000258</v>
      </c>
      <c r="M1139" s="162">
        <v>557718.59900000016</v>
      </c>
      <c r="N1139" s="162">
        <v>704719.82450000814</v>
      </c>
      <c r="O1139" s="306">
        <v>8061349.7353140116</v>
      </c>
    </row>
    <row r="1140" spans="2:22" ht="18.75" customHeight="1" x14ac:dyDescent="0.35">
      <c r="B1140" s="647"/>
      <c r="C1140" s="162"/>
      <c r="D1140" s="162"/>
      <c r="E1140" s="162"/>
      <c r="F1140" s="162"/>
      <c r="G1140" s="162"/>
      <c r="H1140" s="162"/>
      <c r="I1140" s="162"/>
      <c r="J1140" s="162"/>
      <c r="K1140" s="162"/>
      <c r="L1140" s="162"/>
      <c r="M1140" s="162"/>
      <c r="N1140" s="162"/>
      <c r="O1140" s="306"/>
    </row>
    <row r="1141" spans="2:22" ht="18.75" customHeight="1" x14ac:dyDescent="0.35">
      <c r="B1141" s="666" t="s">
        <v>167</v>
      </c>
      <c r="C1141" s="275">
        <v>277632.97736999422</v>
      </c>
      <c r="D1141" s="275">
        <v>262026.62119999802</v>
      </c>
      <c r="E1141" s="275">
        <v>256304.86399999735</v>
      </c>
      <c r="F1141" s="275">
        <v>345411.95634000329</v>
      </c>
      <c r="G1141" s="275">
        <v>398586.55500000069</v>
      </c>
      <c r="H1141" s="275">
        <v>351242.32000000036</v>
      </c>
      <c r="I1141" s="275">
        <v>325558.43200000265</v>
      </c>
      <c r="J1141" s="275">
        <v>358766.22700000211</v>
      </c>
      <c r="K1141" s="275">
        <v>270470.18300000019</v>
      </c>
      <c r="L1141" s="275">
        <v>319932.1580000025</v>
      </c>
      <c r="M1141" s="275">
        <v>268903.18799999927</v>
      </c>
      <c r="N1141" s="275">
        <v>347365.59010000853</v>
      </c>
      <c r="O1141" s="305">
        <v>3782201.0720100095</v>
      </c>
    </row>
    <row r="1142" spans="2:22" ht="18.75" customHeight="1" x14ac:dyDescent="0.35">
      <c r="B1142" s="666"/>
      <c r="C1142" s="275"/>
      <c r="D1142" s="275"/>
      <c r="E1142" s="275"/>
      <c r="F1142" s="275"/>
      <c r="G1142" s="275"/>
      <c r="H1142" s="275"/>
      <c r="I1142" s="275"/>
      <c r="J1142" s="275"/>
      <c r="K1142" s="275"/>
      <c r="L1142" s="275"/>
      <c r="M1142" s="275"/>
      <c r="N1142" s="275"/>
      <c r="O1142" s="305"/>
    </row>
    <row r="1143" spans="2:22" ht="18.75" customHeight="1" x14ac:dyDescent="0.35">
      <c r="B1143" s="653" t="s">
        <v>168</v>
      </c>
      <c r="C1143" s="131">
        <v>0</v>
      </c>
      <c r="D1143" s="131">
        <v>146.63</v>
      </c>
      <c r="E1143" s="131">
        <v>30.433</v>
      </c>
      <c r="F1143" s="131">
        <v>3.85</v>
      </c>
      <c r="G1143" s="131">
        <v>50.052</v>
      </c>
      <c r="H1143" s="131">
        <v>36.453000000000003</v>
      </c>
      <c r="I1143" s="131">
        <v>0</v>
      </c>
      <c r="J1143" s="131">
        <v>97.024000000000001</v>
      </c>
      <c r="K1143" s="131">
        <v>52.161000000000001</v>
      </c>
      <c r="L1143" s="131">
        <v>16.88</v>
      </c>
      <c r="M1143" s="131">
        <v>0</v>
      </c>
      <c r="N1143" s="131">
        <v>88.981999999999999</v>
      </c>
      <c r="O1143" s="166">
        <v>522.46500000000003</v>
      </c>
    </row>
    <row r="1144" spans="2:22" s="325" customFormat="1" ht="18.75" customHeight="1" x14ac:dyDescent="0.35">
      <c r="B1144" s="653" t="s">
        <v>169</v>
      </c>
      <c r="C1144" s="131">
        <v>277163.37736999424</v>
      </c>
      <c r="D1144" s="131">
        <v>260335.00619999802</v>
      </c>
      <c r="E1144" s="131">
        <v>255693.11099999736</v>
      </c>
      <c r="F1144" s="131">
        <v>345268.66634000331</v>
      </c>
      <c r="G1144" s="131">
        <v>398357.01300000068</v>
      </c>
      <c r="H1144" s="131">
        <v>350751.7340000004</v>
      </c>
      <c r="I1144" s="131">
        <v>325337.15200000262</v>
      </c>
      <c r="J1144" s="131">
        <v>358284.35800000216</v>
      </c>
      <c r="K1144" s="131">
        <v>270162.45200000016</v>
      </c>
      <c r="L1144" s="131">
        <v>317589.22500000248</v>
      </c>
      <c r="M1144" s="131">
        <v>268592.05499999929</v>
      </c>
      <c r="N1144" s="131">
        <v>346416.77110000851</v>
      </c>
      <c r="O1144" s="166">
        <v>3773950.921010009</v>
      </c>
      <c r="P1144" s="324"/>
      <c r="Q1144" s="324"/>
      <c r="R1144" s="324"/>
      <c r="S1144" s="324"/>
      <c r="T1144" s="324"/>
      <c r="U1144" s="324"/>
      <c r="V1144" s="324"/>
    </row>
    <row r="1145" spans="2:22" ht="18.75" customHeight="1" x14ac:dyDescent="0.35">
      <c r="B1145" s="653" t="s">
        <v>170</v>
      </c>
      <c r="C1145" s="131">
        <v>469.60000000000014</v>
      </c>
      <c r="D1145" s="131">
        <v>1544.9849999999999</v>
      </c>
      <c r="E1145" s="131">
        <v>581.32000000000005</v>
      </c>
      <c r="F1145" s="131">
        <v>139.44000000000003</v>
      </c>
      <c r="G1145" s="131">
        <v>179.49</v>
      </c>
      <c r="H1145" s="131">
        <v>454.13300000000004</v>
      </c>
      <c r="I1145" s="131">
        <v>221.28</v>
      </c>
      <c r="J1145" s="131">
        <v>384.84499999999997</v>
      </c>
      <c r="K1145" s="131">
        <v>255.57</v>
      </c>
      <c r="L1145" s="131">
        <v>2326.0529999999999</v>
      </c>
      <c r="M1145" s="131">
        <v>311.13300000000004</v>
      </c>
      <c r="N1145" s="131">
        <v>859.83699999999999</v>
      </c>
      <c r="O1145" s="166">
        <v>7727.6859999999997</v>
      </c>
      <c r="P1145" s="325"/>
      <c r="Q1145" s="325"/>
      <c r="R1145" s="325"/>
      <c r="S1145" s="325"/>
      <c r="T1145" s="325"/>
      <c r="U1145" s="325"/>
      <c r="V1145" s="325"/>
    </row>
    <row r="1146" spans="2:22" ht="18.75" customHeight="1" x14ac:dyDescent="0.35">
      <c r="B1146" s="666"/>
      <c r="C1146" s="275"/>
      <c r="D1146" s="275"/>
      <c r="E1146" s="275"/>
      <c r="F1146" s="275"/>
      <c r="G1146" s="275"/>
      <c r="H1146" s="275"/>
      <c r="I1146" s="275"/>
      <c r="J1146" s="275"/>
      <c r="K1146" s="275"/>
      <c r="L1146" s="275"/>
      <c r="M1146" s="275"/>
      <c r="N1146" s="275"/>
      <c r="O1146" s="305"/>
    </row>
    <row r="1147" spans="2:22" s="2" customFormat="1" x14ac:dyDescent="0.35">
      <c r="B1147" s="666" t="s">
        <v>171</v>
      </c>
      <c r="C1147" s="275">
        <v>392000.37817400141</v>
      </c>
      <c r="D1147" s="275">
        <v>387576.48400000093</v>
      </c>
      <c r="E1147" s="275">
        <v>485240.11700000073</v>
      </c>
      <c r="F1147" s="275">
        <v>334973.76595000026</v>
      </c>
      <c r="G1147" s="275">
        <v>391159.98099999945</v>
      </c>
      <c r="H1147" s="275">
        <v>342111.87699999916</v>
      </c>
      <c r="I1147" s="275">
        <v>355878.599619999</v>
      </c>
      <c r="J1147" s="275">
        <v>317986.98999999958</v>
      </c>
      <c r="K1147" s="275">
        <v>263528.41674999986</v>
      </c>
      <c r="L1147" s="275">
        <v>227214.09100000016</v>
      </c>
      <c r="M1147" s="275">
        <v>273341.28200000094</v>
      </c>
      <c r="N1147" s="275">
        <v>347374.90499999956</v>
      </c>
      <c r="O1147" s="305">
        <v>4118386.8874940015</v>
      </c>
      <c r="P1147" s="324"/>
      <c r="Q1147" s="324"/>
      <c r="R1147" s="324"/>
      <c r="S1147" s="324"/>
      <c r="T1147" s="324"/>
      <c r="U1147" s="324"/>
      <c r="V1147" s="324"/>
    </row>
    <row r="1148" spans="2:22" s="2" customFormat="1" x14ac:dyDescent="0.35">
      <c r="B1148" s="666"/>
      <c r="C1148" s="139"/>
      <c r="D1148" s="275"/>
      <c r="E1148" s="275"/>
      <c r="F1148" s="275"/>
      <c r="G1148" s="275"/>
      <c r="H1148" s="275"/>
      <c r="I1148" s="275"/>
      <c r="J1148" s="275"/>
      <c r="K1148" s="275"/>
      <c r="L1148" s="275"/>
      <c r="M1148" s="275"/>
      <c r="N1148" s="275"/>
      <c r="O1148" s="139"/>
    </row>
    <row r="1149" spans="2:22" ht="18.75" customHeight="1" x14ac:dyDescent="0.35">
      <c r="B1149" s="666" t="s">
        <v>172</v>
      </c>
      <c r="C1149" s="275">
        <v>8033.6264099999971</v>
      </c>
      <c r="D1149" s="275">
        <v>13105.874999999998</v>
      </c>
      <c r="E1149" s="275">
        <v>16667.416999999994</v>
      </c>
      <c r="F1149" s="275">
        <v>13662.659999999991</v>
      </c>
      <c r="G1149" s="275">
        <v>14610.39499999999</v>
      </c>
      <c r="H1149" s="275">
        <v>12793.315999999995</v>
      </c>
      <c r="I1149" s="275">
        <v>12242.642999999996</v>
      </c>
      <c r="J1149" s="275">
        <v>17000.585999999988</v>
      </c>
      <c r="K1149" s="275">
        <v>15445.57699999999</v>
      </c>
      <c r="L1149" s="275">
        <v>11746.222</v>
      </c>
      <c r="M1149" s="275">
        <v>15474.128999999995</v>
      </c>
      <c r="N1149" s="275">
        <v>9979.3293999999987</v>
      </c>
      <c r="O1149" s="305">
        <v>160761.77580999993</v>
      </c>
      <c r="P1149" s="2"/>
      <c r="Q1149" s="2"/>
      <c r="R1149" s="2"/>
      <c r="S1149" s="2"/>
      <c r="T1149" s="2"/>
      <c r="U1149" s="2"/>
      <c r="V1149" s="2"/>
    </row>
    <row r="1150" spans="2:22" ht="18.75" customHeight="1" x14ac:dyDescent="0.35">
      <c r="B1150" s="666"/>
      <c r="C1150" s="275"/>
      <c r="D1150" s="275"/>
      <c r="E1150" s="275"/>
      <c r="F1150" s="275"/>
      <c r="G1150" s="275"/>
      <c r="H1150" s="275"/>
      <c r="I1150" s="275"/>
      <c r="J1150" s="275"/>
      <c r="K1150" s="275"/>
      <c r="L1150" s="275"/>
      <c r="M1150" s="275"/>
      <c r="N1150" s="275"/>
      <c r="O1150" s="305"/>
    </row>
    <row r="1151" spans="2:22" ht="18.75" customHeight="1" x14ac:dyDescent="0.35">
      <c r="B1151" s="653" t="s">
        <v>168</v>
      </c>
      <c r="C1151" s="131">
        <v>0</v>
      </c>
      <c r="D1151" s="131">
        <v>0</v>
      </c>
      <c r="E1151" s="131">
        <v>0</v>
      </c>
      <c r="F1151" s="131">
        <v>0</v>
      </c>
      <c r="G1151" s="131">
        <v>0</v>
      </c>
      <c r="H1151" s="131">
        <v>0</v>
      </c>
      <c r="I1151" s="131">
        <v>0</v>
      </c>
      <c r="J1151" s="131">
        <v>0</v>
      </c>
      <c r="K1151" s="131">
        <v>0</v>
      </c>
      <c r="L1151" s="131">
        <v>0</v>
      </c>
      <c r="M1151" s="131">
        <v>0</v>
      </c>
      <c r="N1151" s="131">
        <v>0</v>
      </c>
      <c r="O1151" s="166">
        <v>0</v>
      </c>
    </row>
    <row r="1152" spans="2:22" x14ac:dyDescent="0.35">
      <c r="B1152" s="653" t="s">
        <v>169</v>
      </c>
      <c r="C1152" s="131">
        <v>8033.6264099999971</v>
      </c>
      <c r="D1152" s="131">
        <v>13105.874999999998</v>
      </c>
      <c r="E1152" s="131">
        <v>16667.416999999994</v>
      </c>
      <c r="F1152" s="131">
        <v>13662.659999999991</v>
      </c>
      <c r="G1152" s="131">
        <v>14610.39499999999</v>
      </c>
      <c r="H1152" s="131">
        <v>12793.315999999995</v>
      </c>
      <c r="I1152" s="131">
        <v>12242.642999999996</v>
      </c>
      <c r="J1152" s="131">
        <v>17000.585999999988</v>
      </c>
      <c r="K1152" s="131">
        <v>15445.57699999999</v>
      </c>
      <c r="L1152" s="131">
        <v>11746.222</v>
      </c>
      <c r="M1152" s="131">
        <v>15474.128999999995</v>
      </c>
      <c r="N1152" s="131">
        <v>9979.3293999999987</v>
      </c>
      <c r="O1152" s="166">
        <v>160761.77580999993</v>
      </c>
    </row>
    <row r="1153" spans="2:22" ht="18.75" customHeight="1" x14ac:dyDescent="0.35">
      <c r="B1153" s="653" t="s">
        <v>170</v>
      </c>
      <c r="C1153" s="131">
        <v>0</v>
      </c>
      <c r="D1153" s="131">
        <v>0</v>
      </c>
      <c r="E1153" s="131">
        <v>0</v>
      </c>
      <c r="F1153" s="131">
        <v>0</v>
      </c>
      <c r="G1153" s="131">
        <v>0</v>
      </c>
      <c r="H1153" s="131">
        <v>0</v>
      </c>
      <c r="I1153" s="131">
        <v>0</v>
      </c>
      <c r="J1153" s="131">
        <v>0</v>
      </c>
      <c r="K1153" s="131">
        <v>0</v>
      </c>
      <c r="L1153" s="131">
        <v>0</v>
      </c>
      <c r="M1153" s="131">
        <v>0</v>
      </c>
      <c r="N1153" s="131">
        <v>0</v>
      </c>
      <c r="O1153" s="166">
        <v>0</v>
      </c>
    </row>
    <row r="1154" spans="2:22" ht="18.75" customHeight="1" x14ac:dyDescent="0.35">
      <c r="B1154" s="269"/>
      <c r="C1154" s="632">
        <v>-2.7284841053187847E-12</v>
      </c>
      <c r="D1154" s="632">
        <v>-1.8189894035458565E-12</v>
      </c>
      <c r="E1154" s="632">
        <v>3.637978807091713E-12</v>
      </c>
      <c r="F1154" s="632">
        <v>-1.0913936421275139E-11</v>
      </c>
      <c r="G1154" s="632">
        <v>-7.2759576141834259E-12</v>
      </c>
      <c r="H1154" s="632">
        <v>7.2759576141834259E-12</v>
      </c>
      <c r="I1154" s="632">
        <v>1.8189894035458565E-12</v>
      </c>
      <c r="J1154" s="632">
        <v>-3.637978807091713E-12</v>
      </c>
      <c r="K1154" s="632">
        <v>0</v>
      </c>
      <c r="L1154" s="632">
        <v>-3.637978807091713E-12</v>
      </c>
      <c r="M1154" s="632">
        <v>0</v>
      </c>
      <c r="N1154" s="632">
        <v>0</v>
      </c>
      <c r="O1154" s="139"/>
    </row>
    <row r="1155" spans="2:22" x14ac:dyDescent="0.35">
      <c r="B1155" s="666" t="s">
        <v>173</v>
      </c>
      <c r="C1155" s="279">
        <v>8033.6264099999999</v>
      </c>
      <c r="D1155" s="279">
        <v>13105.875</v>
      </c>
      <c r="E1155" s="279">
        <v>16667.41699999999</v>
      </c>
      <c r="F1155" s="279">
        <v>13662.660000000002</v>
      </c>
      <c r="G1155" s="279">
        <v>14610.394999999997</v>
      </c>
      <c r="H1155" s="279">
        <v>12793.315999999988</v>
      </c>
      <c r="I1155" s="279">
        <v>12242.642999999995</v>
      </c>
      <c r="J1155" s="279">
        <v>17000.585999999992</v>
      </c>
      <c r="K1155" s="279">
        <v>15445.57699999999</v>
      </c>
      <c r="L1155" s="279">
        <v>11746.222000000003</v>
      </c>
      <c r="M1155" s="279">
        <v>15474.128999999995</v>
      </c>
      <c r="N1155" s="279">
        <v>9979.3293999999987</v>
      </c>
      <c r="O1155" s="308">
        <v>160761.77580999993</v>
      </c>
    </row>
    <row r="1156" spans="2:22" x14ac:dyDescent="0.35">
      <c r="B1156" s="653" t="s">
        <v>62</v>
      </c>
      <c r="C1156" s="131">
        <v>6133.5364099999997</v>
      </c>
      <c r="D1156" s="131">
        <v>9003.7849999999999</v>
      </c>
      <c r="E1156" s="131">
        <v>11056.81699999999</v>
      </c>
      <c r="F1156" s="131">
        <v>6327.572000000001</v>
      </c>
      <c r="G1156" s="131">
        <v>6579.4500000000053</v>
      </c>
      <c r="H1156" s="131">
        <v>7106.8659999999973</v>
      </c>
      <c r="I1156" s="131">
        <v>8899.6729999999952</v>
      </c>
      <c r="J1156" s="131">
        <v>8958.1119999999919</v>
      </c>
      <c r="K1156" s="131">
        <v>4883.6570000000002</v>
      </c>
      <c r="L1156" s="131">
        <v>3689.0440000000003</v>
      </c>
      <c r="M1156" s="131">
        <v>3599.2490000000012</v>
      </c>
      <c r="N1156" s="131">
        <v>3402.3493999999996</v>
      </c>
      <c r="O1156" s="166">
        <v>79640.110809999984</v>
      </c>
    </row>
    <row r="1157" spans="2:22" x14ac:dyDescent="0.35">
      <c r="B1157" s="653" t="s">
        <v>63</v>
      </c>
      <c r="C1157" s="131">
        <v>1900.0900000000004</v>
      </c>
      <c r="D1157" s="131">
        <v>4102.09</v>
      </c>
      <c r="E1157" s="131">
        <v>5610.5999999999995</v>
      </c>
      <c r="F1157" s="131">
        <v>7335.0880000000006</v>
      </c>
      <c r="G1157" s="131">
        <v>8030.9449999999924</v>
      </c>
      <c r="H1157" s="131">
        <v>5686.4499999999916</v>
      </c>
      <c r="I1157" s="131">
        <v>3342.9699999999993</v>
      </c>
      <c r="J1157" s="131">
        <v>8042.4740000000011</v>
      </c>
      <c r="K1157" s="131">
        <v>10561.919999999991</v>
      </c>
      <c r="L1157" s="131">
        <v>8057.1780000000035</v>
      </c>
      <c r="M1157" s="131">
        <v>11874.879999999994</v>
      </c>
      <c r="N1157" s="131">
        <v>6576.98</v>
      </c>
      <c r="O1157" s="166">
        <v>81121.664999999964</v>
      </c>
    </row>
    <row r="1158" spans="2:22" ht="15" customHeight="1" x14ac:dyDescent="0.35">
      <c r="B1158" s="653" t="s">
        <v>64</v>
      </c>
      <c r="C1158" s="131">
        <v>0</v>
      </c>
      <c r="D1158" s="131">
        <v>0</v>
      </c>
      <c r="E1158" s="131">
        <v>0</v>
      </c>
      <c r="F1158" s="131">
        <v>0</v>
      </c>
      <c r="G1158" s="131">
        <v>0</v>
      </c>
      <c r="H1158" s="131">
        <v>0</v>
      </c>
      <c r="I1158" s="131">
        <v>0</v>
      </c>
      <c r="J1158" s="131">
        <v>0</v>
      </c>
      <c r="K1158" s="131">
        <v>0</v>
      </c>
      <c r="L1158" s="131">
        <v>0</v>
      </c>
      <c r="M1158" s="131">
        <v>0</v>
      </c>
      <c r="N1158" s="131">
        <v>0</v>
      </c>
      <c r="O1158" s="166">
        <v>0</v>
      </c>
    </row>
    <row r="1159" spans="2:22" x14ac:dyDescent="0.35">
      <c r="B1159" s="666" t="s">
        <v>174</v>
      </c>
      <c r="C1159" s="279">
        <v>0</v>
      </c>
      <c r="D1159" s="279">
        <v>0</v>
      </c>
      <c r="E1159" s="279">
        <v>0</v>
      </c>
      <c r="F1159" s="279">
        <v>0</v>
      </c>
      <c r="G1159" s="279">
        <v>0</v>
      </c>
      <c r="H1159" s="279">
        <v>0</v>
      </c>
      <c r="I1159" s="279">
        <v>0</v>
      </c>
      <c r="J1159" s="279">
        <v>0</v>
      </c>
      <c r="K1159" s="279">
        <v>0</v>
      </c>
      <c r="L1159" s="279">
        <v>0</v>
      </c>
      <c r="M1159" s="279">
        <v>0</v>
      </c>
      <c r="N1159" s="279">
        <v>0</v>
      </c>
      <c r="O1159" s="307">
        <v>0</v>
      </c>
    </row>
    <row r="1160" spans="2:22" x14ac:dyDescent="0.35">
      <c r="B1160" s="668"/>
      <c r="C1160" s="279"/>
      <c r="D1160" s="279"/>
      <c r="E1160" s="279"/>
      <c r="F1160" s="279"/>
      <c r="G1160" s="279"/>
      <c r="H1160" s="279"/>
      <c r="I1160" s="279"/>
      <c r="J1160" s="279"/>
      <c r="K1160" s="279"/>
      <c r="L1160" s="279"/>
      <c r="M1160" s="279"/>
      <c r="N1160" s="279"/>
      <c r="O1160" s="139"/>
    </row>
    <row r="1161" spans="2:22" ht="22.5" customHeight="1" x14ac:dyDescent="0.35">
      <c r="B1161" s="431" t="s">
        <v>175</v>
      </c>
      <c r="C1161" s="178">
        <v>1623143.540488997</v>
      </c>
      <c r="D1161" s="178">
        <v>1658373.8704409958</v>
      </c>
      <c r="E1161" s="178">
        <v>1716542.6706429976</v>
      </c>
      <c r="F1161" s="178">
        <v>1601109.0246900062</v>
      </c>
      <c r="G1161" s="178">
        <v>1896729.1422019987</v>
      </c>
      <c r="H1161" s="178">
        <v>1588017.7983909997</v>
      </c>
      <c r="I1161" s="178">
        <v>1656215.4906300048</v>
      </c>
      <c r="J1161" s="178">
        <v>1718666.474520002</v>
      </c>
      <c r="K1161" s="178">
        <v>1410935.6429200023</v>
      </c>
      <c r="L1161" s="178">
        <v>1469375.7582910017</v>
      </c>
      <c r="M1161" s="178">
        <v>1489734.9876799961</v>
      </c>
      <c r="N1161" s="178">
        <v>1738051.7666270202</v>
      </c>
      <c r="O1161" s="296">
        <v>19566896.167524025</v>
      </c>
    </row>
    <row r="1162" spans="2:22" x14ac:dyDescent="0.35">
      <c r="B1162" s="669"/>
      <c r="C1162" s="282"/>
      <c r="D1162" s="282"/>
      <c r="E1162" s="282"/>
      <c r="F1162" s="282"/>
      <c r="G1162" s="282"/>
      <c r="H1162" s="282"/>
      <c r="I1162" s="282"/>
      <c r="J1162" s="282"/>
      <c r="K1162" s="282"/>
      <c r="L1162" s="282"/>
      <c r="M1162" s="282"/>
      <c r="N1162" s="282"/>
      <c r="O1162" s="139"/>
    </row>
    <row r="1163" spans="2:22" x14ac:dyDescent="0.35">
      <c r="B1163" s="666" t="s">
        <v>167</v>
      </c>
      <c r="C1163" s="275">
        <v>726847.41968299565</v>
      </c>
      <c r="D1163" s="275">
        <v>714017.39075099572</v>
      </c>
      <c r="E1163" s="275">
        <v>748754.33157299703</v>
      </c>
      <c r="F1163" s="275">
        <v>826222.17058000586</v>
      </c>
      <c r="G1163" s="275">
        <v>910381.3289720004</v>
      </c>
      <c r="H1163" s="275">
        <v>846435.30946100038</v>
      </c>
      <c r="I1163" s="275">
        <v>839122.64593000594</v>
      </c>
      <c r="J1163" s="275">
        <v>904639.27252000337</v>
      </c>
      <c r="K1163" s="275">
        <v>783691.51683000196</v>
      </c>
      <c r="L1163" s="275">
        <v>902851.63058100094</v>
      </c>
      <c r="M1163" s="275">
        <v>794129.4221799951</v>
      </c>
      <c r="N1163" s="275">
        <v>880900.56302702089</v>
      </c>
      <c r="O1163" s="305">
        <v>9877993.0020880215</v>
      </c>
    </row>
    <row r="1164" spans="2:22" x14ac:dyDescent="0.35">
      <c r="B1164" s="666"/>
      <c r="C1164" s="275"/>
      <c r="D1164" s="275"/>
      <c r="E1164" s="275"/>
      <c r="F1164" s="275"/>
      <c r="G1164" s="275"/>
      <c r="H1164" s="275"/>
      <c r="I1164" s="275"/>
      <c r="J1164" s="275"/>
      <c r="K1164" s="275"/>
      <c r="L1164" s="275"/>
      <c r="M1164" s="275"/>
      <c r="N1164" s="275"/>
      <c r="O1164" s="305"/>
    </row>
    <row r="1165" spans="2:22" s="327" customFormat="1" x14ac:dyDescent="0.35">
      <c r="B1165" s="653" t="s">
        <v>168</v>
      </c>
      <c r="C1165" s="167">
        <v>6682.7593230000011</v>
      </c>
      <c r="D1165" s="167">
        <v>8505.9209999999948</v>
      </c>
      <c r="E1165" s="167">
        <v>9166.2641999999942</v>
      </c>
      <c r="F1165" s="167">
        <v>8863.4862259999991</v>
      </c>
      <c r="G1165" s="167">
        <v>8862.8847000000023</v>
      </c>
      <c r="H1165" s="167">
        <v>7778.058</v>
      </c>
      <c r="I1165" s="167">
        <v>11245.908000000009</v>
      </c>
      <c r="J1165" s="167">
        <v>7946.3550000000041</v>
      </c>
      <c r="K1165" s="167">
        <v>10485.022000000017</v>
      </c>
      <c r="L1165" s="167">
        <v>11493.870845000025</v>
      </c>
      <c r="M1165" s="167">
        <v>8695.4400000000169</v>
      </c>
      <c r="N1165" s="167">
        <v>9939.0135780000037</v>
      </c>
      <c r="O1165" s="166">
        <v>109664.98287200007</v>
      </c>
      <c r="P1165" s="324"/>
      <c r="Q1165" s="324"/>
      <c r="R1165" s="324"/>
      <c r="S1165" s="324"/>
      <c r="T1165" s="324"/>
      <c r="U1165" s="324"/>
      <c r="V1165" s="324"/>
    </row>
    <row r="1166" spans="2:22" s="327" customFormat="1" x14ac:dyDescent="0.35">
      <c r="B1166" s="653" t="s">
        <v>169</v>
      </c>
      <c r="C1166" s="167">
        <v>660598.44904999563</v>
      </c>
      <c r="D1166" s="167">
        <v>652007.64475099579</v>
      </c>
      <c r="E1166" s="167">
        <v>685373.53056299686</v>
      </c>
      <c r="F1166" s="167">
        <v>746348.84535400569</v>
      </c>
      <c r="G1166" s="167">
        <v>826919.25439199992</v>
      </c>
      <c r="H1166" s="167">
        <v>772482.67146100034</v>
      </c>
      <c r="I1166" s="167">
        <v>774823.04493000591</v>
      </c>
      <c r="J1166" s="167">
        <v>835027.94652000361</v>
      </c>
      <c r="K1166" s="167">
        <v>724182.07283000206</v>
      </c>
      <c r="L1166" s="167">
        <v>825755.96973600064</v>
      </c>
      <c r="M1166" s="167">
        <v>726177.74417999492</v>
      </c>
      <c r="N1166" s="167">
        <v>811749.7274490206</v>
      </c>
      <c r="O1166" s="166">
        <v>9041446.9012160227</v>
      </c>
    </row>
    <row r="1167" spans="2:22" s="45" customFormat="1" x14ac:dyDescent="0.35">
      <c r="B1167" s="653" t="s">
        <v>170</v>
      </c>
      <c r="C1167" s="167">
        <v>59566.211310000057</v>
      </c>
      <c r="D1167" s="167">
        <v>53503.825000000019</v>
      </c>
      <c r="E1167" s="167">
        <v>54214.536810000041</v>
      </c>
      <c r="F1167" s="167">
        <v>71009.839000000124</v>
      </c>
      <c r="G1167" s="167">
        <v>74599.189880000427</v>
      </c>
      <c r="H1167" s="167">
        <v>66174.580000000147</v>
      </c>
      <c r="I1167" s="167">
        <v>53053.693000000079</v>
      </c>
      <c r="J1167" s="167">
        <v>61664.970999999932</v>
      </c>
      <c r="K1167" s="167">
        <v>49024.421999999919</v>
      </c>
      <c r="L1167" s="167">
        <v>65601.790000000212</v>
      </c>
      <c r="M1167" s="167">
        <v>59256.238000000245</v>
      </c>
      <c r="N1167" s="167">
        <v>59211.822000000357</v>
      </c>
      <c r="O1167" s="166">
        <v>726881.11800000153</v>
      </c>
      <c r="P1167" s="327"/>
      <c r="Q1167" s="327"/>
      <c r="R1167" s="327"/>
      <c r="S1167" s="327"/>
      <c r="T1167" s="327"/>
      <c r="U1167" s="327"/>
      <c r="V1167" s="327"/>
    </row>
    <row r="1168" spans="2:22" x14ac:dyDescent="0.35">
      <c r="B1168" s="666"/>
      <c r="C1168" s="275"/>
      <c r="D1168" s="275"/>
      <c r="E1168" s="275"/>
      <c r="F1168" s="275"/>
      <c r="G1168" s="275"/>
      <c r="H1168" s="275"/>
      <c r="I1168" s="275"/>
      <c r="J1168" s="275"/>
      <c r="K1168" s="275"/>
      <c r="L1168" s="275"/>
      <c r="M1168" s="275"/>
      <c r="N1168" s="275"/>
      <c r="O1168" s="139"/>
      <c r="P1168" s="45"/>
      <c r="Q1168" s="45"/>
      <c r="R1168" s="45"/>
      <c r="S1168" s="45"/>
      <c r="T1168" s="45"/>
      <c r="U1168" s="45"/>
      <c r="V1168" s="45"/>
    </row>
    <row r="1169" spans="2:22" x14ac:dyDescent="0.35">
      <c r="B1169" s="666" t="s">
        <v>171</v>
      </c>
      <c r="C1169" s="275">
        <v>809257.78737400123</v>
      </c>
      <c r="D1169" s="275">
        <v>859558.19754999992</v>
      </c>
      <c r="E1169" s="275">
        <v>872871.15195000079</v>
      </c>
      <c r="F1169" s="275">
        <v>662273.88595000049</v>
      </c>
      <c r="G1169" s="275">
        <v>861211.12435999769</v>
      </c>
      <c r="H1169" s="275">
        <v>652460.09061999945</v>
      </c>
      <c r="I1169" s="275">
        <v>716384.48493999883</v>
      </c>
      <c r="J1169" s="275">
        <v>674342.99299999885</v>
      </c>
      <c r="K1169" s="275">
        <v>522560.62308999954</v>
      </c>
      <c r="L1169" s="275">
        <v>464761.79900000017</v>
      </c>
      <c r="M1169" s="275">
        <v>582863.09600000049</v>
      </c>
      <c r="N1169" s="275">
        <v>755677.19099999894</v>
      </c>
      <c r="O1169" s="309">
        <v>8434222.4248339981</v>
      </c>
    </row>
    <row r="1170" spans="2:22" s="46" customFormat="1" x14ac:dyDescent="0.35">
      <c r="B1170" s="666"/>
      <c r="C1170" s="275"/>
      <c r="D1170" s="275"/>
      <c r="E1170" s="275"/>
      <c r="F1170" s="275"/>
      <c r="G1170" s="275"/>
      <c r="H1170" s="275"/>
      <c r="I1170" s="275"/>
      <c r="J1170" s="275"/>
      <c r="K1170" s="275"/>
      <c r="L1170" s="275"/>
      <c r="M1170" s="275"/>
      <c r="N1170" s="275"/>
      <c r="O1170" s="310"/>
      <c r="P1170" s="324"/>
      <c r="Q1170" s="324"/>
      <c r="R1170" s="324"/>
      <c r="S1170" s="324"/>
      <c r="T1170" s="324"/>
      <c r="U1170" s="324"/>
      <c r="V1170" s="324"/>
    </row>
    <row r="1171" spans="2:22" x14ac:dyDescent="0.35">
      <c r="B1171" s="666" t="s">
        <v>172</v>
      </c>
      <c r="C1171" s="275">
        <v>87038.333431999839</v>
      </c>
      <c r="D1171" s="275">
        <v>84798.282140000039</v>
      </c>
      <c r="E1171" s="275">
        <v>94917.187119999813</v>
      </c>
      <c r="F1171" s="275">
        <v>112612.96815999976</v>
      </c>
      <c r="G1171" s="275">
        <v>125136.68887000057</v>
      </c>
      <c r="H1171" s="275">
        <v>89122.398309999844</v>
      </c>
      <c r="I1171" s="275">
        <v>100708.35975999986</v>
      </c>
      <c r="J1171" s="275">
        <v>139684.20899999965</v>
      </c>
      <c r="K1171" s="275">
        <v>104683.5030000008</v>
      </c>
      <c r="L1171" s="275">
        <v>101762.32871000067</v>
      </c>
      <c r="M1171" s="275">
        <v>112742.46950000053</v>
      </c>
      <c r="N1171" s="275">
        <v>101474.01260000012</v>
      </c>
      <c r="O1171" s="305">
        <v>1254680.7406020015</v>
      </c>
      <c r="P1171" s="46"/>
      <c r="Q1171" s="46"/>
      <c r="R1171" s="46"/>
      <c r="S1171" s="46"/>
      <c r="T1171" s="46"/>
      <c r="U1171" s="46"/>
      <c r="V1171" s="46"/>
    </row>
    <row r="1172" spans="2:22" x14ac:dyDescent="0.35">
      <c r="B1172" s="666"/>
      <c r="C1172" s="275"/>
      <c r="D1172" s="275"/>
      <c r="E1172" s="275"/>
      <c r="F1172" s="275"/>
      <c r="G1172" s="275"/>
      <c r="H1172" s="275"/>
      <c r="I1172" s="275"/>
      <c r="J1172" s="275"/>
      <c r="K1172" s="275"/>
      <c r="L1172" s="275"/>
      <c r="M1172" s="275"/>
      <c r="N1172" s="275"/>
      <c r="O1172" s="305"/>
    </row>
    <row r="1173" spans="2:22" s="327" customFormat="1" x14ac:dyDescent="0.35">
      <c r="B1173" s="653" t="s">
        <v>168</v>
      </c>
      <c r="C1173" s="167">
        <v>1722.36</v>
      </c>
      <c r="D1173" s="167">
        <v>1311.2752500000001</v>
      </c>
      <c r="E1173" s="167">
        <v>2056.0619999999994</v>
      </c>
      <c r="F1173" s="167">
        <v>1481.4687800000004</v>
      </c>
      <c r="G1173" s="167">
        <v>1764.9480000000003</v>
      </c>
      <c r="H1173" s="167">
        <v>1409.3089999999997</v>
      </c>
      <c r="I1173" s="167">
        <v>2532.9199999999996</v>
      </c>
      <c r="J1173" s="167">
        <v>1255.27</v>
      </c>
      <c r="K1173" s="167">
        <v>2196.0379999999986</v>
      </c>
      <c r="L1173" s="167">
        <v>1549.9370000000004</v>
      </c>
      <c r="M1173" s="167">
        <v>1050.6529999999998</v>
      </c>
      <c r="N1173" s="167">
        <v>2086.683</v>
      </c>
      <c r="O1173" s="166">
        <v>20416.924029999998</v>
      </c>
      <c r="P1173" s="324"/>
      <c r="Q1173" s="324"/>
      <c r="R1173" s="324"/>
      <c r="S1173" s="324"/>
      <c r="T1173" s="324"/>
      <c r="U1173" s="324"/>
      <c r="V1173" s="324"/>
    </row>
    <row r="1174" spans="2:22" s="327" customFormat="1" x14ac:dyDescent="0.35">
      <c r="B1174" s="653" t="s">
        <v>169</v>
      </c>
      <c r="C1174" s="167">
        <v>83885.601431999836</v>
      </c>
      <c r="D1174" s="167">
        <v>80496.089890000032</v>
      </c>
      <c r="E1174" s="167">
        <v>91335.001119999826</v>
      </c>
      <c r="F1174" s="167">
        <v>108879.39537999977</v>
      </c>
      <c r="G1174" s="167">
        <v>121045.22687000057</v>
      </c>
      <c r="H1174" s="167">
        <v>85793.659309999857</v>
      </c>
      <c r="I1174" s="167">
        <v>95999.675759999867</v>
      </c>
      <c r="J1174" s="167">
        <v>135688.35799999966</v>
      </c>
      <c r="K1174" s="167">
        <v>100415.73300000079</v>
      </c>
      <c r="L1174" s="167">
        <v>96903.777710000664</v>
      </c>
      <c r="M1174" s="167">
        <v>109098.30050000052</v>
      </c>
      <c r="N1174" s="167">
        <v>95891.984600000113</v>
      </c>
      <c r="O1174" s="166">
        <v>1205432.8035720016</v>
      </c>
    </row>
    <row r="1175" spans="2:22" s="327" customFormat="1" x14ac:dyDescent="0.35">
      <c r="B1175" s="653" t="s">
        <v>170</v>
      </c>
      <c r="C1175" s="167">
        <v>1430.3720000000003</v>
      </c>
      <c r="D1175" s="167">
        <v>2990.9169999999986</v>
      </c>
      <c r="E1175" s="167">
        <v>1526.1239999999991</v>
      </c>
      <c r="F1175" s="167">
        <v>2252.1039999999989</v>
      </c>
      <c r="G1175" s="167">
        <v>2326.5139999999992</v>
      </c>
      <c r="H1175" s="167">
        <v>1919.4299999999992</v>
      </c>
      <c r="I1175" s="167">
        <v>2175.7639999999983</v>
      </c>
      <c r="J1175" s="167">
        <v>2740.5809999999979</v>
      </c>
      <c r="K1175" s="167">
        <v>2071.7319999999995</v>
      </c>
      <c r="L1175" s="167">
        <v>3308.6139999999991</v>
      </c>
      <c r="M1175" s="167">
        <v>2593.5159999999983</v>
      </c>
      <c r="N1175" s="167">
        <v>3495.344999999998</v>
      </c>
      <c r="O1175" s="166">
        <v>28831.012999999984</v>
      </c>
    </row>
    <row r="1176" spans="2:22" s="47" customFormat="1" ht="17.25" customHeight="1" x14ac:dyDescent="0.35">
      <c r="B1176" s="269"/>
      <c r="C1176" s="275"/>
      <c r="D1176" s="275"/>
      <c r="E1176" s="275"/>
      <c r="F1176" s="275"/>
      <c r="G1176" s="275"/>
      <c r="H1176" s="275"/>
      <c r="I1176" s="275"/>
      <c r="J1176" s="275"/>
      <c r="K1176" s="275"/>
      <c r="L1176" s="275"/>
      <c r="M1176" s="275"/>
      <c r="N1176" s="275"/>
      <c r="O1176" s="139"/>
      <c r="P1176" s="327"/>
      <c r="Q1176" s="327"/>
      <c r="R1176" s="327"/>
      <c r="S1176" s="327"/>
      <c r="T1176" s="327"/>
      <c r="U1176" s="327"/>
      <c r="V1176" s="327"/>
    </row>
    <row r="1177" spans="2:22" x14ac:dyDescent="0.35">
      <c r="B1177" s="666" t="s">
        <v>173</v>
      </c>
      <c r="C1177" s="279">
        <v>84827.709432000018</v>
      </c>
      <c r="D1177" s="279">
        <v>82976.890140000352</v>
      </c>
      <c r="E1177" s="279">
        <v>93480.08412000013</v>
      </c>
      <c r="F1177" s="279">
        <v>112234.51215999993</v>
      </c>
      <c r="G1177" s="279">
        <v>123814.74987000012</v>
      </c>
      <c r="H1177" s="279">
        <v>86565.237309999939</v>
      </c>
      <c r="I1177" s="279">
        <v>97931.969759999978</v>
      </c>
      <c r="J1177" s="279">
        <v>138283.45499999993</v>
      </c>
      <c r="K1177" s="279">
        <v>103769.06099999917</v>
      </c>
      <c r="L1177" s="279">
        <v>99818.114709999703</v>
      </c>
      <c r="M1177" s="279">
        <v>111265.51650000026</v>
      </c>
      <c r="N1177" s="279">
        <v>97521.81760000014</v>
      </c>
      <c r="O1177" s="308">
        <v>1232489.1176019995</v>
      </c>
      <c r="P1177" s="47"/>
      <c r="Q1177" s="47"/>
      <c r="R1177" s="47"/>
      <c r="S1177" s="47"/>
      <c r="T1177" s="47"/>
      <c r="U1177" s="47"/>
      <c r="V1177" s="47"/>
    </row>
    <row r="1178" spans="2:22" s="41" customFormat="1" x14ac:dyDescent="0.35">
      <c r="B1178" s="653" t="s">
        <v>62</v>
      </c>
      <c r="C1178" s="167">
        <v>63271.588712000026</v>
      </c>
      <c r="D1178" s="167">
        <v>57402.020140000328</v>
      </c>
      <c r="E1178" s="167">
        <v>63493.940120000094</v>
      </c>
      <c r="F1178" s="167">
        <v>75176.685159999877</v>
      </c>
      <c r="G1178" s="167">
        <v>78011.340620000119</v>
      </c>
      <c r="H1178" s="167">
        <v>59082.787999999913</v>
      </c>
      <c r="I1178" s="167">
        <v>70298.666259999984</v>
      </c>
      <c r="J1178" s="167">
        <v>83663.920999999813</v>
      </c>
      <c r="K1178" s="167">
        <v>58153.888999999202</v>
      </c>
      <c r="L1178" s="167">
        <v>44303.475709999759</v>
      </c>
      <c r="M1178" s="167">
        <v>56538.141500000122</v>
      </c>
      <c r="N1178" s="167">
        <v>50973.088599999981</v>
      </c>
      <c r="O1178" s="166">
        <v>760369.54482199927</v>
      </c>
      <c r="P1178" s="324"/>
      <c r="Q1178" s="324"/>
      <c r="R1178" s="324"/>
      <c r="S1178" s="324"/>
      <c r="T1178" s="324"/>
      <c r="U1178" s="324"/>
      <c r="V1178" s="324"/>
    </row>
    <row r="1179" spans="2:22" s="41" customFormat="1" x14ac:dyDescent="0.35">
      <c r="B1179" s="653" t="s">
        <v>63</v>
      </c>
      <c r="C1179" s="167">
        <v>21512.561719999998</v>
      </c>
      <c r="D1179" s="167">
        <v>25574.870000000014</v>
      </c>
      <c r="E1179" s="167">
        <v>29986.144000000033</v>
      </c>
      <c r="F1179" s="167">
        <v>37057.827000000048</v>
      </c>
      <c r="G1179" s="167">
        <v>45803.409250000004</v>
      </c>
      <c r="H1179" s="167">
        <v>27482.449310000011</v>
      </c>
      <c r="I1179" s="167">
        <v>27633.303499999995</v>
      </c>
      <c r="J1179" s="167">
        <v>54619.534000000138</v>
      </c>
      <c r="K1179" s="167">
        <v>45615.171999999977</v>
      </c>
      <c r="L1179" s="167">
        <v>55514.638999999937</v>
      </c>
      <c r="M1179" s="167">
        <v>54718.775000000125</v>
      </c>
      <c r="N1179" s="167">
        <v>46548.729000000152</v>
      </c>
      <c r="O1179" s="166">
        <v>472067.41378000041</v>
      </c>
    </row>
    <row r="1180" spans="2:22" x14ac:dyDescent="0.35">
      <c r="B1180" s="653" t="s">
        <v>64</v>
      </c>
      <c r="C1180" s="167">
        <v>43.558999999999997</v>
      </c>
      <c r="D1180" s="167">
        <v>0</v>
      </c>
      <c r="E1180" s="167">
        <v>0</v>
      </c>
      <c r="F1180" s="167">
        <v>0</v>
      </c>
      <c r="G1180" s="167">
        <v>0</v>
      </c>
      <c r="H1180" s="167">
        <v>0</v>
      </c>
      <c r="I1180" s="167">
        <v>0</v>
      </c>
      <c r="J1180" s="167">
        <v>0</v>
      </c>
      <c r="K1180" s="167">
        <v>0</v>
      </c>
      <c r="L1180" s="167">
        <v>0</v>
      </c>
      <c r="M1180" s="167">
        <v>8.6</v>
      </c>
      <c r="N1180" s="167">
        <v>0</v>
      </c>
      <c r="O1180" s="166">
        <v>52.158999999999999</v>
      </c>
      <c r="P1180" s="41"/>
      <c r="Q1180" s="41"/>
      <c r="R1180" s="41"/>
      <c r="S1180" s="41"/>
      <c r="T1180" s="41"/>
      <c r="U1180" s="41"/>
      <c r="V1180" s="41"/>
    </row>
    <row r="1181" spans="2:22" x14ac:dyDescent="0.35">
      <c r="B1181" s="666" t="s">
        <v>174</v>
      </c>
      <c r="C1181" s="279">
        <v>2210.6240000000003</v>
      </c>
      <c r="D1181" s="279">
        <v>1821.3920000000003</v>
      </c>
      <c r="E1181" s="279">
        <v>1437.1030000000001</v>
      </c>
      <c r="F1181" s="279">
        <v>378.45600000000002</v>
      </c>
      <c r="G1181" s="279">
        <v>1321.9389999999999</v>
      </c>
      <c r="H1181" s="279">
        <v>2557.1609999999996</v>
      </c>
      <c r="I1181" s="279">
        <v>2776.389999999999</v>
      </c>
      <c r="J1181" s="279">
        <v>1400.7539999999995</v>
      </c>
      <c r="K1181" s="279">
        <v>914.44199999999989</v>
      </c>
      <c r="L1181" s="279">
        <v>1944.2139999999997</v>
      </c>
      <c r="M1181" s="279">
        <v>1476.9529999999991</v>
      </c>
      <c r="N1181" s="279">
        <v>3952.1950000000011</v>
      </c>
      <c r="O1181" s="307">
        <v>22191.622999999996</v>
      </c>
    </row>
    <row r="1182" spans="2:22" x14ac:dyDescent="0.35">
      <c r="B1182" s="670"/>
      <c r="C1182" s="311"/>
      <c r="D1182" s="311"/>
      <c r="E1182" s="311"/>
      <c r="F1182" s="311"/>
      <c r="G1182" s="311"/>
      <c r="H1182" s="311"/>
      <c r="I1182" s="311"/>
      <c r="J1182" s="311"/>
      <c r="K1182" s="311"/>
      <c r="L1182" s="311"/>
      <c r="M1182" s="311"/>
      <c r="N1182" s="311"/>
      <c r="O1182" s="312"/>
    </row>
    <row r="1183" spans="2:22" x14ac:dyDescent="0.35">
      <c r="B1183" s="6"/>
      <c r="C1183" s="313"/>
      <c r="D1183" s="314"/>
      <c r="E1183" s="314"/>
      <c r="F1183" s="314"/>
      <c r="G1183" s="314"/>
      <c r="H1183" s="314"/>
      <c r="I1183" s="314"/>
      <c r="J1183" s="314"/>
      <c r="K1183" s="314"/>
      <c r="L1183" s="314"/>
      <c r="M1183" s="314"/>
      <c r="N1183" s="314"/>
      <c r="O1183" s="314"/>
    </row>
    <row r="1184" spans="2:22" ht="28.5" customHeight="1" x14ac:dyDescent="0.35">
      <c r="B1184" s="1069" t="s">
        <v>383</v>
      </c>
      <c r="C1184" s="1069"/>
      <c r="D1184" s="1069"/>
      <c r="E1184" s="1069"/>
      <c r="F1184" s="1069"/>
      <c r="G1184" s="1069"/>
      <c r="H1184" s="1069"/>
      <c r="I1184" s="1069"/>
      <c r="J1184" s="555">
        <v>2025</v>
      </c>
      <c r="K1184" s="125"/>
      <c r="L1184" s="125"/>
      <c r="M1184" s="125"/>
      <c r="N1184" s="125"/>
      <c r="O1184" s="125"/>
    </row>
    <row r="1185" spans="1:22" s="327" customFormat="1" x14ac:dyDescent="0.35">
      <c r="B1185" s="8"/>
      <c r="C1185" s="290"/>
      <c r="D1185" s="290"/>
      <c r="E1185" s="290"/>
      <c r="F1185" s="290"/>
      <c r="G1185" s="290"/>
      <c r="H1185" s="290"/>
      <c r="I1185" s="290"/>
      <c r="J1185" s="290"/>
      <c r="K1185" s="290"/>
      <c r="L1185" s="290"/>
      <c r="M1185" s="290"/>
      <c r="N1185" s="290"/>
      <c r="O1185" s="290"/>
      <c r="P1185" s="324"/>
      <c r="Q1185" s="324"/>
      <c r="R1185" s="324"/>
      <c r="S1185" s="324"/>
      <c r="T1185" s="324"/>
      <c r="U1185" s="324"/>
      <c r="V1185" s="324"/>
    </row>
    <row r="1186" spans="1:22" s="327" customFormat="1" ht="16.5" customHeight="1" x14ac:dyDescent="0.35">
      <c r="A1186" s="45"/>
      <c r="B1186" s="1074" t="s">
        <v>13</v>
      </c>
      <c r="C1186" s="1072" t="s">
        <v>0</v>
      </c>
      <c r="D1186" s="1072" t="s">
        <v>1</v>
      </c>
      <c r="E1186" s="1072" t="s">
        <v>2</v>
      </c>
      <c r="F1186" s="1072" t="s">
        <v>3</v>
      </c>
      <c r="G1186" s="1072" t="s">
        <v>4</v>
      </c>
      <c r="H1186" s="1072" t="s">
        <v>5</v>
      </c>
      <c r="I1186" s="1072" t="s">
        <v>6</v>
      </c>
      <c r="J1186" s="1072" t="s">
        <v>7</v>
      </c>
      <c r="K1186" s="1072" t="s">
        <v>8</v>
      </c>
      <c r="L1186" s="1072" t="s">
        <v>9</v>
      </c>
      <c r="M1186" s="1072" t="s">
        <v>10</v>
      </c>
      <c r="N1186" s="1072" t="s">
        <v>14</v>
      </c>
      <c r="O1186" s="1074" t="s">
        <v>15</v>
      </c>
    </row>
    <row r="1187" spans="1:22" s="327" customFormat="1" ht="15" customHeight="1" x14ac:dyDescent="0.35">
      <c r="B1187" s="1080"/>
      <c r="C1187" s="1073"/>
      <c r="D1187" s="1073"/>
      <c r="E1187" s="1073"/>
      <c r="F1187" s="1073"/>
      <c r="G1187" s="1073"/>
      <c r="H1187" s="1073"/>
      <c r="I1187" s="1073"/>
      <c r="J1187" s="1073"/>
      <c r="K1187" s="1073"/>
      <c r="L1187" s="1073"/>
      <c r="M1187" s="1079"/>
      <c r="N1187" s="1079"/>
      <c r="O1187" s="1079"/>
    </row>
    <row r="1188" spans="1:22" s="327" customFormat="1" x14ac:dyDescent="0.35">
      <c r="B1188" s="315"/>
      <c r="C1188" s="632">
        <v>0</v>
      </c>
      <c r="D1188" s="632">
        <v>0</v>
      </c>
      <c r="E1188" s="632">
        <v>0</v>
      </c>
      <c r="F1188" s="632">
        <v>0</v>
      </c>
      <c r="G1188" s="632">
        <v>0</v>
      </c>
      <c r="H1188" s="632">
        <v>0</v>
      </c>
      <c r="I1188" s="632">
        <v>0</v>
      </c>
      <c r="J1188" s="632">
        <v>0</v>
      </c>
      <c r="K1188" s="632">
        <v>0</v>
      </c>
      <c r="L1188" s="632">
        <v>0</v>
      </c>
      <c r="M1188" s="632">
        <v>0</v>
      </c>
      <c r="N1188" s="632">
        <v>0</v>
      </c>
      <c r="O1188" s="316"/>
    </row>
    <row r="1189" spans="1:22" s="327" customFormat="1" x14ac:dyDescent="0.35">
      <c r="B1189" s="317" t="s">
        <v>216</v>
      </c>
      <c r="C1189" s="112">
        <v>78339</v>
      </c>
      <c r="D1189" s="112">
        <v>76294</v>
      </c>
      <c r="E1189" s="112">
        <v>78304</v>
      </c>
      <c r="F1189" s="112">
        <v>73371</v>
      </c>
      <c r="G1189" s="112">
        <v>84051</v>
      </c>
      <c r="H1189" s="112">
        <v>64944</v>
      </c>
      <c r="I1189" s="112">
        <v>71185</v>
      </c>
      <c r="J1189" s="112">
        <v>75918</v>
      </c>
      <c r="K1189" s="112">
        <v>65341</v>
      </c>
      <c r="L1189" s="112">
        <v>67240</v>
      </c>
      <c r="M1189" s="112">
        <v>66713</v>
      </c>
      <c r="N1189" s="112">
        <v>75897</v>
      </c>
      <c r="O1189" s="163">
        <v>877597</v>
      </c>
    </row>
    <row r="1190" spans="1:22" s="327" customFormat="1" x14ac:dyDescent="0.35">
      <c r="B1190" s="318"/>
      <c r="C1190" s="130"/>
      <c r="D1190" s="130"/>
      <c r="E1190" s="130"/>
      <c r="F1190" s="130"/>
      <c r="G1190" s="130"/>
      <c r="H1190" s="130"/>
      <c r="I1190" s="130"/>
      <c r="J1190" s="130"/>
      <c r="K1190" s="130"/>
      <c r="L1190" s="130"/>
      <c r="M1190" s="130"/>
      <c r="N1190" s="130"/>
      <c r="O1190" s="130"/>
    </row>
    <row r="1191" spans="1:22" s="327" customFormat="1" x14ac:dyDescent="0.35">
      <c r="B1191" s="130" t="s">
        <v>180</v>
      </c>
      <c r="C1191" s="131">
        <v>12634</v>
      </c>
      <c r="D1191" s="131">
        <v>8035</v>
      </c>
      <c r="E1191" s="131">
        <v>11859</v>
      </c>
      <c r="F1191" s="131">
        <v>10330</v>
      </c>
      <c r="G1191" s="131">
        <v>9426</v>
      </c>
      <c r="H1191" s="131">
        <v>3881</v>
      </c>
      <c r="I1191" s="131">
        <v>5110</v>
      </c>
      <c r="J1191" s="131">
        <v>4145</v>
      </c>
      <c r="K1191" s="131">
        <v>3510</v>
      </c>
      <c r="L1191" s="131">
        <v>1881</v>
      </c>
      <c r="M1191" s="131">
        <v>1411</v>
      </c>
      <c r="N1191" s="131">
        <v>4651</v>
      </c>
      <c r="O1191" s="164">
        <v>76873</v>
      </c>
    </row>
    <row r="1192" spans="1:22" s="327" customFormat="1" x14ac:dyDescent="0.35">
      <c r="B1192" s="130" t="s">
        <v>181</v>
      </c>
      <c r="C1192" s="131">
        <v>39641</v>
      </c>
      <c r="D1192" s="131">
        <v>39018</v>
      </c>
      <c r="E1192" s="131">
        <v>42707</v>
      </c>
      <c r="F1192" s="131">
        <v>41891</v>
      </c>
      <c r="G1192" s="131">
        <v>45759</v>
      </c>
      <c r="H1192" s="131">
        <v>41784</v>
      </c>
      <c r="I1192" s="131">
        <v>44072</v>
      </c>
      <c r="J1192" s="131">
        <v>49527</v>
      </c>
      <c r="K1192" s="131">
        <v>45936</v>
      </c>
      <c r="L1192" s="131">
        <v>50772</v>
      </c>
      <c r="M1192" s="131">
        <v>46320</v>
      </c>
      <c r="N1192" s="131">
        <v>45453</v>
      </c>
      <c r="O1192" s="164">
        <v>532880</v>
      </c>
    </row>
    <row r="1193" spans="1:22" s="327" customFormat="1" x14ac:dyDescent="0.35">
      <c r="B1193" s="130" t="s">
        <v>182</v>
      </c>
      <c r="C1193" s="131">
        <v>26064</v>
      </c>
      <c r="D1193" s="131">
        <v>29241</v>
      </c>
      <c r="E1193" s="131">
        <v>23738</v>
      </c>
      <c r="F1193" s="131">
        <v>21150</v>
      </c>
      <c r="G1193" s="131">
        <v>28866</v>
      </c>
      <c r="H1193" s="131">
        <v>19279</v>
      </c>
      <c r="I1193" s="131">
        <v>22003</v>
      </c>
      <c r="J1193" s="131">
        <v>22246</v>
      </c>
      <c r="K1193" s="131">
        <v>15895</v>
      </c>
      <c r="L1193" s="131">
        <v>14587</v>
      </c>
      <c r="M1193" s="131">
        <v>18982</v>
      </c>
      <c r="N1193" s="131">
        <v>25793</v>
      </c>
      <c r="O1193" s="164">
        <v>267844</v>
      </c>
    </row>
    <row r="1194" spans="1:22" s="327" customFormat="1" x14ac:dyDescent="0.35">
      <c r="B1194" s="130"/>
      <c r="C1194" s="632">
        <v>0</v>
      </c>
      <c r="D1194" s="632">
        <v>0</v>
      </c>
      <c r="E1194" s="632">
        <v>0</v>
      </c>
      <c r="F1194" s="632">
        <v>0</v>
      </c>
      <c r="G1194" s="632">
        <v>0</v>
      </c>
      <c r="H1194" s="632">
        <v>0</v>
      </c>
      <c r="I1194" s="632">
        <v>0</v>
      </c>
      <c r="J1194" s="632">
        <v>0</v>
      </c>
      <c r="K1194" s="632">
        <v>0</v>
      </c>
      <c r="L1194" s="632">
        <v>0</v>
      </c>
      <c r="M1194" s="632">
        <v>0</v>
      </c>
      <c r="N1194" s="632">
        <v>0</v>
      </c>
      <c r="O1194" s="130"/>
    </row>
    <row r="1195" spans="1:22" s="327" customFormat="1" x14ac:dyDescent="0.35">
      <c r="B1195" s="317" t="s">
        <v>217</v>
      </c>
      <c r="C1195" s="112">
        <v>79675</v>
      </c>
      <c r="D1195" s="112">
        <v>62464</v>
      </c>
      <c r="E1195" s="112">
        <v>72436</v>
      </c>
      <c r="F1195" s="112">
        <v>68547</v>
      </c>
      <c r="G1195" s="112">
        <v>73683</v>
      </c>
      <c r="H1195" s="112">
        <v>65301</v>
      </c>
      <c r="I1195" s="112">
        <v>63678</v>
      </c>
      <c r="J1195" s="112">
        <v>73026</v>
      </c>
      <c r="K1195" s="112">
        <v>67173</v>
      </c>
      <c r="L1195" s="112">
        <v>71821</v>
      </c>
      <c r="M1195" s="112">
        <v>61273</v>
      </c>
      <c r="N1195" s="112">
        <v>72634</v>
      </c>
      <c r="O1195" s="163">
        <v>831711</v>
      </c>
    </row>
    <row r="1196" spans="1:22" s="327" customFormat="1" x14ac:dyDescent="0.35">
      <c r="B1196" s="127"/>
      <c r="C1196" s="127"/>
      <c r="D1196" s="127"/>
      <c r="E1196" s="127"/>
      <c r="F1196" s="127"/>
      <c r="G1196" s="127"/>
      <c r="H1196" s="127"/>
      <c r="I1196" s="127"/>
      <c r="J1196" s="127"/>
      <c r="K1196" s="127"/>
      <c r="L1196" s="127"/>
      <c r="M1196" s="127"/>
      <c r="N1196" s="127"/>
      <c r="O1196" s="127"/>
    </row>
    <row r="1197" spans="1:22" s="327" customFormat="1" x14ac:dyDescent="0.35">
      <c r="B1197" s="130" t="s">
        <v>180</v>
      </c>
      <c r="C1197" s="131">
        <v>36271</v>
      </c>
      <c r="D1197" s="131">
        <v>21428</v>
      </c>
      <c r="E1197" s="131">
        <v>26557</v>
      </c>
      <c r="F1197" s="131">
        <v>23874</v>
      </c>
      <c r="G1197" s="131">
        <v>21224</v>
      </c>
      <c r="H1197" s="131">
        <v>18450</v>
      </c>
      <c r="I1197" s="131">
        <v>19553</v>
      </c>
      <c r="J1197" s="131">
        <v>29333</v>
      </c>
      <c r="K1197" s="131">
        <v>32837</v>
      </c>
      <c r="L1197" s="131">
        <v>36893</v>
      </c>
      <c r="M1197" s="131">
        <v>25753</v>
      </c>
      <c r="N1197" s="131">
        <v>27984</v>
      </c>
      <c r="O1197" s="164">
        <v>320157</v>
      </c>
    </row>
    <row r="1198" spans="1:22" x14ac:dyDescent="0.35">
      <c r="B1198" s="130" t="s">
        <v>181</v>
      </c>
      <c r="C1198" s="131">
        <v>18018</v>
      </c>
      <c r="D1198" s="131">
        <v>17119</v>
      </c>
      <c r="E1198" s="131">
        <v>17224</v>
      </c>
      <c r="F1198" s="131">
        <v>24152</v>
      </c>
      <c r="G1198" s="131">
        <v>28652</v>
      </c>
      <c r="H1198" s="131">
        <v>25271</v>
      </c>
      <c r="I1198" s="131">
        <v>22372</v>
      </c>
      <c r="J1198" s="131">
        <v>24322</v>
      </c>
      <c r="K1198" s="131">
        <v>17962</v>
      </c>
      <c r="L1198" s="131">
        <v>21025</v>
      </c>
      <c r="M1198" s="131">
        <v>18294</v>
      </c>
      <c r="N1198" s="131">
        <v>22882</v>
      </c>
      <c r="O1198" s="164">
        <v>257293</v>
      </c>
      <c r="P1198" s="327"/>
      <c r="Q1198" s="327"/>
      <c r="R1198" s="327"/>
      <c r="S1198" s="327"/>
      <c r="T1198" s="327"/>
      <c r="U1198" s="327"/>
      <c r="V1198" s="327"/>
    </row>
    <row r="1199" spans="1:22" x14ac:dyDescent="0.35">
      <c r="B1199" s="130" t="s">
        <v>182</v>
      </c>
      <c r="C1199" s="131">
        <v>25386</v>
      </c>
      <c r="D1199" s="131">
        <v>23917</v>
      </c>
      <c r="E1199" s="131">
        <v>28655</v>
      </c>
      <c r="F1199" s="131">
        <v>20521</v>
      </c>
      <c r="G1199" s="131">
        <v>23807</v>
      </c>
      <c r="H1199" s="131">
        <v>21580</v>
      </c>
      <c r="I1199" s="131">
        <v>21753</v>
      </c>
      <c r="J1199" s="131">
        <v>19371</v>
      </c>
      <c r="K1199" s="131">
        <v>16374</v>
      </c>
      <c r="L1199" s="131">
        <v>13903</v>
      </c>
      <c r="M1199" s="131">
        <v>17226</v>
      </c>
      <c r="N1199" s="131">
        <v>21768</v>
      </c>
      <c r="O1199" s="164">
        <v>254261</v>
      </c>
    </row>
    <row r="1200" spans="1:22" ht="16.5" customHeight="1" x14ac:dyDescent="0.35">
      <c r="B1200" s="130"/>
      <c r="C1200" s="130"/>
      <c r="D1200" s="130"/>
      <c r="E1200" s="130"/>
      <c r="F1200" s="130"/>
      <c r="G1200" s="130"/>
      <c r="H1200" s="130"/>
      <c r="I1200" s="130"/>
      <c r="J1200" s="130"/>
      <c r="K1200" s="130"/>
      <c r="L1200" s="130"/>
      <c r="M1200" s="130"/>
      <c r="N1200" s="130"/>
      <c r="O1200" s="130"/>
    </row>
    <row r="1201" spans="1:22" s="5" customFormat="1" x14ac:dyDescent="0.35">
      <c r="A1201" s="359"/>
      <c r="B1201" s="431" t="s">
        <v>179</v>
      </c>
      <c r="C1201" s="179">
        <v>158014</v>
      </c>
      <c r="D1201" s="179">
        <v>138758</v>
      </c>
      <c r="E1201" s="179">
        <v>150740</v>
      </c>
      <c r="F1201" s="141">
        <v>141918</v>
      </c>
      <c r="G1201" s="141">
        <v>157734</v>
      </c>
      <c r="H1201" s="141">
        <v>130245</v>
      </c>
      <c r="I1201" s="141">
        <v>134863</v>
      </c>
      <c r="J1201" s="141">
        <v>148944</v>
      </c>
      <c r="K1201" s="141">
        <v>132514</v>
      </c>
      <c r="L1201" s="141">
        <v>139061</v>
      </c>
      <c r="M1201" s="141">
        <v>127986</v>
      </c>
      <c r="N1201" s="141">
        <v>148531</v>
      </c>
      <c r="O1201" s="179">
        <v>1709308</v>
      </c>
      <c r="P1201" s="324"/>
      <c r="Q1201" s="324"/>
      <c r="R1201" s="324"/>
      <c r="S1201" s="324"/>
      <c r="T1201" s="324"/>
      <c r="U1201" s="324"/>
      <c r="V1201" s="324"/>
    </row>
    <row r="1202" spans="1:22" s="5" customFormat="1" ht="15" customHeight="1" x14ac:dyDescent="0.35">
      <c r="A1202" s="359"/>
      <c r="B1202" s="291"/>
      <c r="C1202" s="223"/>
      <c r="D1202" s="223"/>
      <c r="E1202" s="223"/>
      <c r="F1202" s="142"/>
      <c r="G1202" s="142"/>
      <c r="H1202" s="142"/>
      <c r="I1202" s="142"/>
      <c r="J1202" s="142"/>
      <c r="K1202" s="142"/>
      <c r="L1202" s="142"/>
      <c r="M1202" s="142"/>
      <c r="N1202" s="142"/>
      <c r="O1202" s="223"/>
      <c r="P1202" s="324"/>
    </row>
    <row r="1203" spans="1:22" x14ac:dyDescent="0.35">
      <c r="B1203" s="130" t="s">
        <v>180</v>
      </c>
      <c r="C1203" s="164">
        <v>48905</v>
      </c>
      <c r="D1203" s="164">
        <v>29463</v>
      </c>
      <c r="E1203" s="164">
        <v>38416</v>
      </c>
      <c r="F1203" s="138">
        <v>34204</v>
      </c>
      <c r="G1203" s="138">
        <v>30650</v>
      </c>
      <c r="H1203" s="138">
        <v>22331</v>
      </c>
      <c r="I1203" s="138">
        <v>24663</v>
      </c>
      <c r="J1203" s="138">
        <v>33478</v>
      </c>
      <c r="K1203" s="138">
        <v>36347</v>
      </c>
      <c r="L1203" s="138">
        <v>38774</v>
      </c>
      <c r="M1203" s="138">
        <v>27164</v>
      </c>
      <c r="N1203" s="138">
        <v>32635</v>
      </c>
      <c r="O1203" s="164">
        <v>397030</v>
      </c>
      <c r="Q1203" s="5"/>
      <c r="R1203" s="5"/>
      <c r="S1203" s="5"/>
      <c r="T1203" s="5"/>
      <c r="U1203" s="5"/>
      <c r="V1203" s="5"/>
    </row>
    <row r="1204" spans="1:22" s="326" customFormat="1" ht="16.5" customHeight="1" x14ac:dyDescent="0.35">
      <c r="B1204" s="130" t="s">
        <v>181</v>
      </c>
      <c r="C1204" s="164">
        <v>57659</v>
      </c>
      <c r="D1204" s="164">
        <v>56137</v>
      </c>
      <c r="E1204" s="164">
        <v>59931</v>
      </c>
      <c r="F1204" s="138">
        <v>66043</v>
      </c>
      <c r="G1204" s="138">
        <v>74411</v>
      </c>
      <c r="H1204" s="138">
        <v>67055</v>
      </c>
      <c r="I1204" s="138">
        <v>66444</v>
      </c>
      <c r="J1204" s="138">
        <v>73849</v>
      </c>
      <c r="K1204" s="138">
        <v>63898</v>
      </c>
      <c r="L1204" s="138">
        <v>71797</v>
      </c>
      <c r="M1204" s="138">
        <v>64614</v>
      </c>
      <c r="N1204" s="138">
        <v>68335</v>
      </c>
      <c r="O1204" s="164">
        <v>790173</v>
      </c>
      <c r="P1204" s="324">
        <f>O1204/SUM(O1203:O1204)</f>
        <v>0.66557530599231973</v>
      </c>
      <c r="Q1204" s="324"/>
      <c r="R1204" s="324"/>
      <c r="S1204" s="324"/>
      <c r="T1204" s="324"/>
      <c r="U1204" s="324"/>
      <c r="V1204" s="324"/>
    </row>
    <row r="1205" spans="1:22" x14ac:dyDescent="0.35">
      <c r="A1205" s="359"/>
      <c r="B1205" s="130" t="s">
        <v>182</v>
      </c>
      <c r="C1205" s="164">
        <v>51450</v>
      </c>
      <c r="D1205" s="164">
        <v>53158</v>
      </c>
      <c r="E1205" s="164">
        <v>52393</v>
      </c>
      <c r="F1205" s="138">
        <v>41671</v>
      </c>
      <c r="G1205" s="138">
        <v>52673</v>
      </c>
      <c r="H1205" s="138">
        <v>40859</v>
      </c>
      <c r="I1205" s="138">
        <v>43756</v>
      </c>
      <c r="J1205" s="138">
        <v>41617</v>
      </c>
      <c r="K1205" s="138">
        <v>32269</v>
      </c>
      <c r="L1205" s="138">
        <v>28490</v>
      </c>
      <c r="M1205" s="138">
        <v>36208</v>
      </c>
      <c r="N1205" s="138">
        <v>47561</v>
      </c>
      <c r="O1205" s="164">
        <v>522105</v>
      </c>
      <c r="Q1205" s="326"/>
      <c r="R1205" s="326"/>
      <c r="S1205" s="326"/>
      <c r="T1205" s="326"/>
      <c r="U1205" s="326"/>
      <c r="V1205" s="326"/>
    </row>
    <row r="1206" spans="1:22" x14ac:dyDescent="0.35">
      <c r="A1206" s="359"/>
      <c r="B1206" s="240"/>
      <c r="C1206" s="319"/>
      <c r="D1206" s="319"/>
      <c r="E1206" s="319"/>
      <c r="F1206" s="320"/>
      <c r="G1206" s="320"/>
      <c r="H1206" s="320"/>
      <c r="I1206" s="320"/>
      <c r="J1206" s="320"/>
      <c r="K1206" s="320"/>
      <c r="L1206" s="320"/>
      <c r="M1206" s="320"/>
      <c r="N1206" s="320"/>
      <c r="O1206" s="319"/>
    </row>
    <row r="1207" spans="1:22" x14ac:dyDescent="0.35">
      <c r="C1207" s="290"/>
      <c r="D1207" s="7"/>
      <c r="E1207" s="7"/>
      <c r="F1207" s="7"/>
      <c r="G1207" s="7"/>
      <c r="H1207" s="7"/>
      <c r="I1207" s="7"/>
      <c r="J1207" s="7"/>
      <c r="K1207" s="7"/>
      <c r="L1207" s="7"/>
      <c r="M1207" s="7"/>
      <c r="N1207" s="7"/>
      <c r="O1207" s="7"/>
    </row>
    <row r="1208" spans="1:22" x14ac:dyDescent="0.35">
      <c r="B1208" s="1068" t="s">
        <v>384</v>
      </c>
      <c r="C1208" s="1068"/>
      <c r="D1208" s="1068"/>
      <c r="E1208" s="1068"/>
      <c r="F1208" s="1068"/>
      <c r="G1208" s="1068"/>
      <c r="H1208" s="1068"/>
      <c r="I1208" s="1068"/>
      <c r="J1208" s="1068"/>
      <c r="K1208" s="555">
        <v>2025</v>
      </c>
      <c r="L1208" s="173"/>
      <c r="M1208" s="173"/>
      <c r="N1208" s="173"/>
      <c r="O1208" s="173"/>
    </row>
    <row r="1209" spans="1:22" x14ac:dyDescent="0.35">
      <c r="B1209" s="553"/>
      <c r="C1209" s="302"/>
      <c r="D1209" s="395"/>
      <c r="E1209" s="395"/>
      <c r="F1209" s="395"/>
      <c r="G1209" s="395"/>
      <c r="H1209" s="395"/>
      <c r="I1209" s="395"/>
      <c r="J1209" s="395"/>
      <c r="K1209" s="395"/>
      <c r="L1209" s="395"/>
      <c r="M1209" s="395"/>
      <c r="N1209" s="674"/>
      <c r="O1209" s="7"/>
    </row>
    <row r="1210" spans="1:22" ht="15" customHeight="1" x14ac:dyDescent="0.35">
      <c r="B1210" s="1074" t="s">
        <v>13</v>
      </c>
      <c r="C1210" s="1072" t="s">
        <v>0</v>
      </c>
      <c r="D1210" s="1072" t="s">
        <v>1</v>
      </c>
      <c r="E1210" s="1072" t="s">
        <v>2</v>
      </c>
      <c r="F1210" s="1072" t="s">
        <v>3</v>
      </c>
      <c r="G1210" s="1072" t="s">
        <v>4</v>
      </c>
      <c r="H1210" s="1072" t="s">
        <v>5</v>
      </c>
      <c r="I1210" s="1072" t="s">
        <v>6</v>
      </c>
      <c r="J1210" s="1072" t="s">
        <v>7</v>
      </c>
      <c r="K1210" s="1072" t="s">
        <v>8</v>
      </c>
      <c r="L1210" s="1072" t="s">
        <v>9</v>
      </c>
      <c r="M1210" s="1072" t="s">
        <v>10</v>
      </c>
      <c r="N1210" s="1072" t="s">
        <v>14</v>
      </c>
      <c r="O1210" s="1074" t="s">
        <v>15</v>
      </c>
    </row>
    <row r="1211" spans="1:22" ht="14.25" customHeight="1" x14ac:dyDescent="0.35">
      <c r="B1211" s="1080"/>
      <c r="C1211" s="1073"/>
      <c r="D1211" s="1073"/>
      <c r="E1211" s="1073"/>
      <c r="F1211" s="1073"/>
      <c r="G1211" s="1073"/>
      <c r="H1211" s="1073"/>
      <c r="I1211" s="1073"/>
      <c r="J1211" s="1073"/>
      <c r="K1211" s="1073"/>
      <c r="L1211" s="1073"/>
      <c r="M1211" s="1079"/>
      <c r="N1211" s="1079"/>
      <c r="O1211" s="1080"/>
    </row>
    <row r="1212" spans="1:22" x14ac:dyDescent="0.35">
      <c r="B1212" s="447"/>
      <c r="C1212" s="632">
        <v>0</v>
      </c>
      <c r="D1212" s="632">
        <v>0</v>
      </c>
      <c r="E1212" s="632">
        <v>0</v>
      </c>
      <c r="F1212" s="632">
        <v>0</v>
      </c>
      <c r="G1212" s="632">
        <v>0</v>
      </c>
      <c r="H1212" s="632">
        <v>0</v>
      </c>
      <c r="I1212" s="632">
        <v>0</v>
      </c>
      <c r="J1212" s="632">
        <v>0</v>
      </c>
      <c r="K1212" s="632">
        <v>0</v>
      </c>
      <c r="L1212" s="632">
        <v>0</v>
      </c>
      <c r="M1212" s="632">
        <v>0</v>
      </c>
      <c r="N1212" s="632">
        <v>0</v>
      </c>
      <c r="O1212" s="447"/>
    </row>
    <row r="1213" spans="1:22" s="327" customFormat="1" x14ac:dyDescent="0.35">
      <c r="B1213" s="647" t="s">
        <v>47</v>
      </c>
      <c r="C1213" s="162">
        <v>78339</v>
      </c>
      <c r="D1213" s="162">
        <v>76294</v>
      </c>
      <c r="E1213" s="162">
        <v>78304</v>
      </c>
      <c r="F1213" s="162">
        <v>73371</v>
      </c>
      <c r="G1213" s="162">
        <v>84051</v>
      </c>
      <c r="H1213" s="162">
        <v>64944</v>
      </c>
      <c r="I1213" s="162">
        <v>71185</v>
      </c>
      <c r="J1213" s="162">
        <v>75918</v>
      </c>
      <c r="K1213" s="162">
        <v>65341</v>
      </c>
      <c r="L1213" s="162">
        <v>67240</v>
      </c>
      <c r="M1213" s="162">
        <v>66713</v>
      </c>
      <c r="N1213" s="162">
        <v>75897</v>
      </c>
      <c r="O1213" s="306">
        <v>877597</v>
      </c>
      <c r="P1213" s="324"/>
      <c r="Q1213" s="324"/>
      <c r="R1213" s="324"/>
      <c r="S1213" s="324"/>
      <c r="T1213" s="324"/>
      <c r="U1213" s="324"/>
      <c r="V1213" s="324"/>
    </row>
    <row r="1214" spans="1:22" s="6" customFormat="1" x14ac:dyDescent="0.35">
      <c r="B1214" s="647"/>
      <c r="C1214" s="162"/>
      <c r="D1214" s="162"/>
      <c r="E1214" s="162"/>
      <c r="F1214" s="162"/>
      <c r="G1214" s="162"/>
      <c r="H1214" s="162"/>
      <c r="I1214" s="162"/>
      <c r="J1214" s="162"/>
      <c r="K1214" s="162"/>
      <c r="L1214" s="162"/>
      <c r="M1214" s="162"/>
      <c r="N1214" s="162"/>
      <c r="O1214" s="305"/>
    </row>
    <row r="1215" spans="1:22" s="8" customFormat="1" x14ac:dyDescent="0.35">
      <c r="A1215" s="359"/>
      <c r="B1215" s="666" t="s">
        <v>167</v>
      </c>
      <c r="C1215" s="305">
        <v>47866</v>
      </c>
      <c r="D1215" s="305">
        <v>42920</v>
      </c>
      <c r="E1215" s="305">
        <v>49888</v>
      </c>
      <c r="F1215" s="305">
        <v>46921</v>
      </c>
      <c r="G1215" s="305">
        <v>48796</v>
      </c>
      <c r="H1215" s="305">
        <v>41404</v>
      </c>
      <c r="I1215" s="305">
        <v>44367</v>
      </c>
      <c r="J1215" s="305">
        <v>47064</v>
      </c>
      <c r="K1215" s="305">
        <v>44378</v>
      </c>
      <c r="L1215" s="305">
        <v>47270</v>
      </c>
      <c r="M1215" s="305">
        <v>42148</v>
      </c>
      <c r="N1215" s="305">
        <v>44608</v>
      </c>
      <c r="O1215" s="305">
        <v>547630</v>
      </c>
      <c r="P1215" s="6"/>
      <c r="Q1215" s="6"/>
      <c r="R1215" s="6"/>
      <c r="S1215" s="6"/>
      <c r="T1215" s="6"/>
      <c r="U1215" s="6"/>
      <c r="V1215" s="6"/>
    </row>
    <row r="1216" spans="1:22" s="9" customFormat="1" ht="18.75" customHeight="1" x14ac:dyDescent="0.35">
      <c r="A1216" s="359"/>
      <c r="B1216" s="666" t="s">
        <v>171</v>
      </c>
      <c r="C1216" s="305">
        <v>26064</v>
      </c>
      <c r="D1216" s="305">
        <v>29241</v>
      </c>
      <c r="E1216" s="305">
        <v>23738</v>
      </c>
      <c r="F1216" s="305">
        <v>21150</v>
      </c>
      <c r="G1216" s="305">
        <v>28866</v>
      </c>
      <c r="H1216" s="305">
        <v>19279</v>
      </c>
      <c r="I1216" s="305">
        <v>22003</v>
      </c>
      <c r="J1216" s="305">
        <v>22246</v>
      </c>
      <c r="K1216" s="305">
        <v>15895</v>
      </c>
      <c r="L1216" s="305">
        <v>14587</v>
      </c>
      <c r="M1216" s="305">
        <v>18982</v>
      </c>
      <c r="N1216" s="305">
        <v>25793</v>
      </c>
      <c r="O1216" s="305">
        <v>267844</v>
      </c>
      <c r="P1216" s="8"/>
      <c r="Q1216" s="8"/>
      <c r="R1216" s="8"/>
      <c r="S1216" s="8"/>
      <c r="T1216" s="8"/>
      <c r="U1216" s="8"/>
      <c r="V1216" s="8"/>
    </row>
    <row r="1217" spans="1:22" s="8" customFormat="1" ht="18.75" customHeight="1" x14ac:dyDescent="0.35">
      <c r="A1217" s="359"/>
      <c r="B1217" s="666" t="s">
        <v>172</v>
      </c>
      <c r="C1217" s="275">
        <v>4409</v>
      </c>
      <c r="D1217" s="275">
        <v>4133</v>
      </c>
      <c r="E1217" s="275">
        <v>4678</v>
      </c>
      <c r="F1217" s="275">
        <v>5300</v>
      </c>
      <c r="G1217" s="275">
        <v>6389</v>
      </c>
      <c r="H1217" s="275">
        <v>4261</v>
      </c>
      <c r="I1217" s="275">
        <v>4815</v>
      </c>
      <c r="J1217" s="275">
        <v>6608</v>
      </c>
      <c r="K1217" s="275">
        <v>5068</v>
      </c>
      <c r="L1217" s="275">
        <v>5383</v>
      </c>
      <c r="M1217" s="275">
        <v>5583</v>
      </c>
      <c r="N1217" s="275">
        <v>5496</v>
      </c>
      <c r="O1217" s="305">
        <v>62123</v>
      </c>
      <c r="P1217" s="9"/>
      <c r="Q1217" s="9"/>
      <c r="R1217" s="9"/>
      <c r="S1217" s="9"/>
      <c r="T1217" s="9"/>
      <c r="U1217" s="9"/>
      <c r="V1217" s="9"/>
    </row>
    <row r="1218" spans="1:22" s="8" customFormat="1" ht="18.75" customHeight="1" x14ac:dyDescent="0.35">
      <c r="A1218" s="359"/>
      <c r="B1218" s="666"/>
      <c r="C1218" s="275"/>
      <c r="D1218" s="275"/>
      <c r="E1218" s="275"/>
      <c r="F1218" s="275"/>
      <c r="G1218" s="275"/>
      <c r="H1218" s="275"/>
      <c r="I1218" s="275"/>
      <c r="J1218" s="275"/>
      <c r="K1218" s="275"/>
      <c r="L1218" s="275"/>
      <c r="M1218" s="275"/>
      <c r="N1218" s="275"/>
      <c r="O1218" s="305"/>
    </row>
    <row r="1219" spans="1:22" s="6" customFormat="1" x14ac:dyDescent="0.35">
      <c r="A1219" s="359"/>
      <c r="B1219" s="666" t="s">
        <v>173</v>
      </c>
      <c r="C1219" s="275">
        <v>4316</v>
      </c>
      <c r="D1219" s="275">
        <v>4001</v>
      </c>
      <c r="E1219" s="275">
        <v>4612</v>
      </c>
      <c r="F1219" s="275">
        <v>5276</v>
      </c>
      <c r="G1219" s="275">
        <v>6256</v>
      </c>
      <c r="H1219" s="275">
        <v>4149</v>
      </c>
      <c r="I1219" s="275">
        <v>4662</v>
      </c>
      <c r="J1219" s="275">
        <v>6524</v>
      </c>
      <c r="K1219" s="275">
        <v>5023</v>
      </c>
      <c r="L1219" s="275">
        <v>5299</v>
      </c>
      <c r="M1219" s="275">
        <v>5517</v>
      </c>
      <c r="N1219" s="275">
        <v>5291</v>
      </c>
      <c r="O1219" s="305">
        <v>60926</v>
      </c>
      <c r="P1219" s="8"/>
      <c r="Q1219" s="8"/>
      <c r="R1219" s="8"/>
      <c r="S1219" s="8"/>
      <c r="T1219" s="8"/>
      <c r="U1219" s="8"/>
      <c r="V1219" s="8"/>
    </row>
    <row r="1220" spans="1:22" s="8" customFormat="1" ht="18.75" customHeight="1" x14ac:dyDescent="0.35">
      <c r="A1220" s="359"/>
      <c r="B1220" s="653" t="s">
        <v>62</v>
      </c>
      <c r="C1220" s="321">
        <v>2951</v>
      </c>
      <c r="D1220" s="321">
        <v>2545</v>
      </c>
      <c r="E1220" s="321">
        <v>2866</v>
      </c>
      <c r="F1220" s="321">
        <v>3444</v>
      </c>
      <c r="G1220" s="321">
        <v>3765</v>
      </c>
      <c r="H1220" s="321">
        <v>2685</v>
      </c>
      <c r="I1220" s="321">
        <v>3119</v>
      </c>
      <c r="J1220" s="321">
        <v>3612</v>
      </c>
      <c r="K1220" s="321">
        <v>2614</v>
      </c>
      <c r="L1220" s="321">
        <v>2162</v>
      </c>
      <c r="M1220" s="321">
        <v>2827</v>
      </c>
      <c r="N1220" s="321">
        <v>2613</v>
      </c>
      <c r="O1220" s="294">
        <v>35203</v>
      </c>
      <c r="P1220" s="6"/>
      <c r="Q1220" s="6"/>
      <c r="R1220" s="6"/>
      <c r="S1220" s="6"/>
      <c r="T1220" s="6"/>
      <c r="U1220" s="6"/>
      <c r="V1220" s="6"/>
    </row>
    <row r="1221" spans="1:22" s="8" customFormat="1" ht="18.75" customHeight="1" x14ac:dyDescent="0.35">
      <c r="B1221" s="653" t="s">
        <v>63</v>
      </c>
      <c r="C1221" s="321">
        <v>1359</v>
      </c>
      <c r="D1221" s="321">
        <v>1456</v>
      </c>
      <c r="E1221" s="321">
        <v>1746</v>
      </c>
      <c r="F1221" s="321">
        <v>1832</v>
      </c>
      <c r="G1221" s="321">
        <v>2491</v>
      </c>
      <c r="H1221" s="321">
        <v>1464</v>
      </c>
      <c r="I1221" s="321">
        <v>1543</v>
      </c>
      <c r="J1221" s="321">
        <v>2912</v>
      </c>
      <c r="K1221" s="321">
        <v>2409</v>
      </c>
      <c r="L1221" s="321">
        <v>3137</v>
      </c>
      <c r="M1221" s="321">
        <v>2689</v>
      </c>
      <c r="N1221" s="321">
        <v>2678</v>
      </c>
      <c r="O1221" s="294">
        <v>25716</v>
      </c>
    </row>
    <row r="1222" spans="1:22" s="8" customFormat="1" ht="15.75" customHeight="1" x14ac:dyDescent="0.35">
      <c r="B1222" s="653" t="s">
        <v>64</v>
      </c>
      <c r="C1222" s="321">
        <v>6</v>
      </c>
      <c r="D1222" s="321">
        <v>0</v>
      </c>
      <c r="E1222" s="321">
        <v>0</v>
      </c>
      <c r="F1222" s="321">
        <v>0</v>
      </c>
      <c r="G1222" s="321">
        <v>0</v>
      </c>
      <c r="H1222" s="321">
        <v>0</v>
      </c>
      <c r="I1222" s="321">
        <v>0</v>
      </c>
      <c r="J1222" s="321">
        <v>0</v>
      </c>
      <c r="K1222" s="321">
        <v>0</v>
      </c>
      <c r="L1222" s="321">
        <v>0</v>
      </c>
      <c r="M1222" s="321">
        <v>1</v>
      </c>
      <c r="N1222" s="321">
        <v>0</v>
      </c>
      <c r="O1222" s="294">
        <v>7</v>
      </c>
      <c r="P1222" s="11"/>
    </row>
    <row r="1223" spans="1:22" s="8" customFormat="1" ht="26.25" customHeight="1" x14ac:dyDescent="0.35">
      <c r="B1223" s="666" t="s">
        <v>174</v>
      </c>
      <c r="C1223" s="321">
        <v>93</v>
      </c>
      <c r="D1223" s="321">
        <v>132</v>
      </c>
      <c r="E1223" s="321">
        <v>66</v>
      </c>
      <c r="F1223" s="321">
        <v>24</v>
      </c>
      <c r="G1223" s="321">
        <v>133</v>
      </c>
      <c r="H1223" s="321">
        <v>112</v>
      </c>
      <c r="I1223" s="321">
        <v>153</v>
      </c>
      <c r="J1223" s="321">
        <v>84</v>
      </c>
      <c r="K1223" s="321">
        <v>45</v>
      </c>
      <c r="L1223" s="321">
        <v>84</v>
      </c>
      <c r="M1223" s="321">
        <v>66</v>
      </c>
      <c r="N1223" s="321">
        <v>205</v>
      </c>
      <c r="O1223" s="305">
        <v>1197</v>
      </c>
    </row>
    <row r="1224" spans="1:22" s="8" customFormat="1" ht="12.75" customHeight="1" x14ac:dyDescent="0.35">
      <c r="B1224" s="668"/>
      <c r="C1224" s="632">
        <v>0</v>
      </c>
      <c r="D1224" s="632">
        <v>0</v>
      </c>
      <c r="E1224" s="632">
        <v>0</v>
      </c>
      <c r="F1224" s="632">
        <v>0</v>
      </c>
      <c r="G1224" s="632">
        <v>0</v>
      </c>
      <c r="H1224" s="632">
        <v>0</v>
      </c>
      <c r="I1224" s="632">
        <v>0</v>
      </c>
      <c r="J1224" s="632">
        <v>0</v>
      </c>
      <c r="K1224" s="632">
        <v>0</v>
      </c>
      <c r="L1224" s="632">
        <v>0</v>
      </c>
      <c r="M1224" s="632">
        <v>0</v>
      </c>
      <c r="N1224" s="632">
        <v>0</v>
      </c>
      <c r="O1224" s="305"/>
    </row>
    <row r="1225" spans="1:22" s="9" customFormat="1" ht="18.75" customHeight="1" x14ac:dyDescent="0.35">
      <c r="B1225" s="647" t="s">
        <v>56</v>
      </c>
      <c r="C1225" s="162">
        <v>79675</v>
      </c>
      <c r="D1225" s="162">
        <v>62464</v>
      </c>
      <c r="E1225" s="162">
        <v>72436</v>
      </c>
      <c r="F1225" s="162">
        <v>68547</v>
      </c>
      <c r="G1225" s="162">
        <v>73683</v>
      </c>
      <c r="H1225" s="162">
        <v>65301</v>
      </c>
      <c r="I1225" s="162">
        <v>63678</v>
      </c>
      <c r="J1225" s="162">
        <v>73026</v>
      </c>
      <c r="K1225" s="162">
        <v>67173</v>
      </c>
      <c r="L1225" s="162">
        <v>71821</v>
      </c>
      <c r="M1225" s="162">
        <v>61273</v>
      </c>
      <c r="N1225" s="162">
        <v>72634</v>
      </c>
      <c r="O1225" s="306">
        <v>831711</v>
      </c>
      <c r="P1225" s="8"/>
      <c r="Q1225" s="8"/>
      <c r="R1225" s="8"/>
      <c r="S1225" s="8"/>
      <c r="T1225" s="8"/>
      <c r="U1225" s="8"/>
      <c r="V1225" s="8"/>
    </row>
    <row r="1226" spans="1:22" s="8" customFormat="1" ht="16.5" customHeight="1" x14ac:dyDescent="0.35">
      <c r="B1226" s="647"/>
      <c r="C1226" s="162"/>
      <c r="D1226" s="162"/>
      <c r="E1226" s="162"/>
      <c r="F1226" s="162"/>
      <c r="G1226" s="162"/>
      <c r="H1226" s="162"/>
      <c r="I1226" s="162"/>
      <c r="J1226" s="162"/>
      <c r="K1226" s="162"/>
      <c r="L1226" s="162"/>
      <c r="M1226" s="162"/>
      <c r="N1226" s="162"/>
      <c r="O1226" s="305"/>
      <c r="P1226" s="9"/>
      <c r="Q1226" s="9"/>
      <c r="R1226" s="9"/>
      <c r="S1226" s="9"/>
      <c r="T1226" s="9"/>
      <c r="U1226" s="9"/>
      <c r="V1226" s="9"/>
    </row>
    <row r="1227" spans="1:22" s="8" customFormat="1" ht="16.5" customHeight="1" x14ac:dyDescent="0.35">
      <c r="A1227" s="359"/>
      <c r="B1227" s="666" t="s">
        <v>167</v>
      </c>
      <c r="C1227" s="305">
        <v>53675</v>
      </c>
      <c r="D1227" s="305">
        <v>37587</v>
      </c>
      <c r="E1227" s="305">
        <v>42538</v>
      </c>
      <c r="F1227" s="305">
        <v>47008</v>
      </c>
      <c r="G1227" s="305">
        <v>48757</v>
      </c>
      <c r="H1227" s="305">
        <v>42744</v>
      </c>
      <c r="I1227" s="305">
        <v>40996</v>
      </c>
      <c r="J1227" s="305">
        <v>52320</v>
      </c>
      <c r="K1227" s="305">
        <v>49614</v>
      </c>
      <c r="L1227" s="305">
        <v>57004</v>
      </c>
      <c r="M1227" s="305">
        <v>42902</v>
      </c>
      <c r="N1227" s="305">
        <v>50160</v>
      </c>
      <c r="O1227" s="305">
        <v>565305</v>
      </c>
      <c r="P1227" s="8" t="s">
        <v>11</v>
      </c>
    </row>
    <row r="1228" spans="1:22" s="12" customFormat="1" ht="18.75" customHeight="1" x14ac:dyDescent="0.35">
      <c r="A1228" s="359"/>
      <c r="B1228" s="666" t="s">
        <v>171</v>
      </c>
      <c r="C1228" s="305">
        <v>25386</v>
      </c>
      <c r="D1228" s="305">
        <v>23917</v>
      </c>
      <c r="E1228" s="305">
        <v>28655</v>
      </c>
      <c r="F1228" s="305">
        <v>20521</v>
      </c>
      <c r="G1228" s="305">
        <v>23807</v>
      </c>
      <c r="H1228" s="305">
        <v>21580</v>
      </c>
      <c r="I1228" s="305">
        <v>21753</v>
      </c>
      <c r="J1228" s="305">
        <v>19371</v>
      </c>
      <c r="K1228" s="305">
        <v>16374</v>
      </c>
      <c r="L1228" s="305">
        <v>13903</v>
      </c>
      <c r="M1228" s="305">
        <v>17226</v>
      </c>
      <c r="N1228" s="305">
        <v>21768</v>
      </c>
      <c r="O1228" s="305">
        <v>254261</v>
      </c>
      <c r="P1228" s="8"/>
      <c r="Q1228" s="8"/>
      <c r="R1228" s="8"/>
      <c r="S1228" s="8"/>
      <c r="T1228" s="8"/>
      <c r="U1228" s="8"/>
      <c r="V1228" s="8"/>
    </row>
    <row r="1229" spans="1:22" s="8" customFormat="1" ht="18.75" customHeight="1" x14ac:dyDescent="0.35">
      <c r="A1229" s="359"/>
      <c r="B1229" s="666" t="s">
        <v>172</v>
      </c>
      <c r="C1229" s="275">
        <v>614</v>
      </c>
      <c r="D1229" s="275">
        <v>960</v>
      </c>
      <c r="E1229" s="275">
        <v>1243</v>
      </c>
      <c r="F1229" s="275">
        <v>1018</v>
      </c>
      <c r="G1229" s="275">
        <v>1119</v>
      </c>
      <c r="H1229" s="275">
        <v>977</v>
      </c>
      <c r="I1229" s="275">
        <v>929</v>
      </c>
      <c r="J1229" s="275">
        <v>1335</v>
      </c>
      <c r="K1229" s="275">
        <v>1185</v>
      </c>
      <c r="L1229" s="275">
        <v>914</v>
      </c>
      <c r="M1229" s="275">
        <v>1145</v>
      </c>
      <c r="N1229" s="275">
        <v>706</v>
      </c>
      <c r="O1229" s="305">
        <v>12145</v>
      </c>
      <c r="P1229" s="12" t="s">
        <v>11</v>
      </c>
      <c r="Q1229" s="12"/>
      <c r="R1229" s="12"/>
      <c r="S1229" s="12"/>
      <c r="T1229" s="12"/>
      <c r="U1229" s="12"/>
      <c r="V1229" s="12"/>
    </row>
    <row r="1230" spans="1:22" s="9" customFormat="1" ht="18.75" customHeight="1" x14ac:dyDescent="0.35">
      <c r="A1230" s="359"/>
      <c r="B1230" s="666"/>
      <c r="C1230" s="275"/>
      <c r="D1230" s="275"/>
      <c r="E1230" s="275"/>
      <c r="F1230" s="275"/>
      <c r="G1230" s="275"/>
      <c r="H1230" s="275"/>
      <c r="I1230" s="275"/>
      <c r="J1230" s="275"/>
      <c r="K1230" s="275"/>
      <c r="L1230" s="275"/>
      <c r="M1230" s="275"/>
      <c r="N1230" s="275"/>
      <c r="O1230" s="305"/>
      <c r="P1230" s="8"/>
      <c r="Q1230" s="8"/>
      <c r="R1230" s="8"/>
      <c r="S1230" s="8"/>
      <c r="T1230" s="8"/>
      <c r="U1230" s="8"/>
      <c r="V1230" s="8"/>
    </row>
    <row r="1231" spans="1:22" s="13" customFormat="1" x14ac:dyDescent="0.35">
      <c r="A1231" s="359"/>
      <c r="B1231" s="666" t="s">
        <v>173</v>
      </c>
      <c r="C1231" s="275">
        <v>614</v>
      </c>
      <c r="D1231" s="275">
        <v>960</v>
      </c>
      <c r="E1231" s="275">
        <v>1243</v>
      </c>
      <c r="F1231" s="275">
        <v>1018</v>
      </c>
      <c r="G1231" s="275">
        <v>1119</v>
      </c>
      <c r="H1231" s="275">
        <v>977</v>
      </c>
      <c r="I1231" s="275">
        <v>929</v>
      </c>
      <c r="J1231" s="275">
        <v>1335</v>
      </c>
      <c r="K1231" s="275">
        <v>1185</v>
      </c>
      <c r="L1231" s="275">
        <v>914</v>
      </c>
      <c r="M1231" s="275">
        <v>1145</v>
      </c>
      <c r="N1231" s="275">
        <v>706</v>
      </c>
      <c r="O1231" s="305">
        <v>12145</v>
      </c>
      <c r="P1231" s="9"/>
      <c r="Q1231" s="9"/>
      <c r="R1231" s="9"/>
      <c r="S1231" s="9"/>
      <c r="T1231" s="9"/>
      <c r="U1231" s="9"/>
      <c r="V1231" s="9"/>
    </row>
    <row r="1232" spans="1:22" s="8" customFormat="1" ht="18.75" customHeight="1" x14ac:dyDescent="0.35">
      <c r="A1232" s="359"/>
      <c r="B1232" s="653" t="s">
        <v>62</v>
      </c>
      <c r="C1232" s="321">
        <v>464</v>
      </c>
      <c r="D1232" s="321">
        <v>634</v>
      </c>
      <c r="E1232" s="321">
        <v>797</v>
      </c>
      <c r="F1232" s="321">
        <v>422</v>
      </c>
      <c r="G1232" s="321">
        <v>447</v>
      </c>
      <c r="H1232" s="321">
        <v>517</v>
      </c>
      <c r="I1232" s="321">
        <v>663</v>
      </c>
      <c r="J1232" s="321">
        <v>692</v>
      </c>
      <c r="K1232" s="321">
        <v>343</v>
      </c>
      <c r="L1232" s="321">
        <v>273</v>
      </c>
      <c r="M1232" s="321">
        <v>197</v>
      </c>
      <c r="N1232" s="321">
        <v>182</v>
      </c>
      <c r="O1232" s="294">
        <v>5631</v>
      </c>
      <c r="P1232" s="13"/>
      <c r="Q1232" s="13"/>
      <c r="R1232" s="13"/>
      <c r="S1232" s="13"/>
      <c r="T1232" s="13"/>
      <c r="U1232" s="13"/>
      <c r="V1232" s="13"/>
    </row>
    <row r="1233" spans="2:22" s="8" customFormat="1" ht="18.75" customHeight="1" x14ac:dyDescent="0.35">
      <c r="B1233" s="653" t="s">
        <v>63</v>
      </c>
      <c r="C1233" s="321">
        <v>150</v>
      </c>
      <c r="D1233" s="321">
        <v>326</v>
      </c>
      <c r="E1233" s="321">
        <v>446</v>
      </c>
      <c r="F1233" s="321">
        <v>596</v>
      </c>
      <c r="G1233" s="321">
        <v>672</v>
      </c>
      <c r="H1233" s="321">
        <v>460</v>
      </c>
      <c r="I1233" s="321">
        <v>266</v>
      </c>
      <c r="J1233" s="321">
        <v>643</v>
      </c>
      <c r="K1233" s="321">
        <v>842</v>
      </c>
      <c r="L1233" s="321">
        <v>641</v>
      </c>
      <c r="M1233" s="321">
        <v>948</v>
      </c>
      <c r="N1233" s="321">
        <v>524</v>
      </c>
      <c r="O1233" s="294">
        <v>6514</v>
      </c>
      <c r="P1233" s="13"/>
      <c r="Q1233" s="13"/>
      <c r="R1233" s="13"/>
      <c r="S1233" s="13"/>
      <c r="T1233" s="13"/>
      <c r="U1233" s="13"/>
      <c r="V1233" s="13"/>
    </row>
    <row r="1234" spans="2:22" s="327" customFormat="1" x14ac:dyDescent="0.35">
      <c r="B1234" s="653" t="s">
        <v>64</v>
      </c>
      <c r="C1234" s="321">
        <v>0</v>
      </c>
      <c r="D1234" s="321">
        <v>0</v>
      </c>
      <c r="E1234" s="321">
        <v>0</v>
      </c>
      <c r="F1234" s="321">
        <v>0</v>
      </c>
      <c r="G1234" s="321">
        <v>0</v>
      </c>
      <c r="H1234" s="321">
        <v>0</v>
      </c>
      <c r="I1234" s="321">
        <v>0</v>
      </c>
      <c r="J1234" s="321">
        <v>0</v>
      </c>
      <c r="K1234" s="321">
        <v>0</v>
      </c>
      <c r="L1234" s="321">
        <v>0</v>
      </c>
      <c r="M1234" s="321">
        <v>0</v>
      </c>
      <c r="N1234" s="321">
        <v>0</v>
      </c>
      <c r="O1234" s="294">
        <v>0</v>
      </c>
    </row>
    <row r="1235" spans="2:22" x14ac:dyDescent="0.35">
      <c r="B1235" s="666" t="s">
        <v>174</v>
      </c>
      <c r="C1235" s="321">
        <v>0</v>
      </c>
      <c r="D1235" s="321">
        <v>0</v>
      </c>
      <c r="E1235" s="321">
        <v>0</v>
      </c>
      <c r="F1235" s="321">
        <v>0</v>
      </c>
      <c r="G1235" s="321">
        <v>0</v>
      </c>
      <c r="H1235" s="321">
        <v>0</v>
      </c>
      <c r="I1235" s="321">
        <v>0</v>
      </c>
      <c r="J1235" s="321">
        <v>0</v>
      </c>
      <c r="K1235" s="321">
        <v>0</v>
      </c>
      <c r="L1235" s="321">
        <v>0</v>
      </c>
      <c r="M1235" s="321">
        <v>0</v>
      </c>
      <c r="N1235" s="321">
        <v>0</v>
      </c>
      <c r="O1235" s="305">
        <v>0</v>
      </c>
    </row>
    <row r="1236" spans="2:22" x14ac:dyDescent="0.35">
      <c r="B1236" s="668"/>
      <c r="C1236" s="279"/>
      <c r="D1236" s="279"/>
      <c r="E1236" s="279"/>
      <c r="F1236" s="279"/>
      <c r="G1236" s="279"/>
      <c r="H1236" s="279"/>
      <c r="I1236" s="279"/>
      <c r="J1236" s="279"/>
      <c r="K1236" s="279"/>
      <c r="L1236" s="279"/>
      <c r="M1236" s="279"/>
      <c r="N1236" s="279"/>
      <c r="O1236" s="305"/>
    </row>
    <row r="1237" spans="2:22" x14ac:dyDescent="0.35">
      <c r="B1237" s="431" t="s">
        <v>175</v>
      </c>
      <c r="C1237" s="178">
        <v>158014</v>
      </c>
      <c r="D1237" s="178">
        <v>138758</v>
      </c>
      <c r="E1237" s="178">
        <v>150740</v>
      </c>
      <c r="F1237" s="178">
        <v>141918</v>
      </c>
      <c r="G1237" s="178">
        <v>157734</v>
      </c>
      <c r="H1237" s="178">
        <v>130245</v>
      </c>
      <c r="I1237" s="178">
        <v>134863</v>
      </c>
      <c r="J1237" s="178">
        <v>148944</v>
      </c>
      <c r="K1237" s="178">
        <v>132514</v>
      </c>
      <c r="L1237" s="178">
        <v>139061</v>
      </c>
      <c r="M1237" s="178">
        <v>127986</v>
      </c>
      <c r="N1237" s="178">
        <v>148531</v>
      </c>
      <c r="O1237" s="178">
        <v>1709308</v>
      </c>
    </row>
    <row r="1238" spans="2:22" x14ac:dyDescent="0.35">
      <c r="B1238" s="669"/>
      <c r="C1238" s="282"/>
      <c r="D1238" s="282"/>
      <c r="E1238" s="282"/>
      <c r="F1238" s="282"/>
      <c r="G1238" s="282"/>
      <c r="H1238" s="282"/>
      <c r="I1238" s="282"/>
      <c r="J1238" s="282"/>
      <c r="K1238" s="282"/>
      <c r="L1238" s="282"/>
      <c r="M1238" s="282"/>
      <c r="N1238" s="282"/>
      <c r="O1238" s="305"/>
    </row>
    <row r="1239" spans="2:22" x14ac:dyDescent="0.35">
      <c r="B1239" s="666" t="s">
        <v>167</v>
      </c>
      <c r="C1239" s="305">
        <v>101541</v>
      </c>
      <c r="D1239" s="305">
        <v>80507</v>
      </c>
      <c r="E1239" s="305">
        <v>92426</v>
      </c>
      <c r="F1239" s="305">
        <v>93929</v>
      </c>
      <c r="G1239" s="305">
        <v>97553</v>
      </c>
      <c r="H1239" s="305">
        <v>84148</v>
      </c>
      <c r="I1239" s="305">
        <v>85363</v>
      </c>
      <c r="J1239" s="305">
        <v>99384</v>
      </c>
      <c r="K1239" s="305">
        <v>93992</v>
      </c>
      <c r="L1239" s="305">
        <v>104274</v>
      </c>
      <c r="M1239" s="305">
        <v>85050</v>
      </c>
      <c r="N1239" s="305">
        <v>94768</v>
      </c>
      <c r="O1239" s="305">
        <v>1112935</v>
      </c>
      <c r="Q1239" s="346">
        <f>O1239/$O$1237</f>
        <v>0.65110266844828435</v>
      </c>
    </row>
    <row r="1240" spans="2:22" x14ac:dyDescent="0.35">
      <c r="B1240" s="666" t="s">
        <v>171</v>
      </c>
      <c r="C1240" s="305">
        <v>51450</v>
      </c>
      <c r="D1240" s="305">
        <v>53158</v>
      </c>
      <c r="E1240" s="305">
        <v>52393</v>
      </c>
      <c r="F1240" s="305">
        <v>41671</v>
      </c>
      <c r="G1240" s="305">
        <v>52673</v>
      </c>
      <c r="H1240" s="305">
        <v>40859</v>
      </c>
      <c r="I1240" s="305">
        <v>43756</v>
      </c>
      <c r="J1240" s="305">
        <v>41617</v>
      </c>
      <c r="K1240" s="305">
        <v>32269</v>
      </c>
      <c r="L1240" s="305">
        <v>28490</v>
      </c>
      <c r="M1240" s="305">
        <v>36208</v>
      </c>
      <c r="N1240" s="305">
        <v>47561</v>
      </c>
      <c r="O1240" s="305">
        <v>522105</v>
      </c>
      <c r="Q1240" s="346">
        <f>O1240/$O$1237</f>
        <v>0.30544816966866123</v>
      </c>
    </row>
    <row r="1241" spans="2:22" x14ac:dyDescent="0.35">
      <c r="B1241" s="666" t="s">
        <v>172</v>
      </c>
      <c r="C1241" s="305">
        <v>5023</v>
      </c>
      <c r="D1241" s="305">
        <v>5093</v>
      </c>
      <c r="E1241" s="305">
        <v>5921</v>
      </c>
      <c r="F1241" s="305">
        <v>6318</v>
      </c>
      <c r="G1241" s="305">
        <v>7508</v>
      </c>
      <c r="H1241" s="305">
        <v>5238</v>
      </c>
      <c r="I1241" s="305">
        <v>5744</v>
      </c>
      <c r="J1241" s="305">
        <v>7943</v>
      </c>
      <c r="K1241" s="305">
        <v>6253</v>
      </c>
      <c r="L1241" s="305">
        <v>6297</v>
      </c>
      <c r="M1241" s="305">
        <v>6728</v>
      </c>
      <c r="N1241" s="305">
        <v>6202</v>
      </c>
      <c r="O1241" s="294">
        <v>74268</v>
      </c>
      <c r="Q1241" s="346">
        <f t="shared" ref="Q1241" si="4">O1241/$O$1237</f>
        <v>4.3449161883054428E-2</v>
      </c>
    </row>
    <row r="1242" spans="2:22" x14ac:dyDescent="0.35">
      <c r="B1242" s="666"/>
      <c r="C1242" s="305"/>
      <c r="D1242" s="305"/>
      <c r="E1242" s="305"/>
      <c r="F1242" s="305"/>
      <c r="G1242" s="305"/>
      <c r="H1242" s="305"/>
      <c r="I1242" s="305"/>
      <c r="J1242" s="305"/>
      <c r="K1242" s="305"/>
      <c r="L1242" s="305"/>
      <c r="M1242" s="305"/>
      <c r="N1242" s="305"/>
      <c r="O1242" s="305"/>
    </row>
    <row r="1243" spans="2:22" x14ac:dyDescent="0.35">
      <c r="B1243" s="666" t="s">
        <v>173</v>
      </c>
      <c r="C1243" s="305">
        <v>4930</v>
      </c>
      <c r="D1243" s="305">
        <v>4961</v>
      </c>
      <c r="E1243" s="305">
        <v>5855</v>
      </c>
      <c r="F1243" s="305">
        <v>6294</v>
      </c>
      <c r="G1243" s="305">
        <v>7375</v>
      </c>
      <c r="H1243" s="305">
        <v>5126</v>
      </c>
      <c r="I1243" s="305">
        <v>5591</v>
      </c>
      <c r="J1243" s="305">
        <v>7859</v>
      </c>
      <c r="K1243" s="305">
        <v>6208</v>
      </c>
      <c r="L1243" s="305">
        <v>6213</v>
      </c>
      <c r="M1243" s="305">
        <v>6662</v>
      </c>
      <c r="N1243" s="305">
        <v>5997</v>
      </c>
      <c r="O1243" s="305">
        <v>73071</v>
      </c>
    </row>
    <row r="1244" spans="2:22" x14ac:dyDescent="0.35">
      <c r="B1244" s="653" t="s">
        <v>62</v>
      </c>
      <c r="C1244" s="321">
        <v>3415</v>
      </c>
      <c r="D1244" s="321">
        <v>3179</v>
      </c>
      <c r="E1244" s="321">
        <v>3663</v>
      </c>
      <c r="F1244" s="321">
        <v>3866</v>
      </c>
      <c r="G1244" s="321">
        <v>4212</v>
      </c>
      <c r="H1244" s="321">
        <v>3202</v>
      </c>
      <c r="I1244" s="321">
        <v>3782</v>
      </c>
      <c r="J1244" s="321">
        <v>4304</v>
      </c>
      <c r="K1244" s="321">
        <v>2957</v>
      </c>
      <c r="L1244" s="321">
        <v>2435</v>
      </c>
      <c r="M1244" s="321">
        <v>3024</v>
      </c>
      <c r="N1244" s="321">
        <v>2795</v>
      </c>
      <c r="O1244" s="294">
        <v>40834</v>
      </c>
      <c r="Q1244" s="346">
        <f>O1244/$O$1241</f>
        <v>0.54981957235956269</v>
      </c>
    </row>
    <row r="1245" spans="2:22" x14ac:dyDescent="0.35">
      <c r="B1245" s="653" t="s">
        <v>63</v>
      </c>
      <c r="C1245" s="321">
        <v>1509</v>
      </c>
      <c r="D1245" s="321">
        <v>1782</v>
      </c>
      <c r="E1245" s="321">
        <v>2192</v>
      </c>
      <c r="F1245" s="321">
        <v>2428</v>
      </c>
      <c r="G1245" s="321">
        <v>3163</v>
      </c>
      <c r="H1245" s="321">
        <v>1924</v>
      </c>
      <c r="I1245" s="321">
        <v>1809</v>
      </c>
      <c r="J1245" s="321">
        <v>3555</v>
      </c>
      <c r="K1245" s="321">
        <v>3251</v>
      </c>
      <c r="L1245" s="321">
        <v>3778</v>
      </c>
      <c r="M1245" s="321">
        <v>3637</v>
      </c>
      <c r="N1245" s="321">
        <v>3202</v>
      </c>
      <c r="O1245" s="294">
        <v>32230</v>
      </c>
      <c r="Q1245" s="346">
        <f>O1245/$O$1241</f>
        <v>0.43396886949964991</v>
      </c>
    </row>
    <row r="1246" spans="2:22" x14ac:dyDescent="0.35">
      <c r="B1246" s="653" t="s">
        <v>64</v>
      </c>
      <c r="C1246" s="321">
        <v>6</v>
      </c>
      <c r="D1246" s="321">
        <v>0</v>
      </c>
      <c r="E1246" s="321">
        <v>0</v>
      </c>
      <c r="F1246" s="321">
        <v>0</v>
      </c>
      <c r="G1246" s="321">
        <v>0</v>
      </c>
      <c r="H1246" s="321">
        <v>0</v>
      </c>
      <c r="I1246" s="321">
        <v>0</v>
      </c>
      <c r="J1246" s="321">
        <v>0</v>
      </c>
      <c r="K1246" s="321">
        <v>0</v>
      </c>
      <c r="L1246" s="321">
        <v>0</v>
      </c>
      <c r="M1246" s="321">
        <v>1</v>
      </c>
      <c r="N1246" s="321">
        <v>0</v>
      </c>
      <c r="O1246" s="294">
        <v>7</v>
      </c>
    </row>
    <row r="1247" spans="2:22" x14ac:dyDescent="0.35">
      <c r="B1247" s="666" t="s">
        <v>174</v>
      </c>
      <c r="C1247" s="308">
        <v>93</v>
      </c>
      <c r="D1247" s="308">
        <v>132</v>
      </c>
      <c r="E1247" s="308">
        <v>66</v>
      </c>
      <c r="F1247" s="308">
        <v>24</v>
      </c>
      <c r="G1247" s="308">
        <v>133</v>
      </c>
      <c r="H1247" s="308">
        <v>112</v>
      </c>
      <c r="I1247" s="308">
        <v>153</v>
      </c>
      <c r="J1247" s="308">
        <v>84</v>
      </c>
      <c r="K1247" s="308">
        <v>45</v>
      </c>
      <c r="L1247" s="308">
        <v>84</v>
      </c>
      <c r="M1247" s="308">
        <v>66</v>
      </c>
      <c r="N1247" s="308">
        <v>205</v>
      </c>
      <c r="O1247" s="294">
        <v>1197</v>
      </c>
    </row>
    <row r="1248" spans="2:22" x14ac:dyDescent="0.35">
      <c r="B1248" s="170"/>
      <c r="C1248" s="322"/>
      <c r="D1248" s="675"/>
      <c r="E1248" s="675"/>
      <c r="F1248" s="675"/>
      <c r="G1248" s="675"/>
      <c r="H1248" s="675"/>
      <c r="I1248" s="675"/>
      <c r="J1248" s="675"/>
      <c r="K1248" s="675"/>
      <c r="L1248" s="675"/>
      <c r="M1248" s="675"/>
      <c r="N1248" s="675"/>
      <c r="O1248" s="323"/>
    </row>
    <row r="1249" spans="2:15" x14ac:dyDescent="0.35">
      <c r="C1249" s="290"/>
      <c r="D1249" s="7"/>
      <c r="E1249" s="7"/>
      <c r="F1249" s="7"/>
      <c r="G1249" s="7"/>
      <c r="H1249" s="7"/>
      <c r="I1249" s="7"/>
      <c r="J1249" s="7"/>
      <c r="K1249" s="7"/>
      <c r="L1249" s="7"/>
      <c r="M1249" s="7"/>
      <c r="N1249" s="7"/>
      <c r="O1249" s="7"/>
    </row>
    <row r="1250" spans="2:15" x14ac:dyDescent="0.35">
      <c r="B1250" s="1068" t="s">
        <v>385</v>
      </c>
      <c r="C1250" s="1068"/>
      <c r="D1250" s="1068"/>
      <c r="E1250" s="1068"/>
      <c r="F1250" s="1068"/>
      <c r="G1250" s="1068"/>
      <c r="H1250" s="1068"/>
      <c r="I1250" s="1068"/>
      <c r="J1250" s="1068"/>
      <c r="K1250" s="555">
        <v>2025</v>
      </c>
      <c r="L1250" s="173"/>
      <c r="M1250" s="173"/>
      <c r="N1250" s="173"/>
      <c r="O1250" s="173"/>
    </row>
    <row r="1251" spans="2:15" x14ac:dyDescent="0.35">
      <c r="B1251" s="553"/>
      <c r="C1251" s="302"/>
      <c r="D1251" s="395"/>
      <c r="E1251" s="395"/>
      <c r="F1251" s="395"/>
      <c r="G1251" s="395"/>
      <c r="H1251" s="395"/>
      <c r="I1251" s="395"/>
      <c r="J1251" s="395"/>
      <c r="K1251" s="395"/>
      <c r="L1251" s="395"/>
      <c r="M1251" s="395"/>
      <c r="N1251" s="674"/>
      <c r="O1251" s="7"/>
    </row>
    <row r="1252" spans="2:15" ht="15" customHeight="1" x14ac:dyDescent="0.35">
      <c r="B1252" s="1074" t="s">
        <v>13</v>
      </c>
      <c r="C1252" s="1072" t="s">
        <v>0</v>
      </c>
      <c r="D1252" s="1072" t="s">
        <v>1</v>
      </c>
      <c r="E1252" s="1072" t="s">
        <v>2</v>
      </c>
      <c r="F1252" s="1072" t="s">
        <v>3</v>
      </c>
      <c r="G1252" s="1072" t="s">
        <v>4</v>
      </c>
      <c r="H1252" s="1072" t="s">
        <v>5</v>
      </c>
      <c r="I1252" s="1072" t="s">
        <v>6</v>
      </c>
      <c r="J1252" s="1072" t="s">
        <v>7</v>
      </c>
      <c r="K1252" s="1072" t="s">
        <v>8</v>
      </c>
      <c r="L1252" s="1072" t="s">
        <v>9</v>
      </c>
      <c r="M1252" s="1072" t="s">
        <v>10</v>
      </c>
      <c r="N1252" s="1072" t="s">
        <v>14</v>
      </c>
      <c r="O1252" s="1074" t="s">
        <v>15</v>
      </c>
    </row>
    <row r="1253" spans="2:15" ht="15" customHeight="1" x14ac:dyDescent="0.35">
      <c r="B1253" s="1080"/>
      <c r="C1253" s="1073"/>
      <c r="D1253" s="1073"/>
      <c r="E1253" s="1073"/>
      <c r="F1253" s="1073"/>
      <c r="G1253" s="1073"/>
      <c r="H1253" s="1073"/>
      <c r="I1253" s="1073"/>
      <c r="J1253" s="1073"/>
      <c r="K1253" s="1073"/>
      <c r="L1253" s="1073"/>
      <c r="M1253" s="1079"/>
      <c r="N1253" s="1079"/>
      <c r="O1253" s="1080"/>
    </row>
    <row r="1254" spans="2:15" x14ac:dyDescent="0.35">
      <c r="B1254" s="447"/>
      <c r="C1254" s="632">
        <v>0</v>
      </c>
      <c r="D1254" s="632">
        <v>0</v>
      </c>
      <c r="E1254" s="632">
        <v>0</v>
      </c>
      <c r="F1254" s="632">
        <v>0</v>
      </c>
      <c r="G1254" s="632">
        <v>0</v>
      </c>
      <c r="H1254" s="632">
        <v>0</v>
      </c>
      <c r="I1254" s="632">
        <v>0</v>
      </c>
      <c r="J1254" s="632">
        <v>0</v>
      </c>
      <c r="K1254" s="632">
        <v>0</v>
      </c>
      <c r="L1254" s="632">
        <v>0</v>
      </c>
      <c r="M1254" s="632">
        <v>0</v>
      </c>
      <c r="N1254" s="632">
        <v>0</v>
      </c>
      <c r="O1254" s="447"/>
    </row>
    <row r="1255" spans="2:15" x14ac:dyDescent="0.35">
      <c r="B1255" s="647" t="s">
        <v>47</v>
      </c>
      <c r="C1255" s="162">
        <v>78339</v>
      </c>
      <c r="D1255" s="162">
        <v>76294</v>
      </c>
      <c r="E1255" s="162">
        <v>78304</v>
      </c>
      <c r="F1255" s="162">
        <v>73371</v>
      </c>
      <c r="G1255" s="162">
        <v>84051</v>
      </c>
      <c r="H1255" s="162">
        <v>64944</v>
      </c>
      <c r="I1255" s="162">
        <v>71185</v>
      </c>
      <c r="J1255" s="162">
        <v>75918</v>
      </c>
      <c r="K1255" s="162">
        <v>65341</v>
      </c>
      <c r="L1255" s="162">
        <v>67240</v>
      </c>
      <c r="M1255" s="162">
        <v>66713</v>
      </c>
      <c r="N1255" s="162">
        <v>75897</v>
      </c>
      <c r="O1255" s="306">
        <v>877597</v>
      </c>
    </row>
    <row r="1256" spans="2:15" x14ac:dyDescent="0.35">
      <c r="B1256" s="647"/>
      <c r="C1256" s="162"/>
      <c r="D1256" s="162"/>
      <c r="E1256" s="162"/>
      <c r="F1256" s="162"/>
      <c r="G1256" s="162"/>
      <c r="H1256" s="162"/>
      <c r="I1256" s="162"/>
      <c r="J1256" s="162"/>
      <c r="K1256" s="162"/>
      <c r="L1256" s="162"/>
      <c r="M1256" s="162"/>
      <c r="N1256" s="162"/>
      <c r="O1256" s="305"/>
    </row>
    <row r="1257" spans="2:15" x14ac:dyDescent="0.35">
      <c r="B1257" s="676" t="s">
        <v>184</v>
      </c>
      <c r="C1257" s="275">
        <v>12654</v>
      </c>
      <c r="D1257" s="275">
        <v>8379</v>
      </c>
      <c r="E1257" s="275">
        <v>11861</v>
      </c>
      <c r="F1257" s="275">
        <v>11466</v>
      </c>
      <c r="G1257" s="275">
        <v>9437</v>
      </c>
      <c r="H1257" s="275">
        <v>4499</v>
      </c>
      <c r="I1257" s="275">
        <v>5179</v>
      </c>
      <c r="J1257" s="275">
        <v>4145</v>
      </c>
      <c r="K1257" s="275">
        <v>3510</v>
      </c>
      <c r="L1257" s="275">
        <v>1881</v>
      </c>
      <c r="M1257" s="275">
        <v>1418</v>
      </c>
      <c r="N1257" s="275">
        <v>4799</v>
      </c>
      <c r="O1257" s="305">
        <v>79228</v>
      </c>
    </row>
    <row r="1258" spans="2:15" x14ac:dyDescent="0.35">
      <c r="B1258" s="677" t="s">
        <v>185</v>
      </c>
      <c r="C1258" s="131">
        <v>12634</v>
      </c>
      <c r="D1258" s="131">
        <v>8035</v>
      </c>
      <c r="E1258" s="131">
        <v>11859</v>
      </c>
      <c r="F1258" s="131">
        <v>10330</v>
      </c>
      <c r="G1258" s="131">
        <v>9426</v>
      </c>
      <c r="H1258" s="131">
        <v>3881</v>
      </c>
      <c r="I1258" s="131">
        <v>5110</v>
      </c>
      <c r="J1258" s="131">
        <v>4145</v>
      </c>
      <c r="K1258" s="131">
        <v>3510</v>
      </c>
      <c r="L1258" s="131">
        <v>1881</v>
      </c>
      <c r="M1258" s="131">
        <v>1411</v>
      </c>
      <c r="N1258" s="131">
        <v>4651</v>
      </c>
      <c r="O1258" s="294">
        <v>76873</v>
      </c>
    </row>
    <row r="1259" spans="2:15" x14ac:dyDescent="0.35">
      <c r="B1259" s="677" t="s">
        <v>186</v>
      </c>
      <c r="C1259" s="131">
        <v>20</v>
      </c>
      <c r="D1259" s="131">
        <v>344</v>
      </c>
      <c r="E1259" s="131">
        <v>2</v>
      </c>
      <c r="F1259" s="131">
        <v>1136</v>
      </c>
      <c r="G1259" s="131">
        <v>11</v>
      </c>
      <c r="H1259" s="131">
        <v>618</v>
      </c>
      <c r="I1259" s="131">
        <v>69</v>
      </c>
      <c r="J1259" s="131">
        <v>0</v>
      </c>
      <c r="K1259" s="131">
        <v>0</v>
      </c>
      <c r="L1259" s="131">
        <v>0</v>
      </c>
      <c r="M1259" s="131">
        <v>7</v>
      </c>
      <c r="N1259" s="131">
        <v>148</v>
      </c>
      <c r="O1259" s="294">
        <v>2355</v>
      </c>
    </row>
    <row r="1260" spans="2:15" x14ac:dyDescent="0.35">
      <c r="B1260" s="677" t="s">
        <v>187</v>
      </c>
      <c r="C1260" s="294">
        <v>0</v>
      </c>
      <c r="D1260" s="294">
        <v>0</v>
      </c>
      <c r="E1260" s="294">
        <v>0</v>
      </c>
      <c r="F1260" s="294">
        <v>0</v>
      </c>
      <c r="G1260" s="294">
        <v>0</v>
      </c>
      <c r="H1260" s="294">
        <v>0</v>
      </c>
      <c r="I1260" s="294">
        <v>0</v>
      </c>
      <c r="J1260" s="294">
        <v>0</v>
      </c>
      <c r="K1260" s="294">
        <v>0</v>
      </c>
      <c r="L1260" s="294">
        <v>0</v>
      </c>
      <c r="M1260" s="294">
        <v>0</v>
      </c>
      <c r="N1260" s="294">
        <v>0</v>
      </c>
      <c r="O1260" s="294">
        <v>0</v>
      </c>
    </row>
    <row r="1261" spans="2:15" x14ac:dyDescent="0.35">
      <c r="B1261" s="666"/>
      <c r="C1261" s="275"/>
      <c r="D1261" s="275"/>
      <c r="E1261" s="275"/>
      <c r="F1261" s="275"/>
      <c r="G1261" s="275"/>
      <c r="H1261" s="275"/>
      <c r="I1261" s="275"/>
      <c r="J1261" s="275"/>
      <c r="K1261" s="275"/>
      <c r="L1261" s="275"/>
      <c r="M1261" s="275"/>
      <c r="N1261" s="275"/>
      <c r="O1261" s="305"/>
    </row>
    <row r="1262" spans="2:15" x14ac:dyDescent="0.35">
      <c r="B1262" s="666" t="s">
        <v>173</v>
      </c>
      <c r="C1262" s="275">
        <v>0</v>
      </c>
      <c r="D1262" s="275">
        <v>0</v>
      </c>
      <c r="E1262" s="275">
        <v>0</v>
      </c>
      <c r="F1262" s="275">
        <v>0</v>
      </c>
      <c r="G1262" s="275">
        <v>0</v>
      </c>
      <c r="H1262" s="275">
        <v>0</v>
      </c>
      <c r="I1262" s="275">
        <v>0</v>
      </c>
      <c r="J1262" s="275">
        <v>0</v>
      </c>
      <c r="K1262" s="275">
        <v>0</v>
      </c>
      <c r="L1262" s="275">
        <v>0</v>
      </c>
      <c r="M1262" s="275">
        <v>0</v>
      </c>
      <c r="N1262" s="275">
        <v>0</v>
      </c>
      <c r="O1262" s="305">
        <v>0</v>
      </c>
    </row>
    <row r="1263" spans="2:15" x14ac:dyDescent="0.35">
      <c r="B1263" s="653" t="s">
        <v>62</v>
      </c>
      <c r="C1263" s="131">
        <v>0</v>
      </c>
      <c r="D1263" s="131">
        <v>0</v>
      </c>
      <c r="E1263" s="131">
        <v>0</v>
      </c>
      <c r="F1263" s="131">
        <v>0</v>
      </c>
      <c r="G1263" s="131">
        <v>0</v>
      </c>
      <c r="H1263" s="131">
        <v>0</v>
      </c>
      <c r="I1263" s="131">
        <v>0</v>
      </c>
      <c r="J1263" s="131">
        <v>0</v>
      </c>
      <c r="K1263" s="131">
        <v>0</v>
      </c>
      <c r="L1263" s="131">
        <v>0</v>
      </c>
      <c r="M1263" s="131">
        <v>0</v>
      </c>
      <c r="N1263" s="131">
        <v>0</v>
      </c>
      <c r="O1263" s="294">
        <v>0</v>
      </c>
    </row>
    <row r="1264" spans="2:15" x14ac:dyDescent="0.35">
      <c r="B1264" s="653" t="s">
        <v>63</v>
      </c>
      <c r="C1264" s="131">
        <v>0</v>
      </c>
      <c r="D1264" s="131">
        <v>0</v>
      </c>
      <c r="E1264" s="131">
        <v>0</v>
      </c>
      <c r="F1264" s="131">
        <v>0</v>
      </c>
      <c r="G1264" s="131">
        <v>0</v>
      </c>
      <c r="H1264" s="131">
        <v>0</v>
      </c>
      <c r="I1264" s="131">
        <v>0</v>
      </c>
      <c r="J1264" s="131">
        <v>0</v>
      </c>
      <c r="K1264" s="131">
        <v>0</v>
      </c>
      <c r="L1264" s="131">
        <v>0</v>
      </c>
      <c r="M1264" s="131">
        <v>0</v>
      </c>
      <c r="N1264" s="131">
        <v>0</v>
      </c>
      <c r="O1264" s="294">
        <v>0</v>
      </c>
    </row>
    <row r="1265" spans="2:15" x14ac:dyDescent="0.35">
      <c r="B1265" s="653" t="s">
        <v>64</v>
      </c>
      <c r="C1265" s="131">
        <v>0</v>
      </c>
      <c r="D1265" s="131">
        <v>0</v>
      </c>
      <c r="E1265" s="131">
        <v>0</v>
      </c>
      <c r="F1265" s="131">
        <v>0</v>
      </c>
      <c r="G1265" s="131">
        <v>0</v>
      </c>
      <c r="H1265" s="131">
        <v>0</v>
      </c>
      <c r="I1265" s="131">
        <v>0</v>
      </c>
      <c r="J1265" s="131">
        <v>0</v>
      </c>
      <c r="K1265" s="131">
        <v>0</v>
      </c>
      <c r="L1265" s="131">
        <v>0</v>
      </c>
      <c r="M1265" s="131">
        <v>0</v>
      </c>
      <c r="N1265" s="131">
        <v>0</v>
      </c>
      <c r="O1265" s="294">
        <v>0</v>
      </c>
    </row>
    <row r="1266" spans="2:15" x14ac:dyDescent="0.35">
      <c r="B1266" s="666" t="s">
        <v>174</v>
      </c>
      <c r="C1266" s="275">
        <v>0</v>
      </c>
      <c r="D1266" s="275">
        <v>0</v>
      </c>
      <c r="E1266" s="275">
        <v>0</v>
      </c>
      <c r="F1266" s="275">
        <v>0</v>
      </c>
      <c r="G1266" s="275">
        <v>0</v>
      </c>
      <c r="H1266" s="275">
        <v>0</v>
      </c>
      <c r="I1266" s="275">
        <v>0</v>
      </c>
      <c r="J1266" s="275">
        <v>0</v>
      </c>
      <c r="K1266" s="275">
        <v>0</v>
      </c>
      <c r="L1266" s="275">
        <v>0</v>
      </c>
      <c r="M1266" s="275">
        <v>0</v>
      </c>
      <c r="N1266" s="275">
        <v>0</v>
      </c>
      <c r="O1266" s="305">
        <v>0</v>
      </c>
    </row>
    <row r="1267" spans="2:15" x14ac:dyDescent="0.35">
      <c r="B1267" s="668"/>
      <c r="C1267" s="279"/>
      <c r="D1267" s="279"/>
      <c r="E1267" s="279"/>
      <c r="F1267" s="279"/>
      <c r="G1267" s="279"/>
      <c r="H1267" s="279"/>
      <c r="I1267" s="279"/>
      <c r="J1267" s="279"/>
      <c r="K1267" s="279"/>
      <c r="L1267" s="279"/>
      <c r="M1267" s="279"/>
      <c r="N1267" s="279"/>
      <c r="O1267" s="305"/>
    </row>
    <row r="1268" spans="2:15" x14ac:dyDescent="0.35">
      <c r="B1268" s="676" t="s">
        <v>188</v>
      </c>
      <c r="C1268" s="275">
        <v>65685</v>
      </c>
      <c r="D1268" s="275">
        <v>67915</v>
      </c>
      <c r="E1268" s="275">
        <v>66443</v>
      </c>
      <c r="F1268" s="275">
        <v>61905</v>
      </c>
      <c r="G1268" s="275">
        <v>74614</v>
      </c>
      <c r="H1268" s="275">
        <v>60445</v>
      </c>
      <c r="I1268" s="275">
        <v>66006</v>
      </c>
      <c r="J1268" s="275">
        <v>71773</v>
      </c>
      <c r="K1268" s="275">
        <v>61831</v>
      </c>
      <c r="L1268" s="275">
        <v>65359</v>
      </c>
      <c r="M1268" s="275">
        <v>65295</v>
      </c>
      <c r="N1268" s="275">
        <v>71098</v>
      </c>
      <c r="O1268" s="305">
        <v>798369</v>
      </c>
    </row>
    <row r="1269" spans="2:15" x14ac:dyDescent="0.35">
      <c r="B1269" s="677" t="s">
        <v>185</v>
      </c>
      <c r="C1269" s="131">
        <v>35232</v>
      </c>
      <c r="D1269" s="131">
        <v>34885</v>
      </c>
      <c r="E1269" s="131">
        <v>38029</v>
      </c>
      <c r="F1269" s="131">
        <v>36591</v>
      </c>
      <c r="G1269" s="131">
        <v>39370</v>
      </c>
      <c r="H1269" s="131">
        <v>37523</v>
      </c>
      <c r="I1269" s="131">
        <v>39257</v>
      </c>
      <c r="J1269" s="131">
        <v>42919</v>
      </c>
      <c r="K1269" s="131">
        <v>40868</v>
      </c>
      <c r="L1269" s="131">
        <v>45389</v>
      </c>
      <c r="M1269" s="131">
        <v>40737</v>
      </c>
      <c r="N1269" s="131">
        <v>39957</v>
      </c>
      <c r="O1269" s="294">
        <v>470757</v>
      </c>
    </row>
    <row r="1270" spans="2:15" x14ac:dyDescent="0.35">
      <c r="B1270" s="677" t="s">
        <v>186</v>
      </c>
      <c r="C1270" s="131">
        <v>26044</v>
      </c>
      <c r="D1270" s="131">
        <v>28897</v>
      </c>
      <c r="E1270" s="131">
        <v>23736</v>
      </c>
      <c r="F1270" s="131">
        <v>20014</v>
      </c>
      <c r="G1270" s="131">
        <v>28855</v>
      </c>
      <c r="H1270" s="131">
        <v>18661</v>
      </c>
      <c r="I1270" s="131">
        <v>21934</v>
      </c>
      <c r="J1270" s="131">
        <v>22246</v>
      </c>
      <c r="K1270" s="131">
        <v>15895</v>
      </c>
      <c r="L1270" s="131">
        <v>14587</v>
      </c>
      <c r="M1270" s="131">
        <v>18975</v>
      </c>
      <c r="N1270" s="131">
        <v>25645</v>
      </c>
      <c r="O1270" s="294">
        <v>265489</v>
      </c>
    </row>
    <row r="1271" spans="2:15" x14ac:dyDescent="0.35">
      <c r="B1271" s="677" t="s">
        <v>187</v>
      </c>
      <c r="C1271" s="294">
        <v>4409</v>
      </c>
      <c r="D1271" s="294">
        <v>4133</v>
      </c>
      <c r="E1271" s="294">
        <v>4678</v>
      </c>
      <c r="F1271" s="294">
        <v>5300</v>
      </c>
      <c r="G1271" s="294">
        <v>6389</v>
      </c>
      <c r="H1271" s="294">
        <v>4261</v>
      </c>
      <c r="I1271" s="294">
        <v>4815</v>
      </c>
      <c r="J1271" s="294">
        <v>6608</v>
      </c>
      <c r="K1271" s="294">
        <v>5068</v>
      </c>
      <c r="L1271" s="294">
        <v>5383</v>
      </c>
      <c r="M1271" s="294">
        <v>5583</v>
      </c>
      <c r="N1271" s="294">
        <v>5496</v>
      </c>
      <c r="O1271" s="294">
        <v>62123</v>
      </c>
    </row>
    <row r="1272" spans="2:15" x14ac:dyDescent="0.35">
      <c r="B1272" s="666"/>
      <c r="C1272" s="275"/>
      <c r="D1272" s="275"/>
      <c r="E1272" s="275"/>
      <c r="F1272" s="275"/>
      <c r="G1272" s="275"/>
      <c r="H1272" s="275"/>
      <c r="I1272" s="275"/>
      <c r="J1272" s="275"/>
      <c r="K1272" s="275"/>
      <c r="L1272" s="275"/>
      <c r="M1272" s="275"/>
      <c r="N1272" s="275"/>
      <c r="O1272" s="305"/>
    </row>
    <row r="1273" spans="2:15" x14ac:dyDescent="0.35">
      <c r="B1273" s="666" t="s">
        <v>173</v>
      </c>
      <c r="C1273" s="275">
        <v>4316</v>
      </c>
      <c r="D1273" s="275">
        <v>4001</v>
      </c>
      <c r="E1273" s="275">
        <v>4612</v>
      </c>
      <c r="F1273" s="275">
        <v>5276</v>
      </c>
      <c r="G1273" s="275">
        <v>6256</v>
      </c>
      <c r="H1273" s="275">
        <v>4149</v>
      </c>
      <c r="I1273" s="275">
        <v>4662</v>
      </c>
      <c r="J1273" s="275">
        <v>6524</v>
      </c>
      <c r="K1273" s="275">
        <v>5023</v>
      </c>
      <c r="L1273" s="275">
        <v>5299</v>
      </c>
      <c r="M1273" s="275">
        <v>5517</v>
      </c>
      <c r="N1273" s="275">
        <v>5291</v>
      </c>
      <c r="O1273" s="305">
        <v>60926</v>
      </c>
    </row>
    <row r="1274" spans="2:15" x14ac:dyDescent="0.35">
      <c r="B1274" s="653" t="s">
        <v>62</v>
      </c>
      <c r="C1274" s="131">
        <v>2951</v>
      </c>
      <c r="D1274" s="131">
        <v>2545</v>
      </c>
      <c r="E1274" s="131">
        <v>2866</v>
      </c>
      <c r="F1274" s="131">
        <v>3444</v>
      </c>
      <c r="G1274" s="131">
        <v>3765</v>
      </c>
      <c r="H1274" s="131">
        <v>2685</v>
      </c>
      <c r="I1274" s="131">
        <v>3119</v>
      </c>
      <c r="J1274" s="131">
        <v>3612</v>
      </c>
      <c r="K1274" s="131">
        <v>2614</v>
      </c>
      <c r="L1274" s="131">
        <v>2162</v>
      </c>
      <c r="M1274" s="131">
        <v>2827</v>
      </c>
      <c r="N1274" s="131">
        <v>2613</v>
      </c>
      <c r="O1274" s="294">
        <v>35203</v>
      </c>
    </row>
    <row r="1275" spans="2:15" x14ac:dyDescent="0.35">
      <c r="B1275" s="653" t="s">
        <v>63</v>
      </c>
      <c r="C1275" s="131">
        <v>1359</v>
      </c>
      <c r="D1275" s="131">
        <v>1456</v>
      </c>
      <c r="E1275" s="131">
        <v>1746</v>
      </c>
      <c r="F1275" s="131">
        <v>1832</v>
      </c>
      <c r="G1275" s="131">
        <v>2491</v>
      </c>
      <c r="H1275" s="131">
        <v>1464</v>
      </c>
      <c r="I1275" s="131">
        <v>1543</v>
      </c>
      <c r="J1275" s="131">
        <v>2912</v>
      </c>
      <c r="K1275" s="131">
        <v>2409</v>
      </c>
      <c r="L1275" s="131">
        <v>3137</v>
      </c>
      <c r="M1275" s="131">
        <v>2689</v>
      </c>
      <c r="N1275" s="131">
        <v>2678</v>
      </c>
      <c r="O1275" s="294">
        <v>25716</v>
      </c>
    </row>
    <row r="1276" spans="2:15" x14ac:dyDescent="0.35">
      <c r="B1276" s="653" t="s">
        <v>64</v>
      </c>
      <c r="C1276" s="131">
        <v>6</v>
      </c>
      <c r="D1276" s="131">
        <v>0</v>
      </c>
      <c r="E1276" s="131">
        <v>0</v>
      </c>
      <c r="F1276" s="131">
        <v>0</v>
      </c>
      <c r="G1276" s="131">
        <v>0</v>
      </c>
      <c r="H1276" s="131">
        <v>0</v>
      </c>
      <c r="I1276" s="131">
        <v>0</v>
      </c>
      <c r="J1276" s="131">
        <v>0</v>
      </c>
      <c r="K1276" s="131">
        <v>0</v>
      </c>
      <c r="L1276" s="131">
        <v>0</v>
      </c>
      <c r="M1276" s="131">
        <v>1</v>
      </c>
      <c r="N1276" s="131">
        <v>0</v>
      </c>
      <c r="O1276" s="294">
        <v>7</v>
      </c>
    </row>
    <row r="1277" spans="2:15" x14ac:dyDescent="0.35">
      <c r="B1277" s="666" t="s">
        <v>174</v>
      </c>
      <c r="C1277" s="275">
        <v>93</v>
      </c>
      <c r="D1277" s="275">
        <v>132</v>
      </c>
      <c r="E1277" s="275">
        <v>66</v>
      </c>
      <c r="F1277" s="275">
        <v>24</v>
      </c>
      <c r="G1277" s="275">
        <v>133</v>
      </c>
      <c r="H1277" s="275">
        <v>112</v>
      </c>
      <c r="I1277" s="275">
        <v>153</v>
      </c>
      <c r="J1277" s="275">
        <v>84</v>
      </c>
      <c r="K1277" s="275">
        <v>45</v>
      </c>
      <c r="L1277" s="275">
        <v>84</v>
      </c>
      <c r="M1277" s="275">
        <v>66</v>
      </c>
      <c r="N1277" s="275">
        <v>205</v>
      </c>
      <c r="O1277" s="305">
        <v>1197</v>
      </c>
    </row>
    <row r="1278" spans="2:15" x14ac:dyDescent="0.35">
      <c r="B1278" s="668"/>
      <c r="C1278" s="632">
        <v>0</v>
      </c>
      <c r="D1278" s="632">
        <v>0</v>
      </c>
      <c r="E1278" s="632">
        <v>0</v>
      </c>
      <c r="F1278" s="632">
        <v>0</v>
      </c>
      <c r="G1278" s="632">
        <v>0</v>
      </c>
      <c r="H1278" s="632">
        <v>0</v>
      </c>
      <c r="I1278" s="632">
        <v>0</v>
      </c>
      <c r="J1278" s="632">
        <v>0</v>
      </c>
      <c r="K1278" s="632">
        <v>0</v>
      </c>
      <c r="L1278" s="632">
        <v>0</v>
      </c>
      <c r="M1278" s="632">
        <v>0</v>
      </c>
      <c r="N1278" s="632">
        <v>0</v>
      </c>
      <c r="O1278" s="678"/>
    </row>
    <row r="1279" spans="2:15" x14ac:dyDescent="0.35">
      <c r="B1279" s="647" t="s">
        <v>56</v>
      </c>
      <c r="C1279" s="162">
        <v>79675</v>
      </c>
      <c r="D1279" s="162">
        <v>62464</v>
      </c>
      <c r="E1279" s="162">
        <v>72436</v>
      </c>
      <c r="F1279" s="162">
        <v>68547</v>
      </c>
      <c r="G1279" s="162">
        <v>73683</v>
      </c>
      <c r="H1279" s="162">
        <v>65301</v>
      </c>
      <c r="I1279" s="162">
        <v>63678</v>
      </c>
      <c r="J1279" s="162">
        <v>73026</v>
      </c>
      <c r="K1279" s="162">
        <v>67173</v>
      </c>
      <c r="L1279" s="162">
        <v>71821</v>
      </c>
      <c r="M1279" s="162">
        <v>61273</v>
      </c>
      <c r="N1279" s="162">
        <v>72634</v>
      </c>
      <c r="O1279" s="306">
        <v>831711</v>
      </c>
    </row>
    <row r="1280" spans="2:15" x14ac:dyDescent="0.35">
      <c r="B1280" s="647"/>
      <c r="C1280" s="162"/>
      <c r="D1280" s="162"/>
      <c r="E1280" s="162"/>
      <c r="F1280" s="162"/>
      <c r="G1280" s="162"/>
      <c r="H1280" s="162"/>
      <c r="I1280" s="162"/>
      <c r="J1280" s="162"/>
      <c r="K1280" s="162"/>
      <c r="L1280" s="162"/>
      <c r="M1280" s="162"/>
      <c r="N1280" s="162"/>
      <c r="O1280" s="305"/>
    </row>
    <row r="1281" spans="2:15" x14ac:dyDescent="0.35">
      <c r="B1281" s="676" t="s">
        <v>184</v>
      </c>
      <c r="C1281" s="275">
        <v>37007</v>
      </c>
      <c r="D1281" s="275">
        <v>21510</v>
      </c>
      <c r="E1281" s="275">
        <v>26714</v>
      </c>
      <c r="F1281" s="275">
        <v>23894</v>
      </c>
      <c r="G1281" s="275">
        <v>21259</v>
      </c>
      <c r="H1281" s="275">
        <v>19672</v>
      </c>
      <c r="I1281" s="275">
        <v>19553</v>
      </c>
      <c r="J1281" s="275">
        <v>29337</v>
      </c>
      <c r="K1281" s="275">
        <v>32839</v>
      </c>
      <c r="L1281" s="275">
        <v>37013</v>
      </c>
      <c r="M1281" s="275">
        <v>26080</v>
      </c>
      <c r="N1281" s="275">
        <v>28758</v>
      </c>
      <c r="O1281" s="305">
        <v>323636</v>
      </c>
    </row>
    <row r="1282" spans="2:15" x14ac:dyDescent="0.35">
      <c r="B1282" s="677" t="s">
        <v>185</v>
      </c>
      <c r="C1282" s="131">
        <v>36271</v>
      </c>
      <c r="D1282" s="131">
        <v>21428</v>
      </c>
      <c r="E1282" s="131">
        <v>26557</v>
      </c>
      <c r="F1282" s="131">
        <v>23874</v>
      </c>
      <c r="G1282" s="131">
        <v>21224</v>
      </c>
      <c r="H1282" s="131">
        <v>18450</v>
      </c>
      <c r="I1282" s="131">
        <v>19553</v>
      </c>
      <c r="J1282" s="131">
        <v>29333</v>
      </c>
      <c r="K1282" s="131">
        <v>32837</v>
      </c>
      <c r="L1282" s="131">
        <v>36893</v>
      </c>
      <c r="M1282" s="131">
        <v>25753</v>
      </c>
      <c r="N1282" s="131">
        <v>27984</v>
      </c>
      <c r="O1282" s="294">
        <v>320157</v>
      </c>
    </row>
    <row r="1283" spans="2:15" x14ac:dyDescent="0.35">
      <c r="B1283" s="677" t="s">
        <v>186</v>
      </c>
      <c r="C1283" s="131">
        <v>736</v>
      </c>
      <c r="D1283" s="131">
        <v>82</v>
      </c>
      <c r="E1283" s="131">
        <v>157</v>
      </c>
      <c r="F1283" s="131">
        <v>20</v>
      </c>
      <c r="G1283" s="131">
        <v>35</v>
      </c>
      <c r="H1283" s="131">
        <v>1222</v>
      </c>
      <c r="I1283" s="131">
        <v>0</v>
      </c>
      <c r="J1283" s="131">
        <v>4</v>
      </c>
      <c r="K1283" s="131">
        <v>2</v>
      </c>
      <c r="L1283" s="131">
        <v>120</v>
      </c>
      <c r="M1283" s="131">
        <v>327</v>
      </c>
      <c r="N1283" s="131">
        <v>774</v>
      </c>
      <c r="O1283" s="294">
        <v>3479</v>
      </c>
    </row>
    <row r="1284" spans="2:15" x14ac:dyDescent="0.35">
      <c r="B1284" s="677" t="s">
        <v>187</v>
      </c>
      <c r="C1284" s="294">
        <v>0</v>
      </c>
      <c r="D1284" s="294">
        <v>0</v>
      </c>
      <c r="E1284" s="294">
        <v>0</v>
      </c>
      <c r="F1284" s="294">
        <v>0</v>
      </c>
      <c r="G1284" s="294">
        <v>0</v>
      </c>
      <c r="H1284" s="294">
        <v>0</v>
      </c>
      <c r="I1284" s="294">
        <v>0</v>
      </c>
      <c r="J1284" s="294">
        <v>0</v>
      </c>
      <c r="K1284" s="294">
        <v>0</v>
      </c>
      <c r="L1284" s="294">
        <v>0</v>
      </c>
      <c r="M1284" s="294">
        <v>0</v>
      </c>
      <c r="N1284" s="294">
        <v>0</v>
      </c>
      <c r="O1284" s="305">
        <v>0</v>
      </c>
    </row>
    <row r="1285" spans="2:15" x14ac:dyDescent="0.35">
      <c r="B1285" s="666"/>
      <c r="C1285" s="275"/>
      <c r="D1285" s="275"/>
      <c r="E1285" s="275"/>
      <c r="F1285" s="275"/>
      <c r="G1285" s="275"/>
      <c r="H1285" s="275"/>
      <c r="I1285" s="275"/>
      <c r="J1285" s="275"/>
      <c r="K1285" s="275"/>
      <c r="L1285" s="275"/>
      <c r="M1285" s="275"/>
      <c r="N1285" s="275"/>
      <c r="O1285" s="294">
        <v>0</v>
      </c>
    </row>
    <row r="1286" spans="2:15" x14ac:dyDescent="0.35">
      <c r="B1286" s="666" t="s">
        <v>173</v>
      </c>
      <c r="C1286" s="275">
        <v>0</v>
      </c>
      <c r="D1286" s="275">
        <v>0</v>
      </c>
      <c r="E1286" s="275">
        <v>0</v>
      </c>
      <c r="F1286" s="275">
        <v>0</v>
      </c>
      <c r="G1286" s="275">
        <v>0</v>
      </c>
      <c r="H1286" s="275">
        <v>0</v>
      </c>
      <c r="I1286" s="275">
        <v>0</v>
      </c>
      <c r="J1286" s="275">
        <v>0</v>
      </c>
      <c r="K1286" s="275">
        <v>0</v>
      </c>
      <c r="L1286" s="275">
        <v>0</v>
      </c>
      <c r="M1286" s="275">
        <v>0</v>
      </c>
      <c r="N1286" s="275">
        <v>0</v>
      </c>
      <c r="O1286" s="294">
        <v>0</v>
      </c>
    </row>
    <row r="1287" spans="2:15" x14ac:dyDescent="0.35">
      <c r="B1287" s="653" t="s">
        <v>62</v>
      </c>
      <c r="C1287" s="131">
        <v>0</v>
      </c>
      <c r="D1287" s="131">
        <v>0</v>
      </c>
      <c r="E1287" s="131">
        <v>0</v>
      </c>
      <c r="F1287" s="131">
        <v>0</v>
      </c>
      <c r="G1287" s="131">
        <v>0</v>
      </c>
      <c r="H1287" s="131">
        <v>0</v>
      </c>
      <c r="I1287" s="131">
        <v>0</v>
      </c>
      <c r="J1287" s="131">
        <v>0</v>
      </c>
      <c r="K1287" s="131">
        <v>0</v>
      </c>
      <c r="L1287" s="131">
        <v>0</v>
      </c>
      <c r="M1287" s="131">
        <v>0</v>
      </c>
      <c r="N1287" s="131">
        <v>0</v>
      </c>
      <c r="O1287" s="305">
        <v>0</v>
      </c>
    </row>
    <row r="1288" spans="2:15" x14ac:dyDescent="0.35">
      <c r="B1288" s="653" t="s">
        <v>63</v>
      </c>
      <c r="C1288" s="131">
        <v>0</v>
      </c>
      <c r="D1288" s="131">
        <v>0</v>
      </c>
      <c r="E1288" s="131">
        <v>0</v>
      </c>
      <c r="F1288" s="131">
        <v>0</v>
      </c>
      <c r="G1288" s="131">
        <v>0</v>
      </c>
      <c r="H1288" s="131">
        <v>0</v>
      </c>
      <c r="I1288" s="131">
        <v>0</v>
      </c>
      <c r="J1288" s="131">
        <v>0</v>
      </c>
      <c r="K1288" s="131">
        <v>0</v>
      </c>
      <c r="L1288" s="131">
        <v>0</v>
      </c>
      <c r="M1288" s="131">
        <v>0</v>
      </c>
      <c r="N1288" s="131">
        <v>0</v>
      </c>
      <c r="O1288" s="294">
        <v>0</v>
      </c>
    </row>
    <row r="1289" spans="2:15" x14ac:dyDescent="0.35">
      <c r="B1289" s="653" t="s">
        <v>64</v>
      </c>
      <c r="C1289" s="131">
        <v>0</v>
      </c>
      <c r="D1289" s="131">
        <v>0</v>
      </c>
      <c r="E1289" s="131">
        <v>0</v>
      </c>
      <c r="F1289" s="131">
        <v>0</v>
      </c>
      <c r="G1289" s="131">
        <v>0</v>
      </c>
      <c r="H1289" s="131">
        <v>0</v>
      </c>
      <c r="I1289" s="131">
        <v>0</v>
      </c>
      <c r="J1289" s="131">
        <v>0</v>
      </c>
      <c r="K1289" s="131">
        <v>0</v>
      </c>
      <c r="L1289" s="131">
        <v>0</v>
      </c>
      <c r="M1289" s="131">
        <v>0</v>
      </c>
      <c r="N1289" s="131">
        <v>0</v>
      </c>
      <c r="O1289" s="294">
        <v>0</v>
      </c>
    </row>
    <row r="1290" spans="2:15" x14ac:dyDescent="0.35">
      <c r="B1290" s="666" t="s">
        <v>174</v>
      </c>
      <c r="C1290" s="275">
        <v>0</v>
      </c>
      <c r="D1290" s="275">
        <v>0</v>
      </c>
      <c r="E1290" s="275">
        <v>0</v>
      </c>
      <c r="F1290" s="275">
        <v>0</v>
      </c>
      <c r="G1290" s="275">
        <v>0</v>
      </c>
      <c r="H1290" s="275">
        <v>0</v>
      </c>
      <c r="I1290" s="275">
        <v>0</v>
      </c>
      <c r="J1290" s="275">
        <v>0</v>
      </c>
      <c r="K1290" s="275">
        <v>0</v>
      </c>
      <c r="L1290" s="275">
        <v>0</v>
      </c>
      <c r="M1290" s="275">
        <v>0</v>
      </c>
      <c r="N1290" s="275">
        <v>0</v>
      </c>
      <c r="O1290" s="305">
        <v>0</v>
      </c>
    </row>
    <row r="1291" spans="2:15" x14ac:dyDescent="0.35">
      <c r="B1291" s="668"/>
      <c r="C1291" s="279"/>
      <c r="D1291" s="279"/>
      <c r="E1291" s="279"/>
      <c r="F1291" s="279"/>
      <c r="G1291" s="279"/>
      <c r="H1291" s="279"/>
      <c r="I1291" s="279"/>
      <c r="J1291" s="279"/>
      <c r="K1291" s="279"/>
      <c r="L1291" s="279"/>
      <c r="M1291" s="279"/>
      <c r="N1291" s="279"/>
      <c r="O1291" s="305">
        <v>0</v>
      </c>
    </row>
    <row r="1292" spans="2:15" x14ac:dyDescent="0.35">
      <c r="B1292" s="676" t="s">
        <v>188</v>
      </c>
      <c r="C1292" s="275">
        <v>42668</v>
      </c>
      <c r="D1292" s="275">
        <v>40954</v>
      </c>
      <c r="E1292" s="275">
        <v>45722</v>
      </c>
      <c r="F1292" s="275">
        <v>44653</v>
      </c>
      <c r="G1292" s="275">
        <v>52424</v>
      </c>
      <c r="H1292" s="275">
        <v>45629</v>
      </c>
      <c r="I1292" s="275">
        <v>44125</v>
      </c>
      <c r="J1292" s="275">
        <v>43689</v>
      </c>
      <c r="K1292" s="275">
        <v>34334</v>
      </c>
      <c r="L1292" s="275">
        <v>34808</v>
      </c>
      <c r="M1292" s="275">
        <v>35193</v>
      </c>
      <c r="N1292" s="275">
        <v>43876</v>
      </c>
      <c r="O1292" s="294">
        <v>508075</v>
      </c>
    </row>
    <row r="1293" spans="2:15" x14ac:dyDescent="0.35">
      <c r="B1293" s="677" t="s">
        <v>185</v>
      </c>
      <c r="C1293" s="131">
        <v>17404</v>
      </c>
      <c r="D1293" s="131">
        <v>16159</v>
      </c>
      <c r="E1293" s="131">
        <v>15981</v>
      </c>
      <c r="F1293" s="131">
        <v>23134</v>
      </c>
      <c r="G1293" s="131">
        <v>27533</v>
      </c>
      <c r="H1293" s="131">
        <v>24294</v>
      </c>
      <c r="I1293" s="131">
        <v>21443</v>
      </c>
      <c r="J1293" s="131">
        <v>22987</v>
      </c>
      <c r="K1293" s="131">
        <v>16777</v>
      </c>
      <c r="L1293" s="131">
        <v>20111</v>
      </c>
      <c r="M1293" s="131">
        <v>17149</v>
      </c>
      <c r="N1293" s="131">
        <v>22176</v>
      </c>
      <c r="O1293" s="294">
        <v>245148</v>
      </c>
    </row>
    <row r="1294" spans="2:15" x14ac:dyDescent="0.35">
      <c r="B1294" s="677" t="s">
        <v>186</v>
      </c>
      <c r="C1294" s="131">
        <v>24650</v>
      </c>
      <c r="D1294" s="131">
        <v>23835</v>
      </c>
      <c r="E1294" s="131">
        <v>28498</v>
      </c>
      <c r="F1294" s="131">
        <v>20501</v>
      </c>
      <c r="G1294" s="131">
        <v>23772</v>
      </c>
      <c r="H1294" s="131">
        <v>20358</v>
      </c>
      <c r="I1294" s="131">
        <v>21753</v>
      </c>
      <c r="J1294" s="131">
        <v>19367</v>
      </c>
      <c r="K1294" s="131">
        <v>16372</v>
      </c>
      <c r="L1294" s="131">
        <v>13783</v>
      </c>
      <c r="M1294" s="131">
        <v>16899</v>
      </c>
      <c r="N1294" s="131">
        <v>20994</v>
      </c>
      <c r="O1294" s="294">
        <v>250782</v>
      </c>
    </row>
    <row r="1295" spans="2:15" x14ac:dyDescent="0.35">
      <c r="B1295" s="677" t="s">
        <v>187</v>
      </c>
      <c r="C1295" s="294">
        <v>614</v>
      </c>
      <c r="D1295" s="294">
        <v>960</v>
      </c>
      <c r="E1295" s="294">
        <v>1243</v>
      </c>
      <c r="F1295" s="294">
        <v>1018</v>
      </c>
      <c r="G1295" s="294">
        <v>1119</v>
      </c>
      <c r="H1295" s="294">
        <v>977</v>
      </c>
      <c r="I1295" s="294">
        <v>929</v>
      </c>
      <c r="J1295" s="294">
        <v>1335</v>
      </c>
      <c r="K1295" s="294">
        <v>1185</v>
      </c>
      <c r="L1295" s="294">
        <v>914</v>
      </c>
      <c r="M1295" s="294">
        <v>1145</v>
      </c>
      <c r="N1295" s="294">
        <v>706</v>
      </c>
      <c r="O1295" s="294">
        <v>12145</v>
      </c>
    </row>
    <row r="1296" spans="2:15" x14ac:dyDescent="0.35">
      <c r="B1296" s="666"/>
      <c r="C1296" s="275"/>
      <c r="D1296" s="275"/>
      <c r="E1296" s="275"/>
      <c r="F1296" s="275"/>
      <c r="G1296" s="275"/>
      <c r="H1296" s="275"/>
      <c r="I1296" s="275"/>
      <c r="J1296" s="275"/>
      <c r="K1296" s="275"/>
      <c r="L1296" s="275"/>
      <c r="M1296" s="275"/>
      <c r="N1296" s="275"/>
      <c r="O1296" s="294">
        <v>0</v>
      </c>
    </row>
    <row r="1297" spans="1:17" x14ac:dyDescent="0.35">
      <c r="B1297" s="666" t="s">
        <v>173</v>
      </c>
      <c r="C1297" s="275">
        <v>614</v>
      </c>
      <c r="D1297" s="275">
        <v>960</v>
      </c>
      <c r="E1297" s="275">
        <v>1243</v>
      </c>
      <c r="F1297" s="275">
        <v>1018</v>
      </c>
      <c r="G1297" s="275">
        <v>1119</v>
      </c>
      <c r="H1297" s="275">
        <v>977</v>
      </c>
      <c r="I1297" s="275">
        <v>929</v>
      </c>
      <c r="J1297" s="275">
        <v>1335</v>
      </c>
      <c r="K1297" s="275">
        <v>1185</v>
      </c>
      <c r="L1297" s="275">
        <v>914</v>
      </c>
      <c r="M1297" s="275">
        <v>1145</v>
      </c>
      <c r="N1297" s="275">
        <v>706</v>
      </c>
      <c r="O1297" s="294">
        <v>12145</v>
      </c>
    </row>
    <row r="1298" spans="1:17" x14ac:dyDescent="0.35">
      <c r="B1298" s="653" t="s">
        <v>62</v>
      </c>
      <c r="C1298" s="131">
        <v>464</v>
      </c>
      <c r="D1298" s="131">
        <v>634</v>
      </c>
      <c r="E1298" s="131">
        <v>797</v>
      </c>
      <c r="F1298" s="131">
        <v>422</v>
      </c>
      <c r="G1298" s="131">
        <v>447</v>
      </c>
      <c r="H1298" s="131">
        <v>517</v>
      </c>
      <c r="I1298" s="131">
        <v>663</v>
      </c>
      <c r="J1298" s="131">
        <v>692</v>
      </c>
      <c r="K1298" s="131">
        <v>343</v>
      </c>
      <c r="L1298" s="131">
        <v>273</v>
      </c>
      <c r="M1298" s="131">
        <v>197</v>
      </c>
      <c r="N1298" s="131">
        <v>182</v>
      </c>
      <c r="O1298" s="294">
        <v>5631</v>
      </c>
    </row>
    <row r="1299" spans="1:17" x14ac:dyDescent="0.35">
      <c r="B1299" s="653" t="s">
        <v>63</v>
      </c>
      <c r="C1299" s="131">
        <v>150</v>
      </c>
      <c r="D1299" s="131">
        <v>326</v>
      </c>
      <c r="E1299" s="131">
        <v>446</v>
      </c>
      <c r="F1299" s="131">
        <v>596</v>
      </c>
      <c r="G1299" s="131">
        <v>672</v>
      </c>
      <c r="H1299" s="131">
        <v>460</v>
      </c>
      <c r="I1299" s="131">
        <v>266</v>
      </c>
      <c r="J1299" s="131">
        <v>643</v>
      </c>
      <c r="K1299" s="131">
        <v>842</v>
      </c>
      <c r="L1299" s="131">
        <v>641</v>
      </c>
      <c r="M1299" s="131">
        <v>948</v>
      </c>
      <c r="N1299" s="131">
        <v>524</v>
      </c>
      <c r="O1299" s="294">
        <v>6514</v>
      </c>
    </row>
    <row r="1300" spans="1:17" x14ac:dyDescent="0.35">
      <c r="B1300" s="653" t="s">
        <v>64</v>
      </c>
      <c r="C1300" s="131">
        <v>0</v>
      </c>
      <c r="D1300" s="131">
        <v>0</v>
      </c>
      <c r="E1300" s="131">
        <v>0</v>
      </c>
      <c r="F1300" s="131">
        <v>0</v>
      </c>
      <c r="G1300" s="131">
        <v>0</v>
      </c>
      <c r="H1300" s="131">
        <v>0</v>
      </c>
      <c r="I1300" s="131">
        <v>0</v>
      </c>
      <c r="J1300" s="131">
        <v>0</v>
      </c>
      <c r="K1300" s="131">
        <v>0</v>
      </c>
      <c r="L1300" s="131">
        <v>0</v>
      </c>
      <c r="M1300" s="131">
        <v>0</v>
      </c>
      <c r="N1300" s="131">
        <v>0</v>
      </c>
      <c r="O1300" s="294">
        <v>0</v>
      </c>
    </row>
    <row r="1301" spans="1:17" x14ac:dyDescent="0.35">
      <c r="B1301" s="666" t="s">
        <v>174</v>
      </c>
      <c r="C1301" s="275">
        <v>0</v>
      </c>
      <c r="D1301" s="275">
        <v>0</v>
      </c>
      <c r="E1301" s="275">
        <v>0</v>
      </c>
      <c r="F1301" s="275">
        <v>0</v>
      </c>
      <c r="G1301" s="275">
        <v>0</v>
      </c>
      <c r="H1301" s="275">
        <v>0</v>
      </c>
      <c r="I1301" s="275">
        <v>0</v>
      </c>
      <c r="J1301" s="275">
        <v>0</v>
      </c>
      <c r="K1301" s="275">
        <v>0</v>
      </c>
      <c r="L1301" s="275">
        <v>0</v>
      </c>
      <c r="M1301" s="275">
        <v>0</v>
      </c>
      <c r="N1301" s="275">
        <v>0</v>
      </c>
      <c r="O1301" s="275">
        <v>0</v>
      </c>
    </row>
    <row r="1302" spans="1:17" x14ac:dyDescent="0.35">
      <c r="B1302" s="668"/>
      <c r="C1302" s="279"/>
      <c r="D1302" s="279"/>
      <c r="E1302" s="279"/>
      <c r="F1302" s="279"/>
      <c r="G1302" s="279"/>
      <c r="H1302" s="279"/>
      <c r="I1302" s="279"/>
      <c r="J1302" s="279"/>
      <c r="K1302" s="279"/>
      <c r="L1302" s="279"/>
      <c r="M1302" s="279"/>
      <c r="N1302" s="279"/>
      <c r="O1302" s="305"/>
    </row>
    <row r="1303" spans="1:17" x14ac:dyDescent="0.35">
      <c r="B1303" s="431" t="s">
        <v>175</v>
      </c>
      <c r="C1303" s="178">
        <v>158014</v>
      </c>
      <c r="D1303" s="178">
        <v>138758</v>
      </c>
      <c r="E1303" s="178">
        <v>150740</v>
      </c>
      <c r="F1303" s="178">
        <v>141918</v>
      </c>
      <c r="G1303" s="178">
        <v>157734</v>
      </c>
      <c r="H1303" s="178">
        <v>130245</v>
      </c>
      <c r="I1303" s="178">
        <v>134863</v>
      </c>
      <c r="J1303" s="178">
        <v>148944</v>
      </c>
      <c r="K1303" s="178">
        <v>132514</v>
      </c>
      <c r="L1303" s="178">
        <v>139061</v>
      </c>
      <c r="M1303" s="178">
        <v>127986</v>
      </c>
      <c r="N1303" s="178">
        <v>148531</v>
      </c>
      <c r="O1303" s="178">
        <v>1709308</v>
      </c>
    </row>
    <row r="1304" spans="1:17" x14ac:dyDescent="0.35">
      <c r="B1304" s="669"/>
      <c r="C1304" s="282"/>
      <c r="D1304" s="282"/>
      <c r="E1304" s="282"/>
      <c r="F1304" s="282"/>
      <c r="G1304" s="282"/>
      <c r="H1304" s="282"/>
      <c r="I1304" s="282"/>
      <c r="J1304" s="282"/>
      <c r="K1304" s="282"/>
      <c r="L1304" s="282"/>
      <c r="M1304" s="282"/>
      <c r="N1304" s="282"/>
      <c r="O1304" s="305"/>
    </row>
    <row r="1305" spans="1:17" x14ac:dyDescent="0.35">
      <c r="A1305" s="359"/>
      <c r="B1305" s="676" t="s">
        <v>184</v>
      </c>
      <c r="C1305" s="275">
        <v>49661</v>
      </c>
      <c r="D1305" s="275">
        <v>29889</v>
      </c>
      <c r="E1305" s="275">
        <v>38575</v>
      </c>
      <c r="F1305" s="275">
        <v>35360</v>
      </c>
      <c r="G1305" s="275">
        <v>30696</v>
      </c>
      <c r="H1305" s="275">
        <v>24171</v>
      </c>
      <c r="I1305" s="275">
        <v>24732</v>
      </c>
      <c r="J1305" s="275">
        <v>33482</v>
      </c>
      <c r="K1305" s="275">
        <v>36349</v>
      </c>
      <c r="L1305" s="275">
        <v>38894</v>
      </c>
      <c r="M1305" s="275">
        <v>27498</v>
      </c>
      <c r="N1305" s="275">
        <v>33557</v>
      </c>
      <c r="O1305" s="305">
        <v>402864</v>
      </c>
    </row>
    <row r="1306" spans="1:17" x14ac:dyDescent="0.35">
      <c r="A1306" s="359"/>
      <c r="B1306" s="677" t="s">
        <v>185</v>
      </c>
      <c r="C1306" s="168">
        <v>48905</v>
      </c>
      <c r="D1306" s="168">
        <v>29463</v>
      </c>
      <c r="E1306" s="168">
        <v>38416</v>
      </c>
      <c r="F1306" s="168">
        <v>34204</v>
      </c>
      <c r="G1306" s="168">
        <v>30650</v>
      </c>
      <c r="H1306" s="168">
        <v>22331</v>
      </c>
      <c r="I1306" s="168">
        <v>24663</v>
      </c>
      <c r="J1306" s="168">
        <v>33478</v>
      </c>
      <c r="K1306" s="168">
        <v>36347</v>
      </c>
      <c r="L1306" s="168">
        <v>38774</v>
      </c>
      <c r="M1306" s="168">
        <v>27164</v>
      </c>
      <c r="N1306" s="168">
        <v>32635</v>
      </c>
      <c r="O1306" s="294">
        <v>397030</v>
      </c>
    </row>
    <row r="1307" spans="1:17" x14ac:dyDescent="0.35">
      <c r="B1307" s="677" t="s">
        <v>186</v>
      </c>
      <c r="C1307" s="168">
        <v>756</v>
      </c>
      <c r="D1307" s="168">
        <v>426</v>
      </c>
      <c r="E1307" s="168">
        <v>159</v>
      </c>
      <c r="F1307" s="168">
        <v>1156</v>
      </c>
      <c r="G1307" s="168">
        <v>46</v>
      </c>
      <c r="H1307" s="168">
        <v>1840</v>
      </c>
      <c r="I1307" s="168">
        <v>69</v>
      </c>
      <c r="J1307" s="168">
        <v>4</v>
      </c>
      <c r="K1307" s="168">
        <v>2</v>
      </c>
      <c r="L1307" s="168">
        <v>120</v>
      </c>
      <c r="M1307" s="168">
        <v>334</v>
      </c>
      <c r="N1307" s="168">
        <v>922</v>
      </c>
      <c r="O1307" s="294">
        <v>5834</v>
      </c>
    </row>
    <row r="1308" spans="1:17" x14ac:dyDescent="0.35">
      <c r="B1308" s="677" t="s">
        <v>187</v>
      </c>
      <c r="C1308" s="275">
        <v>0</v>
      </c>
      <c r="D1308" s="275">
        <v>0</v>
      </c>
      <c r="E1308" s="275">
        <v>0</v>
      </c>
      <c r="F1308" s="275">
        <v>0</v>
      </c>
      <c r="G1308" s="275">
        <v>0</v>
      </c>
      <c r="H1308" s="275">
        <v>0</v>
      </c>
      <c r="I1308" s="275">
        <v>0</v>
      </c>
      <c r="J1308" s="275">
        <v>0</v>
      </c>
      <c r="K1308" s="275">
        <v>0</v>
      </c>
      <c r="L1308" s="275">
        <v>0</v>
      </c>
      <c r="M1308" s="275">
        <v>0</v>
      </c>
      <c r="N1308" s="275">
        <v>0</v>
      </c>
      <c r="O1308" s="305">
        <v>0</v>
      </c>
    </row>
    <row r="1309" spans="1:17" x14ac:dyDescent="0.35">
      <c r="B1309" s="666"/>
      <c r="C1309" s="168"/>
      <c r="D1309" s="168"/>
      <c r="E1309" s="168"/>
      <c r="F1309" s="168"/>
      <c r="G1309" s="168"/>
      <c r="H1309" s="168"/>
      <c r="I1309" s="168"/>
      <c r="J1309" s="168"/>
      <c r="K1309" s="168"/>
      <c r="L1309" s="168"/>
      <c r="M1309" s="168"/>
      <c r="N1309" s="168"/>
      <c r="O1309" s="294"/>
    </row>
    <row r="1310" spans="1:17" x14ac:dyDescent="0.35">
      <c r="B1310" s="666" t="s">
        <v>173</v>
      </c>
      <c r="C1310" s="275">
        <v>0</v>
      </c>
      <c r="D1310" s="275">
        <v>0</v>
      </c>
      <c r="E1310" s="275">
        <v>0</v>
      </c>
      <c r="F1310" s="275">
        <v>0</v>
      </c>
      <c r="G1310" s="275">
        <v>0</v>
      </c>
      <c r="H1310" s="275">
        <v>0</v>
      </c>
      <c r="I1310" s="275">
        <v>0</v>
      </c>
      <c r="J1310" s="275">
        <v>0</v>
      </c>
      <c r="K1310" s="275">
        <v>0</v>
      </c>
      <c r="L1310" s="275">
        <v>0</v>
      </c>
      <c r="M1310" s="275">
        <v>0</v>
      </c>
      <c r="N1310" s="275">
        <v>0</v>
      </c>
      <c r="O1310" s="305">
        <v>0</v>
      </c>
    </row>
    <row r="1311" spans="1:17" x14ac:dyDescent="0.35">
      <c r="B1311" s="653" t="s">
        <v>62</v>
      </c>
      <c r="C1311" s="168">
        <v>0</v>
      </c>
      <c r="D1311" s="168">
        <v>0</v>
      </c>
      <c r="E1311" s="168">
        <v>0</v>
      </c>
      <c r="F1311" s="168">
        <v>0</v>
      </c>
      <c r="G1311" s="168">
        <v>0</v>
      </c>
      <c r="H1311" s="168">
        <v>0</v>
      </c>
      <c r="I1311" s="168">
        <v>0</v>
      </c>
      <c r="J1311" s="168">
        <v>0</v>
      </c>
      <c r="K1311" s="168">
        <v>0</v>
      </c>
      <c r="L1311" s="168">
        <v>0</v>
      </c>
      <c r="M1311" s="168">
        <v>0</v>
      </c>
      <c r="N1311" s="168">
        <v>0</v>
      </c>
      <c r="O1311" s="294">
        <v>0</v>
      </c>
    </row>
    <row r="1312" spans="1:17" x14ac:dyDescent="0.35">
      <c r="B1312" s="653" t="s">
        <v>63</v>
      </c>
      <c r="C1312" s="168">
        <v>0</v>
      </c>
      <c r="D1312" s="168">
        <v>0</v>
      </c>
      <c r="E1312" s="168">
        <v>0</v>
      </c>
      <c r="F1312" s="168">
        <v>0</v>
      </c>
      <c r="G1312" s="168">
        <v>0</v>
      </c>
      <c r="H1312" s="168">
        <v>0</v>
      </c>
      <c r="I1312" s="168">
        <v>0</v>
      </c>
      <c r="J1312" s="168">
        <v>0</v>
      </c>
      <c r="K1312" s="168">
        <v>0</v>
      </c>
      <c r="L1312" s="168">
        <v>0</v>
      </c>
      <c r="M1312" s="168">
        <v>0</v>
      </c>
      <c r="N1312" s="168">
        <v>0</v>
      </c>
      <c r="O1312" s="294">
        <v>0</v>
      </c>
      <c r="Q1312" s="359">
        <f>Q1313+O1106</f>
        <v>22441072.967524044</v>
      </c>
    </row>
    <row r="1313" spans="1:17" x14ac:dyDescent="0.35">
      <c r="B1313" s="653" t="s">
        <v>64</v>
      </c>
      <c r="C1313" s="168">
        <v>0</v>
      </c>
      <c r="D1313" s="168">
        <v>0</v>
      </c>
      <c r="E1313" s="168">
        <v>0</v>
      </c>
      <c r="F1313" s="168">
        <v>0</v>
      </c>
      <c r="G1313" s="168">
        <v>0</v>
      </c>
      <c r="H1313" s="168">
        <v>0</v>
      </c>
      <c r="I1313" s="168">
        <v>0</v>
      </c>
      <c r="J1313" s="168">
        <v>0</v>
      </c>
      <c r="K1313" s="168">
        <v>0</v>
      </c>
      <c r="L1313" s="168">
        <v>0</v>
      </c>
      <c r="M1313" s="168">
        <v>0</v>
      </c>
      <c r="N1313" s="168">
        <v>0</v>
      </c>
      <c r="O1313" s="294">
        <v>0</v>
      </c>
      <c r="Q1313" s="324">
        <f>O1316*2.2</f>
        <v>2874176.8000000003</v>
      </c>
    </row>
    <row r="1314" spans="1:17" x14ac:dyDescent="0.35">
      <c r="B1314" s="666" t="s">
        <v>174</v>
      </c>
      <c r="C1314" s="275">
        <v>0</v>
      </c>
      <c r="D1314" s="275">
        <v>0</v>
      </c>
      <c r="E1314" s="275">
        <v>0</v>
      </c>
      <c r="F1314" s="275">
        <v>0</v>
      </c>
      <c r="G1314" s="275">
        <v>0</v>
      </c>
      <c r="H1314" s="275">
        <v>0</v>
      </c>
      <c r="I1314" s="275">
        <v>0</v>
      </c>
      <c r="J1314" s="275">
        <v>0</v>
      </c>
      <c r="K1314" s="275">
        <v>0</v>
      </c>
      <c r="L1314" s="275">
        <v>0</v>
      </c>
      <c r="M1314" s="275">
        <v>0</v>
      </c>
      <c r="N1314" s="275">
        <v>0</v>
      </c>
      <c r="O1314" s="305">
        <v>0</v>
      </c>
    </row>
    <row r="1315" spans="1:17" x14ac:dyDescent="0.35">
      <c r="B1315" s="668"/>
      <c r="C1315" s="275"/>
      <c r="D1315" s="275"/>
      <c r="E1315" s="275"/>
      <c r="F1315" s="275"/>
      <c r="G1315" s="275"/>
      <c r="H1315" s="275"/>
      <c r="I1315" s="275"/>
      <c r="J1315" s="275"/>
      <c r="K1315" s="275"/>
      <c r="L1315" s="275"/>
      <c r="M1315" s="275"/>
      <c r="N1315" s="275"/>
      <c r="O1315" s="305"/>
    </row>
    <row r="1316" spans="1:17" x14ac:dyDescent="0.35">
      <c r="A1316" s="359"/>
      <c r="B1316" s="676" t="s">
        <v>188</v>
      </c>
      <c r="C1316" s="275">
        <v>108353</v>
      </c>
      <c r="D1316" s="275">
        <v>108869</v>
      </c>
      <c r="E1316" s="275">
        <v>112165</v>
      </c>
      <c r="F1316" s="275">
        <v>106558</v>
      </c>
      <c r="G1316" s="275">
        <v>127038</v>
      </c>
      <c r="H1316" s="275">
        <v>106074</v>
      </c>
      <c r="I1316" s="275">
        <v>110131</v>
      </c>
      <c r="J1316" s="275">
        <v>115462</v>
      </c>
      <c r="K1316" s="275">
        <v>96165</v>
      </c>
      <c r="L1316" s="275">
        <v>100167</v>
      </c>
      <c r="M1316" s="275">
        <v>100488</v>
      </c>
      <c r="N1316" s="275">
        <v>114974</v>
      </c>
      <c r="O1316" s="294">
        <v>1306444</v>
      </c>
      <c r="P1316" s="28">
        <f>O1316/O1303</f>
        <v>0.76431163956408088</v>
      </c>
    </row>
    <row r="1317" spans="1:17" x14ac:dyDescent="0.35">
      <c r="A1317" s="359"/>
      <c r="B1317" s="677" t="s">
        <v>185</v>
      </c>
      <c r="C1317" s="168">
        <v>52636</v>
      </c>
      <c r="D1317" s="168">
        <v>51044</v>
      </c>
      <c r="E1317" s="168">
        <v>54010</v>
      </c>
      <c r="F1317" s="168">
        <v>59725</v>
      </c>
      <c r="G1317" s="168">
        <v>66903</v>
      </c>
      <c r="H1317" s="168">
        <v>61817</v>
      </c>
      <c r="I1317" s="168">
        <v>60700</v>
      </c>
      <c r="J1317" s="168">
        <v>65906</v>
      </c>
      <c r="K1317" s="168">
        <v>57645</v>
      </c>
      <c r="L1317" s="168">
        <v>65500</v>
      </c>
      <c r="M1317" s="168">
        <v>57886</v>
      </c>
      <c r="N1317" s="168">
        <v>62133</v>
      </c>
      <c r="O1317" s="294">
        <v>715905</v>
      </c>
      <c r="P1317" s="28"/>
    </row>
    <row r="1318" spans="1:17" ht="14.25" customHeight="1" x14ac:dyDescent="0.35">
      <c r="A1318" s="359"/>
      <c r="B1318" s="677" t="s">
        <v>186</v>
      </c>
      <c r="C1318" s="168">
        <v>50694</v>
      </c>
      <c r="D1318" s="168">
        <v>52732</v>
      </c>
      <c r="E1318" s="168">
        <v>52234</v>
      </c>
      <c r="F1318" s="168">
        <v>40515</v>
      </c>
      <c r="G1318" s="168">
        <v>52627</v>
      </c>
      <c r="H1318" s="168">
        <v>39019</v>
      </c>
      <c r="I1318" s="168">
        <v>43687</v>
      </c>
      <c r="J1318" s="168">
        <v>41613</v>
      </c>
      <c r="K1318" s="168">
        <v>32267</v>
      </c>
      <c r="L1318" s="168">
        <v>28370</v>
      </c>
      <c r="M1318" s="168">
        <v>35874</v>
      </c>
      <c r="N1318" s="168">
        <v>46639</v>
      </c>
      <c r="O1318" s="294">
        <v>516271</v>
      </c>
      <c r="P1318" s="28">
        <f>O1318/O1316</f>
        <v>0.39517269779646125</v>
      </c>
    </row>
    <row r="1319" spans="1:17" x14ac:dyDescent="0.35">
      <c r="A1319" s="359"/>
      <c r="B1319" s="677" t="s">
        <v>187</v>
      </c>
      <c r="C1319" s="275">
        <v>5023</v>
      </c>
      <c r="D1319" s="275">
        <v>5093</v>
      </c>
      <c r="E1319" s="275">
        <v>5921</v>
      </c>
      <c r="F1319" s="275">
        <v>6318</v>
      </c>
      <c r="G1319" s="275">
        <v>7508</v>
      </c>
      <c r="H1319" s="275">
        <v>5238</v>
      </c>
      <c r="I1319" s="275">
        <v>5744</v>
      </c>
      <c r="J1319" s="275">
        <v>7943</v>
      </c>
      <c r="K1319" s="275">
        <v>6253</v>
      </c>
      <c r="L1319" s="275">
        <v>6297</v>
      </c>
      <c r="M1319" s="275">
        <v>6728</v>
      </c>
      <c r="N1319" s="275">
        <v>6202</v>
      </c>
      <c r="O1319" s="294">
        <v>74268</v>
      </c>
    </row>
    <row r="1320" spans="1:17" ht="18.75" customHeight="1" x14ac:dyDescent="0.35">
      <c r="B1320" s="666"/>
      <c r="C1320" s="168"/>
      <c r="D1320" s="168"/>
      <c r="E1320" s="168"/>
      <c r="F1320" s="168"/>
      <c r="G1320" s="168"/>
      <c r="H1320" s="168"/>
      <c r="I1320" s="168"/>
      <c r="J1320" s="168"/>
      <c r="K1320" s="168"/>
      <c r="L1320" s="168"/>
      <c r="M1320" s="168"/>
      <c r="N1320" s="168"/>
      <c r="O1320" s="294">
        <v>0</v>
      </c>
    </row>
    <row r="1321" spans="1:17" ht="15" customHeight="1" x14ac:dyDescent="0.35">
      <c r="B1321" s="666" t="s">
        <v>173</v>
      </c>
      <c r="C1321" s="275">
        <v>4930</v>
      </c>
      <c r="D1321" s="275">
        <v>4961</v>
      </c>
      <c r="E1321" s="275">
        <v>5855</v>
      </c>
      <c r="F1321" s="275">
        <v>6294</v>
      </c>
      <c r="G1321" s="275">
        <v>7375</v>
      </c>
      <c r="H1321" s="275">
        <v>5126</v>
      </c>
      <c r="I1321" s="275">
        <v>5591</v>
      </c>
      <c r="J1321" s="275">
        <v>7859</v>
      </c>
      <c r="K1321" s="275">
        <v>6208</v>
      </c>
      <c r="L1321" s="275">
        <v>6213</v>
      </c>
      <c r="M1321" s="275">
        <v>6662</v>
      </c>
      <c r="N1321" s="275">
        <v>5997</v>
      </c>
      <c r="O1321" s="305">
        <v>73071</v>
      </c>
    </row>
    <row r="1322" spans="1:17" ht="18.75" customHeight="1" x14ac:dyDescent="0.35">
      <c r="B1322" s="653" t="s">
        <v>62</v>
      </c>
      <c r="C1322" s="168">
        <v>3415</v>
      </c>
      <c r="D1322" s="168">
        <v>3179</v>
      </c>
      <c r="E1322" s="168">
        <v>3663</v>
      </c>
      <c r="F1322" s="168">
        <v>3866</v>
      </c>
      <c r="G1322" s="168">
        <v>4212</v>
      </c>
      <c r="H1322" s="168">
        <v>3202</v>
      </c>
      <c r="I1322" s="168">
        <v>3782</v>
      </c>
      <c r="J1322" s="168">
        <v>4304</v>
      </c>
      <c r="K1322" s="168">
        <v>2957</v>
      </c>
      <c r="L1322" s="168">
        <v>2435</v>
      </c>
      <c r="M1322" s="168">
        <v>3024</v>
      </c>
      <c r="N1322" s="168">
        <v>2795</v>
      </c>
      <c r="O1322" s="294">
        <v>40834</v>
      </c>
    </row>
    <row r="1323" spans="1:17" ht="18.75" customHeight="1" x14ac:dyDescent="0.35">
      <c r="B1323" s="653" t="s">
        <v>63</v>
      </c>
      <c r="C1323" s="168">
        <v>1509</v>
      </c>
      <c r="D1323" s="168">
        <v>1782</v>
      </c>
      <c r="E1323" s="168">
        <v>2192</v>
      </c>
      <c r="F1323" s="168">
        <v>2428</v>
      </c>
      <c r="G1323" s="168">
        <v>3163</v>
      </c>
      <c r="H1323" s="168">
        <v>1924</v>
      </c>
      <c r="I1323" s="168">
        <v>1809</v>
      </c>
      <c r="J1323" s="168">
        <v>3555</v>
      </c>
      <c r="K1323" s="168">
        <v>3251</v>
      </c>
      <c r="L1323" s="168">
        <v>3778</v>
      </c>
      <c r="M1323" s="168">
        <v>3637</v>
      </c>
      <c r="N1323" s="168">
        <v>3202</v>
      </c>
      <c r="O1323" s="294">
        <v>32230</v>
      </c>
    </row>
    <row r="1324" spans="1:17" ht="18.75" customHeight="1" x14ac:dyDescent="0.35">
      <c r="B1324" s="653" t="s">
        <v>64</v>
      </c>
      <c r="C1324" s="168">
        <v>6</v>
      </c>
      <c r="D1324" s="168">
        <v>0</v>
      </c>
      <c r="E1324" s="168">
        <v>0</v>
      </c>
      <c r="F1324" s="168">
        <v>0</v>
      </c>
      <c r="G1324" s="168">
        <v>0</v>
      </c>
      <c r="H1324" s="168">
        <v>0</v>
      </c>
      <c r="I1324" s="168">
        <v>0</v>
      </c>
      <c r="J1324" s="168">
        <v>0</v>
      </c>
      <c r="K1324" s="168">
        <v>0</v>
      </c>
      <c r="L1324" s="168">
        <v>0</v>
      </c>
      <c r="M1324" s="168">
        <v>1</v>
      </c>
      <c r="N1324" s="168">
        <v>0</v>
      </c>
      <c r="O1324" s="294">
        <v>7</v>
      </c>
    </row>
    <row r="1325" spans="1:17" ht="18.75" customHeight="1" x14ac:dyDescent="0.35">
      <c r="B1325" s="666" t="s">
        <v>174</v>
      </c>
      <c r="C1325" s="275">
        <v>93</v>
      </c>
      <c r="D1325" s="275">
        <v>132</v>
      </c>
      <c r="E1325" s="275">
        <v>66</v>
      </c>
      <c r="F1325" s="275">
        <v>24</v>
      </c>
      <c r="G1325" s="275">
        <v>133</v>
      </c>
      <c r="H1325" s="275">
        <v>112</v>
      </c>
      <c r="I1325" s="275">
        <v>153</v>
      </c>
      <c r="J1325" s="275">
        <v>84</v>
      </c>
      <c r="K1325" s="275">
        <v>45</v>
      </c>
      <c r="L1325" s="275">
        <v>84</v>
      </c>
      <c r="M1325" s="275">
        <v>66</v>
      </c>
      <c r="N1325" s="275">
        <v>205</v>
      </c>
      <c r="O1325" s="305">
        <v>1197</v>
      </c>
    </row>
    <row r="1326" spans="1:17" ht="18.75" customHeight="1" x14ac:dyDescent="0.35">
      <c r="B1326" s="170"/>
      <c r="C1326" s="170"/>
      <c r="D1326" s="170"/>
      <c r="E1326" s="170"/>
      <c r="F1326" s="170"/>
      <c r="G1326" s="170"/>
      <c r="H1326" s="170"/>
      <c r="I1326" s="170"/>
      <c r="J1326" s="170"/>
      <c r="K1326" s="170"/>
      <c r="L1326" s="170"/>
      <c r="M1326" s="170"/>
      <c r="N1326" s="170"/>
      <c r="O1326" s="170"/>
    </row>
    <row r="1327" spans="1:17" ht="18.75" customHeight="1" x14ac:dyDescent="0.35"/>
    <row r="1329" ht="18.75" customHeight="1" x14ac:dyDescent="0.35"/>
    <row r="1330" ht="18.75" customHeight="1" x14ac:dyDescent="0.35"/>
    <row r="1331" ht="18.75" customHeight="1" x14ac:dyDescent="0.35"/>
    <row r="1332" ht="18.75" customHeight="1" x14ac:dyDescent="0.35"/>
    <row r="1333" ht="18.75" customHeight="1" x14ac:dyDescent="0.35"/>
    <row r="1334" ht="18.75" customHeight="1" x14ac:dyDescent="0.35"/>
    <row r="1335" ht="18.75" customHeight="1" x14ac:dyDescent="0.35"/>
    <row r="1337" ht="18.75" customHeight="1" x14ac:dyDescent="0.35"/>
    <row r="1339" ht="18.75" customHeight="1" x14ac:dyDescent="0.35"/>
    <row r="1372" spans="16:16" x14ac:dyDescent="0.35">
      <c r="P1372" s="324" t="s">
        <v>183</v>
      </c>
    </row>
    <row r="1437" spans="16:16" x14ac:dyDescent="0.35">
      <c r="P1437" s="324" t="s">
        <v>11</v>
      </c>
    </row>
    <row r="1445" spans="16:16" x14ac:dyDescent="0.35">
      <c r="P1445" s="324" t="s">
        <v>183</v>
      </c>
    </row>
    <row r="1447" spans="16:16" x14ac:dyDescent="0.35">
      <c r="P1447" s="324" t="s">
        <v>11</v>
      </c>
    </row>
  </sheetData>
  <dataConsolidate/>
  <mergeCells count="460">
    <mergeCell ref="B24:J24"/>
    <mergeCell ref="J6:J7"/>
    <mergeCell ref="K6:K7"/>
    <mergeCell ref="L6:L7"/>
    <mergeCell ref="M6:M7"/>
    <mergeCell ref="N6:N7"/>
    <mergeCell ref="O6:O7"/>
    <mergeCell ref="B2:O2"/>
    <mergeCell ref="B6:B7"/>
    <mergeCell ref="C6:C7"/>
    <mergeCell ref="D6:D7"/>
    <mergeCell ref="E6:E7"/>
    <mergeCell ref="F6:F7"/>
    <mergeCell ref="G6:G7"/>
    <mergeCell ref="H6:H7"/>
    <mergeCell ref="I6:I7"/>
    <mergeCell ref="B4:I4"/>
    <mergeCell ref="B56:I56"/>
    <mergeCell ref="K26:K27"/>
    <mergeCell ref="L26:L27"/>
    <mergeCell ref="M26:M27"/>
    <mergeCell ref="N26:N27"/>
    <mergeCell ref="O26:O27"/>
    <mergeCell ref="B54:O54"/>
    <mergeCell ref="B26:B27"/>
    <mergeCell ref="C26:C27"/>
    <mergeCell ref="D26:D27"/>
    <mergeCell ref="E26:E27"/>
    <mergeCell ref="F26:F27"/>
    <mergeCell ref="G26:G27"/>
    <mergeCell ref="H26:H27"/>
    <mergeCell ref="I26:I27"/>
    <mergeCell ref="J26:J27"/>
    <mergeCell ref="B81:J81"/>
    <mergeCell ref="K58:K59"/>
    <mergeCell ref="L58:L59"/>
    <mergeCell ref="M58:M59"/>
    <mergeCell ref="N58:N59"/>
    <mergeCell ref="O58:O59"/>
    <mergeCell ref="B79:O79"/>
    <mergeCell ref="B58:B59"/>
    <mergeCell ref="C58:C59"/>
    <mergeCell ref="D58:D59"/>
    <mergeCell ref="E58:E59"/>
    <mergeCell ref="F58:F59"/>
    <mergeCell ref="G58:G59"/>
    <mergeCell ref="H58:H59"/>
    <mergeCell ref="I58:I59"/>
    <mergeCell ref="J58:J59"/>
    <mergeCell ref="B113:K113"/>
    <mergeCell ref="B154:L154"/>
    <mergeCell ref="K83:K84"/>
    <mergeCell ref="L83:L84"/>
    <mergeCell ref="M83:M84"/>
    <mergeCell ref="N83:N84"/>
    <mergeCell ref="O83:O84"/>
    <mergeCell ref="B111:O111"/>
    <mergeCell ref="B83:B84"/>
    <mergeCell ref="C83:C84"/>
    <mergeCell ref="D83:D84"/>
    <mergeCell ref="E83:E84"/>
    <mergeCell ref="F83:F84"/>
    <mergeCell ref="G83:G84"/>
    <mergeCell ref="H83:H84"/>
    <mergeCell ref="I83:I84"/>
    <mergeCell ref="J83:J84"/>
    <mergeCell ref="K115:K116"/>
    <mergeCell ref="L115:L116"/>
    <mergeCell ref="M115:M116"/>
    <mergeCell ref="N115:N116"/>
    <mergeCell ref="O115:O116"/>
    <mergeCell ref="B115:B116"/>
    <mergeCell ref="C115:C116"/>
    <mergeCell ref="D115:D116"/>
    <mergeCell ref="E115:E116"/>
    <mergeCell ref="F115:F116"/>
    <mergeCell ref="G115:G116"/>
    <mergeCell ref="H115:H116"/>
    <mergeCell ref="I115:I116"/>
    <mergeCell ref="J115:J116"/>
    <mergeCell ref="N156:N157"/>
    <mergeCell ref="O156:O157"/>
    <mergeCell ref="J156:J157"/>
    <mergeCell ref="K156:K157"/>
    <mergeCell ref="L156:L157"/>
    <mergeCell ref="M156:M157"/>
    <mergeCell ref="C191:C192"/>
    <mergeCell ref="D191:D192"/>
    <mergeCell ref="E191:E192"/>
    <mergeCell ref="F191:F192"/>
    <mergeCell ref="G191:G192"/>
    <mergeCell ref="H191:H192"/>
    <mergeCell ref="H156:H157"/>
    <mergeCell ref="I156:I157"/>
    <mergeCell ref="B156:B157"/>
    <mergeCell ref="C156:C157"/>
    <mergeCell ref="D156:D157"/>
    <mergeCell ref="E156:E157"/>
    <mergeCell ref="F156:F157"/>
    <mergeCell ref="G156:G157"/>
    <mergeCell ref="B189:L189"/>
    <mergeCell ref="B295:L295"/>
    <mergeCell ref="J262:J263"/>
    <mergeCell ref="K262:K263"/>
    <mergeCell ref="L262:L263"/>
    <mergeCell ref="M262:M263"/>
    <mergeCell ref="N262:N263"/>
    <mergeCell ref="O262:O263"/>
    <mergeCell ref="O191:O192"/>
    <mergeCell ref="B262:B263"/>
    <mergeCell ref="C262:C263"/>
    <mergeCell ref="D262:D263"/>
    <mergeCell ref="E262:E263"/>
    <mergeCell ref="F262:F263"/>
    <mergeCell ref="G262:G263"/>
    <mergeCell ref="H262:H263"/>
    <mergeCell ref="I262:I263"/>
    <mergeCell ref="I191:I192"/>
    <mergeCell ref="J191:J192"/>
    <mergeCell ref="K191:K192"/>
    <mergeCell ref="L191:L192"/>
    <mergeCell ref="M191:M192"/>
    <mergeCell ref="N191:N192"/>
    <mergeCell ref="B260:K260"/>
    <mergeCell ref="B191:B192"/>
    <mergeCell ref="B330:K330"/>
    <mergeCell ref="B363:J363"/>
    <mergeCell ref="K297:K298"/>
    <mergeCell ref="L297:L298"/>
    <mergeCell ref="M297:M298"/>
    <mergeCell ref="N297:N298"/>
    <mergeCell ref="O297:O298"/>
    <mergeCell ref="B328:O328"/>
    <mergeCell ref="B297:B298"/>
    <mergeCell ref="C297:C298"/>
    <mergeCell ref="D297:D298"/>
    <mergeCell ref="E297:E298"/>
    <mergeCell ref="F297:F298"/>
    <mergeCell ref="G297:G298"/>
    <mergeCell ref="H297:H298"/>
    <mergeCell ref="I297:I298"/>
    <mergeCell ref="J297:J298"/>
    <mergeCell ref="K332:K333"/>
    <mergeCell ref="L332:L333"/>
    <mergeCell ref="M332:M333"/>
    <mergeCell ref="N332:N333"/>
    <mergeCell ref="O332:O333"/>
    <mergeCell ref="B332:B333"/>
    <mergeCell ref="C332:C333"/>
    <mergeCell ref="D332:D333"/>
    <mergeCell ref="E332:E333"/>
    <mergeCell ref="F332:F333"/>
    <mergeCell ref="G332:G333"/>
    <mergeCell ref="H332:H333"/>
    <mergeCell ref="I332:I333"/>
    <mergeCell ref="J332:J333"/>
    <mergeCell ref="N365:N366"/>
    <mergeCell ref="O365:O366"/>
    <mergeCell ref="J365:J366"/>
    <mergeCell ref="K365:K366"/>
    <mergeCell ref="L365:L366"/>
    <mergeCell ref="M365:M366"/>
    <mergeCell ref="D440:D441"/>
    <mergeCell ref="E440:E441"/>
    <mergeCell ref="F440:F441"/>
    <mergeCell ref="G440:G441"/>
    <mergeCell ref="H440:H441"/>
    <mergeCell ref="H365:H366"/>
    <mergeCell ref="I365:I366"/>
    <mergeCell ref="B365:B366"/>
    <mergeCell ref="C365:C366"/>
    <mergeCell ref="D365:D366"/>
    <mergeCell ref="E365:E366"/>
    <mergeCell ref="F365:F366"/>
    <mergeCell ref="G365:G366"/>
    <mergeCell ref="B438:J438"/>
    <mergeCell ref="J515:J516"/>
    <mergeCell ref="K515:K516"/>
    <mergeCell ref="L515:L516"/>
    <mergeCell ref="M515:M516"/>
    <mergeCell ref="N515:N516"/>
    <mergeCell ref="O515:O516"/>
    <mergeCell ref="O440:O441"/>
    <mergeCell ref="B515:B516"/>
    <mergeCell ref="C515:C516"/>
    <mergeCell ref="D515:D516"/>
    <mergeCell ref="E515:E516"/>
    <mergeCell ref="F515:F516"/>
    <mergeCell ref="G515:G516"/>
    <mergeCell ref="H515:H516"/>
    <mergeCell ref="I515:I516"/>
    <mergeCell ref="I440:I441"/>
    <mergeCell ref="J440:J441"/>
    <mergeCell ref="K440:K441"/>
    <mergeCell ref="L440:L441"/>
    <mergeCell ref="M440:M441"/>
    <mergeCell ref="N440:N441"/>
    <mergeCell ref="B513:J513"/>
    <mergeCell ref="B440:B441"/>
    <mergeCell ref="C440:C441"/>
    <mergeCell ref="B621:J621"/>
    <mergeCell ref="B653:K653"/>
    <mergeCell ref="J592:J593"/>
    <mergeCell ref="K592:K593"/>
    <mergeCell ref="L592:L593"/>
    <mergeCell ref="M592:M593"/>
    <mergeCell ref="N592:N593"/>
    <mergeCell ref="O592:O593"/>
    <mergeCell ref="B588:O588"/>
    <mergeCell ref="B592:B593"/>
    <mergeCell ref="C592:C593"/>
    <mergeCell ref="D592:D593"/>
    <mergeCell ref="E592:E593"/>
    <mergeCell ref="F592:F593"/>
    <mergeCell ref="G592:G593"/>
    <mergeCell ref="H592:H593"/>
    <mergeCell ref="I592:I593"/>
    <mergeCell ref="B590:J590"/>
    <mergeCell ref="K623:K624"/>
    <mergeCell ref="L623:L624"/>
    <mergeCell ref="M623:M624"/>
    <mergeCell ref="N623:N624"/>
    <mergeCell ref="O623:O624"/>
    <mergeCell ref="B623:B624"/>
    <mergeCell ref="C623:C624"/>
    <mergeCell ref="D623:D624"/>
    <mergeCell ref="E623:E624"/>
    <mergeCell ref="F623:F624"/>
    <mergeCell ref="G623:G624"/>
    <mergeCell ref="H623:H624"/>
    <mergeCell ref="I623:I624"/>
    <mergeCell ref="J623:J624"/>
    <mergeCell ref="M699:M700"/>
    <mergeCell ref="N655:N656"/>
    <mergeCell ref="O655:O656"/>
    <mergeCell ref="B695:O695"/>
    <mergeCell ref="B699:B700"/>
    <mergeCell ref="C699:C700"/>
    <mergeCell ref="D699:D700"/>
    <mergeCell ref="E699:E700"/>
    <mergeCell ref="F699:F700"/>
    <mergeCell ref="G699:G700"/>
    <mergeCell ref="H655:H656"/>
    <mergeCell ref="I655:I656"/>
    <mergeCell ref="J655:J656"/>
    <mergeCell ref="K655:K656"/>
    <mergeCell ref="L655:L656"/>
    <mergeCell ref="M655:M656"/>
    <mergeCell ref="B655:B656"/>
    <mergeCell ref="C655:C656"/>
    <mergeCell ref="D655:D656"/>
    <mergeCell ref="E655:E656"/>
    <mergeCell ref="F655:F656"/>
    <mergeCell ref="G655:G656"/>
    <mergeCell ref="N699:N700"/>
    <mergeCell ref="O699:O700"/>
    <mergeCell ref="B697:J697"/>
    <mergeCell ref="F728:F729"/>
    <mergeCell ref="G728:G729"/>
    <mergeCell ref="H728:H729"/>
    <mergeCell ref="H699:H700"/>
    <mergeCell ref="I699:I700"/>
    <mergeCell ref="J699:J700"/>
    <mergeCell ref="K699:K700"/>
    <mergeCell ref="L699:L700"/>
    <mergeCell ref="B726:J726"/>
    <mergeCell ref="K746:K747"/>
    <mergeCell ref="L746:L747"/>
    <mergeCell ref="M746:M747"/>
    <mergeCell ref="N746:N747"/>
    <mergeCell ref="O746:O747"/>
    <mergeCell ref="O728:O729"/>
    <mergeCell ref="B746:B747"/>
    <mergeCell ref="C746:C747"/>
    <mergeCell ref="D746:D747"/>
    <mergeCell ref="E746:E747"/>
    <mergeCell ref="F746:F747"/>
    <mergeCell ref="G746:G747"/>
    <mergeCell ref="H746:H747"/>
    <mergeCell ref="I746:I747"/>
    <mergeCell ref="I728:I729"/>
    <mergeCell ref="J728:J729"/>
    <mergeCell ref="K728:K729"/>
    <mergeCell ref="L728:L729"/>
    <mergeCell ref="M728:M729"/>
    <mergeCell ref="N728:N729"/>
    <mergeCell ref="B728:B729"/>
    <mergeCell ref="C728:C729"/>
    <mergeCell ref="D728:D729"/>
    <mergeCell ref="E728:E729"/>
    <mergeCell ref="M775:M776"/>
    <mergeCell ref="N775:N776"/>
    <mergeCell ref="O775:O776"/>
    <mergeCell ref="B773:O773"/>
    <mergeCell ref="B775:B776"/>
    <mergeCell ref="C775:C776"/>
    <mergeCell ref="D775:D776"/>
    <mergeCell ref="E775:E776"/>
    <mergeCell ref="F775:F776"/>
    <mergeCell ref="G775:G776"/>
    <mergeCell ref="H775:H776"/>
    <mergeCell ref="I775:I776"/>
    <mergeCell ref="M838:M839"/>
    <mergeCell ref="N838:N839"/>
    <mergeCell ref="O838:O839"/>
    <mergeCell ref="B899:O899"/>
    <mergeCell ref="B836:O836"/>
    <mergeCell ref="B838:B839"/>
    <mergeCell ref="C838:C839"/>
    <mergeCell ref="D838:D839"/>
    <mergeCell ref="E838:E839"/>
    <mergeCell ref="F838:F839"/>
    <mergeCell ref="G838:G839"/>
    <mergeCell ref="H838:H839"/>
    <mergeCell ref="I838:I839"/>
    <mergeCell ref="J838:J839"/>
    <mergeCell ref="N901:N902"/>
    <mergeCell ref="O901:O902"/>
    <mergeCell ref="B943:O943"/>
    <mergeCell ref="B945:B946"/>
    <mergeCell ref="C945:C946"/>
    <mergeCell ref="D945:D946"/>
    <mergeCell ref="E945:E946"/>
    <mergeCell ref="F945:F946"/>
    <mergeCell ref="G945:G946"/>
    <mergeCell ref="H945:H946"/>
    <mergeCell ref="H901:H902"/>
    <mergeCell ref="I901:I902"/>
    <mergeCell ref="J901:J902"/>
    <mergeCell ref="K901:K902"/>
    <mergeCell ref="L901:L902"/>
    <mergeCell ref="M901:M902"/>
    <mergeCell ref="B901:B902"/>
    <mergeCell ref="C901:C902"/>
    <mergeCell ref="D901:D902"/>
    <mergeCell ref="E901:E902"/>
    <mergeCell ref="F901:F902"/>
    <mergeCell ref="G901:G902"/>
    <mergeCell ref="M988:M989"/>
    <mergeCell ref="N988:N989"/>
    <mergeCell ref="O988:O989"/>
    <mergeCell ref="O945:O946"/>
    <mergeCell ref="B988:B989"/>
    <mergeCell ref="C988:C989"/>
    <mergeCell ref="D988:D989"/>
    <mergeCell ref="E988:E989"/>
    <mergeCell ref="F988:F989"/>
    <mergeCell ref="G988:G989"/>
    <mergeCell ref="H988:H989"/>
    <mergeCell ref="I988:I989"/>
    <mergeCell ref="I945:I946"/>
    <mergeCell ref="J945:J946"/>
    <mergeCell ref="K945:K946"/>
    <mergeCell ref="L945:L946"/>
    <mergeCell ref="M945:M946"/>
    <mergeCell ref="N945:N946"/>
    <mergeCell ref="M1020:M1021"/>
    <mergeCell ref="N1020:N1021"/>
    <mergeCell ref="O1020:O1021"/>
    <mergeCell ref="B1016:O1016"/>
    <mergeCell ref="B1020:B1021"/>
    <mergeCell ref="C1020:C1021"/>
    <mergeCell ref="D1020:D1021"/>
    <mergeCell ref="E1020:E1021"/>
    <mergeCell ref="F1020:F1021"/>
    <mergeCell ref="G1020:G1021"/>
    <mergeCell ref="H1020:H1021"/>
    <mergeCell ref="I1020:I1021"/>
    <mergeCell ref="M1093:M1094"/>
    <mergeCell ref="N1093:N1094"/>
    <mergeCell ref="O1093:O1094"/>
    <mergeCell ref="B1089:O1089"/>
    <mergeCell ref="B1093:B1094"/>
    <mergeCell ref="C1093:C1094"/>
    <mergeCell ref="D1093:D1094"/>
    <mergeCell ref="E1093:E1094"/>
    <mergeCell ref="F1093:F1094"/>
    <mergeCell ref="G1093:G1094"/>
    <mergeCell ref="H1093:H1094"/>
    <mergeCell ref="I1093:I1094"/>
    <mergeCell ref="M1114:M1115"/>
    <mergeCell ref="N1114:N1115"/>
    <mergeCell ref="O1114:O1115"/>
    <mergeCell ref="B1114:B1115"/>
    <mergeCell ref="C1114:C1115"/>
    <mergeCell ref="D1114:D1115"/>
    <mergeCell ref="E1114:E1115"/>
    <mergeCell ref="F1114:F1115"/>
    <mergeCell ref="G1114:G1115"/>
    <mergeCell ref="H1114:H1115"/>
    <mergeCell ref="I1114:I1115"/>
    <mergeCell ref="J1114:J1115"/>
    <mergeCell ref="N1186:N1187"/>
    <mergeCell ref="O1186:O1187"/>
    <mergeCell ref="B1210:B1211"/>
    <mergeCell ref="C1210:C1211"/>
    <mergeCell ref="D1210:D1211"/>
    <mergeCell ref="E1210:E1211"/>
    <mergeCell ref="F1210:F1211"/>
    <mergeCell ref="G1210:G1211"/>
    <mergeCell ref="H1210:H1211"/>
    <mergeCell ref="H1186:H1187"/>
    <mergeCell ref="I1186:I1187"/>
    <mergeCell ref="J1186:J1187"/>
    <mergeCell ref="K1186:K1187"/>
    <mergeCell ref="L1186:L1187"/>
    <mergeCell ref="M1186:M1187"/>
    <mergeCell ref="B1186:B1187"/>
    <mergeCell ref="C1186:C1187"/>
    <mergeCell ref="D1186:D1187"/>
    <mergeCell ref="E1186:E1187"/>
    <mergeCell ref="F1186:F1187"/>
    <mergeCell ref="G1186:G1187"/>
    <mergeCell ref="B1208:J1208"/>
    <mergeCell ref="J1252:J1253"/>
    <mergeCell ref="K1252:K1253"/>
    <mergeCell ref="L1252:L1253"/>
    <mergeCell ref="M1252:M1253"/>
    <mergeCell ref="N1252:N1253"/>
    <mergeCell ref="O1252:O1253"/>
    <mergeCell ref="O1210:O1211"/>
    <mergeCell ref="B1252:B1253"/>
    <mergeCell ref="C1252:C1253"/>
    <mergeCell ref="D1252:D1253"/>
    <mergeCell ref="E1252:E1253"/>
    <mergeCell ref="F1252:F1253"/>
    <mergeCell ref="G1252:G1253"/>
    <mergeCell ref="H1252:H1253"/>
    <mergeCell ref="I1252:I1253"/>
    <mergeCell ref="I1210:I1211"/>
    <mergeCell ref="J1210:J1211"/>
    <mergeCell ref="K1210:K1211"/>
    <mergeCell ref="L1210:L1211"/>
    <mergeCell ref="M1210:M1211"/>
    <mergeCell ref="N1210:N1211"/>
    <mergeCell ref="B1250:J1250"/>
    <mergeCell ref="B744:J744"/>
    <mergeCell ref="B771:J771"/>
    <mergeCell ref="B986:J986"/>
    <mergeCell ref="B1018:K1018"/>
    <mergeCell ref="B1091:J1091"/>
    <mergeCell ref="B1112:L1112"/>
    <mergeCell ref="B1184:I1184"/>
    <mergeCell ref="K1114:K1115"/>
    <mergeCell ref="L1114:L1115"/>
    <mergeCell ref="J1093:J1094"/>
    <mergeCell ref="K1093:K1094"/>
    <mergeCell ref="L1093:L1094"/>
    <mergeCell ref="J1020:J1021"/>
    <mergeCell ref="K1020:K1021"/>
    <mergeCell ref="L1020:L1021"/>
    <mergeCell ref="J988:J989"/>
    <mergeCell ref="K988:K989"/>
    <mergeCell ref="L988:L989"/>
    <mergeCell ref="K838:K839"/>
    <mergeCell ref="L838:L839"/>
    <mergeCell ref="J775:J776"/>
    <mergeCell ref="K775:K776"/>
    <mergeCell ref="L775:L776"/>
    <mergeCell ref="J746:J747"/>
  </mergeCells>
  <conditionalFormatting sqref="C8:N8">
    <cfRule type="cellIs" dxfId="135" priority="123" operator="lessThan">
      <formula>-0.001</formula>
    </cfRule>
    <cfRule type="cellIs" dxfId="134" priority="124" operator="greaterThan">
      <formula>0.001</formula>
    </cfRule>
  </conditionalFormatting>
  <conditionalFormatting sqref="C13:N13">
    <cfRule type="cellIs" dxfId="133" priority="122" operator="greaterThan">
      <formula>0.001</formula>
    </cfRule>
    <cfRule type="cellIs" dxfId="132" priority="121" operator="lessThan">
      <formula>-0.001</formula>
    </cfRule>
  </conditionalFormatting>
  <conditionalFormatting sqref="C28:N28">
    <cfRule type="cellIs" dxfId="131" priority="119" operator="lessThan">
      <formula>-0.001</formula>
    </cfRule>
    <cfRule type="cellIs" dxfId="130" priority="120" operator="greaterThan">
      <formula>0.001</formula>
    </cfRule>
  </conditionalFormatting>
  <conditionalFormatting sqref="C42:N42">
    <cfRule type="cellIs" dxfId="129" priority="118" operator="greaterThan">
      <formula>0.001</formula>
    </cfRule>
    <cfRule type="cellIs" dxfId="128" priority="117" operator="lessThan">
      <formula>-0.001</formula>
    </cfRule>
  </conditionalFormatting>
  <conditionalFormatting sqref="C60:N60">
    <cfRule type="cellIs" dxfId="127" priority="116" operator="greaterThan">
      <formula>0.001</formula>
    </cfRule>
    <cfRule type="cellIs" dxfId="126" priority="115" operator="lessThan">
      <formula>-0.001</formula>
    </cfRule>
  </conditionalFormatting>
  <conditionalFormatting sqref="C67:N67">
    <cfRule type="cellIs" dxfId="125" priority="114" operator="greaterThan">
      <formula>0.001</formula>
    </cfRule>
    <cfRule type="cellIs" dxfId="124" priority="113" operator="lessThan">
      <formula>-0.001</formula>
    </cfRule>
  </conditionalFormatting>
  <conditionalFormatting sqref="C85:N85">
    <cfRule type="cellIs" dxfId="123" priority="112" operator="greaterThan">
      <formula>0.001</formula>
    </cfRule>
    <cfRule type="cellIs" dxfId="122" priority="111" operator="lessThan">
      <formula>-0.001</formula>
    </cfRule>
  </conditionalFormatting>
  <conditionalFormatting sqref="C93:N93">
    <cfRule type="cellIs" dxfId="121" priority="109" operator="lessThan">
      <formula>-0.001</formula>
    </cfRule>
    <cfRule type="cellIs" dxfId="120" priority="110" operator="greaterThan">
      <formula>0.001</formula>
    </cfRule>
  </conditionalFormatting>
  <conditionalFormatting sqref="C117:N117">
    <cfRule type="cellIs" dxfId="119" priority="108" operator="greaterThan">
      <formula>0.001</formula>
    </cfRule>
    <cfRule type="cellIs" dxfId="118" priority="107" operator="lessThan">
      <formula>-0.001</formula>
    </cfRule>
  </conditionalFormatting>
  <conditionalFormatting sqref="C129:N129">
    <cfRule type="cellIs" dxfId="117" priority="106" operator="greaterThan">
      <formula>0.001</formula>
    </cfRule>
    <cfRule type="cellIs" dxfId="116" priority="105" operator="lessThan">
      <formula>-0.001</formula>
    </cfRule>
  </conditionalFormatting>
  <conditionalFormatting sqref="C158:N158">
    <cfRule type="cellIs" dxfId="115" priority="104" operator="greaterThan">
      <formula>0.001</formula>
    </cfRule>
    <cfRule type="cellIs" dxfId="114" priority="103" operator="lessThan">
      <formula>-0.001</formula>
    </cfRule>
  </conditionalFormatting>
  <conditionalFormatting sqref="C168:N168">
    <cfRule type="cellIs" dxfId="113" priority="102" operator="greaterThan">
      <formula>0.001</formula>
    </cfRule>
    <cfRule type="cellIs" dxfId="112" priority="101" operator="lessThan">
      <formula>-0.001</formula>
    </cfRule>
  </conditionalFormatting>
  <conditionalFormatting sqref="C193:N193">
    <cfRule type="cellIs" dxfId="111" priority="100" operator="greaterThan">
      <formula>0.001</formula>
    </cfRule>
    <cfRule type="cellIs" dxfId="110" priority="99" operator="lessThan">
      <formula>-0.001</formula>
    </cfRule>
  </conditionalFormatting>
  <conditionalFormatting sqref="C215:N215">
    <cfRule type="cellIs" dxfId="109" priority="98" operator="greaterThan">
      <formula>0.001</formula>
    </cfRule>
    <cfRule type="cellIs" dxfId="108" priority="97" operator="lessThan">
      <formula>-0.001</formula>
    </cfRule>
  </conditionalFormatting>
  <conditionalFormatting sqref="C264:N264">
    <cfRule type="cellIs" dxfId="107" priority="96" operator="greaterThan">
      <formula>0.001</formula>
    </cfRule>
    <cfRule type="cellIs" dxfId="106" priority="95" operator="lessThan">
      <formula>-0.001</formula>
    </cfRule>
  </conditionalFormatting>
  <conditionalFormatting sqref="C274:N274">
    <cfRule type="cellIs" dxfId="105" priority="94" operator="greaterThan">
      <formula>0.001</formula>
    </cfRule>
    <cfRule type="cellIs" dxfId="104" priority="93" operator="lessThan">
      <formula>-0.001</formula>
    </cfRule>
  </conditionalFormatting>
  <conditionalFormatting sqref="C299:N299">
    <cfRule type="cellIs" dxfId="103" priority="92" operator="greaterThan">
      <formula>0.001</formula>
    </cfRule>
    <cfRule type="cellIs" dxfId="102" priority="91" operator="lessThan">
      <formula>-0.001</formula>
    </cfRule>
  </conditionalFormatting>
  <conditionalFormatting sqref="C308:N308">
    <cfRule type="cellIs" dxfId="101" priority="90" operator="greaterThan">
      <formula>0.001</formula>
    </cfRule>
    <cfRule type="cellIs" dxfId="100" priority="89" operator="lessThan">
      <formula>-0.001</formula>
    </cfRule>
  </conditionalFormatting>
  <conditionalFormatting sqref="C334:N334">
    <cfRule type="cellIs" dxfId="99" priority="88" operator="greaterThan">
      <formula>0.001</formula>
    </cfRule>
    <cfRule type="cellIs" dxfId="98" priority="87" operator="lessThan">
      <formula>-0.001</formula>
    </cfRule>
  </conditionalFormatting>
  <conditionalFormatting sqref="C343:N343">
    <cfRule type="cellIs" dxfId="97" priority="86" operator="greaterThan">
      <formula>0.001</formula>
    </cfRule>
    <cfRule type="cellIs" dxfId="96" priority="85" operator="lessThan">
      <formula>-0.001</formula>
    </cfRule>
  </conditionalFormatting>
  <conditionalFormatting sqref="C367:N367">
    <cfRule type="cellIs" dxfId="95" priority="84" operator="greaterThan">
      <formula>0.001</formula>
    </cfRule>
    <cfRule type="cellIs" dxfId="94" priority="83" operator="lessThan">
      <formula>-0.001</formula>
    </cfRule>
  </conditionalFormatting>
  <conditionalFormatting sqref="C401:N401">
    <cfRule type="cellIs" dxfId="93" priority="82" operator="greaterThan">
      <formula>0.001</formula>
    </cfRule>
    <cfRule type="cellIs" dxfId="92" priority="81" operator="lessThan">
      <formula>-0.001</formula>
    </cfRule>
  </conditionalFormatting>
  <conditionalFormatting sqref="C442:N442">
    <cfRule type="cellIs" dxfId="91" priority="80" operator="greaterThan">
      <formula>0.001</formula>
    </cfRule>
    <cfRule type="cellIs" dxfId="90" priority="79" operator="lessThan">
      <formula>-0.001</formula>
    </cfRule>
  </conditionalFormatting>
  <conditionalFormatting sqref="C476:N476">
    <cfRule type="cellIs" dxfId="89" priority="78" operator="greaterThan">
      <formula>0.001</formula>
    </cfRule>
    <cfRule type="cellIs" dxfId="88" priority="77" operator="lessThan">
      <formula>-0.001</formula>
    </cfRule>
  </conditionalFormatting>
  <conditionalFormatting sqref="C517:N517">
    <cfRule type="cellIs" dxfId="87" priority="76" operator="greaterThan">
      <formula>0.001</formula>
    </cfRule>
    <cfRule type="cellIs" dxfId="86" priority="75" operator="lessThan">
      <formula>-0.001</formula>
    </cfRule>
  </conditionalFormatting>
  <conditionalFormatting sqref="C551:N551">
    <cfRule type="cellIs" dxfId="85" priority="74" operator="greaterThan">
      <formula>0.001</formula>
    </cfRule>
    <cfRule type="cellIs" dxfId="84" priority="73" operator="lessThan">
      <formula>-0.001</formula>
    </cfRule>
  </conditionalFormatting>
  <conditionalFormatting sqref="C594:N594">
    <cfRule type="cellIs" dxfId="83" priority="72" operator="greaterThan">
      <formula>0.001</formula>
    </cfRule>
    <cfRule type="cellIs" dxfId="82" priority="71" operator="lessThan">
      <formula>-0.001</formula>
    </cfRule>
  </conditionalFormatting>
  <conditionalFormatting sqref="C602:N602">
    <cfRule type="cellIs" dxfId="81" priority="70" operator="greaterThan">
      <formula>0.001</formula>
    </cfRule>
    <cfRule type="cellIs" dxfId="80" priority="69" operator="lessThan">
      <formula>-0.001</formula>
    </cfRule>
  </conditionalFormatting>
  <conditionalFormatting sqref="C625:N625">
    <cfRule type="cellIs" dxfId="79" priority="68" operator="greaterThan">
      <formula>0.001</formula>
    </cfRule>
    <cfRule type="cellIs" dxfId="78" priority="67" operator="lessThan">
      <formula>-0.001</formula>
    </cfRule>
  </conditionalFormatting>
  <conditionalFormatting sqref="C634:N634">
    <cfRule type="cellIs" dxfId="77" priority="65" operator="lessThan">
      <formula>-0.001</formula>
    </cfRule>
    <cfRule type="cellIs" dxfId="76" priority="66" operator="greaterThan">
      <formula>0.001</formula>
    </cfRule>
  </conditionalFormatting>
  <conditionalFormatting sqref="C657:N657">
    <cfRule type="cellIs" dxfId="75" priority="63" operator="lessThan">
      <formula>-0.001</formula>
    </cfRule>
    <cfRule type="cellIs" dxfId="74" priority="64" operator="greaterThan">
      <formula>0.001</formula>
    </cfRule>
  </conditionalFormatting>
  <conditionalFormatting sqref="C669:N669">
    <cfRule type="cellIs" dxfId="73" priority="5" operator="lessThan">
      <formula>-0.001</formula>
    </cfRule>
    <cfRule type="cellIs" dxfId="72" priority="6" operator="greaterThan">
      <formula>0.001</formula>
    </cfRule>
  </conditionalFormatting>
  <conditionalFormatting sqref="C701:N701">
    <cfRule type="cellIs" dxfId="71" priority="62" operator="greaterThan">
      <formula>0.001</formula>
    </cfRule>
    <cfRule type="cellIs" dxfId="70" priority="61" operator="lessThan">
      <formula>-0.001</formula>
    </cfRule>
  </conditionalFormatting>
  <conditionalFormatting sqref="C709:N709">
    <cfRule type="cellIs" dxfId="69" priority="60" operator="greaterThan">
      <formula>0.001</formula>
    </cfRule>
    <cfRule type="cellIs" dxfId="68" priority="59" operator="lessThan">
      <formula>-0.001</formula>
    </cfRule>
  </conditionalFormatting>
  <conditionalFormatting sqref="C730:N730">
    <cfRule type="cellIs" dxfId="67" priority="57" operator="lessThan">
      <formula>-0.001</formula>
    </cfRule>
    <cfRule type="cellIs" dxfId="66" priority="58" operator="greaterThan">
      <formula>0.001</formula>
    </cfRule>
  </conditionalFormatting>
  <conditionalFormatting sqref="C734:N734">
    <cfRule type="cellIs" dxfId="65" priority="56" operator="greaterThan">
      <formula>0.001</formula>
    </cfRule>
    <cfRule type="cellIs" dxfId="64" priority="55" operator="lessThan">
      <formula>-0.001</formula>
    </cfRule>
  </conditionalFormatting>
  <conditionalFormatting sqref="C748:N748">
    <cfRule type="cellIs" dxfId="63" priority="54" operator="greaterThan">
      <formula>0.001</formula>
    </cfRule>
    <cfRule type="cellIs" dxfId="62" priority="53" operator="lessThan">
      <formula>-0.001</formula>
    </cfRule>
  </conditionalFormatting>
  <conditionalFormatting sqref="C755:N755">
    <cfRule type="cellIs" dxfId="61" priority="52" operator="greaterThan">
      <formula>0.001</formula>
    </cfRule>
    <cfRule type="cellIs" dxfId="60" priority="51" operator="lessThan">
      <formula>-0.001</formula>
    </cfRule>
  </conditionalFormatting>
  <conditionalFormatting sqref="C777:N777">
    <cfRule type="cellIs" dxfId="59" priority="50" operator="greaterThan">
      <formula>0.001</formula>
    </cfRule>
    <cfRule type="cellIs" dxfId="58" priority="49" operator="lessThan">
      <formula>-0.001</formula>
    </cfRule>
  </conditionalFormatting>
  <conditionalFormatting sqref="C805:N805">
    <cfRule type="cellIs" dxfId="57" priority="48" operator="greaterThan">
      <formula>0.001</formula>
    </cfRule>
    <cfRule type="cellIs" dxfId="56" priority="47" operator="lessThan">
      <formula>-0.001</formula>
    </cfRule>
  </conditionalFormatting>
  <conditionalFormatting sqref="C840:N840">
    <cfRule type="cellIs" dxfId="55" priority="46" operator="greaterThan">
      <formula>0.001</formula>
    </cfRule>
    <cfRule type="cellIs" dxfId="54" priority="45" operator="lessThan">
      <formula>-0.001</formula>
    </cfRule>
  </conditionalFormatting>
  <conditionalFormatting sqref="C868:N868">
    <cfRule type="cellIs" dxfId="53" priority="44" operator="greaterThan">
      <formula>0.001</formula>
    </cfRule>
    <cfRule type="cellIs" dxfId="52" priority="43" operator="lessThan">
      <formula>-0.001</formula>
    </cfRule>
  </conditionalFormatting>
  <conditionalFormatting sqref="C903:N903">
    <cfRule type="cellIs" dxfId="51" priority="42" operator="greaterThan">
      <formula>0.001</formula>
    </cfRule>
    <cfRule type="cellIs" dxfId="50" priority="41" operator="lessThan">
      <formula>-0.001</formula>
    </cfRule>
  </conditionalFormatting>
  <conditionalFormatting sqref="C931:N931">
    <cfRule type="cellIs" dxfId="49" priority="40" operator="greaterThan">
      <formula>0.001</formula>
    </cfRule>
    <cfRule type="cellIs" dxfId="48" priority="39" operator="lessThan">
      <formula>-0.001</formula>
    </cfRule>
  </conditionalFormatting>
  <conditionalFormatting sqref="C947:N947">
    <cfRule type="cellIs" dxfId="47" priority="38" operator="greaterThan">
      <formula>0.001</formula>
    </cfRule>
    <cfRule type="cellIs" dxfId="46" priority="37" operator="lessThan">
      <formula>-0.001</formula>
    </cfRule>
  </conditionalFormatting>
  <conditionalFormatting sqref="C975:N975">
    <cfRule type="cellIs" dxfId="45" priority="36" operator="greaterThan">
      <formula>0.001</formula>
    </cfRule>
    <cfRule type="cellIs" dxfId="44" priority="35" operator="lessThan">
      <formula>-0.001</formula>
    </cfRule>
  </conditionalFormatting>
  <conditionalFormatting sqref="C990:N990">
    <cfRule type="cellIs" dxfId="43" priority="34" operator="greaterThan">
      <formula>0.001</formula>
    </cfRule>
    <cfRule type="cellIs" dxfId="42" priority="33" operator="lessThan">
      <formula>-0.001</formula>
    </cfRule>
  </conditionalFormatting>
  <conditionalFormatting sqref="C998:N998">
    <cfRule type="cellIs" dxfId="41" priority="32" operator="greaterThan">
      <formula>0.001</formula>
    </cfRule>
    <cfRule type="cellIs" dxfId="40" priority="31" operator="lessThan">
      <formula>-0.001</formula>
    </cfRule>
  </conditionalFormatting>
  <conditionalFormatting sqref="C1022:N1022">
    <cfRule type="cellIs" dxfId="39" priority="30" operator="greaterThan">
      <formula>0.001</formula>
    </cfRule>
    <cfRule type="cellIs" dxfId="38" priority="29" operator="lessThan">
      <formula>-0.001</formula>
    </cfRule>
  </conditionalFormatting>
  <conditionalFormatting sqref="C1044:N1044">
    <cfRule type="cellIs" dxfId="37" priority="28" operator="greaterThan">
      <formula>0.001</formula>
    </cfRule>
    <cfRule type="cellIs" dxfId="36" priority="27" operator="lessThan">
      <formula>-0.001</formula>
    </cfRule>
  </conditionalFormatting>
  <conditionalFormatting sqref="C1095:N1095">
    <cfRule type="cellIs" dxfId="35" priority="26" operator="greaterThan">
      <formula>0.001</formula>
    </cfRule>
    <cfRule type="cellIs" dxfId="34" priority="25" operator="lessThan">
      <formula>-0.001</formula>
    </cfRule>
  </conditionalFormatting>
  <conditionalFormatting sqref="C1100:N1100">
    <cfRule type="cellIs" dxfId="33" priority="24" operator="greaterThan">
      <formula>0.001</formula>
    </cfRule>
    <cfRule type="cellIs" dxfId="32" priority="23" operator="lessThan">
      <formula>-0.001</formula>
    </cfRule>
  </conditionalFormatting>
  <conditionalFormatting sqref="C1116:N1116">
    <cfRule type="cellIs" dxfId="31" priority="22" operator="greaterThan">
      <formula>0.001</formula>
    </cfRule>
    <cfRule type="cellIs" dxfId="30" priority="21" operator="lessThan">
      <formula>-0.001</formula>
    </cfRule>
  </conditionalFormatting>
  <conditionalFormatting sqref="C1132:N1132">
    <cfRule type="cellIs" dxfId="29" priority="3" operator="lessThan">
      <formula>-0.001</formula>
    </cfRule>
    <cfRule type="cellIs" dxfId="28" priority="4" operator="greaterThan">
      <formula>0.001</formula>
    </cfRule>
  </conditionalFormatting>
  <conditionalFormatting sqref="C1138:N1138">
    <cfRule type="cellIs" dxfId="27" priority="20" operator="greaterThan">
      <formula>0.001</formula>
    </cfRule>
    <cfRule type="cellIs" dxfId="26" priority="19" operator="lessThan">
      <formula>-0.001</formula>
    </cfRule>
  </conditionalFormatting>
  <conditionalFormatting sqref="C1154:N1154">
    <cfRule type="cellIs" dxfId="25" priority="1" operator="lessThan">
      <formula>-0.001</formula>
    </cfRule>
    <cfRule type="cellIs" dxfId="24" priority="2" operator="greaterThan">
      <formula>0.001</formula>
    </cfRule>
  </conditionalFormatting>
  <conditionalFormatting sqref="C1188:N1188">
    <cfRule type="cellIs" dxfId="23" priority="17" operator="lessThan">
      <formula>-0.001</formula>
    </cfRule>
    <cfRule type="cellIs" dxfId="22" priority="18" operator="greaterThan">
      <formula>0.001</formula>
    </cfRule>
  </conditionalFormatting>
  <conditionalFormatting sqref="C1194:N1194">
    <cfRule type="cellIs" dxfId="21" priority="16" operator="greaterThan">
      <formula>0.001</formula>
    </cfRule>
    <cfRule type="cellIs" dxfId="20" priority="15" operator="lessThan">
      <formula>-0.001</formula>
    </cfRule>
  </conditionalFormatting>
  <conditionalFormatting sqref="C1212:N1212">
    <cfRule type="cellIs" dxfId="19" priority="14" operator="greaterThan">
      <formula>0.001</formula>
    </cfRule>
    <cfRule type="cellIs" dxfId="18" priority="13" operator="lessThan">
      <formula>-0.001</formula>
    </cfRule>
  </conditionalFormatting>
  <conditionalFormatting sqref="C1224:N1224">
    <cfRule type="cellIs" dxfId="17" priority="12" operator="greaterThan">
      <formula>0.001</formula>
    </cfRule>
    <cfRule type="cellIs" dxfId="16" priority="11" operator="lessThan">
      <formula>-0.001</formula>
    </cfRule>
  </conditionalFormatting>
  <conditionalFormatting sqref="C1254:N1254">
    <cfRule type="cellIs" dxfId="15" priority="9" operator="lessThan">
      <formula>-0.001</formula>
    </cfRule>
    <cfRule type="cellIs" dxfId="14" priority="10" operator="greaterThan">
      <formula>0.001</formula>
    </cfRule>
  </conditionalFormatting>
  <conditionalFormatting sqref="C1278:N1278">
    <cfRule type="cellIs" dxfId="13" priority="8" operator="greaterThan">
      <formula>0.001</formula>
    </cfRule>
    <cfRule type="cellIs" dxfId="12" priority="7" operator="lessThan">
      <formula>-0.001</formula>
    </cfRule>
  </conditionalFormatting>
  <printOptions horizontalCentered="1"/>
  <pageMargins left="0.15748031496062992" right="0.19685039370078741" top="0.15748031496062992" bottom="0.19685039370078741" header="0.15748031496062992" footer="0.15748031496062992"/>
  <pageSetup paperSize="9" scale="65" orientation="landscape" r:id="rId1"/>
  <headerFooter alignWithMargins="0">
    <oddFooter>&amp;CDate d'édition : &amp;D&amp;RPAA/DCM/Dpt Stat</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D94AE-6AA5-4552-85D6-461E51668CB9}">
  <dimension ref="A1:P1448"/>
  <sheetViews>
    <sheetView zoomScale="70" zoomScaleNormal="70" workbookViewId="0">
      <selection activeCell="E11" sqref="E11"/>
    </sheetView>
  </sheetViews>
  <sheetFormatPr baseColWidth="10" defaultRowHeight="15.5" x14ac:dyDescent="0.35"/>
  <cols>
    <col min="1" max="1" width="32.81640625" style="325" customWidth="1"/>
    <col min="2" max="2" width="39.26953125" style="8" customWidth="1"/>
    <col min="3" max="6" width="13.26953125" style="106" customWidth="1"/>
    <col min="7" max="7" width="13.26953125" style="680" customWidth="1"/>
    <col min="8" max="8" width="11.7265625" style="325" bestFit="1" customWidth="1"/>
    <col min="9" max="16" width="11.453125" style="325" bestFit="1" customWidth="1"/>
    <col min="17" max="235" width="11.453125" style="325"/>
    <col min="236" max="236" width="18.7265625" style="325" customWidth="1"/>
    <col min="237" max="237" width="28.453125" style="325" customWidth="1"/>
    <col min="238" max="238" width="11.453125" style="325" bestFit="1" customWidth="1"/>
    <col min="239" max="239" width="10.453125" style="325" customWidth="1"/>
    <col min="240" max="240" width="10.7265625" style="325" customWidth="1"/>
    <col min="241" max="241" width="11.453125" style="325" customWidth="1"/>
    <col min="242" max="242" width="12" style="325" customWidth="1"/>
    <col min="243" max="244" width="11.453125" style="325" bestFit="1" customWidth="1"/>
    <col min="245" max="245" width="11.453125" style="325" customWidth="1"/>
    <col min="246" max="246" width="11" style="325" customWidth="1"/>
    <col min="247" max="247" width="12.1796875" style="325" customWidth="1"/>
    <col min="248" max="491" width="11.453125" style="325"/>
    <col min="492" max="492" width="18.7265625" style="325" customWidth="1"/>
    <col min="493" max="493" width="28.453125" style="325" customWidth="1"/>
    <col min="494" max="494" width="11.453125" style="325" bestFit="1" customWidth="1"/>
    <col min="495" max="495" width="10.453125" style="325" customWidth="1"/>
    <col min="496" max="496" width="10.7265625" style="325" customWidth="1"/>
    <col min="497" max="497" width="11.453125" style="325" customWidth="1"/>
    <col min="498" max="498" width="12" style="325" customWidth="1"/>
    <col min="499" max="500" width="11.453125" style="325" bestFit="1" customWidth="1"/>
    <col min="501" max="501" width="11.453125" style="325" customWidth="1"/>
    <col min="502" max="502" width="11" style="325" customWidth="1"/>
    <col min="503" max="503" width="12.1796875" style="325" customWidth="1"/>
    <col min="504" max="747" width="11.453125" style="325"/>
    <col min="748" max="748" width="18.7265625" style="325" customWidth="1"/>
    <col min="749" max="749" width="28.453125" style="325" customWidth="1"/>
    <col min="750" max="750" width="11.453125" style="325" bestFit="1" customWidth="1"/>
    <col min="751" max="751" width="10.453125" style="325" customWidth="1"/>
    <col min="752" max="752" width="10.7265625" style="325" customWidth="1"/>
    <col min="753" max="753" width="11.453125" style="325" customWidth="1"/>
    <col min="754" max="754" width="12" style="325" customWidth="1"/>
    <col min="755" max="756" width="11.453125" style="325" bestFit="1" customWidth="1"/>
    <col min="757" max="757" width="11.453125" style="325" customWidth="1"/>
    <col min="758" max="758" width="11" style="325" customWidth="1"/>
    <col min="759" max="759" width="12.1796875" style="325" customWidth="1"/>
    <col min="760" max="1003" width="11.453125" style="325"/>
    <col min="1004" max="1004" width="18.7265625" style="325" customWidth="1"/>
    <col min="1005" max="1005" width="28.453125" style="325" customWidth="1"/>
    <col min="1006" max="1006" width="11.453125" style="325" bestFit="1" customWidth="1"/>
    <col min="1007" max="1007" width="10.453125" style="325" customWidth="1"/>
    <col min="1008" max="1008" width="10.7265625" style="325" customWidth="1"/>
    <col min="1009" max="1009" width="11.453125" style="325" customWidth="1"/>
    <col min="1010" max="1010" width="12" style="325" customWidth="1"/>
    <col min="1011" max="1012" width="11.453125" style="325" bestFit="1" customWidth="1"/>
    <col min="1013" max="1013" width="11.453125" style="325" customWidth="1"/>
    <col min="1014" max="1014" width="11" style="325" customWidth="1"/>
    <col min="1015" max="1015" width="12.1796875" style="325" customWidth="1"/>
    <col min="1016" max="1259" width="11.453125" style="325"/>
    <col min="1260" max="1260" width="18.7265625" style="325" customWidth="1"/>
    <col min="1261" max="1261" width="28.453125" style="325" customWidth="1"/>
    <col min="1262" max="1262" width="11.453125" style="325" bestFit="1" customWidth="1"/>
    <col min="1263" max="1263" width="10.453125" style="325" customWidth="1"/>
    <col min="1264" max="1264" width="10.7265625" style="325" customWidth="1"/>
    <col min="1265" max="1265" width="11.453125" style="325" customWidth="1"/>
    <col min="1266" max="1266" width="12" style="325" customWidth="1"/>
    <col min="1267" max="1268" width="11.453125" style="325" bestFit="1" customWidth="1"/>
    <col min="1269" max="1269" width="11.453125" style="325" customWidth="1"/>
    <col min="1270" max="1270" width="11" style="325" customWidth="1"/>
    <col min="1271" max="1271" width="12.1796875" style="325" customWidth="1"/>
    <col min="1272" max="1515" width="11.453125" style="325"/>
    <col min="1516" max="1516" width="18.7265625" style="325" customWidth="1"/>
    <col min="1517" max="1517" width="28.453125" style="325" customWidth="1"/>
    <col min="1518" max="1518" width="11.453125" style="325" bestFit="1" customWidth="1"/>
    <col min="1519" max="1519" width="10.453125" style="325" customWidth="1"/>
    <col min="1520" max="1520" width="10.7265625" style="325" customWidth="1"/>
    <col min="1521" max="1521" width="11.453125" style="325" customWidth="1"/>
    <col min="1522" max="1522" width="12" style="325" customWidth="1"/>
    <col min="1523" max="1524" width="11.453125" style="325" bestFit="1" customWidth="1"/>
    <col min="1525" max="1525" width="11.453125" style="325" customWidth="1"/>
    <col min="1526" max="1526" width="11" style="325" customWidth="1"/>
    <col min="1527" max="1527" width="12.1796875" style="325" customWidth="1"/>
    <col min="1528" max="1771" width="11.453125" style="325"/>
    <col min="1772" max="1772" width="18.7265625" style="325" customWidth="1"/>
    <col min="1773" max="1773" width="28.453125" style="325" customWidth="1"/>
    <col min="1774" max="1774" width="11.453125" style="325" bestFit="1" customWidth="1"/>
    <col min="1775" max="1775" width="10.453125" style="325" customWidth="1"/>
    <col min="1776" max="1776" width="10.7265625" style="325" customWidth="1"/>
    <col min="1777" max="1777" width="11.453125" style="325" customWidth="1"/>
    <col min="1778" max="1778" width="12" style="325" customWidth="1"/>
    <col min="1779" max="1780" width="11.453125" style="325" bestFit="1" customWidth="1"/>
    <col min="1781" max="1781" width="11.453125" style="325" customWidth="1"/>
    <col min="1782" max="1782" width="11" style="325" customWidth="1"/>
    <col min="1783" max="1783" width="12.1796875" style="325" customWidth="1"/>
    <col min="1784" max="2027" width="11.453125" style="325"/>
    <col min="2028" max="2028" width="18.7265625" style="325" customWidth="1"/>
    <col min="2029" max="2029" width="28.453125" style="325" customWidth="1"/>
    <col min="2030" max="2030" width="11.453125" style="325" bestFit="1" customWidth="1"/>
    <col min="2031" max="2031" width="10.453125" style="325" customWidth="1"/>
    <col min="2032" max="2032" width="10.7265625" style="325" customWidth="1"/>
    <col min="2033" max="2033" width="11.453125" style="325" customWidth="1"/>
    <col min="2034" max="2034" width="12" style="325" customWidth="1"/>
    <col min="2035" max="2036" width="11.453125" style="325" bestFit="1" customWidth="1"/>
    <col min="2037" max="2037" width="11.453125" style="325" customWidth="1"/>
    <col min="2038" max="2038" width="11" style="325" customWidth="1"/>
    <col min="2039" max="2039" width="12.1796875" style="325" customWidth="1"/>
    <col min="2040" max="2283" width="11.453125" style="325"/>
    <col min="2284" max="2284" width="18.7265625" style="325" customWidth="1"/>
    <col min="2285" max="2285" width="28.453125" style="325" customWidth="1"/>
    <col min="2286" max="2286" width="11.453125" style="325" bestFit="1" customWidth="1"/>
    <col min="2287" max="2287" width="10.453125" style="325" customWidth="1"/>
    <col min="2288" max="2288" width="10.7265625" style="325" customWidth="1"/>
    <col min="2289" max="2289" width="11.453125" style="325" customWidth="1"/>
    <col min="2290" max="2290" width="12" style="325" customWidth="1"/>
    <col min="2291" max="2292" width="11.453125" style="325" bestFit="1" customWidth="1"/>
    <col min="2293" max="2293" width="11.453125" style="325" customWidth="1"/>
    <col min="2294" max="2294" width="11" style="325" customWidth="1"/>
    <col min="2295" max="2295" width="12.1796875" style="325" customWidth="1"/>
    <col min="2296" max="2539" width="11.453125" style="325"/>
    <col min="2540" max="2540" width="18.7265625" style="325" customWidth="1"/>
    <col min="2541" max="2541" width="28.453125" style="325" customWidth="1"/>
    <col min="2542" max="2542" width="11.453125" style="325" bestFit="1" customWidth="1"/>
    <col min="2543" max="2543" width="10.453125" style="325" customWidth="1"/>
    <col min="2544" max="2544" width="10.7265625" style="325" customWidth="1"/>
    <col min="2545" max="2545" width="11.453125" style="325" customWidth="1"/>
    <col min="2546" max="2546" width="12" style="325" customWidth="1"/>
    <col min="2547" max="2548" width="11.453125" style="325" bestFit="1" customWidth="1"/>
    <col min="2549" max="2549" width="11.453125" style="325" customWidth="1"/>
    <col min="2550" max="2550" width="11" style="325" customWidth="1"/>
    <col min="2551" max="2551" width="12.1796875" style="325" customWidth="1"/>
    <col min="2552" max="2795" width="11.453125" style="325"/>
    <col min="2796" max="2796" width="18.7265625" style="325" customWidth="1"/>
    <col min="2797" max="2797" width="28.453125" style="325" customWidth="1"/>
    <col min="2798" max="2798" width="11.453125" style="325" bestFit="1" customWidth="1"/>
    <col min="2799" max="2799" width="10.453125" style="325" customWidth="1"/>
    <col min="2800" max="2800" width="10.7265625" style="325" customWidth="1"/>
    <col min="2801" max="2801" width="11.453125" style="325" customWidth="1"/>
    <col min="2802" max="2802" width="12" style="325" customWidth="1"/>
    <col min="2803" max="2804" width="11.453125" style="325" bestFit="1" customWidth="1"/>
    <col min="2805" max="2805" width="11.453125" style="325" customWidth="1"/>
    <col min="2806" max="2806" width="11" style="325" customWidth="1"/>
    <col min="2807" max="2807" width="12.1796875" style="325" customWidth="1"/>
    <col min="2808" max="3051" width="11.453125" style="325"/>
    <col min="3052" max="3052" width="18.7265625" style="325" customWidth="1"/>
    <col min="3053" max="3053" width="28.453125" style="325" customWidth="1"/>
    <col min="3054" max="3054" width="11.453125" style="325" bestFit="1" customWidth="1"/>
    <col min="3055" max="3055" width="10.453125" style="325" customWidth="1"/>
    <col min="3056" max="3056" width="10.7265625" style="325" customWidth="1"/>
    <col min="3057" max="3057" width="11.453125" style="325" customWidth="1"/>
    <col min="3058" max="3058" width="12" style="325" customWidth="1"/>
    <col min="3059" max="3060" width="11.453125" style="325" bestFit="1" customWidth="1"/>
    <col min="3061" max="3061" width="11.453125" style="325" customWidth="1"/>
    <col min="3062" max="3062" width="11" style="325" customWidth="1"/>
    <col min="3063" max="3063" width="12.1796875" style="325" customWidth="1"/>
    <col min="3064" max="3307" width="11.453125" style="325"/>
    <col min="3308" max="3308" width="18.7265625" style="325" customWidth="1"/>
    <col min="3309" max="3309" width="28.453125" style="325" customWidth="1"/>
    <col min="3310" max="3310" width="11.453125" style="325" bestFit="1" customWidth="1"/>
    <col min="3311" max="3311" width="10.453125" style="325" customWidth="1"/>
    <col min="3312" max="3312" width="10.7265625" style="325" customWidth="1"/>
    <col min="3313" max="3313" width="11.453125" style="325" customWidth="1"/>
    <col min="3314" max="3314" width="12" style="325" customWidth="1"/>
    <col min="3315" max="3316" width="11.453125" style="325" bestFit="1" customWidth="1"/>
    <col min="3317" max="3317" width="11.453125" style="325" customWidth="1"/>
    <col min="3318" max="3318" width="11" style="325" customWidth="1"/>
    <col min="3319" max="3319" width="12.1796875" style="325" customWidth="1"/>
    <col min="3320" max="3563" width="11.453125" style="325"/>
    <col min="3564" max="3564" width="18.7265625" style="325" customWidth="1"/>
    <col min="3565" max="3565" width="28.453125" style="325" customWidth="1"/>
    <col min="3566" max="3566" width="11.453125" style="325" bestFit="1" customWidth="1"/>
    <col min="3567" max="3567" width="10.453125" style="325" customWidth="1"/>
    <col min="3568" max="3568" width="10.7265625" style="325" customWidth="1"/>
    <col min="3569" max="3569" width="11.453125" style="325" customWidth="1"/>
    <col min="3570" max="3570" width="12" style="325" customWidth="1"/>
    <col min="3571" max="3572" width="11.453125" style="325" bestFit="1" customWidth="1"/>
    <col min="3573" max="3573" width="11.453125" style="325" customWidth="1"/>
    <col min="3574" max="3574" width="11" style="325" customWidth="1"/>
    <col min="3575" max="3575" width="12.1796875" style="325" customWidth="1"/>
    <col min="3576" max="3819" width="11.453125" style="325"/>
    <col min="3820" max="3820" width="18.7265625" style="325" customWidth="1"/>
    <col min="3821" max="3821" width="28.453125" style="325" customWidth="1"/>
    <col min="3822" max="3822" width="11.453125" style="325" bestFit="1" customWidth="1"/>
    <col min="3823" max="3823" width="10.453125" style="325" customWidth="1"/>
    <col min="3824" max="3824" width="10.7265625" style="325" customWidth="1"/>
    <col min="3825" max="3825" width="11.453125" style="325" customWidth="1"/>
    <col min="3826" max="3826" width="12" style="325" customWidth="1"/>
    <col min="3827" max="3828" width="11.453125" style="325" bestFit="1" customWidth="1"/>
    <col min="3829" max="3829" width="11.453125" style="325" customWidth="1"/>
    <col min="3830" max="3830" width="11" style="325" customWidth="1"/>
    <col min="3831" max="3831" width="12.1796875" style="325" customWidth="1"/>
    <col min="3832" max="4075" width="11.453125" style="325"/>
    <col min="4076" max="4076" width="18.7265625" style="325" customWidth="1"/>
    <col min="4077" max="4077" width="28.453125" style="325" customWidth="1"/>
    <col min="4078" max="4078" width="11.453125" style="325" bestFit="1" customWidth="1"/>
    <col min="4079" max="4079" width="10.453125" style="325" customWidth="1"/>
    <col min="4080" max="4080" width="10.7265625" style="325" customWidth="1"/>
    <col min="4081" max="4081" width="11.453125" style="325" customWidth="1"/>
    <col min="4082" max="4082" width="12" style="325" customWidth="1"/>
    <col min="4083" max="4084" width="11.453125" style="325" bestFit="1" customWidth="1"/>
    <col min="4085" max="4085" width="11.453125" style="325" customWidth="1"/>
    <col min="4086" max="4086" width="11" style="325" customWidth="1"/>
    <col min="4087" max="4087" width="12.1796875" style="325" customWidth="1"/>
    <col min="4088" max="4331" width="11.453125" style="325"/>
    <col min="4332" max="4332" width="18.7265625" style="325" customWidth="1"/>
    <col min="4333" max="4333" width="28.453125" style="325" customWidth="1"/>
    <col min="4334" max="4334" width="11.453125" style="325" bestFit="1" customWidth="1"/>
    <col min="4335" max="4335" width="10.453125" style="325" customWidth="1"/>
    <col min="4336" max="4336" width="10.7265625" style="325" customWidth="1"/>
    <col min="4337" max="4337" width="11.453125" style="325" customWidth="1"/>
    <col min="4338" max="4338" width="12" style="325" customWidth="1"/>
    <col min="4339" max="4340" width="11.453125" style="325" bestFit="1" customWidth="1"/>
    <col min="4341" max="4341" width="11.453125" style="325" customWidth="1"/>
    <col min="4342" max="4342" width="11" style="325" customWidth="1"/>
    <col min="4343" max="4343" width="12.1796875" style="325" customWidth="1"/>
    <col min="4344" max="4587" width="11.453125" style="325"/>
    <col min="4588" max="4588" width="18.7265625" style="325" customWidth="1"/>
    <col min="4589" max="4589" width="28.453125" style="325" customWidth="1"/>
    <col min="4590" max="4590" width="11.453125" style="325" bestFit="1" customWidth="1"/>
    <col min="4591" max="4591" width="10.453125" style="325" customWidth="1"/>
    <col min="4592" max="4592" width="10.7265625" style="325" customWidth="1"/>
    <col min="4593" max="4593" width="11.453125" style="325" customWidth="1"/>
    <col min="4594" max="4594" width="12" style="325" customWidth="1"/>
    <col min="4595" max="4596" width="11.453125" style="325" bestFit="1" customWidth="1"/>
    <col min="4597" max="4597" width="11.453125" style="325" customWidth="1"/>
    <col min="4598" max="4598" width="11" style="325" customWidth="1"/>
    <col min="4599" max="4599" width="12.1796875" style="325" customWidth="1"/>
    <col min="4600" max="4843" width="11.453125" style="325"/>
    <col min="4844" max="4844" width="18.7265625" style="325" customWidth="1"/>
    <col min="4845" max="4845" width="28.453125" style="325" customWidth="1"/>
    <col min="4846" max="4846" width="11.453125" style="325" bestFit="1" customWidth="1"/>
    <col min="4847" max="4847" width="10.453125" style="325" customWidth="1"/>
    <col min="4848" max="4848" width="10.7265625" style="325" customWidth="1"/>
    <col min="4849" max="4849" width="11.453125" style="325" customWidth="1"/>
    <col min="4850" max="4850" width="12" style="325" customWidth="1"/>
    <col min="4851" max="4852" width="11.453125" style="325" bestFit="1" customWidth="1"/>
    <col min="4853" max="4853" width="11.453125" style="325" customWidth="1"/>
    <col min="4854" max="4854" width="11" style="325" customWidth="1"/>
    <col min="4855" max="4855" width="12.1796875" style="325" customWidth="1"/>
    <col min="4856" max="5099" width="11.453125" style="325"/>
    <col min="5100" max="5100" width="18.7265625" style="325" customWidth="1"/>
    <col min="5101" max="5101" width="28.453125" style="325" customWidth="1"/>
    <col min="5102" max="5102" width="11.453125" style="325" bestFit="1" customWidth="1"/>
    <col min="5103" max="5103" width="10.453125" style="325" customWidth="1"/>
    <col min="5104" max="5104" width="10.7265625" style="325" customWidth="1"/>
    <col min="5105" max="5105" width="11.453125" style="325" customWidth="1"/>
    <col min="5106" max="5106" width="12" style="325" customWidth="1"/>
    <col min="5107" max="5108" width="11.453125" style="325" bestFit="1" customWidth="1"/>
    <col min="5109" max="5109" width="11.453125" style="325" customWidth="1"/>
    <col min="5110" max="5110" width="11" style="325" customWidth="1"/>
    <col min="5111" max="5111" width="12.1796875" style="325" customWidth="1"/>
    <col min="5112" max="5355" width="11.453125" style="325"/>
    <col min="5356" max="5356" width="18.7265625" style="325" customWidth="1"/>
    <col min="5357" max="5357" width="28.453125" style="325" customWidth="1"/>
    <col min="5358" max="5358" width="11.453125" style="325" bestFit="1" customWidth="1"/>
    <col min="5359" max="5359" width="10.453125" style="325" customWidth="1"/>
    <col min="5360" max="5360" width="10.7265625" style="325" customWidth="1"/>
    <col min="5361" max="5361" width="11.453125" style="325" customWidth="1"/>
    <col min="5362" max="5362" width="12" style="325" customWidth="1"/>
    <col min="5363" max="5364" width="11.453125" style="325" bestFit="1" customWidth="1"/>
    <col min="5365" max="5365" width="11.453125" style="325" customWidth="1"/>
    <col min="5366" max="5366" width="11" style="325" customWidth="1"/>
    <col min="5367" max="5367" width="12.1796875" style="325" customWidth="1"/>
    <col min="5368" max="5611" width="11.453125" style="325"/>
    <col min="5612" max="5612" width="18.7265625" style="325" customWidth="1"/>
    <col min="5613" max="5613" width="28.453125" style="325" customWidth="1"/>
    <col min="5614" max="5614" width="11.453125" style="325" bestFit="1" customWidth="1"/>
    <col min="5615" max="5615" width="10.453125" style="325" customWidth="1"/>
    <col min="5616" max="5616" width="10.7265625" style="325" customWidth="1"/>
    <col min="5617" max="5617" width="11.453125" style="325" customWidth="1"/>
    <col min="5618" max="5618" width="12" style="325" customWidth="1"/>
    <col min="5619" max="5620" width="11.453125" style="325" bestFit="1" customWidth="1"/>
    <col min="5621" max="5621" width="11.453125" style="325" customWidth="1"/>
    <col min="5622" max="5622" width="11" style="325" customWidth="1"/>
    <col min="5623" max="5623" width="12.1796875" style="325" customWidth="1"/>
    <col min="5624" max="5867" width="11.453125" style="325"/>
    <col min="5868" max="5868" width="18.7265625" style="325" customWidth="1"/>
    <col min="5869" max="5869" width="28.453125" style="325" customWidth="1"/>
    <col min="5870" max="5870" width="11.453125" style="325" bestFit="1" customWidth="1"/>
    <col min="5871" max="5871" width="10.453125" style="325" customWidth="1"/>
    <col min="5872" max="5872" width="10.7265625" style="325" customWidth="1"/>
    <col min="5873" max="5873" width="11.453125" style="325" customWidth="1"/>
    <col min="5874" max="5874" width="12" style="325" customWidth="1"/>
    <col min="5875" max="5876" width="11.453125" style="325" bestFit="1" customWidth="1"/>
    <col min="5877" max="5877" width="11.453125" style="325" customWidth="1"/>
    <col min="5878" max="5878" width="11" style="325" customWidth="1"/>
    <col min="5879" max="5879" width="12.1796875" style="325" customWidth="1"/>
    <col min="5880" max="6123" width="11.453125" style="325"/>
    <col min="6124" max="6124" width="18.7265625" style="325" customWidth="1"/>
    <col min="6125" max="6125" width="28.453125" style="325" customWidth="1"/>
    <col min="6126" max="6126" width="11.453125" style="325" bestFit="1" customWidth="1"/>
    <col min="6127" max="6127" width="10.453125" style="325" customWidth="1"/>
    <col min="6128" max="6128" width="10.7265625" style="325" customWidth="1"/>
    <col min="6129" max="6129" width="11.453125" style="325" customWidth="1"/>
    <col min="6130" max="6130" width="12" style="325" customWidth="1"/>
    <col min="6131" max="6132" width="11.453125" style="325" bestFit="1" customWidth="1"/>
    <col min="6133" max="6133" width="11.453125" style="325" customWidth="1"/>
    <col min="6134" max="6134" width="11" style="325" customWidth="1"/>
    <col min="6135" max="6135" width="12.1796875" style="325" customWidth="1"/>
    <col min="6136" max="6379" width="11.453125" style="325"/>
    <col min="6380" max="6380" width="18.7265625" style="325" customWidth="1"/>
    <col min="6381" max="6381" width="28.453125" style="325" customWidth="1"/>
    <col min="6382" max="6382" width="11.453125" style="325" bestFit="1" customWidth="1"/>
    <col min="6383" max="6383" width="10.453125" style="325" customWidth="1"/>
    <col min="6384" max="6384" width="10.7265625" style="325" customWidth="1"/>
    <col min="6385" max="6385" width="11.453125" style="325" customWidth="1"/>
    <col min="6386" max="6386" width="12" style="325" customWidth="1"/>
    <col min="6387" max="6388" width="11.453125" style="325" bestFit="1" customWidth="1"/>
    <col min="6389" max="6389" width="11.453125" style="325" customWidth="1"/>
    <col min="6390" max="6390" width="11" style="325" customWidth="1"/>
    <col min="6391" max="6391" width="12.1796875" style="325" customWidth="1"/>
    <col min="6392" max="6635" width="11.453125" style="325"/>
    <col min="6636" max="6636" width="18.7265625" style="325" customWidth="1"/>
    <col min="6637" max="6637" width="28.453125" style="325" customWidth="1"/>
    <col min="6638" max="6638" width="11.453125" style="325" bestFit="1" customWidth="1"/>
    <col min="6639" max="6639" width="10.453125" style="325" customWidth="1"/>
    <col min="6640" max="6640" width="10.7265625" style="325" customWidth="1"/>
    <col min="6641" max="6641" width="11.453125" style="325" customWidth="1"/>
    <col min="6642" max="6642" width="12" style="325" customWidth="1"/>
    <col min="6643" max="6644" width="11.453125" style="325" bestFit="1" customWidth="1"/>
    <col min="6645" max="6645" width="11.453125" style="325" customWidth="1"/>
    <col min="6646" max="6646" width="11" style="325" customWidth="1"/>
    <col min="6647" max="6647" width="12.1796875" style="325" customWidth="1"/>
    <col min="6648" max="6891" width="11.453125" style="325"/>
    <col min="6892" max="6892" width="18.7265625" style="325" customWidth="1"/>
    <col min="6893" max="6893" width="28.453125" style="325" customWidth="1"/>
    <col min="6894" max="6894" width="11.453125" style="325" bestFit="1" customWidth="1"/>
    <col min="6895" max="6895" width="10.453125" style="325" customWidth="1"/>
    <col min="6896" max="6896" width="10.7265625" style="325" customWidth="1"/>
    <col min="6897" max="6897" width="11.453125" style="325" customWidth="1"/>
    <col min="6898" max="6898" width="12" style="325" customWidth="1"/>
    <col min="6899" max="6900" width="11.453125" style="325" bestFit="1" customWidth="1"/>
    <col min="6901" max="6901" width="11.453125" style="325" customWidth="1"/>
    <col min="6902" max="6902" width="11" style="325" customWidth="1"/>
    <col min="6903" max="6903" width="12.1796875" style="325" customWidth="1"/>
    <col min="6904" max="7147" width="11.453125" style="325"/>
    <col min="7148" max="7148" width="18.7265625" style="325" customWidth="1"/>
    <col min="7149" max="7149" width="28.453125" style="325" customWidth="1"/>
    <col min="7150" max="7150" width="11.453125" style="325" bestFit="1" customWidth="1"/>
    <col min="7151" max="7151" width="10.453125" style="325" customWidth="1"/>
    <col min="7152" max="7152" width="10.7265625" style="325" customWidth="1"/>
    <col min="7153" max="7153" width="11.453125" style="325" customWidth="1"/>
    <col min="7154" max="7154" width="12" style="325" customWidth="1"/>
    <col min="7155" max="7156" width="11.453125" style="325" bestFit="1" customWidth="1"/>
    <col min="7157" max="7157" width="11.453125" style="325" customWidth="1"/>
    <col min="7158" max="7158" width="11" style="325" customWidth="1"/>
    <col min="7159" max="7159" width="12.1796875" style="325" customWidth="1"/>
    <col min="7160" max="7403" width="11.453125" style="325"/>
    <col min="7404" max="7404" width="18.7265625" style="325" customWidth="1"/>
    <col min="7405" max="7405" width="28.453125" style="325" customWidth="1"/>
    <col min="7406" max="7406" width="11.453125" style="325" bestFit="1" customWidth="1"/>
    <col min="7407" max="7407" width="10.453125" style="325" customWidth="1"/>
    <col min="7408" max="7408" width="10.7265625" style="325" customWidth="1"/>
    <col min="7409" max="7409" width="11.453125" style="325" customWidth="1"/>
    <col min="7410" max="7410" width="12" style="325" customWidth="1"/>
    <col min="7411" max="7412" width="11.453125" style="325" bestFit="1" customWidth="1"/>
    <col min="7413" max="7413" width="11.453125" style="325" customWidth="1"/>
    <col min="7414" max="7414" width="11" style="325" customWidth="1"/>
    <col min="7415" max="7415" width="12.1796875" style="325" customWidth="1"/>
    <col min="7416" max="7659" width="11.453125" style="325"/>
    <col min="7660" max="7660" width="18.7265625" style="325" customWidth="1"/>
    <col min="7661" max="7661" width="28.453125" style="325" customWidth="1"/>
    <col min="7662" max="7662" width="11.453125" style="325" bestFit="1" customWidth="1"/>
    <col min="7663" max="7663" width="10.453125" style="325" customWidth="1"/>
    <col min="7664" max="7664" width="10.7265625" style="325" customWidth="1"/>
    <col min="7665" max="7665" width="11.453125" style="325" customWidth="1"/>
    <col min="7666" max="7666" width="12" style="325" customWidth="1"/>
    <col min="7667" max="7668" width="11.453125" style="325" bestFit="1" customWidth="1"/>
    <col min="7669" max="7669" width="11.453125" style="325" customWidth="1"/>
    <col min="7670" max="7670" width="11" style="325" customWidth="1"/>
    <col min="7671" max="7671" width="12.1796875" style="325" customWidth="1"/>
    <col min="7672" max="7915" width="11.453125" style="325"/>
    <col min="7916" max="7916" width="18.7265625" style="325" customWidth="1"/>
    <col min="7917" max="7917" width="28.453125" style="325" customWidth="1"/>
    <col min="7918" max="7918" width="11.453125" style="325" bestFit="1" customWidth="1"/>
    <col min="7919" max="7919" width="10.453125" style="325" customWidth="1"/>
    <col min="7920" max="7920" width="10.7265625" style="325" customWidth="1"/>
    <col min="7921" max="7921" width="11.453125" style="325" customWidth="1"/>
    <col min="7922" max="7922" width="12" style="325" customWidth="1"/>
    <col min="7923" max="7924" width="11.453125" style="325" bestFit="1" customWidth="1"/>
    <col min="7925" max="7925" width="11.453125" style="325" customWidth="1"/>
    <col min="7926" max="7926" width="11" style="325" customWidth="1"/>
    <col min="7927" max="7927" width="12.1796875" style="325" customWidth="1"/>
    <col min="7928" max="8171" width="11.453125" style="325"/>
    <col min="8172" max="8172" width="18.7265625" style="325" customWidth="1"/>
    <col min="8173" max="8173" width="28.453125" style="325" customWidth="1"/>
    <col min="8174" max="8174" width="11.453125" style="325" bestFit="1" customWidth="1"/>
    <col min="8175" max="8175" width="10.453125" style="325" customWidth="1"/>
    <col min="8176" max="8176" width="10.7265625" style="325" customWidth="1"/>
    <col min="8177" max="8177" width="11.453125" style="325" customWidth="1"/>
    <col min="8178" max="8178" width="12" style="325" customWidth="1"/>
    <col min="8179" max="8180" width="11.453125" style="325" bestFit="1" customWidth="1"/>
    <col min="8181" max="8181" width="11.453125" style="325" customWidth="1"/>
    <col min="8182" max="8182" width="11" style="325" customWidth="1"/>
    <col min="8183" max="8183" width="12.1796875" style="325" customWidth="1"/>
    <col min="8184" max="8427" width="11.453125" style="325"/>
    <col min="8428" max="8428" width="18.7265625" style="325" customWidth="1"/>
    <col min="8429" max="8429" width="28.453125" style="325" customWidth="1"/>
    <col min="8430" max="8430" width="11.453125" style="325" bestFit="1" customWidth="1"/>
    <col min="8431" max="8431" width="10.453125" style="325" customWidth="1"/>
    <col min="8432" max="8432" width="10.7265625" style="325" customWidth="1"/>
    <col min="8433" max="8433" width="11.453125" style="325" customWidth="1"/>
    <col min="8434" max="8434" width="12" style="325" customWidth="1"/>
    <col min="8435" max="8436" width="11.453125" style="325" bestFit="1" customWidth="1"/>
    <col min="8437" max="8437" width="11.453125" style="325" customWidth="1"/>
    <col min="8438" max="8438" width="11" style="325" customWidth="1"/>
    <col min="8439" max="8439" width="12.1796875" style="325" customWidth="1"/>
    <col min="8440" max="8683" width="11.453125" style="325"/>
    <col min="8684" max="8684" width="18.7265625" style="325" customWidth="1"/>
    <col min="8685" max="8685" width="28.453125" style="325" customWidth="1"/>
    <col min="8686" max="8686" width="11.453125" style="325" bestFit="1" customWidth="1"/>
    <col min="8687" max="8687" width="10.453125" style="325" customWidth="1"/>
    <col min="8688" max="8688" width="10.7265625" style="325" customWidth="1"/>
    <col min="8689" max="8689" width="11.453125" style="325" customWidth="1"/>
    <col min="8690" max="8690" width="12" style="325" customWidth="1"/>
    <col min="8691" max="8692" width="11.453125" style="325" bestFit="1" customWidth="1"/>
    <col min="8693" max="8693" width="11.453125" style="325" customWidth="1"/>
    <col min="8694" max="8694" width="11" style="325" customWidth="1"/>
    <col min="8695" max="8695" width="12.1796875" style="325" customWidth="1"/>
    <col min="8696" max="8939" width="11.453125" style="325"/>
    <col min="8940" max="8940" width="18.7265625" style="325" customWidth="1"/>
    <col min="8941" max="8941" width="28.453125" style="325" customWidth="1"/>
    <col min="8942" max="8942" width="11.453125" style="325" bestFit="1" customWidth="1"/>
    <col min="8943" max="8943" width="10.453125" style="325" customWidth="1"/>
    <col min="8944" max="8944" width="10.7265625" style="325" customWidth="1"/>
    <col min="8945" max="8945" width="11.453125" style="325" customWidth="1"/>
    <col min="8946" max="8946" width="12" style="325" customWidth="1"/>
    <col min="8947" max="8948" width="11.453125" style="325" bestFit="1" customWidth="1"/>
    <col min="8949" max="8949" width="11.453125" style="325" customWidth="1"/>
    <col min="8950" max="8950" width="11" style="325" customWidth="1"/>
    <col min="8951" max="8951" width="12.1796875" style="325" customWidth="1"/>
    <col min="8952" max="9195" width="11.453125" style="325"/>
    <col min="9196" max="9196" width="18.7265625" style="325" customWidth="1"/>
    <col min="9197" max="9197" width="28.453125" style="325" customWidth="1"/>
    <col min="9198" max="9198" width="11.453125" style="325" bestFit="1" customWidth="1"/>
    <col min="9199" max="9199" width="10.453125" style="325" customWidth="1"/>
    <col min="9200" max="9200" width="10.7265625" style="325" customWidth="1"/>
    <col min="9201" max="9201" width="11.453125" style="325" customWidth="1"/>
    <col min="9202" max="9202" width="12" style="325" customWidth="1"/>
    <col min="9203" max="9204" width="11.453125" style="325" bestFit="1" customWidth="1"/>
    <col min="9205" max="9205" width="11.453125" style="325" customWidth="1"/>
    <col min="9206" max="9206" width="11" style="325" customWidth="1"/>
    <col min="9207" max="9207" width="12.1796875" style="325" customWidth="1"/>
    <col min="9208" max="9451" width="11.453125" style="325"/>
    <col min="9452" max="9452" width="18.7265625" style="325" customWidth="1"/>
    <col min="9453" max="9453" width="28.453125" style="325" customWidth="1"/>
    <col min="9454" max="9454" width="11.453125" style="325" bestFit="1" customWidth="1"/>
    <col min="9455" max="9455" width="10.453125" style="325" customWidth="1"/>
    <col min="9456" max="9456" width="10.7265625" style="325" customWidth="1"/>
    <col min="9457" max="9457" width="11.453125" style="325" customWidth="1"/>
    <col min="9458" max="9458" width="12" style="325" customWidth="1"/>
    <col min="9459" max="9460" width="11.453125" style="325" bestFit="1" customWidth="1"/>
    <col min="9461" max="9461" width="11.453125" style="325" customWidth="1"/>
    <col min="9462" max="9462" width="11" style="325" customWidth="1"/>
    <col min="9463" max="9463" width="12.1796875" style="325" customWidth="1"/>
    <col min="9464" max="9707" width="11.453125" style="325"/>
    <col min="9708" max="9708" width="18.7265625" style="325" customWidth="1"/>
    <col min="9709" max="9709" width="28.453125" style="325" customWidth="1"/>
    <col min="9710" max="9710" width="11.453125" style="325" bestFit="1" customWidth="1"/>
    <col min="9711" max="9711" width="10.453125" style="325" customWidth="1"/>
    <col min="9712" max="9712" width="10.7265625" style="325" customWidth="1"/>
    <col min="9713" max="9713" width="11.453125" style="325" customWidth="1"/>
    <col min="9714" max="9714" width="12" style="325" customWidth="1"/>
    <col min="9715" max="9716" width="11.453125" style="325" bestFit="1" customWidth="1"/>
    <col min="9717" max="9717" width="11.453125" style="325" customWidth="1"/>
    <col min="9718" max="9718" width="11" style="325" customWidth="1"/>
    <col min="9719" max="9719" width="12.1796875" style="325" customWidth="1"/>
    <col min="9720" max="9963" width="11.453125" style="325"/>
    <col min="9964" max="9964" width="18.7265625" style="325" customWidth="1"/>
    <col min="9965" max="9965" width="28.453125" style="325" customWidth="1"/>
    <col min="9966" max="9966" width="11.453125" style="325" bestFit="1" customWidth="1"/>
    <col min="9967" max="9967" width="10.453125" style="325" customWidth="1"/>
    <col min="9968" max="9968" width="10.7265625" style="325" customWidth="1"/>
    <col min="9969" max="9969" width="11.453125" style="325" customWidth="1"/>
    <col min="9970" max="9970" width="12" style="325" customWidth="1"/>
    <col min="9971" max="9972" width="11.453125" style="325" bestFit="1" customWidth="1"/>
    <col min="9973" max="9973" width="11.453125" style="325" customWidth="1"/>
    <col min="9974" max="9974" width="11" style="325" customWidth="1"/>
    <col min="9975" max="9975" width="12.1796875" style="325" customWidth="1"/>
    <col min="9976" max="10219" width="11.453125" style="325"/>
    <col min="10220" max="10220" width="18.7265625" style="325" customWidth="1"/>
    <col min="10221" max="10221" width="28.453125" style="325" customWidth="1"/>
    <col min="10222" max="10222" width="11.453125" style="325" bestFit="1" customWidth="1"/>
    <col min="10223" max="10223" width="10.453125" style="325" customWidth="1"/>
    <col min="10224" max="10224" width="10.7265625" style="325" customWidth="1"/>
    <col min="10225" max="10225" width="11.453125" style="325" customWidth="1"/>
    <col min="10226" max="10226" width="12" style="325" customWidth="1"/>
    <col min="10227" max="10228" width="11.453125" style="325" bestFit="1" customWidth="1"/>
    <col min="10229" max="10229" width="11.453125" style="325" customWidth="1"/>
    <col min="10230" max="10230" width="11" style="325" customWidth="1"/>
    <col min="10231" max="10231" width="12.1796875" style="325" customWidth="1"/>
    <col min="10232" max="10475" width="11.453125" style="325"/>
    <col min="10476" max="10476" width="18.7265625" style="325" customWidth="1"/>
    <col min="10477" max="10477" width="28.453125" style="325" customWidth="1"/>
    <col min="10478" max="10478" width="11.453125" style="325" bestFit="1" customWidth="1"/>
    <col min="10479" max="10479" width="10.453125" style="325" customWidth="1"/>
    <col min="10480" max="10480" width="10.7265625" style="325" customWidth="1"/>
    <col min="10481" max="10481" width="11.453125" style="325" customWidth="1"/>
    <col min="10482" max="10482" width="12" style="325" customWidth="1"/>
    <col min="10483" max="10484" width="11.453125" style="325" bestFit="1" customWidth="1"/>
    <col min="10485" max="10485" width="11.453125" style="325" customWidth="1"/>
    <col min="10486" max="10486" width="11" style="325" customWidth="1"/>
    <col min="10487" max="10487" width="12.1796875" style="325" customWidth="1"/>
    <col min="10488" max="10731" width="11.453125" style="325"/>
    <col min="10732" max="10732" width="18.7265625" style="325" customWidth="1"/>
    <col min="10733" max="10733" width="28.453125" style="325" customWidth="1"/>
    <col min="10734" max="10734" width="11.453125" style="325" bestFit="1" customWidth="1"/>
    <col min="10735" max="10735" width="10.453125" style="325" customWidth="1"/>
    <col min="10736" max="10736" width="10.7265625" style="325" customWidth="1"/>
    <col min="10737" max="10737" width="11.453125" style="325" customWidth="1"/>
    <col min="10738" max="10738" width="12" style="325" customWidth="1"/>
    <col min="10739" max="10740" width="11.453125" style="325" bestFit="1" customWidth="1"/>
    <col min="10741" max="10741" width="11.453125" style="325" customWidth="1"/>
    <col min="10742" max="10742" width="11" style="325" customWidth="1"/>
    <col min="10743" max="10743" width="12.1796875" style="325" customWidth="1"/>
    <col min="10744" max="10987" width="11.453125" style="325"/>
    <col min="10988" max="10988" width="18.7265625" style="325" customWidth="1"/>
    <col min="10989" max="10989" width="28.453125" style="325" customWidth="1"/>
    <col min="10990" max="10990" width="11.453125" style="325" bestFit="1" customWidth="1"/>
    <col min="10991" max="10991" width="10.453125" style="325" customWidth="1"/>
    <col min="10992" max="10992" width="10.7265625" style="325" customWidth="1"/>
    <col min="10993" max="10993" width="11.453125" style="325" customWidth="1"/>
    <col min="10994" max="10994" width="12" style="325" customWidth="1"/>
    <col min="10995" max="10996" width="11.453125" style="325" bestFit="1" customWidth="1"/>
    <col min="10997" max="10997" width="11.453125" style="325" customWidth="1"/>
    <col min="10998" max="10998" width="11" style="325" customWidth="1"/>
    <col min="10999" max="10999" width="12.1796875" style="325" customWidth="1"/>
    <col min="11000" max="11243" width="11.453125" style="325"/>
    <col min="11244" max="11244" width="18.7265625" style="325" customWidth="1"/>
    <col min="11245" max="11245" width="28.453125" style="325" customWidth="1"/>
    <col min="11246" max="11246" width="11.453125" style="325" bestFit="1" customWidth="1"/>
    <col min="11247" max="11247" width="10.453125" style="325" customWidth="1"/>
    <col min="11248" max="11248" width="10.7265625" style="325" customWidth="1"/>
    <col min="11249" max="11249" width="11.453125" style="325" customWidth="1"/>
    <col min="11250" max="11250" width="12" style="325" customWidth="1"/>
    <col min="11251" max="11252" width="11.453125" style="325" bestFit="1" customWidth="1"/>
    <col min="11253" max="11253" width="11.453125" style="325" customWidth="1"/>
    <col min="11254" max="11254" width="11" style="325" customWidth="1"/>
    <col min="11255" max="11255" width="12.1796875" style="325" customWidth="1"/>
    <col min="11256" max="11499" width="11.453125" style="325"/>
    <col min="11500" max="11500" width="18.7265625" style="325" customWidth="1"/>
    <col min="11501" max="11501" width="28.453125" style="325" customWidth="1"/>
    <col min="11502" max="11502" width="11.453125" style="325" bestFit="1" customWidth="1"/>
    <col min="11503" max="11503" width="10.453125" style="325" customWidth="1"/>
    <col min="11504" max="11504" width="10.7265625" style="325" customWidth="1"/>
    <col min="11505" max="11505" width="11.453125" style="325" customWidth="1"/>
    <col min="11506" max="11506" width="12" style="325" customWidth="1"/>
    <col min="11507" max="11508" width="11.453125" style="325" bestFit="1" customWidth="1"/>
    <col min="11509" max="11509" width="11.453125" style="325" customWidth="1"/>
    <col min="11510" max="11510" width="11" style="325" customWidth="1"/>
    <col min="11511" max="11511" width="12.1796875" style="325" customWidth="1"/>
    <col min="11512" max="11755" width="11.453125" style="325"/>
    <col min="11756" max="11756" width="18.7265625" style="325" customWidth="1"/>
    <col min="11757" max="11757" width="28.453125" style="325" customWidth="1"/>
    <col min="11758" max="11758" width="11.453125" style="325" bestFit="1" customWidth="1"/>
    <col min="11759" max="11759" width="10.453125" style="325" customWidth="1"/>
    <col min="11760" max="11760" width="10.7265625" style="325" customWidth="1"/>
    <col min="11761" max="11761" width="11.453125" style="325" customWidth="1"/>
    <col min="11762" max="11762" width="12" style="325" customWidth="1"/>
    <col min="11763" max="11764" width="11.453125" style="325" bestFit="1" customWidth="1"/>
    <col min="11765" max="11765" width="11.453125" style="325" customWidth="1"/>
    <col min="11766" max="11766" width="11" style="325" customWidth="1"/>
    <col min="11767" max="11767" width="12.1796875" style="325" customWidth="1"/>
    <col min="11768" max="12011" width="11.453125" style="325"/>
    <col min="12012" max="12012" width="18.7265625" style="325" customWidth="1"/>
    <col min="12013" max="12013" width="28.453125" style="325" customWidth="1"/>
    <col min="12014" max="12014" width="11.453125" style="325" bestFit="1" customWidth="1"/>
    <col min="12015" max="12015" width="10.453125" style="325" customWidth="1"/>
    <col min="12016" max="12016" width="10.7265625" style="325" customWidth="1"/>
    <col min="12017" max="12017" width="11.453125" style="325" customWidth="1"/>
    <col min="12018" max="12018" width="12" style="325" customWidth="1"/>
    <col min="12019" max="12020" width="11.453125" style="325" bestFit="1" customWidth="1"/>
    <col min="12021" max="12021" width="11.453125" style="325" customWidth="1"/>
    <col min="12022" max="12022" width="11" style="325" customWidth="1"/>
    <col min="12023" max="12023" width="12.1796875" style="325" customWidth="1"/>
    <col min="12024" max="12267" width="11.453125" style="325"/>
    <col min="12268" max="12268" width="18.7265625" style="325" customWidth="1"/>
    <col min="12269" max="12269" width="28.453125" style="325" customWidth="1"/>
    <col min="12270" max="12270" width="11.453125" style="325" bestFit="1" customWidth="1"/>
    <col min="12271" max="12271" width="10.453125" style="325" customWidth="1"/>
    <col min="12272" max="12272" width="10.7265625" style="325" customWidth="1"/>
    <col min="12273" max="12273" width="11.453125" style="325" customWidth="1"/>
    <col min="12274" max="12274" width="12" style="325" customWidth="1"/>
    <col min="12275" max="12276" width="11.453125" style="325" bestFit="1" customWidth="1"/>
    <col min="12277" max="12277" width="11.453125" style="325" customWidth="1"/>
    <col min="12278" max="12278" width="11" style="325" customWidth="1"/>
    <col min="12279" max="12279" width="12.1796875" style="325" customWidth="1"/>
    <col min="12280" max="12523" width="11.453125" style="325"/>
    <col min="12524" max="12524" width="18.7265625" style="325" customWidth="1"/>
    <col min="12525" max="12525" width="28.453125" style="325" customWidth="1"/>
    <col min="12526" max="12526" width="11.453125" style="325" bestFit="1" customWidth="1"/>
    <col min="12527" max="12527" width="10.453125" style="325" customWidth="1"/>
    <col min="12528" max="12528" width="10.7265625" style="325" customWidth="1"/>
    <col min="12529" max="12529" width="11.453125" style="325" customWidth="1"/>
    <col min="12530" max="12530" width="12" style="325" customWidth="1"/>
    <col min="12531" max="12532" width="11.453125" style="325" bestFit="1" customWidth="1"/>
    <col min="12533" max="12533" width="11.453125" style="325" customWidth="1"/>
    <col min="12534" max="12534" width="11" style="325" customWidth="1"/>
    <col min="12535" max="12535" width="12.1796875" style="325" customWidth="1"/>
    <col min="12536" max="12779" width="11.453125" style="325"/>
    <col min="12780" max="12780" width="18.7265625" style="325" customWidth="1"/>
    <col min="12781" max="12781" width="28.453125" style="325" customWidth="1"/>
    <col min="12782" max="12782" width="11.453125" style="325" bestFit="1" customWidth="1"/>
    <col min="12783" max="12783" width="10.453125" style="325" customWidth="1"/>
    <col min="12784" max="12784" width="10.7265625" style="325" customWidth="1"/>
    <col min="12785" max="12785" width="11.453125" style="325" customWidth="1"/>
    <col min="12786" max="12786" width="12" style="325" customWidth="1"/>
    <col min="12787" max="12788" width="11.453125" style="325" bestFit="1" customWidth="1"/>
    <col min="12789" max="12789" width="11.453125" style="325" customWidth="1"/>
    <col min="12790" max="12790" width="11" style="325" customWidth="1"/>
    <col min="12791" max="12791" width="12.1796875" style="325" customWidth="1"/>
    <col min="12792" max="13035" width="11.453125" style="325"/>
    <col min="13036" max="13036" width="18.7265625" style="325" customWidth="1"/>
    <col min="13037" max="13037" width="28.453125" style="325" customWidth="1"/>
    <col min="13038" max="13038" width="11.453125" style="325" bestFit="1" customWidth="1"/>
    <col min="13039" max="13039" width="10.453125" style="325" customWidth="1"/>
    <col min="13040" max="13040" width="10.7265625" style="325" customWidth="1"/>
    <col min="13041" max="13041" width="11.453125" style="325" customWidth="1"/>
    <col min="13042" max="13042" width="12" style="325" customWidth="1"/>
    <col min="13043" max="13044" width="11.453125" style="325" bestFit="1" customWidth="1"/>
    <col min="13045" max="13045" width="11.453125" style="325" customWidth="1"/>
    <col min="13046" max="13046" width="11" style="325" customWidth="1"/>
    <col min="13047" max="13047" width="12.1796875" style="325" customWidth="1"/>
    <col min="13048" max="13291" width="11.453125" style="325"/>
    <col min="13292" max="13292" width="18.7265625" style="325" customWidth="1"/>
    <col min="13293" max="13293" width="28.453125" style="325" customWidth="1"/>
    <col min="13294" max="13294" width="11.453125" style="325" bestFit="1" customWidth="1"/>
    <col min="13295" max="13295" width="10.453125" style="325" customWidth="1"/>
    <col min="13296" max="13296" width="10.7265625" style="325" customWidth="1"/>
    <col min="13297" max="13297" width="11.453125" style="325" customWidth="1"/>
    <col min="13298" max="13298" width="12" style="325" customWidth="1"/>
    <col min="13299" max="13300" width="11.453125" style="325" bestFit="1" customWidth="1"/>
    <col min="13301" max="13301" width="11.453125" style="325" customWidth="1"/>
    <col min="13302" max="13302" width="11" style="325" customWidth="1"/>
    <col min="13303" max="13303" width="12.1796875" style="325" customWidth="1"/>
    <col min="13304" max="13547" width="11.453125" style="325"/>
    <col min="13548" max="13548" width="18.7265625" style="325" customWidth="1"/>
    <col min="13549" max="13549" width="28.453125" style="325" customWidth="1"/>
    <col min="13550" max="13550" width="11.453125" style="325" bestFit="1" customWidth="1"/>
    <col min="13551" max="13551" width="10.453125" style="325" customWidth="1"/>
    <col min="13552" max="13552" width="10.7265625" style="325" customWidth="1"/>
    <col min="13553" max="13553" width="11.453125" style="325" customWidth="1"/>
    <col min="13554" max="13554" width="12" style="325" customWidth="1"/>
    <col min="13555" max="13556" width="11.453125" style="325" bestFit="1" customWidth="1"/>
    <col min="13557" max="13557" width="11.453125" style="325" customWidth="1"/>
    <col min="13558" max="13558" width="11" style="325" customWidth="1"/>
    <col min="13559" max="13559" width="12.1796875" style="325" customWidth="1"/>
    <col min="13560" max="13803" width="11.453125" style="325"/>
    <col min="13804" max="13804" width="18.7265625" style="325" customWidth="1"/>
    <col min="13805" max="13805" width="28.453125" style="325" customWidth="1"/>
    <col min="13806" max="13806" width="11.453125" style="325" bestFit="1" customWidth="1"/>
    <col min="13807" max="13807" width="10.453125" style="325" customWidth="1"/>
    <col min="13808" max="13808" width="10.7265625" style="325" customWidth="1"/>
    <col min="13809" max="13809" width="11.453125" style="325" customWidth="1"/>
    <col min="13810" max="13810" width="12" style="325" customWidth="1"/>
    <col min="13811" max="13812" width="11.453125" style="325" bestFit="1" customWidth="1"/>
    <col min="13813" max="13813" width="11.453125" style="325" customWidth="1"/>
    <col min="13814" max="13814" width="11" style="325" customWidth="1"/>
    <col min="13815" max="13815" width="12.1796875" style="325" customWidth="1"/>
    <col min="13816" max="14059" width="11.453125" style="325"/>
    <col min="14060" max="14060" width="18.7265625" style="325" customWidth="1"/>
    <col min="14061" max="14061" width="28.453125" style="325" customWidth="1"/>
    <col min="14062" max="14062" width="11.453125" style="325" bestFit="1" customWidth="1"/>
    <col min="14063" max="14063" width="10.453125" style="325" customWidth="1"/>
    <col min="14064" max="14064" width="10.7265625" style="325" customWidth="1"/>
    <col min="14065" max="14065" width="11.453125" style="325" customWidth="1"/>
    <col min="14066" max="14066" width="12" style="325" customWidth="1"/>
    <col min="14067" max="14068" width="11.453125" style="325" bestFit="1" customWidth="1"/>
    <col min="14069" max="14069" width="11.453125" style="325" customWidth="1"/>
    <col min="14070" max="14070" width="11" style="325" customWidth="1"/>
    <col min="14071" max="14071" width="12.1796875" style="325" customWidth="1"/>
    <col min="14072" max="14315" width="11.453125" style="325"/>
    <col min="14316" max="14316" width="18.7265625" style="325" customWidth="1"/>
    <col min="14317" max="14317" width="28.453125" style="325" customWidth="1"/>
    <col min="14318" max="14318" width="11.453125" style="325" bestFit="1" customWidth="1"/>
    <col min="14319" max="14319" width="10.453125" style="325" customWidth="1"/>
    <col min="14320" max="14320" width="10.7265625" style="325" customWidth="1"/>
    <col min="14321" max="14321" width="11.453125" style="325" customWidth="1"/>
    <col min="14322" max="14322" width="12" style="325" customWidth="1"/>
    <col min="14323" max="14324" width="11.453125" style="325" bestFit="1" customWidth="1"/>
    <col min="14325" max="14325" width="11.453125" style="325" customWidth="1"/>
    <col min="14326" max="14326" width="11" style="325" customWidth="1"/>
    <col min="14327" max="14327" width="12.1796875" style="325" customWidth="1"/>
    <col min="14328" max="14571" width="11.453125" style="325"/>
    <col min="14572" max="14572" width="18.7265625" style="325" customWidth="1"/>
    <col min="14573" max="14573" width="28.453125" style="325" customWidth="1"/>
    <col min="14574" max="14574" width="11.453125" style="325" bestFit="1" customWidth="1"/>
    <col min="14575" max="14575" width="10.453125" style="325" customWidth="1"/>
    <col min="14576" max="14576" width="10.7265625" style="325" customWidth="1"/>
    <col min="14577" max="14577" width="11.453125" style="325" customWidth="1"/>
    <col min="14578" max="14578" width="12" style="325" customWidth="1"/>
    <col min="14579" max="14580" width="11.453125" style="325" bestFit="1" customWidth="1"/>
    <col min="14581" max="14581" width="11.453125" style="325" customWidth="1"/>
    <col min="14582" max="14582" width="11" style="325" customWidth="1"/>
    <col min="14583" max="14583" width="12.1796875" style="325" customWidth="1"/>
    <col min="14584" max="14827" width="11.453125" style="325"/>
    <col min="14828" max="14828" width="18.7265625" style="325" customWidth="1"/>
    <col min="14829" max="14829" width="28.453125" style="325" customWidth="1"/>
    <col min="14830" max="14830" width="11.453125" style="325" bestFit="1" customWidth="1"/>
    <col min="14831" max="14831" width="10.453125" style="325" customWidth="1"/>
    <col min="14832" max="14832" width="10.7265625" style="325" customWidth="1"/>
    <col min="14833" max="14833" width="11.453125" style="325" customWidth="1"/>
    <col min="14834" max="14834" width="12" style="325" customWidth="1"/>
    <col min="14835" max="14836" width="11.453125" style="325" bestFit="1" customWidth="1"/>
    <col min="14837" max="14837" width="11.453125" style="325" customWidth="1"/>
    <col min="14838" max="14838" width="11" style="325" customWidth="1"/>
    <col min="14839" max="14839" width="12.1796875" style="325" customWidth="1"/>
    <col min="14840" max="15083" width="11.453125" style="325"/>
    <col min="15084" max="15084" width="18.7265625" style="325" customWidth="1"/>
    <col min="15085" max="15085" width="28.453125" style="325" customWidth="1"/>
    <col min="15086" max="15086" width="11.453125" style="325" bestFit="1" customWidth="1"/>
    <col min="15087" max="15087" width="10.453125" style="325" customWidth="1"/>
    <col min="15088" max="15088" width="10.7265625" style="325" customWidth="1"/>
    <col min="15089" max="15089" width="11.453125" style="325" customWidth="1"/>
    <col min="15090" max="15090" width="12" style="325" customWidth="1"/>
    <col min="15091" max="15092" width="11.453125" style="325" bestFit="1" customWidth="1"/>
    <col min="15093" max="15093" width="11.453125" style="325" customWidth="1"/>
    <col min="15094" max="15094" width="11" style="325" customWidth="1"/>
    <col min="15095" max="15095" width="12.1796875" style="325" customWidth="1"/>
    <col min="15096" max="15339" width="11.453125" style="325"/>
    <col min="15340" max="15340" width="18.7265625" style="325" customWidth="1"/>
    <col min="15341" max="15341" width="28.453125" style="325" customWidth="1"/>
    <col min="15342" max="15342" width="11.453125" style="325" bestFit="1" customWidth="1"/>
    <col min="15343" max="15343" width="10.453125" style="325" customWidth="1"/>
    <col min="15344" max="15344" width="10.7265625" style="325" customWidth="1"/>
    <col min="15345" max="15345" width="11.453125" style="325" customWidth="1"/>
    <col min="15346" max="15346" width="12" style="325" customWidth="1"/>
    <col min="15347" max="15348" width="11.453125" style="325" bestFit="1" customWidth="1"/>
    <col min="15349" max="15349" width="11.453125" style="325" customWidth="1"/>
    <col min="15350" max="15350" width="11" style="325" customWidth="1"/>
    <col min="15351" max="15351" width="12.1796875" style="325" customWidth="1"/>
    <col min="15352" max="15595" width="11.453125" style="325"/>
    <col min="15596" max="15596" width="18.7265625" style="325" customWidth="1"/>
    <col min="15597" max="15597" width="28.453125" style="325" customWidth="1"/>
    <col min="15598" max="15598" width="11.453125" style="325" bestFit="1" customWidth="1"/>
    <col min="15599" max="15599" width="10.453125" style="325" customWidth="1"/>
    <col min="15600" max="15600" width="10.7265625" style="325" customWidth="1"/>
    <col min="15601" max="15601" width="11.453125" style="325" customWidth="1"/>
    <col min="15602" max="15602" width="12" style="325" customWidth="1"/>
    <col min="15603" max="15604" width="11.453125" style="325" bestFit="1" customWidth="1"/>
    <col min="15605" max="15605" width="11.453125" style="325" customWidth="1"/>
    <col min="15606" max="15606" width="11" style="325" customWidth="1"/>
    <col min="15607" max="15607" width="12.1796875" style="325" customWidth="1"/>
    <col min="15608" max="15851" width="11.453125" style="325"/>
    <col min="15852" max="15852" width="18.7265625" style="325" customWidth="1"/>
    <col min="15853" max="15853" width="28.453125" style="325" customWidth="1"/>
    <col min="15854" max="15854" width="11.453125" style="325" bestFit="1" customWidth="1"/>
    <col min="15855" max="15855" width="10.453125" style="325" customWidth="1"/>
    <col min="15856" max="15856" width="10.7265625" style="325" customWidth="1"/>
    <col min="15857" max="15857" width="11.453125" style="325" customWidth="1"/>
    <col min="15858" max="15858" width="12" style="325" customWidth="1"/>
    <col min="15859" max="15860" width="11.453125" style="325" bestFit="1" customWidth="1"/>
    <col min="15861" max="15861" width="11.453125" style="325" customWidth="1"/>
    <col min="15862" max="15862" width="11" style="325" customWidth="1"/>
    <col min="15863" max="15863" width="12.1796875" style="325" customWidth="1"/>
    <col min="15864" max="16107" width="11.453125" style="325"/>
    <col min="16108" max="16108" width="18.7265625" style="325" customWidth="1"/>
    <col min="16109" max="16109" width="28.453125" style="325" customWidth="1"/>
    <col min="16110" max="16110" width="11.453125" style="325" bestFit="1" customWidth="1"/>
    <col min="16111" max="16111" width="10.453125" style="325" customWidth="1"/>
    <col min="16112" max="16112" width="10.7265625" style="325" customWidth="1"/>
    <col min="16113" max="16113" width="11.453125" style="325" customWidth="1"/>
    <col min="16114" max="16114" width="12" style="325" customWidth="1"/>
    <col min="16115" max="16116" width="11.453125" style="325" bestFit="1" customWidth="1"/>
    <col min="16117" max="16117" width="11.453125" style="325" customWidth="1"/>
    <col min="16118" max="16118" width="11" style="325" customWidth="1"/>
    <col min="16119" max="16119" width="12.1796875" style="325" customWidth="1"/>
    <col min="16120" max="16383" width="11.453125" style="325"/>
    <col min="16384" max="16384" width="11.453125" style="325" customWidth="1"/>
  </cols>
  <sheetData>
    <row r="1" spans="1:9" x14ac:dyDescent="0.35">
      <c r="A1" s="324"/>
    </row>
    <row r="2" spans="1:9" s="324" customFormat="1" x14ac:dyDescent="0.35">
      <c r="B2" s="1075"/>
      <c r="C2" s="1075"/>
      <c r="D2" s="1075"/>
      <c r="E2" s="1075"/>
      <c r="F2" s="1075"/>
      <c r="G2" s="1075"/>
      <c r="H2" s="326"/>
    </row>
    <row r="3" spans="1:9" x14ac:dyDescent="0.35">
      <c r="A3" s="324"/>
      <c r="B3" s="1069" t="s">
        <v>386</v>
      </c>
      <c r="C3" s="1069"/>
      <c r="D3" s="1069"/>
      <c r="E3" s="1069"/>
      <c r="F3" s="1069"/>
      <c r="G3" s="555">
        <v>2025</v>
      </c>
    </row>
    <row r="4" spans="1:9" x14ac:dyDescent="0.35">
      <c r="A4" s="324"/>
      <c r="C4" s="7"/>
      <c r="D4" s="7"/>
      <c r="E4" s="7"/>
      <c r="F4" s="7"/>
      <c r="G4" s="681"/>
    </row>
    <row r="5" spans="1:9" x14ac:dyDescent="0.35">
      <c r="A5" s="324"/>
      <c r="B5" s="1074" t="s">
        <v>13</v>
      </c>
      <c r="C5" s="1094" t="s">
        <v>387</v>
      </c>
      <c r="D5" s="1095"/>
      <c r="E5" s="1095"/>
      <c r="F5" s="1090" t="s">
        <v>512</v>
      </c>
      <c r="G5" s="1091"/>
    </row>
    <row r="6" spans="1:9" ht="30" x14ac:dyDescent="0.35">
      <c r="A6" s="324"/>
      <c r="B6" s="1093"/>
      <c r="C6" s="682">
        <v>2022</v>
      </c>
      <c r="D6" s="682">
        <v>2023</v>
      </c>
      <c r="E6" s="682">
        <v>2024</v>
      </c>
      <c r="F6" s="682">
        <v>2025</v>
      </c>
      <c r="G6" s="341" t="s">
        <v>511</v>
      </c>
    </row>
    <row r="7" spans="1:9" x14ac:dyDescent="0.35">
      <c r="A7" s="324"/>
      <c r="B7" s="447"/>
      <c r="C7" s="303"/>
      <c r="D7" s="303"/>
      <c r="E7" s="303"/>
      <c r="F7" s="303"/>
      <c r="G7" s="683"/>
    </row>
    <row r="8" spans="1:9" x14ac:dyDescent="0.35">
      <c r="A8" s="324"/>
      <c r="B8" s="924" t="s">
        <v>47</v>
      </c>
      <c r="C8" s="925">
        <v>911187.20000000007</v>
      </c>
      <c r="D8" s="925">
        <v>1379375.8</v>
      </c>
      <c r="E8" s="925">
        <v>1847852.6</v>
      </c>
      <c r="F8" s="925">
        <v>1930713.4000000001</v>
      </c>
      <c r="G8" s="926">
        <v>4.4841671895258335</v>
      </c>
    </row>
    <row r="9" spans="1:9" x14ac:dyDescent="0.35">
      <c r="A9" s="324"/>
      <c r="B9" s="924"/>
      <c r="C9" s="927"/>
      <c r="D9" s="927"/>
      <c r="E9" s="927"/>
      <c r="F9" s="927"/>
      <c r="G9" s="928"/>
    </row>
    <row r="10" spans="1:9" x14ac:dyDescent="0.35">
      <c r="A10" s="324"/>
      <c r="B10" s="929" t="s">
        <v>167</v>
      </c>
      <c r="C10" s="930">
        <v>822749.4</v>
      </c>
      <c r="D10" s="930">
        <v>1020923.2000000001</v>
      </c>
      <c r="E10" s="930">
        <v>1163298.4000000001</v>
      </c>
      <c r="F10" s="930">
        <v>1204786</v>
      </c>
      <c r="G10" s="931">
        <v>3.5663764344556697</v>
      </c>
    </row>
    <row r="11" spans="1:9" x14ac:dyDescent="0.35">
      <c r="A11" s="324"/>
      <c r="B11" s="929" t="s">
        <v>171</v>
      </c>
      <c r="C11" s="930">
        <v>14935.800000000001</v>
      </c>
      <c r="D11" s="930">
        <v>280097.40000000002</v>
      </c>
      <c r="E11" s="930">
        <v>594024.20000000007</v>
      </c>
      <c r="F11" s="930">
        <v>589256.80000000005</v>
      </c>
      <c r="G11" s="931">
        <v>-0.80255989570795649</v>
      </c>
    </row>
    <row r="12" spans="1:9" x14ac:dyDescent="0.35">
      <c r="A12" s="324"/>
      <c r="B12" s="929" t="s">
        <v>172</v>
      </c>
      <c r="C12" s="930">
        <v>73502</v>
      </c>
      <c r="D12" s="930">
        <v>78355.200000000012</v>
      </c>
      <c r="E12" s="930">
        <v>90530.000000000015</v>
      </c>
      <c r="F12" s="930">
        <v>136670.6</v>
      </c>
      <c r="G12" s="931">
        <v>50.96719319562574</v>
      </c>
    </row>
    <row r="13" spans="1:9" x14ac:dyDescent="0.35">
      <c r="A13" s="324"/>
      <c r="B13" s="929"/>
      <c r="C13" s="932"/>
      <c r="D13" s="932"/>
      <c r="E13" s="932"/>
      <c r="F13" s="932"/>
      <c r="G13" s="931"/>
      <c r="I13" s="325" t="s">
        <v>11</v>
      </c>
    </row>
    <row r="14" spans="1:9" x14ac:dyDescent="0.35">
      <c r="A14" s="324"/>
      <c r="B14" s="929" t="s">
        <v>173</v>
      </c>
      <c r="C14" s="932">
        <v>73174.2</v>
      </c>
      <c r="D14" s="932">
        <v>77477.399999999994</v>
      </c>
      <c r="E14" s="932">
        <v>88963.6</v>
      </c>
      <c r="F14" s="932">
        <v>134037.20000000001</v>
      </c>
      <c r="G14" s="931">
        <v>50.665215886047775</v>
      </c>
    </row>
    <row r="15" spans="1:9" x14ac:dyDescent="0.35">
      <c r="A15" s="324"/>
      <c r="B15" s="933" t="s">
        <v>62</v>
      </c>
      <c r="C15" s="934">
        <v>62939.8</v>
      </c>
      <c r="D15" s="934">
        <v>58579.4</v>
      </c>
      <c r="E15" s="934">
        <v>59835.600000000006</v>
      </c>
      <c r="F15" s="934">
        <v>77446.600000000006</v>
      </c>
      <c r="G15" s="935">
        <v>29.432311199352888</v>
      </c>
    </row>
    <row r="16" spans="1:9" s="342" customFormat="1" x14ac:dyDescent="0.35">
      <c r="A16" s="324"/>
      <c r="B16" s="933" t="s">
        <v>63</v>
      </c>
      <c r="C16" s="934">
        <v>10188.200000000001</v>
      </c>
      <c r="D16" s="934">
        <v>18898</v>
      </c>
      <c r="E16" s="934">
        <v>28919.000000000004</v>
      </c>
      <c r="F16" s="934">
        <v>56575.200000000004</v>
      </c>
      <c r="G16" s="935">
        <v>95.633320654241146</v>
      </c>
      <c r="H16" s="325"/>
      <c r="I16" s="325"/>
    </row>
    <row r="17" spans="1:9" x14ac:dyDescent="0.35">
      <c r="A17" s="324"/>
      <c r="B17" s="933" t="s">
        <v>64</v>
      </c>
      <c r="C17" s="934">
        <v>46.2</v>
      </c>
      <c r="D17" s="934">
        <v>0</v>
      </c>
      <c r="E17" s="934">
        <v>209.00000000000003</v>
      </c>
      <c r="F17" s="934">
        <v>15.400000000000002</v>
      </c>
      <c r="G17" s="935">
        <v>-92.631578947368425</v>
      </c>
      <c r="I17" s="325" t="s">
        <v>11</v>
      </c>
    </row>
    <row r="18" spans="1:9" x14ac:dyDescent="0.35">
      <c r="A18" s="324"/>
      <c r="B18" s="929" t="s">
        <v>174</v>
      </c>
      <c r="C18" s="930">
        <v>327.8</v>
      </c>
      <c r="D18" s="930">
        <v>877.80000000000007</v>
      </c>
      <c r="E18" s="930">
        <v>1566.4</v>
      </c>
      <c r="F18" s="930">
        <v>2633.4</v>
      </c>
      <c r="G18" s="931">
        <v>68.117977528089881</v>
      </c>
    </row>
    <row r="19" spans="1:9" x14ac:dyDescent="0.35">
      <c r="A19" s="324"/>
      <c r="B19" s="936"/>
      <c r="C19" s="937"/>
      <c r="D19" s="937"/>
      <c r="E19" s="937"/>
      <c r="F19" s="937"/>
      <c r="G19" s="938"/>
    </row>
    <row r="20" spans="1:9" x14ac:dyDescent="0.35">
      <c r="A20" s="324"/>
      <c r="B20" s="924" t="s">
        <v>56</v>
      </c>
      <c r="C20" s="927">
        <v>937750.00000000012</v>
      </c>
      <c r="D20" s="927">
        <v>1344653.2</v>
      </c>
      <c r="E20" s="927">
        <v>1774016.2000000002</v>
      </c>
      <c r="F20" s="927">
        <v>1829764.2000000002</v>
      </c>
      <c r="G20" s="926">
        <v>3.1424741217132062</v>
      </c>
    </row>
    <row r="21" spans="1:9" x14ac:dyDescent="0.35">
      <c r="A21" s="324"/>
      <c r="B21" s="924"/>
      <c r="C21" s="927"/>
      <c r="D21" s="927"/>
      <c r="E21" s="927"/>
      <c r="F21" s="927"/>
      <c r="G21" s="928"/>
    </row>
    <row r="22" spans="1:9" x14ac:dyDescent="0.35">
      <c r="A22" s="324"/>
      <c r="B22" s="929" t="s">
        <v>167</v>
      </c>
      <c r="C22" s="930">
        <v>897446.00000000012</v>
      </c>
      <c r="D22" s="930">
        <v>1055214.6000000001</v>
      </c>
      <c r="E22" s="930">
        <v>1158990.8</v>
      </c>
      <c r="F22" s="934">
        <v>1243671</v>
      </c>
      <c r="G22" s="931">
        <v>7.3063737865736247</v>
      </c>
    </row>
    <row r="23" spans="1:9" x14ac:dyDescent="0.35">
      <c r="A23" s="324"/>
      <c r="B23" s="929" t="s">
        <v>171</v>
      </c>
      <c r="C23" s="930">
        <v>16090.800000000001</v>
      </c>
      <c r="D23" s="930">
        <v>262286.2</v>
      </c>
      <c r="E23" s="930">
        <v>577409.80000000005</v>
      </c>
      <c r="F23" s="934">
        <v>559374.20000000007</v>
      </c>
      <c r="G23" s="931">
        <v>-3.1235354855424995</v>
      </c>
    </row>
    <row r="24" spans="1:9" x14ac:dyDescent="0.35">
      <c r="A24" s="324"/>
      <c r="B24" s="929" t="s">
        <v>172</v>
      </c>
      <c r="C24" s="930">
        <v>24213.200000000001</v>
      </c>
      <c r="D24" s="930">
        <v>27152.400000000001</v>
      </c>
      <c r="E24" s="930">
        <v>37615.600000000006</v>
      </c>
      <c r="F24" s="930">
        <v>26719.000000000004</v>
      </c>
      <c r="G24" s="931">
        <v>-28.968300386010061</v>
      </c>
      <c r="I24" s="325" t="s">
        <v>11</v>
      </c>
    </row>
    <row r="25" spans="1:9" x14ac:dyDescent="0.35">
      <c r="A25" s="324"/>
      <c r="B25" s="929"/>
      <c r="C25" s="932"/>
      <c r="D25" s="932"/>
      <c r="E25" s="932"/>
      <c r="F25" s="932"/>
      <c r="G25" s="931"/>
    </row>
    <row r="26" spans="1:9" x14ac:dyDescent="0.35">
      <c r="A26" s="324"/>
      <c r="B26" s="929" t="s">
        <v>173</v>
      </c>
      <c r="C26" s="932">
        <v>24191.200000000004</v>
      </c>
      <c r="D26" s="932">
        <v>27148.000000000004</v>
      </c>
      <c r="E26" s="932">
        <v>28560.400000000001</v>
      </c>
      <c r="F26" s="932">
        <v>26719</v>
      </c>
      <c r="G26" s="931">
        <v>-6.4473886920351307</v>
      </c>
    </row>
    <row r="27" spans="1:9" x14ac:dyDescent="0.35">
      <c r="A27" s="324"/>
      <c r="B27" s="933" t="s">
        <v>62</v>
      </c>
      <c r="C27" s="934">
        <v>15521.000000000002</v>
      </c>
      <c r="D27" s="934">
        <v>15835.600000000002</v>
      </c>
      <c r="E27" s="934">
        <v>14907.2</v>
      </c>
      <c r="F27" s="934">
        <v>12388.2</v>
      </c>
      <c r="G27" s="935">
        <v>-16.897874852420305</v>
      </c>
    </row>
    <row r="28" spans="1:9" x14ac:dyDescent="0.35">
      <c r="A28" s="324"/>
      <c r="B28" s="933" t="s">
        <v>63</v>
      </c>
      <c r="C28" s="934">
        <v>8670.2000000000007</v>
      </c>
      <c r="D28" s="934">
        <v>11312.400000000001</v>
      </c>
      <c r="E28" s="934">
        <v>13653.2</v>
      </c>
      <c r="F28" s="934">
        <v>14330.800000000001</v>
      </c>
      <c r="G28" s="935">
        <v>4.962939091202065</v>
      </c>
    </row>
    <row r="29" spans="1:9" x14ac:dyDescent="0.35">
      <c r="A29" s="324"/>
      <c r="B29" s="933" t="s">
        <v>64</v>
      </c>
      <c r="C29" s="934">
        <v>0</v>
      </c>
      <c r="D29" s="934">
        <v>0</v>
      </c>
      <c r="E29" s="934">
        <v>0</v>
      </c>
      <c r="F29" s="934">
        <v>0</v>
      </c>
      <c r="G29" s="935" t="s">
        <v>513</v>
      </c>
    </row>
    <row r="30" spans="1:9" x14ac:dyDescent="0.35">
      <c r="A30" s="324"/>
      <c r="B30" s="929" t="s">
        <v>174</v>
      </c>
      <c r="C30" s="930">
        <v>22</v>
      </c>
      <c r="D30" s="930">
        <v>4.4000000000000004</v>
      </c>
      <c r="E30" s="930">
        <v>9055.2000000000007</v>
      </c>
      <c r="F30" s="930">
        <v>0</v>
      </c>
      <c r="G30" s="931">
        <v>-100</v>
      </c>
    </row>
    <row r="31" spans="1:9" x14ac:dyDescent="0.35">
      <c r="A31" s="324"/>
      <c r="B31" s="936"/>
      <c r="C31" s="939"/>
      <c r="D31" s="939"/>
      <c r="E31" s="939"/>
      <c r="F31" s="939"/>
      <c r="G31" s="940"/>
    </row>
    <row r="32" spans="1:9" x14ac:dyDescent="0.35">
      <c r="A32" s="324"/>
      <c r="B32" s="941" t="s">
        <v>175</v>
      </c>
      <c r="C32" s="942">
        <v>1848937.2000000002</v>
      </c>
      <c r="D32" s="942">
        <v>2724029</v>
      </c>
      <c r="E32" s="942">
        <v>3621868.8000000003</v>
      </c>
      <c r="F32" s="942">
        <v>3760477.6000000006</v>
      </c>
      <c r="G32" s="943">
        <v>3.8269967150659978</v>
      </c>
    </row>
    <row r="33" spans="1:8" x14ac:dyDescent="0.35">
      <c r="A33" s="324"/>
      <c r="B33" s="944"/>
      <c r="C33" s="945"/>
      <c r="D33" s="945"/>
      <c r="E33" s="945"/>
      <c r="F33" s="945"/>
      <c r="G33" s="928"/>
    </row>
    <row r="34" spans="1:8" x14ac:dyDescent="0.35">
      <c r="A34" s="324"/>
      <c r="B34" s="929" t="s">
        <v>167</v>
      </c>
      <c r="C34" s="932">
        <v>1720195.4000000001</v>
      </c>
      <c r="D34" s="932">
        <v>2076137.8000000003</v>
      </c>
      <c r="E34" s="932">
        <v>2322289.2000000002</v>
      </c>
      <c r="F34" s="932">
        <v>2448457</v>
      </c>
      <c r="G34" s="931">
        <v>5.4329064614346825</v>
      </c>
    </row>
    <row r="35" spans="1:8" x14ac:dyDescent="0.35">
      <c r="A35" s="324"/>
      <c r="B35" s="929" t="s">
        <v>171</v>
      </c>
      <c r="C35" s="932">
        <v>31026.600000000002</v>
      </c>
      <c r="D35" s="932">
        <v>542383.60000000009</v>
      </c>
      <c r="E35" s="932">
        <v>1171434</v>
      </c>
      <c r="F35" s="932">
        <v>1148631</v>
      </c>
      <c r="G35" s="931">
        <v>-1.9465885401994478</v>
      </c>
    </row>
    <row r="36" spans="1:8" x14ac:dyDescent="0.35">
      <c r="A36" s="324"/>
      <c r="B36" s="929" t="s">
        <v>172</v>
      </c>
      <c r="C36" s="932">
        <v>97715.199999999997</v>
      </c>
      <c r="D36" s="932">
        <v>105507.6</v>
      </c>
      <c r="E36" s="932">
        <v>128145.60000000002</v>
      </c>
      <c r="F36" s="932">
        <v>163389.6</v>
      </c>
      <c r="G36" s="931">
        <v>27.503090234857837</v>
      </c>
    </row>
    <row r="37" spans="1:8" x14ac:dyDescent="0.35">
      <c r="A37" s="324"/>
      <c r="B37" s="929"/>
      <c r="C37" s="932"/>
      <c r="D37" s="932"/>
      <c r="E37" s="932"/>
      <c r="F37" s="932"/>
      <c r="G37" s="931"/>
    </row>
    <row r="38" spans="1:8" x14ac:dyDescent="0.35">
      <c r="A38" s="324"/>
      <c r="B38" s="929" t="s">
        <v>173</v>
      </c>
      <c r="C38" s="932">
        <v>97365.4</v>
      </c>
      <c r="D38" s="932">
        <v>104625.4</v>
      </c>
      <c r="E38" s="932">
        <v>117524</v>
      </c>
      <c r="F38" s="932">
        <v>160756.20000000001</v>
      </c>
      <c r="G38" s="931">
        <v>36.785847997004879</v>
      </c>
    </row>
    <row r="39" spans="1:8" x14ac:dyDescent="0.35">
      <c r="A39" s="324"/>
      <c r="B39" s="933" t="s">
        <v>62</v>
      </c>
      <c r="C39" s="946">
        <v>78460.800000000003</v>
      </c>
      <c r="D39" s="946">
        <v>74415</v>
      </c>
      <c r="E39" s="946">
        <v>74742.8</v>
      </c>
      <c r="F39" s="946">
        <v>89834.8</v>
      </c>
      <c r="G39" s="935">
        <v>20.19191146170601</v>
      </c>
    </row>
    <row r="40" spans="1:8" x14ac:dyDescent="0.35">
      <c r="A40" s="324"/>
      <c r="B40" s="933" t="s">
        <v>63</v>
      </c>
      <c r="C40" s="946">
        <v>18858.400000000001</v>
      </c>
      <c r="D40" s="946">
        <v>30210.400000000001</v>
      </c>
      <c r="E40" s="946">
        <v>42572.200000000004</v>
      </c>
      <c r="F40" s="946">
        <v>70906</v>
      </c>
      <c r="G40" s="935">
        <v>66.554700015503059</v>
      </c>
    </row>
    <row r="41" spans="1:8" x14ac:dyDescent="0.35">
      <c r="A41" s="324"/>
      <c r="B41" s="933" t="s">
        <v>64</v>
      </c>
      <c r="C41" s="946">
        <v>46.2</v>
      </c>
      <c r="D41" s="946">
        <v>0</v>
      </c>
      <c r="E41" s="946">
        <v>209.00000000000003</v>
      </c>
      <c r="F41" s="946">
        <v>15.400000000000002</v>
      </c>
      <c r="G41" s="935">
        <v>-92.631578947368425</v>
      </c>
    </row>
    <row r="42" spans="1:8" x14ac:dyDescent="0.35">
      <c r="A42" s="324"/>
      <c r="B42" s="929" t="s">
        <v>174</v>
      </c>
      <c r="C42" s="937">
        <v>349.8</v>
      </c>
      <c r="D42" s="937">
        <v>882.2</v>
      </c>
      <c r="E42" s="937">
        <v>10621.6</v>
      </c>
      <c r="F42" s="937">
        <v>2633.4</v>
      </c>
      <c r="G42" s="931">
        <v>-75.207125103562561</v>
      </c>
    </row>
    <row r="43" spans="1:8" x14ac:dyDescent="0.35">
      <c r="A43" s="324"/>
      <c r="B43" s="552"/>
      <c r="C43" s="765"/>
      <c r="D43" s="765"/>
      <c r="E43" s="765"/>
      <c r="F43" s="765"/>
      <c r="G43" s="766"/>
    </row>
    <row r="44" spans="1:8" x14ac:dyDescent="0.35">
      <c r="A44" s="324"/>
      <c r="B44" s="120"/>
      <c r="C44" s="343"/>
      <c r="D44" s="343"/>
      <c r="E44" s="343"/>
      <c r="F44" s="343"/>
      <c r="G44" s="684"/>
    </row>
    <row r="45" spans="1:8" s="324" customFormat="1" ht="22.5" customHeight="1" x14ac:dyDescent="0.35">
      <c r="B45" s="1069" t="s">
        <v>388</v>
      </c>
      <c r="C45" s="1069"/>
      <c r="D45" s="1069"/>
      <c r="E45" s="1069"/>
      <c r="F45" s="555">
        <v>2025</v>
      </c>
      <c r="G45" s="125"/>
      <c r="H45" s="326"/>
    </row>
    <row r="46" spans="1:8" s="324" customFormat="1" x14ac:dyDescent="0.35">
      <c r="B46" s="122"/>
      <c r="C46" s="106"/>
      <c r="D46" s="106"/>
      <c r="E46" s="106"/>
      <c r="F46" s="106"/>
      <c r="G46" s="680"/>
      <c r="H46" s="326"/>
    </row>
    <row r="47" spans="1:8" x14ac:dyDescent="0.35">
      <c r="A47" s="324"/>
      <c r="B47" s="1074" t="s">
        <v>13</v>
      </c>
      <c r="C47" s="1094" t="s">
        <v>387</v>
      </c>
      <c r="D47" s="1095"/>
      <c r="E47" s="1095"/>
      <c r="F47" s="1090" t="s">
        <v>512</v>
      </c>
      <c r="G47" s="1091"/>
    </row>
    <row r="48" spans="1:8" ht="30" x14ac:dyDescent="0.35">
      <c r="A48" s="324"/>
      <c r="B48" s="1076"/>
      <c r="C48" s="682">
        <v>2022</v>
      </c>
      <c r="D48" s="682">
        <v>2023</v>
      </c>
      <c r="E48" s="682">
        <v>2024</v>
      </c>
      <c r="F48" s="682">
        <v>2025</v>
      </c>
      <c r="G48" s="341" t="s">
        <v>511</v>
      </c>
    </row>
    <row r="49" spans="2:8" s="324" customFormat="1" x14ac:dyDescent="0.35">
      <c r="B49" s="947"/>
      <c r="C49" s="344"/>
      <c r="D49" s="344"/>
      <c r="E49" s="344"/>
      <c r="F49" s="344"/>
      <c r="G49" s="685"/>
      <c r="H49" s="326"/>
    </row>
    <row r="50" spans="2:8" s="324" customFormat="1" x14ac:dyDescent="0.35">
      <c r="B50" s="948" t="s">
        <v>19</v>
      </c>
      <c r="C50" s="949">
        <v>30097370.478232037</v>
      </c>
      <c r="D50" s="949">
        <v>37119064.336041972</v>
      </c>
      <c r="E50" s="949">
        <v>43506758.573630027</v>
      </c>
      <c r="F50" s="949">
        <v>50459944.556707203</v>
      </c>
      <c r="G50" s="926">
        <v>15.981852500709135</v>
      </c>
      <c r="H50" s="326"/>
    </row>
    <row r="51" spans="2:8" s="324" customFormat="1" x14ac:dyDescent="0.35">
      <c r="B51" s="948"/>
      <c r="C51" s="948"/>
      <c r="D51" s="948"/>
      <c r="E51" s="948"/>
      <c r="F51" s="934"/>
      <c r="G51" s="928"/>
      <c r="H51" s="326"/>
    </row>
    <row r="52" spans="2:8" s="324" customFormat="1" x14ac:dyDescent="0.35">
      <c r="B52" s="950" t="s">
        <v>38</v>
      </c>
      <c r="C52" s="934">
        <v>21531732.42183904</v>
      </c>
      <c r="D52" s="934">
        <v>25406210.52399962</v>
      </c>
      <c r="E52" s="934">
        <v>28718255.011528052</v>
      </c>
      <c r="F52" s="934">
        <v>34041315.46139323</v>
      </c>
      <c r="G52" s="935">
        <v>18.535459232214492</v>
      </c>
      <c r="H52" s="326"/>
    </row>
    <row r="53" spans="2:8" s="324" customFormat="1" x14ac:dyDescent="0.35">
      <c r="B53" s="950" t="s">
        <v>39</v>
      </c>
      <c r="C53" s="934">
        <v>8565638.0563929975</v>
      </c>
      <c r="D53" s="934">
        <v>11712853.812042354</v>
      </c>
      <c r="E53" s="934">
        <v>14788503.562101975</v>
      </c>
      <c r="F53" s="934">
        <v>16418629.095313977</v>
      </c>
      <c r="G53" s="935">
        <v>11.022924167861534</v>
      </c>
      <c r="H53" s="326"/>
    </row>
    <row r="54" spans="2:8" s="324" customFormat="1" x14ac:dyDescent="0.35">
      <c r="B54" s="950"/>
      <c r="C54" s="950"/>
      <c r="D54" s="950"/>
      <c r="E54" s="950"/>
      <c r="F54" s="951"/>
      <c r="G54" s="952"/>
      <c r="H54" s="326"/>
    </row>
    <row r="55" spans="2:8" s="324" customFormat="1" x14ac:dyDescent="0.35">
      <c r="B55" s="948" t="s">
        <v>31</v>
      </c>
      <c r="C55" s="949">
        <v>420669.07099999994</v>
      </c>
      <c r="D55" s="949">
        <v>308964.76450000005</v>
      </c>
      <c r="E55" s="949">
        <v>218018.35850000003</v>
      </c>
      <c r="F55" s="949">
        <v>236134.15400000001</v>
      </c>
      <c r="G55" s="926">
        <v>8.3092981823363168</v>
      </c>
      <c r="H55" s="326"/>
    </row>
    <row r="56" spans="2:8" s="324" customFormat="1" x14ac:dyDescent="0.35">
      <c r="B56" s="948"/>
      <c r="C56" s="949"/>
      <c r="D56" s="949"/>
      <c r="E56" s="949"/>
      <c r="F56" s="949"/>
      <c r="G56" s="928"/>
      <c r="H56" s="326"/>
    </row>
    <row r="57" spans="2:8" s="324" customFormat="1" x14ac:dyDescent="0.35">
      <c r="B57" s="950" t="s">
        <v>38</v>
      </c>
      <c r="C57" s="934">
        <v>348018.01099999994</v>
      </c>
      <c r="D57" s="934">
        <v>270675.73250000004</v>
      </c>
      <c r="E57" s="934">
        <v>179594.12050000002</v>
      </c>
      <c r="F57" s="934">
        <v>216410.345</v>
      </c>
      <c r="G57" s="935">
        <v>20.49968250491807</v>
      </c>
      <c r="H57" s="326"/>
    </row>
    <row r="58" spans="2:8" s="324" customFormat="1" x14ac:dyDescent="0.35">
      <c r="B58" s="950" t="s">
        <v>39</v>
      </c>
      <c r="C58" s="934">
        <v>72651.060000000012</v>
      </c>
      <c r="D58" s="934">
        <v>38289.031999999992</v>
      </c>
      <c r="E58" s="934">
        <v>38424.237999999998</v>
      </c>
      <c r="F58" s="934">
        <v>19723.808999999997</v>
      </c>
      <c r="G58" s="935">
        <v>-48.668314515436848</v>
      </c>
      <c r="H58" s="326"/>
    </row>
    <row r="59" spans="2:8" s="324" customFormat="1" x14ac:dyDescent="0.35">
      <c r="B59" s="950"/>
      <c r="C59" s="951"/>
      <c r="D59" s="951"/>
      <c r="E59" s="951"/>
      <c r="F59" s="951"/>
      <c r="G59" s="952"/>
      <c r="H59" s="326"/>
    </row>
    <row r="60" spans="2:8" s="324" customFormat="1" x14ac:dyDescent="0.35">
      <c r="B60" s="953" t="s">
        <v>36</v>
      </c>
      <c r="C60" s="954">
        <v>30518039.549232036</v>
      </c>
      <c r="D60" s="954">
        <v>37428029.100541972</v>
      </c>
      <c r="E60" s="954">
        <v>43724776.932130024</v>
      </c>
      <c r="F60" s="954">
        <v>50696078.710707203</v>
      </c>
      <c r="G60" s="955">
        <v>15.943595983115234</v>
      </c>
      <c r="H60" s="326"/>
    </row>
    <row r="61" spans="2:8" s="324" customFormat="1" x14ac:dyDescent="0.35">
      <c r="B61" s="950"/>
      <c r="C61" s="949"/>
      <c r="D61" s="949"/>
      <c r="E61" s="949"/>
      <c r="F61" s="949"/>
      <c r="G61" s="928"/>
      <c r="H61" s="326"/>
    </row>
    <row r="62" spans="2:8" s="324" customFormat="1" x14ac:dyDescent="0.35">
      <c r="B62" s="950" t="s">
        <v>38</v>
      </c>
      <c r="C62" s="951">
        <v>21879750.43283904</v>
      </c>
      <c r="D62" s="951">
        <v>25676886.256499622</v>
      </c>
      <c r="E62" s="951">
        <v>28897849.132028051</v>
      </c>
      <c r="F62" s="951">
        <v>34257725.806393228</v>
      </c>
      <c r="G62" s="935">
        <v>18.547666471220939</v>
      </c>
      <c r="H62" s="326"/>
    </row>
    <row r="63" spans="2:8" s="324" customFormat="1" x14ac:dyDescent="0.35">
      <c r="B63" s="950" t="s">
        <v>39</v>
      </c>
      <c r="C63" s="951">
        <v>8638289.116392998</v>
      </c>
      <c r="D63" s="951">
        <v>11751142.844042353</v>
      </c>
      <c r="E63" s="951">
        <v>14826927.800101975</v>
      </c>
      <c r="F63" s="951">
        <v>16438352.904313978</v>
      </c>
      <c r="G63" s="935">
        <v>10.868233297803744</v>
      </c>
      <c r="H63" s="326"/>
    </row>
    <row r="64" spans="2:8" s="324" customFormat="1" x14ac:dyDescent="0.35">
      <c r="B64" s="437"/>
      <c r="C64" s="767"/>
      <c r="D64" s="767"/>
      <c r="E64" s="767"/>
      <c r="F64" s="767"/>
      <c r="G64" s="768"/>
      <c r="H64" s="326"/>
    </row>
    <row r="65" spans="2:8" s="324" customFormat="1" x14ac:dyDescent="0.35">
      <c r="B65" s="132"/>
      <c r="C65" s="106"/>
      <c r="D65" s="106"/>
      <c r="E65" s="106"/>
      <c r="F65" s="106"/>
      <c r="G65" s="686"/>
      <c r="H65" s="326"/>
    </row>
    <row r="66" spans="2:8" s="324" customFormat="1" ht="15.65" customHeight="1" x14ac:dyDescent="0.35">
      <c r="B66" s="1097" t="s">
        <v>389</v>
      </c>
      <c r="C66" s="1097"/>
      <c r="D66" s="1097"/>
      <c r="E66" s="1097"/>
      <c r="F66" s="555">
        <v>2025</v>
      </c>
      <c r="G66" s="687"/>
      <c r="H66" s="326"/>
    </row>
    <row r="67" spans="2:8" s="324" customFormat="1" x14ac:dyDescent="0.35">
      <c r="B67" s="395"/>
      <c r="C67" s="151"/>
      <c r="D67" s="106"/>
      <c r="E67" s="106"/>
      <c r="F67" s="106"/>
      <c r="G67" s="680"/>
      <c r="H67" s="326"/>
    </row>
    <row r="68" spans="2:8" s="324" customFormat="1" x14ac:dyDescent="0.35">
      <c r="B68" s="1074" t="s">
        <v>13</v>
      </c>
      <c r="C68" s="1094" t="s">
        <v>387</v>
      </c>
      <c r="D68" s="1095"/>
      <c r="E68" s="1095"/>
      <c r="F68" s="1090" t="s">
        <v>512</v>
      </c>
      <c r="G68" s="1091"/>
      <c r="H68" s="326"/>
    </row>
    <row r="69" spans="2:8" s="324" customFormat="1" ht="30" x14ac:dyDescent="0.35">
      <c r="B69" s="1093"/>
      <c r="C69" s="682">
        <v>2022</v>
      </c>
      <c r="D69" s="682">
        <v>2023</v>
      </c>
      <c r="E69" s="682">
        <v>2024</v>
      </c>
      <c r="F69" s="682">
        <v>2025</v>
      </c>
      <c r="G69" s="341" t="s">
        <v>511</v>
      </c>
      <c r="H69" s="326"/>
    </row>
    <row r="70" spans="2:8" s="324" customFormat="1" x14ac:dyDescent="0.35">
      <c r="B70" s="447"/>
      <c r="C70" s="344"/>
      <c r="D70" s="344"/>
      <c r="E70" s="344"/>
      <c r="F70" s="344"/>
      <c r="G70" s="685"/>
      <c r="H70" s="326"/>
    </row>
    <row r="71" spans="2:8" s="324" customFormat="1" x14ac:dyDescent="0.35">
      <c r="B71" s="924" t="s">
        <v>47</v>
      </c>
      <c r="C71" s="927">
        <v>21879750.432839014</v>
      </c>
      <c r="D71" s="927">
        <v>25676886.256499615</v>
      </c>
      <c r="E71" s="927">
        <v>28897849.132028006</v>
      </c>
      <c r="F71" s="927">
        <v>34257725.806393065</v>
      </c>
      <c r="G71" s="926">
        <v>18.547666471220555</v>
      </c>
      <c r="H71" s="326"/>
    </row>
    <row r="72" spans="2:8" s="324" customFormat="1" x14ac:dyDescent="0.35">
      <c r="B72" s="924"/>
      <c r="C72" s="927"/>
      <c r="D72" s="927"/>
      <c r="E72" s="927"/>
      <c r="F72" s="927"/>
      <c r="G72" s="928"/>
      <c r="H72" s="326"/>
    </row>
    <row r="73" spans="2:8" s="324" customFormat="1" x14ac:dyDescent="0.35">
      <c r="B73" s="956" t="s">
        <v>167</v>
      </c>
      <c r="C73" s="957">
        <v>18778403.363333013</v>
      </c>
      <c r="D73" s="957">
        <v>20424169.594895247</v>
      </c>
      <c r="E73" s="957">
        <v>21112942.556781005</v>
      </c>
      <c r="F73" s="957">
        <v>25743478.656261064</v>
      </c>
      <c r="G73" s="935">
        <v>21.932215687257838</v>
      </c>
      <c r="H73" s="326"/>
    </row>
    <row r="74" spans="2:8" s="324" customFormat="1" x14ac:dyDescent="0.35">
      <c r="B74" s="956" t="s">
        <v>171</v>
      </c>
      <c r="C74" s="957">
        <v>209793.77243999994</v>
      </c>
      <c r="D74" s="957">
        <v>2467802.9742223704</v>
      </c>
      <c r="E74" s="957">
        <v>4973755.0865939995</v>
      </c>
      <c r="F74" s="957">
        <v>4949916.6333399955</v>
      </c>
      <c r="G74" s="935">
        <v>-0.47928482281439494</v>
      </c>
      <c r="H74" s="326"/>
    </row>
    <row r="75" spans="2:8" s="324" customFormat="1" x14ac:dyDescent="0.35">
      <c r="B75" s="956" t="s">
        <v>172</v>
      </c>
      <c r="C75" s="957">
        <v>2891553.2970660003</v>
      </c>
      <c r="D75" s="957">
        <v>2784913.6873819982</v>
      </c>
      <c r="E75" s="957">
        <v>2811151.488653</v>
      </c>
      <c r="F75" s="957">
        <v>3564330.5167920045</v>
      </c>
      <c r="G75" s="935">
        <v>26.792545018621531</v>
      </c>
      <c r="H75" s="326"/>
    </row>
    <row r="76" spans="2:8" s="324" customFormat="1" x14ac:dyDescent="0.35">
      <c r="B76" s="958"/>
      <c r="C76" s="951"/>
      <c r="D76" s="951"/>
      <c r="E76" s="951"/>
      <c r="F76" s="951"/>
      <c r="G76" s="952"/>
      <c r="H76" s="326"/>
    </row>
    <row r="77" spans="2:8" s="324" customFormat="1" x14ac:dyDescent="0.35">
      <c r="B77" s="924" t="s">
        <v>56</v>
      </c>
      <c r="C77" s="927">
        <v>8638289.116393026</v>
      </c>
      <c r="D77" s="927">
        <v>11751142.84404243</v>
      </c>
      <c r="E77" s="927">
        <v>14826927.800102027</v>
      </c>
      <c r="F77" s="927">
        <v>16438352.904314058</v>
      </c>
      <c r="G77" s="926">
        <v>10.868233297803894</v>
      </c>
      <c r="H77" s="326"/>
    </row>
    <row r="78" spans="2:8" s="324" customFormat="1" x14ac:dyDescent="0.35">
      <c r="B78" s="924"/>
      <c r="C78" s="927"/>
      <c r="D78" s="927"/>
      <c r="E78" s="927"/>
      <c r="F78" s="927"/>
      <c r="G78" s="928"/>
      <c r="H78" s="326"/>
    </row>
    <row r="79" spans="2:8" s="324" customFormat="1" x14ac:dyDescent="0.35">
      <c r="B79" s="956" t="s">
        <v>167</v>
      </c>
      <c r="C79" s="957">
        <v>8159152.6968410257</v>
      </c>
      <c r="D79" s="957">
        <v>9268861.210950058</v>
      </c>
      <c r="E79" s="957">
        <v>9761370.0701270252</v>
      </c>
      <c r="F79" s="957">
        <v>11180166.311010055</v>
      </c>
      <c r="G79" s="935">
        <v>14.534806391830271</v>
      </c>
      <c r="H79" s="326"/>
    </row>
    <row r="80" spans="2:8" s="324" customFormat="1" x14ac:dyDescent="0.35">
      <c r="B80" s="956" t="s">
        <v>171</v>
      </c>
      <c r="C80" s="957">
        <v>199642.22485999999</v>
      </c>
      <c r="D80" s="957">
        <v>2264600.6484123706</v>
      </c>
      <c r="E80" s="957">
        <v>4829208.5067000026</v>
      </c>
      <c r="F80" s="957">
        <v>4720419.9944940014</v>
      </c>
      <c r="G80" s="935">
        <v>-2.2527193028644126</v>
      </c>
      <c r="H80" s="326"/>
    </row>
    <row r="81" spans="2:10" s="324" customFormat="1" x14ac:dyDescent="0.35">
      <c r="B81" s="956" t="s">
        <v>172</v>
      </c>
      <c r="C81" s="957">
        <v>279494.19469199999</v>
      </c>
      <c r="D81" s="957">
        <v>217680.98467999997</v>
      </c>
      <c r="E81" s="957">
        <v>236349.223275</v>
      </c>
      <c r="F81" s="957">
        <v>537766.59881000023</v>
      </c>
      <c r="G81" s="935">
        <v>127.53051241648944</v>
      </c>
      <c r="H81" s="326"/>
    </row>
    <row r="82" spans="2:10" s="324" customFormat="1" x14ac:dyDescent="0.35">
      <c r="B82" s="958"/>
      <c r="C82" s="951"/>
      <c r="D82" s="951"/>
      <c r="E82" s="951"/>
      <c r="F82" s="951"/>
      <c r="G82" s="952"/>
      <c r="H82" s="326"/>
    </row>
    <row r="83" spans="2:10" s="324" customFormat="1" x14ac:dyDescent="0.35">
      <c r="B83" s="953" t="s">
        <v>36</v>
      </c>
      <c r="C83" s="959">
        <v>30518039.54923204</v>
      </c>
      <c r="D83" s="959">
        <v>37428029.100542046</v>
      </c>
      <c r="E83" s="959">
        <v>43724776.932130031</v>
      </c>
      <c r="F83" s="959">
        <v>50696078.710707121</v>
      </c>
      <c r="G83" s="960">
        <v>15.943595983115028</v>
      </c>
      <c r="H83" s="345">
        <v>6971301.7785770893</v>
      </c>
      <c r="I83" s="28">
        <v>0.15943595983115028</v>
      </c>
    </row>
    <row r="84" spans="2:10" s="324" customFormat="1" x14ac:dyDescent="0.35">
      <c r="B84" s="958"/>
      <c r="C84" s="951"/>
      <c r="D84" s="951"/>
      <c r="E84" s="951"/>
      <c r="F84" s="951"/>
      <c r="G84" s="928"/>
      <c r="H84" s="345"/>
    </row>
    <row r="85" spans="2:10" s="324" customFormat="1" x14ac:dyDescent="0.35">
      <c r="B85" s="956" t="s">
        <v>167</v>
      </c>
      <c r="C85" s="957">
        <v>26937556.06017404</v>
      </c>
      <c r="D85" s="957">
        <v>29693030.805845305</v>
      </c>
      <c r="E85" s="957">
        <v>30874312.62690803</v>
      </c>
      <c r="F85" s="957">
        <v>36923644.967271119</v>
      </c>
      <c r="G85" s="935">
        <v>19.59341545013341</v>
      </c>
      <c r="H85" s="345">
        <v>6049332.340363089</v>
      </c>
      <c r="I85" s="28">
        <v>0.19593415450133411</v>
      </c>
      <c r="J85" s="346">
        <v>0.72833335252560205</v>
      </c>
    </row>
    <row r="86" spans="2:10" s="324" customFormat="1" x14ac:dyDescent="0.35">
      <c r="B86" s="956" t="s">
        <v>171</v>
      </c>
      <c r="C86" s="957">
        <v>409435.99729999993</v>
      </c>
      <c r="D86" s="957">
        <v>4732403.6226347405</v>
      </c>
      <c r="E86" s="957">
        <v>9802963.5932940021</v>
      </c>
      <c r="F86" s="957">
        <v>9670336.627833996</v>
      </c>
      <c r="G86" s="935">
        <v>-1.3529272469269744</v>
      </c>
      <c r="H86" s="345">
        <v>-132626.96546000615</v>
      </c>
      <c r="I86" s="28">
        <v>-1.3529272469269745E-2</v>
      </c>
      <c r="J86" s="346">
        <v>0.19075117590488513</v>
      </c>
    </row>
    <row r="87" spans="2:10" s="324" customFormat="1" x14ac:dyDescent="0.35">
      <c r="B87" s="956" t="s">
        <v>172</v>
      </c>
      <c r="C87" s="957">
        <v>3171047.4917580001</v>
      </c>
      <c r="D87" s="957">
        <v>3002594.6720619979</v>
      </c>
      <c r="E87" s="957">
        <v>3047500.7119279997</v>
      </c>
      <c r="F87" s="957">
        <v>4102097.1156020048</v>
      </c>
      <c r="G87" s="935">
        <v>34.605288180779951</v>
      </c>
      <c r="H87" s="345">
        <v>1054596.4036740051</v>
      </c>
      <c r="I87" s="28">
        <v>0.34605288180779953</v>
      </c>
      <c r="J87" s="346">
        <v>8.0915471569512787E-2</v>
      </c>
    </row>
    <row r="88" spans="2:10" s="324" customFormat="1" x14ac:dyDescent="0.35">
      <c r="B88" s="769"/>
      <c r="C88" s="767"/>
      <c r="D88" s="767"/>
      <c r="E88" s="767"/>
      <c r="F88" s="767"/>
      <c r="G88" s="768"/>
      <c r="H88" s="326"/>
    </row>
    <row r="89" spans="2:10" s="324" customFormat="1" x14ac:dyDescent="0.35">
      <c r="B89" s="132"/>
      <c r="C89" s="106"/>
      <c r="D89" s="106"/>
      <c r="E89" s="106"/>
      <c r="F89" s="106"/>
      <c r="G89" s="686"/>
      <c r="H89" s="326"/>
    </row>
    <row r="90" spans="2:10" s="324" customFormat="1" x14ac:dyDescent="0.35">
      <c r="B90" s="1098" t="s">
        <v>390</v>
      </c>
      <c r="C90" s="1098"/>
      <c r="D90" s="1098"/>
      <c r="E90" s="1098"/>
      <c r="F90" s="1098"/>
      <c r="G90" s="555">
        <v>2025</v>
      </c>
      <c r="H90" s="326"/>
    </row>
    <row r="91" spans="2:10" s="324" customFormat="1" x14ac:dyDescent="0.35">
      <c r="B91" s="173"/>
      <c r="C91" s="106"/>
      <c r="D91" s="106"/>
      <c r="E91" s="106"/>
      <c r="F91" s="106"/>
      <c r="G91" s="681"/>
      <c r="H91" s="326"/>
    </row>
    <row r="92" spans="2:10" s="324" customFormat="1" x14ac:dyDescent="0.35">
      <c r="B92" s="1074" t="s">
        <v>13</v>
      </c>
      <c r="C92" s="1094" t="s">
        <v>387</v>
      </c>
      <c r="D92" s="1095"/>
      <c r="E92" s="1095"/>
      <c r="F92" s="1090" t="s">
        <v>512</v>
      </c>
      <c r="G92" s="1091"/>
      <c r="H92" s="326"/>
    </row>
    <row r="93" spans="2:10" s="324" customFormat="1" ht="30" x14ac:dyDescent="0.35">
      <c r="B93" s="1093"/>
      <c r="C93" s="682">
        <v>2022</v>
      </c>
      <c r="D93" s="682">
        <v>2023</v>
      </c>
      <c r="E93" s="682">
        <v>2024</v>
      </c>
      <c r="F93" s="682">
        <v>2025</v>
      </c>
      <c r="G93" s="341" t="s">
        <v>511</v>
      </c>
      <c r="H93" s="326"/>
    </row>
    <row r="94" spans="2:10" s="324" customFormat="1" x14ac:dyDescent="0.35">
      <c r="B94" s="161"/>
      <c r="C94" s="108"/>
      <c r="D94" s="108"/>
      <c r="E94" s="108"/>
      <c r="F94" s="108"/>
      <c r="G94" s="688"/>
      <c r="H94" s="326"/>
    </row>
    <row r="95" spans="2:10" s="324" customFormat="1" x14ac:dyDescent="0.35">
      <c r="B95" s="961" t="s">
        <v>47</v>
      </c>
      <c r="C95" s="962">
        <v>18778403.363333013</v>
      </c>
      <c r="D95" s="962">
        <v>20424169.594895251</v>
      </c>
      <c r="E95" s="962">
        <v>21112942.556781009</v>
      </c>
      <c r="F95" s="962">
        <v>25743478.65626106</v>
      </c>
      <c r="G95" s="926">
        <v>21.932215687257795</v>
      </c>
      <c r="H95" s="326"/>
    </row>
    <row r="96" spans="2:10" s="324" customFormat="1" x14ac:dyDescent="0.35">
      <c r="B96" s="963" t="s">
        <v>237</v>
      </c>
      <c r="C96" s="964">
        <v>822749.4</v>
      </c>
      <c r="D96" s="964">
        <v>1020923.2000000001</v>
      </c>
      <c r="E96" s="964">
        <v>1163298.4000000001</v>
      </c>
      <c r="F96" s="964">
        <v>1204786</v>
      </c>
      <c r="G96" s="926">
        <v>3.5663764344556697</v>
      </c>
      <c r="H96" s="326"/>
    </row>
    <row r="97" spans="2:8" s="324" customFormat="1" x14ac:dyDescent="0.35">
      <c r="B97" s="965"/>
      <c r="C97" s="925"/>
      <c r="D97" s="925"/>
      <c r="E97" s="925"/>
      <c r="F97" s="925"/>
      <c r="G97" s="935"/>
      <c r="H97" s="326"/>
    </row>
    <row r="98" spans="2:8" s="324" customFormat="1" x14ac:dyDescent="0.35">
      <c r="B98" s="966" t="s">
        <v>41</v>
      </c>
      <c r="C98" s="967">
        <v>5533521.6522009987</v>
      </c>
      <c r="D98" s="967">
        <v>6162559.4662880003</v>
      </c>
      <c r="E98" s="967">
        <v>6447035.2614740022</v>
      </c>
      <c r="F98" s="967">
        <v>7386874.4888719991</v>
      </c>
      <c r="G98" s="935">
        <v>14.577851512838153</v>
      </c>
      <c r="H98" s="326"/>
    </row>
    <row r="99" spans="2:8" s="324" customFormat="1" x14ac:dyDescent="0.35">
      <c r="B99" s="966" t="s">
        <v>42</v>
      </c>
      <c r="C99" s="967">
        <v>11677658.665385015</v>
      </c>
      <c r="D99" s="967">
        <v>12436427.186037248</v>
      </c>
      <c r="E99" s="967">
        <v>12713253.362207007</v>
      </c>
      <c r="F99" s="967">
        <v>16249356.904389063</v>
      </c>
      <c r="G99" s="935">
        <v>27.814308748804738</v>
      </c>
      <c r="H99" s="326"/>
    </row>
    <row r="100" spans="2:8" s="324" customFormat="1" x14ac:dyDescent="0.35">
      <c r="B100" s="966" t="s">
        <v>43</v>
      </c>
      <c r="C100" s="967">
        <v>744473.64574700012</v>
      </c>
      <c r="D100" s="967">
        <v>804259.74256999977</v>
      </c>
      <c r="E100" s="967">
        <v>789355.53310000012</v>
      </c>
      <c r="F100" s="967">
        <v>902461.26300000073</v>
      </c>
      <c r="G100" s="935">
        <v>14.328870218443345</v>
      </c>
      <c r="H100" s="326"/>
    </row>
    <row r="101" spans="2:8" s="324" customFormat="1" x14ac:dyDescent="0.35">
      <c r="B101" s="966" t="s">
        <v>140</v>
      </c>
      <c r="C101" s="967">
        <v>498197.89774700021</v>
      </c>
      <c r="D101" s="967">
        <v>584575.20206999977</v>
      </c>
      <c r="E101" s="967">
        <v>651367.89560000016</v>
      </c>
      <c r="F101" s="967">
        <v>719153.43200000073</v>
      </c>
      <c r="G101" s="935">
        <v>10.406643750466191</v>
      </c>
      <c r="H101" s="326"/>
    </row>
    <row r="102" spans="2:8" s="324" customFormat="1" x14ac:dyDescent="0.35">
      <c r="B102" s="966" t="s">
        <v>141</v>
      </c>
      <c r="C102" s="967">
        <v>246275.74799999996</v>
      </c>
      <c r="D102" s="967">
        <v>219684.5405</v>
      </c>
      <c r="E102" s="967">
        <v>137987.63750000001</v>
      </c>
      <c r="F102" s="967">
        <v>183307.83099999998</v>
      </c>
      <c r="G102" s="935">
        <v>32.843662172272467</v>
      </c>
      <c r="H102" s="326"/>
    </row>
    <row r="103" spans="2:8" s="324" customFormat="1" x14ac:dyDescent="0.35">
      <c r="B103" s="966"/>
      <c r="C103" s="968"/>
      <c r="D103" s="968"/>
      <c r="E103" s="968"/>
      <c r="F103" s="968"/>
      <c r="G103" s="969"/>
      <c r="H103" s="326"/>
    </row>
    <row r="104" spans="2:8" s="324" customFormat="1" x14ac:dyDescent="0.35">
      <c r="B104" s="961" t="s">
        <v>56</v>
      </c>
      <c r="C104" s="962">
        <v>8159152.6968410276</v>
      </c>
      <c r="D104" s="962">
        <v>9268861.210950058</v>
      </c>
      <c r="E104" s="962">
        <v>9761370.0701270271</v>
      </c>
      <c r="F104" s="962">
        <v>11180166.311010055</v>
      </c>
      <c r="G104" s="926">
        <v>14.534806391830251</v>
      </c>
      <c r="H104" s="326"/>
    </row>
    <row r="105" spans="2:8" s="324" customFormat="1" x14ac:dyDescent="0.35">
      <c r="B105" s="963" t="s">
        <v>237</v>
      </c>
      <c r="C105" s="964">
        <v>897446.00000000012</v>
      </c>
      <c r="D105" s="964">
        <v>1055214.6000000001</v>
      </c>
      <c r="E105" s="964">
        <v>1158990.8</v>
      </c>
      <c r="F105" s="964">
        <v>1243671</v>
      </c>
      <c r="G105" s="926">
        <v>7.3063737865736247</v>
      </c>
      <c r="H105" s="326"/>
    </row>
    <row r="106" spans="2:8" s="324" customFormat="1" x14ac:dyDescent="0.35">
      <c r="B106" s="966"/>
      <c r="C106" s="970"/>
      <c r="D106" s="970"/>
      <c r="E106" s="970"/>
      <c r="F106" s="970"/>
      <c r="G106" s="935"/>
      <c r="H106" s="326"/>
    </row>
    <row r="107" spans="2:8" s="324" customFormat="1" x14ac:dyDescent="0.35">
      <c r="B107" s="966" t="s">
        <v>41</v>
      </c>
      <c r="C107" s="967">
        <v>1704468.9059999997</v>
      </c>
      <c r="D107" s="967">
        <v>2209716.0779999997</v>
      </c>
      <c r="E107" s="967">
        <v>2992644.4379999996</v>
      </c>
      <c r="F107" s="967">
        <v>3955000.4449999994</v>
      </c>
      <c r="G107" s="935">
        <v>32.157378764419718</v>
      </c>
      <c r="H107" s="326"/>
    </row>
    <row r="108" spans="2:8" s="324" customFormat="1" x14ac:dyDescent="0.35">
      <c r="B108" s="966" t="s">
        <v>42</v>
      </c>
      <c r="C108" s="967">
        <v>5537767.5934410272</v>
      </c>
      <c r="D108" s="967">
        <v>5996293.708750058</v>
      </c>
      <c r="E108" s="967">
        <v>5606014.3595270263</v>
      </c>
      <c r="F108" s="967">
        <v>5973767.1800100552</v>
      </c>
      <c r="G108" s="935">
        <v>6.559969291874161</v>
      </c>
      <c r="H108" s="326"/>
    </row>
    <row r="109" spans="2:8" s="324" customFormat="1" x14ac:dyDescent="0.35">
      <c r="B109" s="966" t="s">
        <v>43</v>
      </c>
      <c r="C109" s="967">
        <v>19470.197400000001</v>
      </c>
      <c r="D109" s="967">
        <v>7636.8241999999991</v>
      </c>
      <c r="E109" s="967">
        <v>3720.4725999999996</v>
      </c>
      <c r="F109" s="967">
        <v>7727.6859999999997</v>
      </c>
      <c r="G109" s="935">
        <v>107.70710688744222</v>
      </c>
      <c r="H109" s="326"/>
    </row>
    <row r="110" spans="2:8" s="324" customFormat="1" x14ac:dyDescent="0.35">
      <c r="B110" s="966" t="s">
        <v>140</v>
      </c>
      <c r="C110" s="967">
        <v>19470.197400000001</v>
      </c>
      <c r="D110" s="967">
        <v>7636.8241999999991</v>
      </c>
      <c r="E110" s="967">
        <v>3720.4725999999996</v>
      </c>
      <c r="F110" s="967">
        <v>7727.6859999999997</v>
      </c>
      <c r="G110" s="935">
        <v>107.70710688744222</v>
      </c>
      <c r="H110" s="326"/>
    </row>
    <row r="111" spans="2:8" s="324" customFormat="1" x14ac:dyDescent="0.35">
      <c r="B111" s="966" t="s">
        <v>141</v>
      </c>
      <c r="C111" s="967">
        <v>0</v>
      </c>
      <c r="D111" s="967">
        <v>0</v>
      </c>
      <c r="E111" s="967">
        <v>0</v>
      </c>
      <c r="F111" s="967">
        <v>0</v>
      </c>
      <c r="G111" s="935" t="s">
        <v>513</v>
      </c>
      <c r="H111" s="326"/>
    </row>
    <row r="112" spans="2:8" s="324" customFormat="1" x14ac:dyDescent="0.35">
      <c r="B112" s="966"/>
      <c r="C112" s="970"/>
      <c r="D112" s="970"/>
      <c r="E112" s="970"/>
      <c r="F112" s="970"/>
      <c r="G112" s="952"/>
      <c r="H112" s="326"/>
    </row>
    <row r="113" spans="2:8" s="324" customFormat="1" x14ac:dyDescent="0.35">
      <c r="B113" s="971" t="s">
        <v>36</v>
      </c>
      <c r="C113" s="972">
        <v>26937556.06017404</v>
      </c>
      <c r="D113" s="972">
        <v>29693030.805845309</v>
      </c>
      <c r="E113" s="972">
        <v>30874312.626908034</v>
      </c>
      <c r="F113" s="972">
        <v>36923644.967271119</v>
      </c>
      <c r="G113" s="973">
        <v>19.593415450133396</v>
      </c>
      <c r="H113" s="326"/>
    </row>
    <row r="114" spans="2:8" s="324" customFormat="1" x14ac:dyDescent="0.35">
      <c r="B114" s="974" t="s">
        <v>237</v>
      </c>
      <c r="C114" s="975">
        <v>1720195.4000000001</v>
      </c>
      <c r="D114" s="975">
        <v>2076137.8000000003</v>
      </c>
      <c r="E114" s="975">
        <v>2322289.2000000002</v>
      </c>
      <c r="F114" s="975">
        <v>2448457</v>
      </c>
      <c r="G114" s="976">
        <v>5.4329064614346825</v>
      </c>
      <c r="H114" s="326"/>
    </row>
    <row r="115" spans="2:8" s="324" customFormat="1" x14ac:dyDescent="0.35">
      <c r="B115" s="977"/>
      <c r="C115" s="945"/>
      <c r="D115" s="945"/>
      <c r="E115" s="945"/>
      <c r="F115" s="945"/>
      <c r="G115" s="978"/>
      <c r="H115" s="326"/>
    </row>
    <row r="116" spans="2:8" s="324" customFormat="1" x14ac:dyDescent="0.35">
      <c r="B116" s="966" t="s">
        <v>41</v>
      </c>
      <c r="C116" s="967">
        <v>7237990.5582009982</v>
      </c>
      <c r="D116" s="967">
        <v>8372275.5442880001</v>
      </c>
      <c r="E116" s="967">
        <v>9439679.6994740013</v>
      </c>
      <c r="F116" s="967">
        <v>11341874.933871999</v>
      </c>
      <c r="G116" s="979">
        <v>20.151056973935169</v>
      </c>
      <c r="H116" s="326"/>
    </row>
    <row r="117" spans="2:8" s="324" customFormat="1" x14ac:dyDescent="0.35">
      <c r="B117" s="966" t="s">
        <v>42</v>
      </c>
      <c r="C117" s="967">
        <v>17215426.258826043</v>
      </c>
      <c r="D117" s="967">
        <v>18432720.894787304</v>
      </c>
      <c r="E117" s="967">
        <v>18319267.721734032</v>
      </c>
      <c r="F117" s="967">
        <v>22223124.084399119</v>
      </c>
      <c r="G117" s="979">
        <v>21.310111419101872</v>
      </c>
      <c r="H117" s="326"/>
    </row>
    <row r="118" spans="2:8" s="324" customFormat="1" x14ac:dyDescent="0.35">
      <c r="B118" s="966" t="s">
        <v>43</v>
      </c>
      <c r="C118" s="967">
        <v>763943.84314700007</v>
      </c>
      <c r="D118" s="967">
        <v>811896.5667699998</v>
      </c>
      <c r="E118" s="967">
        <v>793076.0057000001</v>
      </c>
      <c r="F118" s="967">
        <v>910188.94900000072</v>
      </c>
      <c r="G118" s="979">
        <v>14.766925547902831</v>
      </c>
      <c r="H118" s="326"/>
    </row>
    <row r="119" spans="2:8" s="324" customFormat="1" x14ac:dyDescent="0.35">
      <c r="B119" s="966" t="s">
        <v>140</v>
      </c>
      <c r="C119" s="967">
        <v>517668.09514700022</v>
      </c>
      <c r="D119" s="967">
        <v>592212.0262699998</v>
      </c>
      <c r="E119" s="967">
        <v>655088.36820000014</v>
      </c>
      <c r="F119" s="967">
        <v>726881.11800000072</v>
      </c>
      <c r="G119" s="979">
        <v>10.959246612371853</v>
      </c>
      <c r="H119" s="326"/>
    </row>
    <row r="120" spans="2:8" s="324" customFormat="1" x14ac:dyDescent="0.35">
      <c r="B120" s="770" t="s">
        <v>141</v>
      </c>
      <c r="C120" s="771">
        <v>246275.74799999996</v>
      </c>
      <c r="D120" s="771">
        <v>219684.5405</v>
      </c>
      <c r="E120" s="771">
        <v>137987.63750000001</v>
      </c>
      <c r="F120" s="771">
        <v>183307.83099999998</v>
      </c>
      <c r="G120" s="772">
        <v>32.843662172272467</v>
      </c>
      <c r="H120" s="326"/>
    </row>
    <row r="121" spans="2:8" s="324" customFormat="1" x14ac:dyDescent="0.35">
      <c r="B121" s="105"/>
      <c r="C121" s="106"/>
      <c r="D121" s="106"/>
      <c r="E121" s="106"/>
      <c r="F121" s="106"/>
      <c r="G121" s="681"/>
      <c r="H121" s="326"/>
    </row>
    <row r="122" spans="2:8" s="324" customFormat="1" ht="15.65" customHeight="1" x14ac:dyDescent="0.35">
      <c r="B122" s="1069" t="s">
        <v>391</v>
      </c>
      <c r="C122" s="1069"/>
      <c r="D122" s="1069"/>
      <c r="E122" s="1069"/>
      <c r="F122" s="1069"/>
      <c r="G122" s="555">
        <v>2025</v>
      </c>
      <c r="H122" s="326"/>
    </row>
    <row r="123" spans="2:8" s="324" customFormat="1" x14ac:dyDescent="0.35">
      <c r="B123" s="8"/>
      <c r="C123" s="106"/>
      <c r="D123" s="106"/>
      <c r="E123" s="106"/>
      <c r="F123" s="106"/>
      <c r="G123" s="681"/>
      <c r="H123" s="326"/>
    </row>
    <row r="124" spans="2:8" s="324" customFormat="1" x14ac:dyDescent="0.35">
      <c r="B124" s="1074" t="s">
        <v>13</v>
      </c>
      <c r="C124" s="1094" t="s">
        <v>387</v>
      </c>
      <c r="D124" s="1095"/>
      <c r="E124" s="1095"/>
      <c r="F124" s="1090" t="s">
        <v>512</v>
      </c>
      <c r="G124" s="1091"/>
      <c r="H124" s="326"/>
    </row>
    <row r="125" spans="2:8" s="324" customFormat="1" ht="30" x14ac:dyDescent="0.35">
      <c r="B125" s="1093"/>
      <c r="C125" s="682">
        <v>2022</v>
      </c>
      <c r="D125" s="682">
        <v>2023</v>
      </c>
      <c r="E125" s="682">
        <v>2024</v>
      </c>
      <c r="F125" s="682">
        <v>2025</v>
      </c>
      <c r="G125" s="341" t="s">
        <v>511</v>
      </c>
      <c r="H125" s="326"/>
    </row>
    <row r="126" spans="2:8" s="324" customFormat="1" x14ac:dyDescent="0.35">
      <c r="B126" s="107"/>
      <c r="C126" s="344"/>
      <c r="D126" s="344"/>
      <c r="E126" s="344"/>
      <c r="F126" s="344"/>
      <c r="G126" s="685"/>
      <c r="H126" s="326"/>
    </row>
    <row r="127" spans="2:8" s="324" customFormat="1" x14ac:dyDescent="0.35">
      <c r="B127" s="980" t="s">
        <v>216</v>
      </c>
      <c r="C127" s="981">
        <v>2891553.2970659994</v>
      </c>
      <c r="D127" s="981">
        <v>2784913.6873819986</v>
      </c>
      <c r="E127" s="981">
        <v>2811151.488653</v>
      </c>
      <c r="F127" s="981">
        <v>3564330.516792004</v>
      </c>
      <c r="G127" s="926">
        <v>26.792545018621517</v>
      </c>
      <c r="H127" s="326"/>
    </row>
    <row r="128" spans="2:8" s="324" customFormat="1" x14ac:dyDescent="0.35">
      <c r="B128" s="980"/>
      <c r="C128" s="951"/>
      <c r="D128" s="951"/>
      <c r="E128" s="951"/>
      <c r="F128" s="951"/>
      <c r="G128" s="935"/>
      <c r="H128" s="326"/>
    </row>
    <row r="129" spans="1:16" s="324" customFormat="1" x14ac:dyDescent="0.35">
      <c r="B129" s="982" t="s">
        <v>131</v>
      </c>
      <c r="C129" s="934">
        <v>2267782.2089579999</v>
      </c>
      <c r="D129" s="934">
        <v>2170385.9678039984</v>
      </c>
      <c r="E129" s="934">
        <v>2021829.5333509999</v>
      </c>
      <c r="F129" s="934">
        <v>2364383.5810120045</v>
      </c>
      <c r="G129" s="935">
        <v>16.942775936864081</v>
      </c>
      <c r="H129" s="326"/>
    </row>
    <row r="130" spans="1:16" s="324" customFormat="1" x14ac:dyDescent="0.35">
      <c r="B130" s="982" t="s">
        <v>132</v>
      </c>
      <c r="C130" s="934">
        <v>618512.38130799984</v>
      </c>
      <c r="D130" s="934">
        <v>603192.55200600007</v>
      </c>
      <c r="E130" s="934">
        <v>762249.13100200007</v>
      </c>
      <c r="F130" s="934">
        <v>1154190.5097799997</v>
      </c>
      <c r="G130" s="935">
        <v>51.419065347149775</v>
      </c>
      <c r="H130" s="326"/>
    </row>
    <row r="131" spans="1:16" s="324" customFormat="1" x14ac:dyDescent="0.35">
      <c r="B131" s="982" t="s">
        <v>133</v>
      </c>
      <c r="C131" s="934">
        <v>360.37499999999994</v>
      </c>
      <c r="D131" s="934">
        <v>6</v>
      </c>
      <c r="E131" s="934">
        <v>1332.2483</v>
      </c>
      <c r="F131" s="934">
        <v>101.739</v>
      </c>
      <c r="G131" s="935">
        <v>-92.363360493685747</v>
      </c>
      <c r="H131" s="326"/>
    </row>
    <row r="132" spans="1:16" s="324" customFormat="1" x14ac:dyDescent="0.35">
      <c r="B132" s="982" t="s">
        <v>142</v>
      </c>
      <c r="C132" s="934">
        <v>4898.3318000000008</v>
      </c>
      <c r="D132" s="934">
        <v>11329.167571999998</v>
      </c>
      <c r="E132" s="934">
        <v>25740.576000000005</v>
      </c>
      <c r="F132" s="934">
        <v>45654.686999999998</v>
      </c>
      <c r="G132" s="935">
        <v>77.364667364086912</v>
      </c>
      <c r="H132" s="326"/>
    </row>
    <row r="133" spans="1:16" s="324" customFormat="1" x14ac:dyDescent="0.35">
      <c r="B133" s="983"/>
      <c r="C133" s="957"/>
      <c r="D133" s="957"/>
      <c r="E133" s="957"/>
      <c r="F133" s="957"/>
      <c r="G133" s="984"/>
      <c r="H133" s="326"/>
    </row>
    <row r="134" spans="1:16" s="324" customFormat="1" x14ac:dyDescent="0.35">
      <c r="B134" s="980" t="s">
        <v>217</v>
      </c>
      <c r="C134" s="981">
        <v>279494.19469199999</v>
      </c>
      <c r="D134" s="981">
        <v>217680.98467999997</v>
      </c>
      <c r="E134" s="981">
        <v>236349.22327500003</v>
      </c>
      <c r="F134" s="981">
        <v>537766.59881000011</v>
      </c>
      <c r="G134" s="926">
        <v>127.53051241648939</v>
      </c>
      <c r="H134" s="326"/>
    </row>
    <row r="135" spans="1:16" s="324" customFormat="1" x14ac:dyDescent="0.35">
      <c r="B135" s="980"/>
      <c r="C135" s="951"/>
      <c r="D135" s="951"/>
      <c r="E135" s="951"/>
      <c r="F135" s="951"/>
      <c r="G135" s="935"/>
      <c r="H135" s="326"/>
    </row>
    <row r="136" spans="1:16" s="324" customFormat="1" x14ac:dyDescent="0.35">
      <c r="B136" s="982" t="s">
        <v>131</v>
      </c>
      <c r="C136" s="934">
        <v>182031.504606</v>
      </c>
      <c r="D136" s="934">
        <v>118676.98867999999</v>
      </c>
      <c r="E136" s="934">
        <v>111715.98427499997</v>
      </c>
      <c r="F136" s="934">
        <v>92136.128809999966</v>
      </c>
      <c r="G136" s="935">
        <v>-17.526458359622239</v>
      </c>
      <c r="H136" s="347"/>
    </row>
    <row r="137" spans="1:16" s="324" customFormat="1" x14ac:dyDescent="0.35">
      <c r="B137" s="982" t="s">
        <v>132</v>
      </c>
      <c r="C137" s="934">
        <v>97440.690086000002</v>
      </c>
      <c r="D137" s="934">
        <v>98970.699999999983</v>
      </c>
      <c r="E137" s="934">
        <v>115538.69900000004</v>
      </c>
      <c r="F137" s="934">
        <v>445630.4700000002</v>
      </c>
      <c r="G137" s="935">
        <v>285.6980162118669</v>
      </c>
      <c r="H137" s="347"/>
    </row>
    <row r="138" spans="1:16" s="324" customFormat="1" x14ac:dyDescent="0.35">
      <c r="B138" s="982" t="s">
        <v>133</v>
      </c>
      <c r="C138" s="934">
        <v>0</v>
      </c>
      <c r="D138" s="934">
        <v>0</v>
      </c>
      <c r="E138" s="934">
        <v>0</v>
      </c>
      <c r="F138" s="934">
        <v>0</v>
      </c>
      <c r="G138" s="935" t="s">
        <v>513</v>
      </c>
      <c r="H138" s="326"/>
      <c r="P138" s="324" t="s">
        <v>11</v>
      </c>
    </row>
    <row r="139" spans="1:16" s="324" customFormat="1" x14ac:dyDescent="0.35">
      <c r="B139" s="982" t="s">
        <v>142</v>
      </c>
      <c r="C139" s="934">
        <v>22</v>
      </c>
      <c r="D139" s="934">
        <v>33.295999999999999</v>
      </c>
      <c r="E139" s="934">
        <v>9094.5400000000009</v>
      </c>
      <c r="F139" s="934">
        <v>0</v>
      </c>
      <c r="G139" s="935">
        <v>-100</v>
      </c>
      <c r="H139" s="326"/>
    </row>
    <row r="140" spans="1:16" x14ac:dyDescent="0.35">
      <c r="A140" s="324"/>
      <c r="B140" s="982"/>
      <c r="C140" s="957"/>
      <c r="D140" s="957"/>
      <c r="E140" s="957"/>
      <c r="F140" s="957"/>
      <c r="G140" s="952"/>
    </row>
    <row r="141" spans="1:16" x14ac:dyDescent="0.35">
      <c r="A141" s="324"/>
      <c r="B141" s="953" t="s">
        <v>36</v>
      </c>
      <c r="C141" s="959">
        <v>3171047.4917579992</v>
      </c>
      <c r="D141" s="959">
        <v>3002594.6720619984</v>
      </c>
      <c r="E141" s="959">
        <v>3047500.7119280002</v>
      </c>
      <c r="F141" s="959">
        <v>4102097.1156020043</v>
      </c>
      <c r="G141" s="960">
        <v>34.605288180779922</v>
      </c>
      <c r="H141" s="345">
        <v>1054596.4036740041</v>
      </c>
      <c r="I141" s="28">
        <v>0.3460528818077992</v>
      </c>
    </row>
    <row r="142" spans="1:16" s="324" customFormat="1" x14ac:dyDescent="0.35">
      <c r="B142" s="985"/>
      <c r="C142" s="986"/>
      <c r="D142" s="986"/>
      <c r="E142" s="986"/>
      <c r="F142" s="986"/>
      <c r="G142" s="935"/>
      <c r="H142" s="326"/>
    </row>
    <row r="143" spans="1:16" s="324" customFormat="1" x14ac:dyDescent="0.35">
      <c r="B143" s="982" t="s">
        <v>131</v>
      </c>
      <c r="C143" s="986">
        <v>2449813.7135640001</v>
      </c>
      <c r="D143" s="986">
        <v>2289062.9564839983</v>
      </c>
      <c r="E143" s="986">
        <v>2133545.5176260001</v>
      </c>
      <c r="F143" s="986">
        <v>2456519.7098220047</v>
      </c>
      <c r="G143" s="935">
        <v>15.13790962169762</v>
      </c>
      <c r="H143" s="345">
        <v>322974.19219600456</v>
      </c>
      <c r="I143" s="28">
        <v>0.15137909621697621</v>
      </c>
      <c r="J143" s="346">
        <v>0.59884484462321108</v>
      </c>
    </row>
    <row r="144" spans="1:16" s="324" customFormat="1" x14ac:dyDescent="0.35">
      <c r="B144" s="982" t="s">
        <v>132</v>
      </c>
      <c r="C144" s="986">
        <v>715953.07139399985</v>
      </c>
      <c r="D144" s="986">
        <v>702163.25200600002</v>
      </c>
      <c r="E144" s="986">
        <v>877787.83000200009</v>
      </c>
      <c r="F144" s="986">
        <v>1599820.9797799999</v>
      </c>
      <c r="G144" s="935">
        <v>82.255999126389639</v>
      </c>
      <c r="H144" s="345">
        <v>722033.14977799985</v>
      </c>
      <c r="I144" s="28">
        <v>0.82255999126389645</v>
      </c>
      <c r="J144" s="346">
        <v>0.39000075685561086</v>
      </c>
    </row>
    <row r="145" spans="2:10" s="324" customFormat="1" x14ac:dyDescent="0.35">
      <c r="B145" s="982" t="s">
        <v>133</v>
      </c>
      <c r="C145" s="986">
        <v>360.37499999999994</v>
      </c>
      <c r="D145" s="986">
        <v>6</v>
      </c>
      <c r="E145" s="986">
        <v>1332.2483</v>
      </c>
      <c r="F145" s="986">
        <v>101.739</v>
      </c>
      <c r="G145" s="935">
        <v>-92.363360493685747</v>
      </c>
      <c r="H145" s="345">
        <v>-1230.5092999999999</v>
      </c>
      <c r="I145" s="28">
        <v>-0.92363360493685742</v>
      </c>
      <c r="J145" s="346">
        <v>2.4801704380192196E-5</v>
      </c>
    </row>
    <row r="146" spans="2:10" s="324" customFormat="1" x14ac:dyDescent="0.35">
      <c r="B146" s="982" t="s">
        <v>142</v>
      </c>
      <c r="C146" s="986">
        <v>4920.3318000000008</v>
      </c>
      <c r="D146" s="986">
        <v>11362.463571999999</v>
      </c>
      <c r="E146" s="986">
        <v>34835.116000000009</v>
      </c>
      <c r="F146" s="986">
        <v>45654.686999999998</v>
      </c>
      <c r="G146" s="935">
        <v>31.059379851067487</v>
      </c>
      <c r="H146" s="345">
        <v>10819.570999999989</v>
      </c>
      <c r="I146" s="28">
        <v>0.31059379851067487</v>
      </c>
      <c r="J146" s="346">
        <v>1.112959681679792E-2</v>
      </c>
    </row>
    <row r="147" spans="2:10" s="324" customFormat="1" x14ac:dyDescent="0.35">
      <c r="B147" s="773"/>
      <c r="C147" s="774"/>
      <c r="D147" s="774"/>
      <c r="E147" s="774"/>
      <c r="F147" s="774"/>
      <c r="G147" s="768"/>
      <c r="H147" s="326"/>
    </row>
    <row r="148" spans="2:10" s="324" customFormat="1" x14ac:dyDescent="0.35">
      <c r="B148" s="105"/>
      <c r="C148" s="106"/>
      <c r="D148" s="106"/>
      <c r="E148" s="106"/>
      <c r="F148" s="106"/>
      <c r="G148" s="681"/>
      <c r="H148" s="326"/>
    </row>
    <row r="149" spans="2:10" s="324" customFormat="1" ht="15.65" customHeight="1" x14ac:dyDescent="0.35">
      <c r="B149" s="1097" t="s">
        <v>392</v>
      </c>
      <c r="C149" s="1097"/>
      <c r="D149" s="1097"/>
      <c r="E149" s="1097"/>
      <c r="F149" s="1097"/>
      <c r="G149" s="555">
        <v>2025</v>
      </c>
      <c r="H149" s="326"/>
    </row>
    <row r="150" spans="2:10" s="324" customFormat="1" x14ac:dyDescent="0.35">
      <c r="B150" s="395"/>
      <c r="C150" s="151"/>
      <c r="D150" s="106"/>
      <c r="E150" s="106"/>
      <c r="F150" s="106"/>
      <c r="G150" s="680"/>
      <c r="H150" s="326"/>
    </row>
    <row r="151" spans="2:10" s="324" customFormat="1" x14ac:dyDescent="0.35">
      <c r="B151" s="1074" t="s">
        <v>13</v>
      </c>
      <c r="C151" s="1094" t="s">
        <v>387</v>
      </c>
      <c r="D151" s="1095"/>
      <c r="E151" s="1095"/>
      <c r="F151" s="1090" t="s">
        <v>512</v>
      </c>
      <c r="G151" s="1091"/>
      <c r="H151" s="326"/>
    </row>
    <row r="152" spans="2:10" s="324" customFormat="1" ht="30" x14ac:dyDescent="0.35">
      <c r="B152" s="1093"/>
      <c r="C152" s="682">
        <v>2022</v>
      </c>
      <c r="D152" s="682">
        <v>2023</v>
      </c>
      <c r="E152" s="682">
        <v>2024</v>
      </c>
      <c r="F152" s="682">
        <v>2025</v>
      </c>
      <c r="G152" s="341" t="s">
        <v>511</v>
      </c>
      <c r="H152" s="326"/>
    </row>
    <row r="153" spans="2:10" s="324" customFormat="1" x14ac:dyDescent="0.35">
      <c r="B153" s="447"/>
      <c r="C153" s="987"/>
      <c r="D153" s="987"/>
      <c r="E153" s="987"/>
      <c r="F153" s="987"/>
      <c r="G153" s="988"/>
      <c r="H153" s="326"/>
    </row>
    <row r="154" spans="2:10" s="324" customFormat="1" x14ac:dyDescent="0.35">
      <c r="B154" s="924" t="s">
        <v>47</v>
      </c>
      <c r="C154" s="927">
        <v>21879750.43283901</v>
      </c>
      <c r="D154" s="927">
        <v>25676886.256499615</v>
      </c>
      <c r="E154" s="927">
        <v>28897849.13202801</v>
      </c>
      <c r="F154" s="927">
        <v>34257725.806393065</v>
      </c>
      <c r="G154" s="926">
        <v>18.547666471220538</v>
      </c>
      <c r="H154" s="326"/>
    </row>
    <row r="155" spans="2:10" s="324" customFormat="1" x14ac:dyDescent="0.35">
      <c r="B155" s="924"/>
      <c r="C155" s="927"/>
      <c r="D155" s="927"/>
      <c r="E155" s="927"/>
      <c r="F155" s="927"/>
      <c r="G155" s="926"/>
      <c r="H155" s="326"/>
    </row>
    <row r="156" spans="2:10" s="324" customFormat="1" x14ac:dyDescent="0.35">
      <c r="B156" s="929" t="s">
        <v>167</v>
      </c>
      <c r="C156" s="932">
        <v>18778403.363333009</v>
      </c>
      <c r="D156" s="932">
        <v>20424169.594895247</v>
      </c>
      <c r="E156" s="932">
        <v>21112942.556781009</v>
      </c>
      <c r="F156" s="932">
        <v>25743478.65626106</v>
      </c>
      <c r="G156" s="989">
        <v>21.932215687257795</v>
      </c>
      <c r="H156" s="326"/>
    </row>
    <row r="157" spans="2:10" s="324" customFormat="1" x14ac:dyDescent="0.35">
      <c r="B157" s="936" t="s">
        <v>238</v>
      </c>
      <c r="C157" s="937">
        <v>822749.4</v>
      </c>
      <c r="D157" s="937">
        <v>1020923.2000000001</v>
      </c>
      <c r="E157" s="937">
        <v>1163298.4000000001</v>
      </c>
      <c r="F157" s="937">
        <v>1204786</v>
      </c>
      <c r="G157" s="990">
        <v>3.5663764344556697</v>
      </c>
      <c r="H157" s="326"/>
    </row>
    <row r="158" spans="2:10" s="324" customFormat="1" x14ac:dyDescent="0.35">
      <c r="B158" s="936"/>
      <c r="C158" s="937"/>
      <c r="D158" s="937"/>
      <c r="E158" s="937"/>
      <c r="F158" s="937"/>
      <c r="G158" s="990"/>
      <c r="H158" s="326"/>
    </row>
    <row r="159" spans="2:10" s="324" customFormat="1" x14ac:dyDescent="0.35">
      <c r="B159" s="966" t="s">
        <v>239</v>
      </c>
      <c r="C159" s="957">
        <v>5533521.6522009987</v>
      </c>
      <c r="D159" s="957">
        <v>6162559.4662880003</v>
      </c>
      <c r="E159" s="957">
        <v>6447035.2614740022</v>
      </c>
      <c r="F159" s="957">
        <v>7386874.4888719991</v>
      </c>
      <c r="G159" s="928">
        <v>14.577851512838153</v>
      </c>
      <c r="H159" s="326"/>
    </row>
    <row r="160" spans="2:10" s="324" customFormat="1" x14ac:dyDescent="0.35">
      <c r="B160" s="966" t="s">
        <v>240</v>
      </c>
      <c r="C160" s="957">
        <v>11677658.665385015</v>
      </c>
      <c r="D160" s="957">
        <v>12436427.186037248</v>
      </c>
      <c r="E160" s="957">
        <v>12713253.362207007</v>
      </c>
      <c r="F160" s="957">
        <v>16249356.904389063</v>
      </c>
      <c r="G160" s="928">
        <v>27.814308748804738</v>
      </c>
      <c r="H160" s="326"/>
    </row>
    <row r="161" spans="2:8" s="324" customFormat="1" x14ac:dyDescent="0.35">
      <c r="B161" s="966" t="s">
        <v>241</v>
      </c>
      <c r="C161" s="957">
        <v>744473.64574700012</v>
      </c>
      <c r="D161" s="957">
        <v>804259.74256999977</v>
      </c>
      <c r="E161" s="957">
        <v>789355.53310000012</v>
      </c>
      <c r="F161" s="957">
        <v>902461.26300000073</v>
      </c>
      <c r="G161" s="928">
        <v>14.328870218443345</v>
      </c>
      <c r="H161" s="326"/>
    </row>
    <row r="162" spans="2:8" s="324" customFormat="1" x14ac:dyDescent="0.35">
      <c r="B162" s="929"/>
      <c r="C162" s="932"/>
      <c r="D162" s="932"/>
      <c r="E162" s="932"/>
      <c r="F162" s="932"/>
      <c r="G162" s="989"/>
      <c r="H162" s="326"/>
    </row>
    <row r="163" spans="2:8" s="324" customFormat="1" x14ac:dyDescent="0.35">
      <c r="B163" s="929" t="s">
        <v>171</v>
      </c>
      <c r="C163" s="932">
        <v>209793.77243999994</v>
      </c>
      <c r="D163" s="932">
        <v>2467802.9742223704</v>
      </c>
      <c r="E163" s="932">
        <v>4973755.0865939995</v>
      </c>
      <c r="F163" s="932">
        <v>4949916.6333399955</v>
      </c>
      <c r="G163" s="989">
        <v>-0.47928482281439494</v>
      </c>
      <c r="H163" s="326"/>
    </row>
    <row r="164" spans="2:8" s="324" customFormat="1" x14ac:dyDescent="0.35">
      <c r="B164" s="929"/>
      <c r="C164" s="932"/>
      <c r="D164" s="932"/>
      <c r="E164" s="932"/>
      <c r="F164" s="932"/>
      <c r="G164" s="989"/>
      <c r="H164" s="326"/>
    </row>
    <row r="165" spans="2:8" s="324" customFormat="1" x14ac:dyDescent="0.35">
      <c r="B165" s="929" t="s">
        <v>172</v>
      </c>
      <c r="C165" s="932">
        <v>2891553.2970660003</v>
      </c>
      <c r="D165" s="932">
        <v>2784913.6873819982</v>
      </c>
      <c r="E165" s="932">
        <v>2811151.488653</v>
      </c>
      <c r="F165" s="932">
        <v>3564330.5167920045</v>
      </c>
      <c r="G165" s="989">
        <v>26.792545018621531</v>
      </c>
      <c r="H165" s="326"/>
    </row>
    <row r="166" spans="2:8" s="324" customFormat="1" x14ac:dyDescent="0.35">
      <c r="B166" s="991"/>
      <c r="C166" s="951"/>
      <c r="D166" s="951"/>
      <c r="E166" s="951"/>
      <c r="F166" s="951"/>
      <c r="G166" s="992"/>
      <c r="H166" s="326"/>
    </row>
    <row r="167" spans="2:8" s="324" customFormat="1" x14ac:dyDescent="0.35">
      <c r="B167" s="929" t="s">
        <v>173</v>
      </c>
      <c r="C167" s="932">
        <v>2886654.9652659995</v>
      </c>
      <c r="D167" s="932">
        <v>2773584.5198099986</v>
      </c>
      <c r="E167" s="932">
        <v>2785410.9126530001</v>
      </c>
      <c r="F167" s="932">
        <v>3518675.8297920041</v>
      </c>
      <c r="G167" s="989">
        <v>26.325197255746964</v>
      </c>
      <c r="H167" s="326"/>
    </row>
    <row r="168" spans="2:8" s="324" customFormat="1" ht="15.65" customHeight="1" x14ac:dyDescent="0.35">
      <c r="B168" s="933" t="s">
        <v>62</v>
      </c>
      <c r="C168" s="946">
        <v>2267782.2089579999</v>
      </c>
      <c r="D168" s="946">
        <v>2170385.9678039984</v>
      </c>
      <c r="E168" s="946">
        <v>2021829.5333509999</v>
      </c>
      <c r="F168" s="946">
        <v>2364383.5810120045</v>
      </c>
      <c r="G168" s="993">
        <v>16.942775936864081</v>
      </c>
      <c r="H168" s="326"/>
    </row>
    <row r="169" spans="2:8" s="324" customFormat="1" x14ac:dyDescent="0.35">
      <c r="B169" s="933" t="s">
        <v>63</v>
      </c>
      <c r="C169" s="946">
        <v>618512.38130799984</v>
      </c>
      <c r="D169" s="946">
        <v>603192.55200600007</v>
      </c>
      <c r="E169" s="946">
        <v>762249.13100200007</v>
      </c>
      <c r="F169" s="946">
        <v>1154190.5097799997</v>
      </c>
      <c r="G169" s="993">
        <v>51.419065347149775</v>
      </c>
      <c r="H169" s="326"/>
    </row>
    <row r="170" spans="2:8" s="324" customFormat="1" x14ac:dyDescent="0.35">
      <c r="B170" s="933" t="s">
        <v>64</v>
      </c>
      <c r="C170" s="946">
        <v>360.37499999999994</v>
      </c>
      <c r="D170" s="946">
        <v>6</v>
      </c>
      <c r="E170" s="946">
        <v>1332.2483</v>
      </c>
      <c r="F170" s="946">
        <v>101.739</v>
      </c>
      <c r="G170" s="993">
        <v>-92.363360493685747</v>
      </c>
      <c r="H170" s="326"/>
    </row>
    <row r="171" spans="2:8" s="324" customFormat="1" x14ac:dyDescent="0.35">
      <c r="B171" s="936" t="s">
        <v>174</v>
      </c>
      <c r="C171" s="937">
        <v>4898.3318000000008</v>
      </c>
      <c r="D171" s="937">
        <v>11329.167571999998</v>
      </c>
      <c r="E171" s="937">
        <v>25740.576000000005</v>
      </c>
      <c r="F171" s="937">
        <v>45654.686999999998</v>
      </c>
      <c r="G171" s="990">
        <v>77.364667364086912</v>
      </c>
      <c r="H171" s="326"/>
    </row>
    <row r="172" spans="2:8" s="324" customFormat="1" x14ac:dyDescent="0.35">
      <c r="B172" s="994"/>
      <c r="C172" s="934"/>
      <c r="D172" s="934"/>
      <c r="E172" s="934"/>
      <c r="F172" s="934"/>
      <c r="G172" s="984"/>
      <c r="H172" s="326"/>
    </row>
    <row r="173" spans="2:8" s="324" customFormat="1" x14ac:dyDescent="0.35">
      <c r="B173" s="924" t="s">
        <v>56</v>
      </c>
      <c r="C173" s="927">
        <v>8638289.1163930278</v>
      </c>
      <c r="D173" s="927">
        <v>11751142.84404243</v>
      </c>
      <c r="E173" s="927">
        <v>14826927.800102031</v>
      </c>
      <c r="F173" s="927">
        <v>16438352.904314058</v>
      </c>
      <c r="G173" s="926">
        <v>10.868233297803865</v>
      </c>
      <c r="H173" s="326"/>
    </row>
    <row r="174" spans="2:8" s="324" customFormat="1" ht="14.25" customHeight="1" x14ac:dyDescent="0.35">
      <c r="B174" s="924"/>
      <c r="C174" s="927"/>
      <c r="D174" s="927"/>
      <c r="E174" s="927"/>
      <c r="F174" s="927"/>
      <c r="G174" s="926"/>
      <c r="H174" s="326"/>
    </row>
    <row r="175" spans="2:8" s="324" customFormat="1" x14ac:dyDescent="0.35">
      <c r="B175" s="929" t="s">
        <v>167</v>
      </c>
      <c r="C175" s="932">
        <v>8159152.6968410267</v>
      </c>
      <c r="D175" s="932">
        <v>9268861.210950058</v>
      </c>
      <c r="E175" s="932">
        <v>9761370.0701270271</v>
      </c>
      <c r="F175" s="932">
        <v>11180166.311010055</v>
      </c>
      <c r="G175" s="989">
        <v>14.534806391830251</v>
      </c>
      <c r="H175" s="326"/>
    </row>
    <row r="176" spans="2:8" s="324" customFormat="1" x14ac:dyDescent="0.35">
      <c r="B176" s="936" t="s">
        <v>238</v>
      </c>
      <c r="C176" s="937">
        <v>897446.00000000012</v>
      </c>
      <c r="D176" s="937">
        <v>1055214.6000000001</v>
      </c>
      <c r="E176" s="937">
        <v>1158990.8</v>
      </c>
      <c r="F176" s="937">
        <v>1243671</v>
      </c>
      <c r="G176" s="990">
        <v>7.3063737865736247</v>
      </c>
      <c r="H176" s="326"/>
    </row>
    <row r="177" spans="1:11" s="324" customFormat="1" x14ac:dyDescent="0.35">
      <c r="B177" s="936"/>
      <c r="C177" s="937"/>
      <c r="D177" s="937"/>
      <c r="E177" s="937"/>
      <c r="F177" s="937"/>
      <c r="G177" s="990"/>
      <c r="H177" s="326"/>
    </row>
    <row r="178" spans="1:11" s="324" customFormat="1" x14ac:dyDescent="0.35">
      <c r="B178" s="966" t="s">
        <v>239</v>
      </c>
      <c r="C178" s="957">
        <v>1704468.9059999997</v>
      </c>
      <c r="D178" s="957">
        <v>2209716.0779999997</v>
      </c>
      <c r="E178" s="957">
        <v>2992644.4379999996</v>
      </c>
      <c r="F178" s="957">
        <v>3955000.4449999994</v>
      </c>
      <c r="G178" s="928">
        <v>32.157378764419718</v>
      </c>
      <c r="H178" s="326"/>
    </row>
    <row r="179" spans="1:11" s="324" customFormat="1" x14ac:dyDescent="0.35">
      <c r="B179" s="966" t="s">
        <v>240</v>
      </c>
      <c r="C179" s="957">
        <v>5537767.5934410272</v>
      </c>
      <c r="D179" s="957">
        <v>5996293.708750058</v>
      </c>
      <c r="E179" s="957">
        <v>5606014.3595270263</v>
      </c>
      <c r="F179" s="957">
        <v>5973767.1800100552</v>
      </c>
      <c r="G179" s="928">
        <v>6.559969291874161</v>
      </c>
      <c r="H179" s="326"/>
    </row>
    <row r="180" spans="1:11" s="324" customFormat="1" x14ac:dyDescent="0.35">
      <c r="B180" s="966" t="s">
        <v>241</v>
      </c>
      <c r="C180" s="957">
        <v>19470.197400000001</v>
      </c>
      <c r="D180" s="957">
        <v>7636.8241999999991</v>
      </c>
      <c r="E180" s="957">
        <v>3720.4725999999996</v>
      </c>
      <c r="F180" s="957">
        <v>7727.6859999999997</v>
      </c>
      <c r="G180" s="928">
        <v>107.70710688744222</v>
      </c>
      <c r="H180" s="326"/>
    </row>
    <row r="181" spans="1:11" s="324" customFormat="1" x14ac:dyDescent="0.35">
      <c r="B181" s="929"/>
      <c r="C181" s="932"/>
      <c r="D181" s="932"/>
      <c r="E181" s="932"/>
      <c r="F181" s="932"/>
      <c r="G181" s="989"/>
      <c r="H181" s="326"/>
    </row>
    <row r="182" spans="1:11" s="324" customFormat="1" x14ac:dyDescent="0.35">
      <c r="B182" s="929" t="s">
        <v>171</v>
      </c>
      <c r="C182" s="932">
        <v>199642.22485999999</v>
      </c>
      <c r="D182" s="932">
        <v>2264600.6484123706</v>
      </c>
      <c r="E182" s="932">
        <v>4829208.5067000026</v>
      </c>
      <c r="F182" s="932">
        <v>4720419.9944940014</v>
      </c>
      <c r="G182" s="989">
        <v>-2.2527193028644126</v>
      </c>
      <c r="H182" s="326"/>
    </row>
    <row r="183" spans="1:11" s="324" customFormat="1" x14ac:dyDescent="0.35">
      <c r="B183" s="929"/>
      <c r="C183" s="932"/>
      <c r="D183" s="932"/>
      <c r="E183" s="932"/>
      <c r="F183" s="932"/>
      <c r="G183" s="989"/>
      <c r="H183" s="326"/>
    </row>
    <row r="184" spans="1:11" s="324" customFormat="1" x14ac:dyDescent="0.35">
      <c r="B184" s="929" t="s">
        <v>172</v>
      </c>
      <c r="C184" s="932">
        <v>279494.19469199999</v>
      </c>
      <c r="D184" s="932">
        <v>217680.98467999997</v>
      </c>
      <c r="E184" s="932">
        <v>236349.223275</v>
      </c>
      <c r="F184" s="932">
        <v>537766.59881000023</v>
      </c>
      <c r="G184" s="989">
        <v>127.53051241648944</v>
      </c>
      <c r="H184" s="326"/>
    </row>
    <row r="185" spans="1:11" s="324" customFormat="1" x14ac:dyDescent="0.35">
      <c r="B185" s="991"/>
      <c r="C185" s="951"/>
      <c r="D185" s="951"/>
      <c r="E185" s="951"/>
      <c r="F185" s="951"/>
      <c r="G185" s="992"/>
      <c r="H185" s="326"/>
    </row>
    <row r="186" spans="1:11" s="324" customFormat="1" x14ac:dyDescent="0.35">
      <c r="B186" s="929" t="s">
        <v>173</v>
      </c>
      <c r="C186" s="932">
        <v>279472.19469199999</v>
      </c>
      <c r="D186" s="932">
        <v>217647.68867999996</v>
      </c>
      <c r="E186" s="932">
        <v>227254.68327500002</v>
      </c>
      <c r="F186" s="932">
        <v>537766.59881000011</v>
      </c>
      <c r="G186" s="989">
        <v>136.63609086517738</v>
      </c>
      <c r="H186" s="326"/>
    </row>
    <row r="187" spans="1:11" s="324" customFormat="1" x14ac:dyDescent="0.35">
      <c r="B187" s="933" t="s">
        <v>62</v>
      </c>
      <c r="C187" s="946">
        <v>182031.504606</v>
      </c>
      <c r="D187" s="946">
        <v>118676.98867999999</v>
      </c>
      <c r="E187" s="946">
        <v>111715.98427499997</v>
      </c>
      <c r="F187" s="946">
        <v>92136.128809999966</v>
      </c>
      <c r="G187" s="993">
        <v>-17.526458359622239</v>
      </c>
      <c r="H187" s="326"/>
    </row>
    <row r="188" spans="1:11" s="324" customFormat="1" x14ac:dyDescent="0.35">
      <c r="B188" s="933" t="s">
        <v>63</v>
      </c>
      <c r="C188" s="946">
        <v>97440.690086000002</v>
      </c>
      <c r="D188" s="946">
        <v>98970.699999999983</v>
      </c>
      <c r="E188" s="946">
        <v>115538.69900000004</v>
      </c>
      <c r="F188" s="946">
        <v>445630.4700000002</v>
      </c>
      <c r="G188" s="993">
        <v>285.6980162118669</v>
      </c>
      <c r="H188" s="325"/>
      <c r="I188" s="325"/>
      <c r="J188" s="325"/>
      <c r="K188" s="325"/>
    </row>
    <row r="189" spans="1:11" s="324" customFormat="1" x14ac:dyDescent="0.35">
      <c r="B189" s="933" t="s">
        <v>64</v>
      </c>
      <c r="C189" s="946">
        <v>0</v>
      </c>
      <c r="D189" s="946">
        <v>0</v>
      </c>
      <c r="E189" s="946">
        <v>0</v>
      </c>
      <c r="F189" s="946">
        <v>0</v>
      </c>
      <c r="G189" s="993" t="s">
        <v>513</v>
      </c>
      <c r="H189" s="325"/>
      <c r="I189" s="325"/>
      <c r="J189" s="325"/>
      <c r="K189" s="325"/>
    </row>
    <row r="190" spans="1:11" x14ac:dyDescent="0.35">
      <c r="A190" s="324"/>
      <c r="B190" s="936" t="s">
        <v>174</v>
      </c>
      <c r="C190" s="937">
        <v>22</v>
      </c>
      <c r="D190" s="937">
        <v>33.295999999999999</v>
      </c>
      <c r="E190" s="937">
        <v>9094.5400000000009</v>
      </c>
      <c r="F190" s="937">
        <v>0</v>
      </c>
      <c r="G190" s="990">
        <v>-100</v>
      </c>
      <c r="H190" s="326"/>
      <c r="I190" s="324"/>
      <c r="J190" s="324"/>
      <c r="K190" s="324"/>
    </row>
    <row r="191" spans="1:11" x14ac:dyDescent="0.35">
      <c r="A191" s="324"/>
      <c r="B191" s="936"/>
      <c r="C191" s="937"/>
      <c r="D191" s="937"/>
      <c r="E191" s="937"/>
      <c r="F191" s="937"/>
      <c r="G191" s="995"/>
      <c r="H191" s="326"/>
      <c r="I191" s="324"/>
      <c r="J191" s="324"/>
      <c r="K191" s="324"/>
    </row>
    <row r="192" spans="1:11" s="324" customFormat="1" x14ac:dyDescent="0.35">
      <c r="B192" s="953" t="s">
        <v>175</v>
      </c>
      <c r="C192" s="996">
        <v>30518039.549232036</v>
      </c>
      <c r="D192" s="996">
        <v>37428029.100542046</v>
      </c>
      <c r="E192" s="996">
        <v>43724776.932130039</v>
      </c>
      <c r="F192" s="996">
        <v>50696078.710707121</v>
      </c>
      <c r="G192" s="997">
        <v>15.943595983115005</v>
      </c>
      <c r="H192" s="326"/>
    </row>
    <row r="193" spans="2:10" s="324" customFormat="1" x14ac:dyDescent="0.35">
      <c r="B193" s="944"/>
      <c r="C193" s="998"/>
      <c r="D193" s="998"/>
      <c r="E193" s="998"/>
      <c r="F193" s="998"/>
      <c r="G193" s="926"/>
      <c r="H193" s="326"/>
    </row>
    <row r="194" spans="2:10" s="324" customFormat="1" x14ac:dyDescent="0.35">
      <c r="B194" s="929" t="s">
        <v>167</v>
      </c>
      <c r="C194" s="932">
        <v>26937556.060174037</v>
      </c>
      <c r="D194" s="932">
        <v>29693030.805845305</v>
      </c>
      <c r="E194" s="932">
        <v>30874312.626908034</v>
      </c>
      <c r="F194" s="932">
        <v>36923644.967271119</v>
      </c>
      <c r="G194" s="989">
        <v>19.593415450133396</v>
      </c>
      <c r="H194" s="326"/>
    </row>
    <row r="195" spans="2:10" s="324" customFormat="1" x14ac:dyDescent="0.35">
      <c r="B195" s="936" t="s">
        <v>238</v>
      </c>
      <c r="C195" s="937">
        <v>1720195.4000000001</v>
      </c>
      <c r="D195" s="937">
        <v>2076137.8000000003</v>
      </c>
      <c r="E195" s="937">
        <v>2322289.2000000002</v>
      </c>
      <c r="F195" s="937">
        <v>2448457</v>
      </c>
      <c r="G195" s="990">
        <v>5.4329064614346825</v>
      </c>
      <c r="H195" s="326"/>
    </row>
    <row r="196" spans="2:10" s="324" customFormat="1" x14ac:dyDescent="0.35">
      <c r="B196" s="936"/>
      <c r="C196" s="999"/>
      <c r="D196" s="999"/>
      <c r="E196" s="999"/>
      <c r="F196" s="999"/>
      <c r="G196" s="990"/>
      <c r="H196" s="326"/>
    </row>
    <row r="197" spans="2:10" s="324" customFormat="1" x14ac:dyDescent="0.35">
      <c r="B197" s="966" t="s">
        <v>239</v>
      </c>
      <c r="C197" s="999">
        <v>7237990.5582009982</v>
      </c>
      <c r="D197" s="999">
        <v>8372275.5442880001</v>
      </c>
      <c r="E197" s="999">
        <v>9439679.6994740013</v>
      </c>
      <c r="F197" s="999">
        <v>11341874.933871999</v>
      </c>
      <c r="G197" s="928">
        <v>20.151056973935169</v>
      </c>
      <c r="H197" s="326"/>
    </row>
    <row r="198" spans="2:10" s="324" customFormat="1" x14ac:dyDescent="0.35">
      <c r="B198" s="966" t="s">
        <v>240</v>
      </c>
      <c r="C198" s="999">
        <v>17215426.258826043</v>
      </c>
      <c r="D198" s="999">
        <v>18432720.894787304</v>
      </c>
      <c r="E198" s="999">
        <v>18319267.721734032</v>
      </c>
      <c r="F198" s="999">
        <v>22223124.084399119</v>
      </c>
      <c r="G198" s="928">
        <v>21.310111419101872</v>
      </c>
      <c r="H198" s="326"/>
    </row>
    <row r="199" spans="2:10" s="324" customFormat="1" x14ac:dyDescent="0.35">
      <c r="B199" s="966" t="s">
        <v>241</v>
      </c>
      <c r="C199" s="999">
        <v>763943.84314700007</v>
      </c>
      <c r="D199" s="999">
        <v>811896.5667699998</v>
      </c>
      <c r="E199" s="999">
        <v>793076.0057000001</v>
      </c>
      <c r="F199" s="999">
        <v>910188.94900000072</v>
      </c>
      <c r="G199" s="928">
        <v>14.766925547902831</v>
      </c>
      <c r="H199" s="326"/>
    </row>
    <row r="200" spans="2:10" s="324" customFormat="1" x14ac:dyDescent="0.35">
      <c r="B200" s="929"/>
      <c r="C200" s="932"/>
      <c r="D200" s="932"/>
      <c r="E200" s="932"/>
      <c r="F200" s="932"/>
      <c r="G200" s="989"/>
      <c r="H200" s="326"/>
    </row>
    <row r="201" spans="2:10" s="324" customFormat="1" x14ac:dyDescent="0.35">
      <c r="B201" s="929" t="s">
        <v>171</v>
      </c>
      <c r="C201" s="932">
        <v>409435.99729999993</v>
      </c>
      <c r="D201" s="932">
        <v>4732403.6226347405</v>
      </c>
      <c r="E201" s="932">
        <v>9802963.5932940021</v>
      </c>
      <c r="F201" s="932">
        <v>9670336.627833996</v>
      </c>
      <c r="G201" s="989">
        <v>-1.3529272469269744</v>
      </c>
      <c r="H201" s="326"/>
      <c r="I201" s="329">
        <v>0.98962621397157435</v>
      </c>
      <c r="J201" s="2" t="s">
        <v>421</v>
      </c>
    </row>
    <row r="202" spans="2:10" s="324" customFormat="1" x14ac:dyDescent="0.35">
      <c r="B202" s="929"/>
      <c r="C202" s="932"/>
      <c r="D202" s="932"/>
      <c r="E202" s="932"/>
      <c r="F202" s="932"/>
      <c r="G202" s="989"/>
      <c r="H202" s="326"/>
      <c r="I202" s="329">
        <v>1.0373786028425647E-2</v>
      </c>
      <c r="J202" s="2" t="s">
        <v>422</v>
      </c>
    </row>
    <row r="203" spans="2:10" s="324" customFormat="1" x14ac:dyDescent="0.35">
      <c r="B203" s="929" t="s">
        <v>172</v>
      </c>
      <c r="C203" s="932">
        <v>3171047.4917580001</v>
      </c>
      <c r="D203" s="932">
        <v>3002594.6720619979</v>
      </c>
      <c r="E203" s="932">
        <v>3047500.7119279997</v>
      </c>
      <c r="F203" s="932">
        <v>4102097.1156020048</v>
      </c>
      <c r="G203" s="989">
        <v>34.605288180779951</v>
      </c>
      <c r="H203" s="326"/>
    </row>
    <row r="204" spans="2:10" s="324" customFormat="1" x14ac:dyDescent="0.35">
      <c r="B204" s="991"/>
      <c r="C204" s="932"/>
      <c r="D204" s="932"/>
      <c r="E204" s="932"/>
      <c r="F204" s="932"/>
      <c r="G204" s="992"/>
      <c r="H204" s="326"/>
    </row>
    <row r="205" spans="2:10" s="324" customFormat="1" x14ac:dyDescent="0.35">
      <c r="B205" s="929" t="s">
        <v>173</v>
      </c>
      <c r="C205" s="937">
        <v>3166127.1599579994</v>
      </c>
      <c r="D205" s="937">
        <v>2991232.2084899987</v>
      </c>
      <c r="E205" s="937">
        <v>3012665.5959280003</v>
      </c>
      <c r="F205" s="937">
        <v>4056442.4286020044</v>
      </c>
      <c r="G205" s="989">
        <v>34.646289122987994</v>
      </c>
      <c r="H205" s="326"/>
    </row>
    <row r="206" spans="2:10" s="324" customFormat="1" x14ac:dyDescent="0.35">
      <c r="B206" s="933" t="s">
        <v>62</v>
      </c>
      <c r="C206" s="999">
        <v>2449813.7135640001</v>
      </c>
      <c r="D206" s="999">
        <v>2289062.9564839983</v>
      </c>
      <c r="E206" s="999">
        <v>2133545.5176260001</v>
      </c>
      <c r="F206" s="999">
        <v>2456519.7098220047</v>
      </c>
      <c r="G206" s="993">
        <v>15.13790962169762</v>
      </c>
      <c r="H206" s="326"/>
    </row>
    <row r="207" spans="2:10" s="324" customFormat="1" x14ac:dyDescent="0.35">
      <c r="B207" s="933" t="s">
        <v>63</v>
      </c>
      <c r="C207" s="999">
        <v>715953.07139399985</v>
      </c>
      <c r="D207" s="999">
        <v>702163.25200600002</v>
      </c>
      <c r="E207" s="999">
        <v>877787.83000200009</v>
      </c>
      <c r="F207" s="999">
        <v>1599820.9797799999</v>
      </c>
      <c r="G207" s="993">
        <v>82.255999126389639</v>
      </c>
      <c r="H207" s="326"/>
    </row>
    <row r="208" spans="2:10" s="324" customFormat="1" x14ac:dyDescent="0.35">
      <c r="B208" s="933" t="s">
        <v>64</v>
      </c>
      <c r="C208" s="999">
        <v>360.37499999999994</v>
      </c>
      <c r="D208" s="999">
        <v>6</v>
      </c>
      <c r="E208" s="999">
        <v>1332.2483</v>
      </c>
      <c r="F208" s="999">
        <v>101.739</v>
      </c>
      <c r="G208" s="993">
        <v>-92.363360493685747</v>
      </c>
      <c r="H208" s="326"/>
    </row>
    <row r="209" spans="2:8" s="324" customFormat="1" x14ac:dyDescent="0.35">
      <c r="B209" s="775" t="s">
        <v>174</v>
      </c>
      <c r="C209" s="776">
        <v>4920.3318000000008</v>
      </c>
      <c r="D209" s="776">
        <v>11362.463571999999</v>
      </c>
      <c r="E209" s="776">
        <v>34835.116000000009</v>
      </c>
      <c r="F209" s="776">
        <v>45654.686999999998</v>
      </c>
      <c r="G209" s="689">
        <v>31.059379851067487</v>
      </c>
      <c r="H209" s="326"/>
    </row>
    <row r="210" spans="2:8" s="324" customFormat="1" x14ac:dyDescent="0.35">
      <c r="B210" s="6"/>
      <c r="C210" s="348"/>
      <c r="D210" s="348"/>
      <c r="E210" s="348"/>
      <c r="F210" s="348"/>
      <c r="G210" s="690"/>
      <c r="H210" s="326"/>
    </row>
    <row r="211" spans="2:8" s="324" customFormat="1" x14ac:dyDescent="0.35">
      <c r="B211" s="1069" t="s">
        <v>242</v>
      </c>
      <c r="C211" s="1069"/>
      <c r="D211" s="1069"/>
      <c r="E211" s="1069"/>
      <c r="F211" s="1069"/>
      <c r="G211" s="1069"/>
      <c r="H211" s="326"/>
    </row>
    <row r="212" spans="2:8" s="324" customFormat="1" x14ac:dyDescent="0.35">
      <c r="B212" s="105"/>
      <c r="C212" s="106"/>
      <c r="D212" s="106"/>
      <c r="E212" s="106"/>
      <c r="F212" s="106"/>
      <c r="G212" s="681"/>
      <c r="H212" s="326"/>
    </row>
    <row r="213" spans="2:8" s="324" customFormat="1" x14ac:dyDescent="0.35">
      <c r="B213" s="1096" t="s">
        <v>393</v>
      </c>
      <c r="C213" s="1096"/>
      <c r="D213" s="1096"/>
      <c r="E213" s="1096"/>
      <c r="F213" s="555">
        <v>2025</v>
      </c>
      <c r="G213" s="691"/>
      <c r="H213" s="326"/>
    </row>
    <row r="214" spans="2:8" s="324" customFormat="1" x14ac:dyDescent="0.35">
      <c r="B214" s="8"/>
      <c r="C214" s="106"/>
      <c r="D214" s="106"/>
      <c r="E214" s="106"/>
      <c r="F214" s="106"/>
      <c r="G214" s="680"/>
      <c r="H214" s="326"/>
    </row>
    <row r="215" spans="2:8" s="324" customFormat="1" x14ac:dyDescent="0.35">
      <c r="B215" s="1074" t="s">
        <v>13</v>
      </c>
      <c r="C215" s="1094" t="s">
        <v>387</v>
      </c>
      <c r="D215" s="1095"/>
      <c r="E215" s="1095"/>
      <c r="F215" s="1090" t="s">
        <v>512</v>
      </c>
      <c r="G215" s="1091"/>
      <c r="H215" s="326"/>
    </row>
    <row r="216" spans="2:8" s="324" customFormat="1" ht="30" x14ac:dyDescent="0.35">
      <c r="B216" s="1093"/>
      <c r="C216" s="682">
        <v>2022</v>
      </c>
      <c r="D216" s="682">
        <v>2023</v>
      </c>
      <c r="E216" s="682">
        <v>2024</v>
      </c>
      <c r="F216" s="682">
        <v>2025</v>
      </c>
      <c r="G216" s="341" t="s">
        <v>511</v>
      </c>
      <c r="H216" s="326"/>
    </row>
    <row r="217" spans="2:8" s="324" customFormat="1" x14ac:dyDescent="0.35">
      <c r="B217" s="349"/>
      <c r="C217" s="108"/>
      <c r="D217" s="108"/>
      <c r="E217" s="108"/>
      <c r="F217" s="108"/>
      <c r="G217" s="692"/>
      <c r="H217" s="326"/>
    </row>
    <row r="218" spans="2:8" s="324" customFormat="1" x14ac:dyDescent="0.35">
      <c r="B218" s="1000" t="s">
        <v>216</v>
      </c>
      <c r="C218" s="1001">
        <v>5872626.0983489845</v>
      </c>
      <c r="D218" s="1001">
        <v>8796284.0336596388</v>
      </c>
      <c r="E218" s="1001">
        <v>11859958.726968002</v>
      </c>
      <c r="F218" s="1001">
        <v>13261958.232210033</v>
      </c>
      <c r="G218" s="926">
        <v>11.821284858724397</v>
      </c>
      <c r="H218" s="326"/>
    </row>
    <row r="219" spans="2:8" s="324" customFormat="1" x14ac:dyDescent="0.35">
      <c r="B219" s="1002"/>
      <c r="C219" s="949"/>
      <c r="D219" s="949"/>
      <c r="E219" s="949"/>
      <c r="F219" s="949"/>
      <c r="G219" s="926"/>
      <c r="H219" s="326"/>
    </row>
    <row r="220" spans="2:8" s="324" customFormat="1" x14ac:dyDescent="0.35">
      <c r="B220" s="994" t="s">
        <v>177</v>
      </c>
      <c r="C220" s="934">
        <v>5782126.4234789843</v>
      </c>
      <c r="D220" s="934">
        <v>6418424.1484372709</v>
      </c>
      <c r="E220" s="934">
        <v>6959890.6513739964</v>
      </c>
      <c r="F220" s="934">
        <v>8362046.8948700354</v>
      </c>
      <c r="G220" s="928">
        <v>20.146239556496916</v>
      </c>
      <c r="H220" s="326"/>
    </row>
    <row r="221" spans="2:8" s="324" customFormat="1" x14ac:dyDescent="0.35">
      <c r="B221" s="994" t="s">
        <v>178</v>
      </c>
      <c r="C221" s="934">
        <v>90499.674870000003</v>
      </c>
      <c r="D221" s="934">
        <v>2377859.8852223679</v>
      </c>
      <c r="E221" s="934">
        <v>4900068.0755940052</v>
      </c>
      <c r="F221" s="934">
        <v>4899911.3373399973</v>
      </c>
      <c r="G221" s="928">
        <v>-3.1986954383053743E-3</v>
      </c>
      <c r="H221" s="326"/>
    </row>
    <row r="222" spans="2:8" s="324" customFormat="1" x14ac:dyDescent="0.35">
      <c r="B222" s="1003"/>
      <c r="C222" s="951"/>
      <c r="D222" s="951"/>
      <c r="E222" s="951"/>
      <c r="F222" s="951"/>
      <c r="G222" s="940"/>
      <c r="H222" s="326"/>
    </row>
    <row r="223" spans="2:8" s="324" customFormat="1" ht="14.25" customHeight="1" x14ac:dyDescent="0.35">
      <c r="B223" s="1000" t="s">
        <v>217</v>
      </c>
      <c r="C223" s="1001">
        <v>4418670.6527930126</v>
      </c>
      <c r="D223" s="1001">
        <v>6878238.7845723983</v>
      </c>
      <c r="E223" s="1001">
        <v>9168256.867712006</v>
      </c>
      <c r="F223" s="1001">
        <v>9179114.7353140116</v>
      </c>
      <c r="G223" s="926">
        <v>0.1184289201172354</v>
      </c>
      <c r="H223" s="326"/>
    </row>
    <row r="224" spans="2:8" s="324" customFormat="1" x14ac:dyDescent="0.35">
      <c r="B224" s="1002"/>
      <c r="C224" s="949"/>
      <c r="D224" s="949"/>
      <c r="E224" s="949"/>
      <c r="F224" s="949"/>
      <c r="G224" s="926"/>
      <c r="H224" s="326"/>
    </row>
    <row r="225" spans="1:11" s="324" customFormat="1" x14ac:dyDescent="0.35">
      <c r="B225" s="994" t="s">
        <v>177</v>
      </c>
      <c r="C225" s="934">
        <v>4315104.2113930127</v>
      </c>
      <c r="D225" s="934">
        <v>4662474.1851600278</v>
      </c>
      <c r="E225" s="934">
        <v>4394664.4744120035</v>
      </c>
      <c r="F225" s="934">
        <v>4509007.4478200097</v>
      </c>
      <c r="G225" s="928">
        <v>2.6018590059325284</v>
      </c>
      <c r="H225" s="326"/>
    </row>
    <row r="226" spans="1:11" s="324" customFormat="1" x14ac:dyDescent="0.35">
      <c r="B226" s="994" t="s">
        <v>178</v>
      </c>
      <c r="C226" s="934">
        <v>103566.4414</v>
      </c>
      <c r="D226" s="934">
        <v>2215764.5994123705</v>
      </c>
      <c r="E226" s="934">
        <v>4773592.3933000015</v>
      </c>
      <c r="F226" s="934">
        <v>4670107.2874940019</v>
      </c>
      <c r="G226" s="928">
        <v>-2.1678664050002809</v>
      </c>
      <c r="H226" s="326"/>
    </row>
    <row r="227" spans="1:11" s="324" customFormat="1" x14ac:dyDescent="0.35">
      <c r="B227" s="1003"/>
      <c r="C227" s="951"/>
      <c r="D227" s="951"/>
      <c r="E227" s="951"/>
      <c r="F227" s="951"/>
      <c r="G227" s="940"/>
      <c r="H227" s="326"/>
    </row>
    <row r="228" spans="1:11" s="324" customFormat="1" x14ac:dyDescent="0.35">
      <c r="B228" s="941" t="s">
        <v>179</v>
      </c>
      <c r="C228" s="1004">
        <v>10291296.751141997</v>
      </c>
      <c r="D228" s="1004">
        <v>15674522.818232037</v>
      </c>
      <c r="E228" s="1004">
        <v>21028215.594680008</v>
      </c>
      <c r="F228" s="1004">
        <v>22441072.967524044</v>
      </c>
      <c r="G228" s="1005">
        <v>6.7188647866130866</v>
      </c>
      <c r="H228" s="326"/>
    </row>
    <row r="229" spans="1:11" s="324" customFormat="1" x14ac:dyDescent="0.35">
      <c r="B229" s="1003"/>
      <c r="C229" s="951"/>
      <c r="D229" s="951"/>
      <c r="E229" s="951"/>
      <c r="F229" s="951"/>
      <c r="G229" s="926"/>
      <c r="H229" s="326"/>
    </row>
    <row r="230" spans="1:11" s="324" customFormat="1" x14ac:dyDescent="0.35">
      <c r="B230" s="994" t="s">
        <v>177</v>
      </c>
      <c r="C230" s="1006">
        <v>10097230.634871997</v>
      </c>
      <c r="D230" s="1006">
        <v>11080898.333597299</v>
      </c>
      <c r="E230" s="1006">
        <v>11354555.125785999</v>
      </c>
      <c r="F230" s="1006">
        <v>12871054.342690045</v>
      </c>
      <c r="G230" s="928">
        <v>13.355866435137582</v>
      </c>
      <c r="H230" s="326"/>
    </row>
    <row r="231" spans="1:11" s="324" customFormat="1" x14ac:dyDescent="0.35">
      <c r="B231" s="994" t="s">
        <v>178</v>
      </c>
      <c r="C231" s="1006">
        <v>194066.11627</v>
      </c>
      <c r="D231" s="1006">
        <v>4593624.4846347384</v>
      </c>
      <c r="E231" s="1006">
        <v>9673660.4688940067</v>
      </c>
      <c r="F231" s="1006">
        <v>9570018.6248339992</v>
      </c>
      <c r="G231" s="928">
        <v>-1.0713818661846926</v>
      </c>
      <c r="H231" s="325"/>
      <c r="I231" s="325"/>
      <c r="J231" s="325"/>
      <c r="K231" s="325"/>
    </row>
    <row r="232" spans="1:11" s="324" customFormat="1" x14ac:dyDescent="0.35">
      <c r="B232" s="777"/>
      <c r="C232" s="778"/>
      <c r="D232" s="778"/>
      <c r="E232" s="778"/>
      <c r="F232" s="778"/>
      <c r="G232" s="779"/>
      <c r="H232" s="325"/>
      <c r="I232" s="325"/>
      <c r="J232" s="325"/>
      <c r="K232" s="325"/>
    </row>
    <row r="233" spans="1:11" s="324" customFormat="1" x14ac:dyDescent="0.35">
      <c r="B233" s="105"/>
      <c r="C233" s="106"/>
      <c r="D233" s="106"/>
      <c r="E233" s="106"/>
      <c r="F233" s="106"/>
      <c r="G233" s="681"/>
      <c r="H233" s="326"/>
    </row>
    <row r="234" spans="1:11" x14ac:dyDescent="0.35">
      <c r="A234" s="324"/>
      <c r="B234" s="1092" t="s">
        <v>465</v>
      </c>
      <c r="C234" s="1092"/>
      <c r="D234" s="1092"/>
      <c r="E234" s="1092"/>
      <c r="F234" s="1092"/>
      <c r="G234" s="555">
        <v>2025</v>
      </c>
      <c r="H234" s="326"/>
      <c r="I234" s="324"/>
      <c r="J234" s="324"/>
      <c r="K234" s="324"/>
    </row>
    <row r="235" spans="1:11" x14ac:dyDescent="0.35">
      <c r="A235" s="324"/>
      <c r="H235" s="326"/>
      <c r="I235" s="324"/>
      <c r="J235" s="324"/>
      <c r="K235" s="324"/>
    </row>
    <row r="236" spans="1:11" s="324" customFormat="1" ht="14.25" customHeight="1" x14ac:dyDescent="0.35">
      <c r="B236" s="1074" t="s">
        <v>13</v>
      </c>
      <c r="C236" s="1094" t="s">
        <v>387</v>
      </c>
      <c r="D236" s="1095"/>
      <c r="E236" s="1095"/>
      <c r="F236" s="1090" t="s">
        <v>512</v>
      </c>
      <c r="G236" s="1091"/>
      <c r="H236" s="326"/>
    </row>
    <row r="237" spans="1:11" s="324" customFormat="1" ht="30" x14ac:dyDescent="0.35">
      <c r="B237" s="1093"/>
      <c r="C237" s="682">
        <v>2022</v>
      </c>
      <c r="D237" s="682">
        <v>2023</v>
      </c>
      <c r="E237" s="682">
        <v>2024</v>
      </c>
      <c r="F237" s="682">
        <v>2025</v>
      </c>
      <c r="G237" s="341" t="s">
        <v>511</v>
      </c>
      <c r="H237" s="326"/>
    </row>
    <row r="238" spans="1:11" s="324" customFormat="1" x14ac:dyDescent="0.35">
      <c r="B238" s="447"/>
      <c r="C238" s="448"/>
      <c r="D238" s="448"/>
      <c r="E238" s="448"/>
      <c r="F238" s="448"/>
      <c r="G238" s="688"/>
      <c r="H238" s="326"/>
    </row>
    <row r="239" spans="1:11" s="324" customFormat="1" x14ac:dyDescent="0.35">
      <c r="B239" s="924" t="s">
        <v>47</v>
      </c>
      <c r="C239" s="1007">
        <v>5872626.0983489947</v>
      </c>
      <c r="D239" s="1007">
        <v>8796284.0336596426</v>
      </c>
      <c r="E239" s="1007">
        <v>11859958.726967998</v>
      </c>
      <c r="F239" s="1007">
        <v>13261958.23221001</v>
      </c>
      <c r="G239" s="926">
        <v>11.821284858724242</v>
      </c>
      <c r="H239" s="326"/>
    </row>
    <row r="240" spans="1:11" s="324" customFormat="1" x14ac:dyDescent="0.35">
      <c r="B240" s="924"/>
      <c r="C240" s="1007"/>
      <c r="D240" s="1007"/>
      <c r="E240" s="1007"/>
      <c r="F240" s="1007"/>
      <c r="G240" s="926"/>
      <c r="H240" s="326"/>
    </row>
    <row r="241" spans="2:8" s="324" customFormat="1" x14ac:dyDescent="0.35">
      <c r="B241" s="929" t="s">
        <v>167</v>
      </c>
      <c r="C241" s="1008">
        <v>5181003.588902995</v>
      </c>
      <c r="D241" s="1008">
        <v>5712862.3140552724</v>
      </c>
      <c r="E241" s="1008">
        <v>6149413.0130809993</v>
      </c>
      <c r="F241" s="1008">
        <v>7131457.3300780142</v>
      </c>
      <c r="G241" s="989">
        <v>15.969724507168658</v>
      </c>
      <c r="H241" s="326"/>
    </row>
    <row r="242" spans="2:8" s="324" customFormat="1" x14ac:dyDescent="0.35">
      <c r="B242" s="929" t="s">
        <v>243</v>
      </c>
      <c r="C242" s="1008">
        <v>90499.674870000003</v>
      </c>
      <c r="D242" s="1008">
        <v>2377859.8852223703</v>
      </c>
      <c r="E242" s="1008">
        <v>4900068.0755939987</v>
      </c>
      <c r="F242" s="1008">
        <v>4899911.3373399945</v>
      </c>
      <c r="G242" s="989">
        <v>-3.1986954382293535E-3</v>
      </c>
      <c r="H242" s="326"/>
    </row>
    <row r="243" spans="2:8" s="324" customFormat="1" x14ac:dyDescent="0.35">
      <c r="B243" s="929" t="s">
        <v>244</v>
      </c>
      <c r="C243" s="1008">
        <v>601122.83457599988</v>
      </c>
      <c r="D243" s="1008">
        <v>705561.83438200015</v>
      </c>
      <c r="E243" s="1008">
        <v>810477.63829299994</v>
      </c>
      <c r="F243" s="1008">
        <v>1230589.5647920016</v>
      </c>
      <c r="G243" s="989">
        <v>51.83510397446954</v>
      </c>
      <c r="H243" s="326"/>
    </row>
    <row r="244" spans="2:8" s="324" customFormat="1" x14ac:dyDescent="0.35">
      <c r="B244" s="991"/>
      <c r="C244" s="1003"/>
      <c r="D244" s="1003"/>
      <c r="E244" s="1003"/>
      <c r="F244" s="1003"/>
      <c r="G244" s="989"/>
      <c r="H244" s="326"/>
    </row>
    <row r="245" spans="2:8" s="324" customFormat="1" x14ac:dyDescent="0.35">
      <c r="B245" s="929" t="s">
        <v>173</v>
      </c>
      <c r="C245" s="1008">
        <v>597837.87177600001</v>
      </c>
      <c r="D245" s="1008">
        <v>696114.23281000019</v>
      </c>
      <c r="E245" s="1008">
        <v>793398.56129300001</v>
      </c>
      <c r="F245" s="1008">
        <v>1205764.5417919997</v>
      </c>
      <c r="G245" s="989">
        <v>51.974631744601062</v>
      </c>
      <c r="H245" s="326"/>
    </row>
    <row r="246" spans="2:8" s="324" customFormat="1" x14ac:dyDescent="0.35">
      <c r="B246" s="933" t="s">
        <v>62</v>
      </c>
      <c r="C246" s="1009">
        <v>513179.23146800004</v>
      </c>
      <c r="D246" s="1009">
        <v>545583.23080400017</v>
      </c>
      <c r="E246" s="1009">
        <v>569088.08399099996</v>
      </c>
      <c r="F246" s="1009">
        <v>758176.03401199926</v>
      </c>
      <c r="G246" s="928">
        <v>33.226482040342582</v>
      </c>
      <c r="H246" s="326"/>
    </row>
    <row r="247" spans="2:8" s="324" customFormat="1" x14ac:dyDescent="0.35">
      <c r="B247" s="933" t="s">
        <v>63</v>
      </c>
      <c r="C247" s="1009">
        <v>84357.733308000024</v>
      </c>
      <c r="D247" s="1009">
        <v>150531.00200600002</v>
      </c>
      <c r="E247" s="1009">
        <v>223183.58600200003</v>
      </c>
      <c r="F247" s="1009">
        <v>447520.9487800005</v>
      </c>
      <c r="G247" s="928">
        <v>100.51696309601823</v>
      </c>
      <c r="H247" s="326"/>
    </row>
    <row r="248" spans="2:8" s="324" customFormat="1" x14ac:dyDescent="0.35">
      <c r="B248" s="933" t="s">
        <v>64</v>
      </c>
      <c r="C248" s="1009">
        <v>300.90700000000004</v>
      </c>
      <c r="D248" s="1009">
        <v>0</v>
      </c>
      <c r="E248" s="1009">
        <v>1126.8913</v>
      </c>
      <c r="F248" s="1009">
        <v>67.558999999999997</v>
      </c>
      <c r="G248" s="928">
        <v>-94.004834361575078</v>
      </c>
      <c r="H248" s="326"/>
    </row>
    <row r="249" spans="2:8" s="324" customFormat="1" x14ac:dyDescent="0.35">
      <c r="B249" s="929" t="s">
        <v>174</v>
      </c>
      <c r="C249" s="1010">
        <v>3284.9628000000002</v>
      </c>
      <c r="D249" s="1010">
        <v>9447.6015719999996</v>
      </c>
      <c r="E249" s="1010">
        <v>17079.077000000001</v>
      </c>
      <c r="F249" s="1010">
        <v>24825.022999999997</v>
      </c>
      <c r="G249" s="989">
        <v>45.353422787425785</v>
      </c>
      <c r="H249" s="326"/>
    </row>
    <row r="250" spans="2:8" s="324" customFormat="1" x14ac:dyDescent="0.35">
      <c r="B250" s="994"/>
      <c r="C250" s="1011"/>
      <c r="D250" s="1011"/>
      <c r="E250" s="1011"/>
      <c r="F250" s="1011"/>
      <c r="G250" s="693"/>
      <c r="H250" s="326"/>
    </row>
    <row r="251" spans="2:8" s="324" customFormat="1" x14ac:dyDescent="0.35">
      <c r="B251" s="924" t="s">
        <v>56</v>
      </c>
      <c r="C251" s="1007">
        <v>4418670.6527930126</v>
      </c>
      <c r="D251" s="1007">
        <v>6878238.7845723936</v>
      </c>
      <c r="E251" s="1007">
        <v>9168256.8677120041</v>
      </c>
      <c r="F251" s="1007">
        <v>9179114.7353140116</v>
      </c>
      <c r="G251" s="926">
        <v>0.11842892011725575</v>
      </c>
      <c r="H251" s="326"/>
    </row>
    <row r="252" spans="2:8" s="324" customFormat="1" x14ac:dyDescent="0.35">
      <c r="B252" s="924"/>
      <c r="C252" s="1007"/>
      <c r="D252" s="1007"/>
      <c r="E252" s="1007"/>
      <c r="F252" s="1007"/>
      <c r="G252" s="926"/>
      <c r="H252" s="326"/>
    </row>
    <row r="253" spans="2:8" s="324" customFormat="1" x14ac:dyDescent="0.35">
      <c r="B253" s="929" t="s">
        <v>167</v>
      </c>
      <c r="C253" s="1008">
        <v>4143988.1347010122</v>
      </c>
      <c r="D253" s="1008">
        <v>4472438.9384800233</v>
      </c>
      <c r="E253" s="1008">
        <v>4195160.3381370017</v>
      </c>
      <c r="F253" s="1008">
        <v>4321526.6720100101</v>
      </c>
      <c r="G253" s="989">
        <v>3.0121931866166878</v>
      </c>
      <c r="H253" s="326"/>
    </row>
    <row r="254" spans="2:8" s="324" customFormat="1" x14ac:dyDescent="0.35">
      <c r="B254" s="929" t="s">
        <v>243</v>
      </c>
      <c r="C254" s="1011">
        <v>103566.4414</v>
      </c>
      <c r="D254" s="1011">
        <v>2215764.5994123705</v>
      </c>
      <c r="E254" s="1011">
        <v>4773592.3933000015</v>
      </c>
      <c r="F254" s="1011">
        <v>4670107.2874940019</v>
      </c>
      <c r="G254" s="989">
        <v>-2.1678664050002809</v>
      </c>
      <c r="H254" s="326"/>
    </row>
    <row r="255" spans="2:8" s="324" customFormat="1" x14ac:dyDescent="0.35">
      <c r="B255" s="929" t="s">
        <v>244</v>
      </c>
      <c r="C255" s="1008">
        <v>171116.07669199994</v>
      </c>
      <c r="D255" s="1008">
        <v>190035.24668000001</v>
      </c>
      <c r="E255" s="1008">
        <v>199504.136275</v>
      </c>
      <c r="F255" s="1008">
        <v>187480.77580999993</v>
      </c>
      <c r="G255" s="989">
        <v>-6.0266221490399836</v>
      </c>
      <c r="H255" s="326"/>
    </row>
    <row r="256" spans="2:8" s="324" customFormat="1" x14ac:dyDescent="0.35">
      <c r="B256" s="991"/>
      <c r="C256" s="1003"/>
      <c r="D256" s="1003"/>
      <c r="E256" s="1003"/>
      <c r="F256" s="1003"/>
      <c r="G256" s="989"/>
      <c r="H256" s="326"/>
    </row>
    <row r="257" spans="2:8" s="324" customFormat="1" x14ac:dyDescent="0.35">
      <c r="B257" s="929" t="s">
        <v>173</v>
      </c>
      <c r="C257" s="1008">
        <v>171094.07669199997</v>
      </c>
      <c r="D257" s="1008">
        <v>190001.95067999998</v>
      </c>
      <c r="E257" s="1008">
        <v>199460.39627499995</v>
      </c>
      <c r="F257" s="1008">
        <v>187480.77580999996</v>
      </c>
      <c r="G257" s="989">
        <v>-6.0060145716763982</v>
      </c>
      <c r="H257" s="326"/>
    </row>
    <row r="258" spans="2:8" s="324" customFormat="1" x14ac:dyDescent="0.35">
      <c r="B258" s="933" t="s">
        <v>62</v>
      </c>
      <c r="C258" s="1009">
        <v>111851.42660599998</v>
      </c>
      <c r="D258" s="1009">
        <v>113926.66868</v>
      </c>
      <c r="E258" s="1009">
        <v>109397.19127499998</v>
      </c>
      <c r="F258" s="1009">
        <v>92028.310809999981</v>
      </c>
      <c r="G258" s="928">
        <v>-15.876897992141799</v>
      </c>
      <c r="H258" s="326"/>
    </row>
    <row r="259" spans="2:8" s="324" customFormat="1" x14ac:dyDescent="0.35">
      <c r="B259" s="933" t="s">
        <v>63</v>
      </c>
      <c r="C259" s="1009">
        <v>59242.650085999994</v>
      </c>
      <c r="D259" s="1009">
        <v>76075.281999999977</v>
      </c>
      <c r="E259" s="1009">
        <v>90063.204999999973</v>
      </c>
      <c r="F259" s="1009">
        <v>95452.464999999967</v>
      </c>
      <c r="G259" s="928">
        <v>5.9838643317212581</v>
      </c>
      <c r="H259" s="326"/>
    </row>
    <row r="260" spans="2:8" s="324" customFormat="1" x14ac:dyDescent="0.35">
      <c r="B260" s="933" t="s">
        <v>64</v>
      </c>
      <c r="C260" s="1009">
        <v>0</v>
      </c>
      <c r="D260" s="1009">
        <v>0</v>
      </c>
      <c r="E260" s="1009">
        <v>0</v>
      </c>
      <c r="F260" s="1009">
        <v>0</v>
      </c>
      <c r="G260" s="928" t="s">
        <v>513</v>
      </c>
      <c r="H260" s="326"/>
    </row>
    <row r="261" spans="2:8" s="324" customFormat="1" x14ac:dyDescent="0.35">
      <c r="B261" s="929" t="s">
        <v>174</v>
      </c>
      <c r="C261" s="1010">
        <v>22</v>
      </c>
      <c r="D261" s="1010">
        <v>33.295999999999999</v>
      </c>
      <c r="E261" s="1010">
        <v>43.74</v>
      </c>
      <c r="F261" s="1010">
        <v>0</v>
      </c>
      <c r="G261" s="989">
        <v>-100</v>
      </c>
      <c r="H261" s="326"/>
    </row>
    <row r="262" spans="2:8" s="324" customFormat="1" x14ac:dyDescent="0.35">
      <c r="B262" s="936"/>
      <c r="C262" s="1012"/>
      <c r="D262" s="1012"/>
      <c r="E262" s="1012"/>
      <c r="F262" s="1012"/>
      <c r="G262" s="1013"/>
      <c r="H262" s="326"/>
    </row>
    <row r="263" spans="2:8" s="324" customFormat="1" ht="14.25" customHeight="1" x14ac:dyDescent="0.35">
      <c r="B263" s="941" t="s">
        <v>175</v>
      </c>
      <c r="C263" s="1014">
        <v>10291296.751142006</v>
      </c>
      <c r="D263" s="1014">
        <v>15674522.818232037</v>
      </c>
      <c r="E263" s="1014">
        <v>21028215.594680004</v>
      </c>
      <c r="F263" s="1014">
        <v>22441072.967524022</v>
      </c>
      <c r="G263" s="1015">
        <v>6.7188647866129987</v>
      </c>
      <c r="H263" s="326"/>
    </row>
    <row r="264" spans="2:8" s="324" customFormat="1" x14ac:dyDescent="0.35">
      <c r="B264" s="944"/>
      <c r="C264" s="1016"/>
      <c r="D264" s="1016"/>
      <c r="E264" s="1016"/>
      <c r="F264" s="1016"/>
      <c r="G264" s="926"/>
      <c r="H264" s="326"/>
    </row>
    <row r="265" spans="2:8" s="324" customFormat="1" x14ac:dyDescent="0.35">
      <c r="B265" s="929" t="s">
        <v>167</v>
      </c>
      <c r="C265" s="1008">
        <v>9324991.7236040067</v>
      </c>
      <c r="D265" s="1008">
        <v>10185301.252535295</v>
      </c>
      <c r="E265" s="1008">
        <v>10344573.351218</v>
      </c>
      <c r="F265" s="1008">
        <v>11452984.002088025</v>
      </c>
      <c r="G265" s="989">
        <v>10.714899621640923</v>
      </c>
      <c r="H265" s="326"/>
    </row>
    <row r="266" spans="2:8" s="324" customFormat="1" x14ac:dyDescent="0.35">
      <c r="B266" s="929" t="s">
        <v>243</v>
      </c>
      <c r="C266" s="1011">
        <v>194066.11627</v>
      </c>
      <c r="D266" s="1011">
        <v>4593624.4846347403</v>
      </c>
      <c r="E266" s="1011">
        <v>9673660.4688940011</v>
      </c>
      <c r="F266" s="1011">
        <v>9570018.6248339973</v>
      </c>
      <c r="G266" s="989">
        <v>-1.0713818661846546</v>
      </c>
      <c r="H266" s="326"/>
    </row>
    <row r="267" spans="2:8" s="324" customFormat="1" x14ac:dyDescent="0.35">
      <c r="B267" s="929" t="s">
        <v>244</v>
      </c>
      <c r="C267" s="1008">
        <v>772238.91126799979</v>
      </c>
      <c r="D267" s="1008">
        <v>895597.08106200013</v>
      </c>
      <c r="E267" s="1008">
        <v>1009981.7745679999</v>
      </c>
      <c r="F267" s="1008">
        <v>1418070.3406020016</v>
      </c>
      <c r="G267" s="989">
        <v>40.40553763542453</v>
      </c>
      <c r="H267" s="326"/>
    </row>
    <row r="268" spans="2:8" s="324" customFormat="1" x14ac:dyDescent="0.35">
      <c r="B268" s="991"/>
      <c r="C268" s="1008"/>
      <c r="D268" s="1008"/>
      <c r="E268" s="1008"/>
      <c r="F268" s="1008"/>
      <c r="G268" s="989"/>
      <c r="H268" s="326"/>
    </row>
    <row r="269" spans="2:8" s="324" customFormat="1" x14ac:dyDescent="0.35">
      <c r="B269" s="929" t="s">
        <v>173</v>
      </c>
      <c r="C269" s="1012">
        <v>768931.94846799993</v>
      </c>
      <c r="D269" s="1012">
        <v>886116.1834900002</v>
      </c>
      <c r="E269" s="1012">
        <v>992858.95756799995</v>
      </c>
      <c r="F269" s="1012">
        <v>1393245.3176019997</v>
      </c>
      <c r="G269" s="989">
        <v>40.326610036811566</v>
      </c>
      <c r="H269" s="326"/>
    </row>
    <row r="270" spans="2:8" s="324" customFormat="1" x14ac:dyDescent="0.35">
      <c r="B270" s="933" t="s">
        <v>62</v>
      </c>
      <c r="C270" s="1017">
        <v>625030.65807400004</v>
      </c>
      <c r="D270" s="1017">
        <v>659509.89948400017</v>
      </c>
      <c r="E270" s="1017">
        <v>678485.27526599995</v>
      </c>
      <c r="F270" s="1017">
        <v>850204.3448219992</v>
      </c>
      <c r="G270" s="928">
        <v>25.309181468776437</v>
      </c>
      <c r="H270" s="326"/>
    </row>
    <row r="271" spans="2:8" s="324" customFormat="1" x14ac:dyDescent="0.35">
      <c r="B271" s="933" t="s">
        <v>63</v>
      </c>
      <c r="C271" s="1017">
        <v>143600.383394</v>
      </c>
      <c r="D271" s="1017">
        <v>226606.284006</v>
      </c>
      <c r="E271" s="1017">
        <v>313246.79100199998</v>
      </c>
      <c r="F271" s="1017">
        <v>542973.41378000053</v>
      </c>
      <c r="G271" s="928">
        <v>73.33726294311306</v>
      </c>
      <c r="H271" s="326"/>
    </row>
    <row r="272" spans="2:8" s="324" customFormat="1" x14ac:dyDescent="0.35">
      <c r="B272" s="933" t="s">
        <v>64</v>
      </c>
      <c r="C272" s="1017">
        <v>300.90700000000004</v>
      </c>
      <c r="D272" s="1017">
        <v>0</v>
      </c>
      <c r="E272" s="1017">
        <v>1126.8913</v>
      </c>
      <c r="F272" s="1017">
        <v>67.558999999999997</v>
      </c>
      <c r="G272" s="928">
        <v>-94.004834361575078</v>
      </c>
      <c r="H272" s="326"/>
    </row>
    <row r="273" spans="2:8" s="324" customFormat="1" x14ac:dyDescent="0.35">
      <c r="B273" s="929" t="s">
        <v>174</v>
      </c>
      <c r="C273" s="1012">
        <v>3306.9628000000002</v>
      </c>
      <c r="D273" s="1012">
        <v>9480.8975719999999</v>
      </c>
      <c r="E273" s="1012">
        <v>17122.817000000003</v>
      </c>
      <c r="F273" s="1012">
        <v>24825.022999999997</v>
      </c>
      <c r="G273" s="989">
        <v>44.982119472514327</v>
      </c>
      <c r="H273" s="326"/>
    </row>
    <row r="274" spans="2:8" s="324" customFormat="1" x14ac:dyDescent="0.35">
      <c r="B274" s="780"/>
      <c r="C274" s="781"/>
      <c r="D274" s="781"/>
      <c r="E274" s="781"/>
      <c r="F274" s="781"/>
      <c r="G274" s="782"/>
      <c r="H274" s="326"/>
    </row>
    <row r="275" spans="2:8" s="324" customFormat="1" x14ac:dyDescent="0.35">
      <c r="B275" s="6"/>
      <c r="C275" s="314"/>
      <c r="D275" s="314"/>
      <c r="E275" s="314"/>
      <c r="F275" s="314"/>
      <c r="G275" s="694"/>
      <c r="H275" s="326"/>
    </row>
    <row r="276" spans="2:8" s="324" customFormat="1" x14ac:dyDescent="0.35">
      <c r="B276" s="8"/>
      <c r="C276" s="106"/>
      <c r="D276" s="106"/>
      <c r="E276" s="106"/>
      <c r="F276" s="106"/>
      <c r="G276" s="680"/>
      <c r="H276" s="326"/>
    </row>
    <row r="277" spans="2:8" s="324" customFormat="1" x14ac:dyDescent="0.35">
      <c r="B277" s="8"/>
      <c r="C277" s="106"/>
      <c r="D277" s="106"/>
      <c r="E277" s="106"/>
      <c r="F277" s="106"/>
      <c r="G277" s="680"/>
      <c r="H277" s="326"/>
    </row>
    <row r="278" spans="2:8" s="324" customFormat="1" x14ac:dyDescent="0.35">
      <c r="B278" s="8"/>
      <c r="C278" s="106"/>
      <c r="D278" s="106"/>
      <c r="E278" s="106"/>
      <c r="F278" s="106"/>
      <c r="G278" s="680"/>
      <c r="H278" s="326"/>
    </row>
    <row r="279" spans="2:8" s="324" customFormat="1" x14ac:dyDescent="0.35">
      <c r="B279" s="8"/>
      <c r="C279" s="106"/>
      <c r="D279" s="106"/>
      <c r="E279" s="106"/>
      <c r="F279" s="106"/>
      <c r="G279" s="680"/>
      <c r="H279" s="326"/>
    </row>
    <row r="280" spans="2:8" s="324" customFormat="1" x14ac:dyDescent="0.35">
      <c r="B280" s="8"/>
      <c r="C280" s="106"/>
      <c r="D280" s="106"/>
      <c r="E280" s="106"/>
      <c r="F280" s="106"/>
      <c r="G280" s="680"/>
      <c r="H280" s="326"/>
    </row>
    <row r="281" spans="2:8" s="324" customFormat="1" x14ac:dyDescent="0.35">
      <c r="B281" s="8"/>
      <c r="C281" s="106"/>
      <c r="D281" s="106"/>
      <c r="E281" s="106"/>
      <c r="F281" s="106"/>
      <c r="G281" s="680"/>
      <c r="H281" s="326"/>
    </row>
    <row r="282" spans="2:8" s="324" customFormat="1" x14ac:dyDescent="0.35">
      <c r="B282" s="8"/>
      <c r="C282" s="106"/>
      <c r="D282" s="106"/>
      <c r="E282" s="106"/>
      <c r="F282" s="106"/>
      <c r="G282" s="680"/>
      <c r="H282" s="326"/>
    </row>
    <row r="283" spans="2:8" s="324" customFormat="1" x14ac:dyDescent="0.35">
      <c r="B283" s="8"/>
      <c r="C283" s="106"/>
      <c r="D283" s="106"/>
      <c r="E283" s="106"/>
      <c r="F283" s="106"/>
      <c r="G283" s="680"/>
      <c r="H283" s="326"/>
    </row>
    <row r="284" spans="2:8" s="324" customFormat="1" x14ac:dyDescent="0.35">
      <c r="B284" s="8"/>
      <c r="C284" s="106"/>
      <c r="D284" s="106"/>
      <c r="E284" s="106"/>
      <c r="F284" s="106"/>
      <c r="G284" s="680"/>
      <c r="H284" s="326"/>
    </row>
    <row r="285" spans="2:8" s="324" customFormat="1" x14ac:dyDescent="0.35">
      <c r="B285" s="8"/>
      <c r="C285" s="106"/>
      <c r="D285" s="106"/>
      <c r="E285" s="106"/>
      <c r="F285" s="106"/>
      <c r="G285" s="680"/>
      <c r="H285" s="326"/>
    </row>
    <row r="286" spans="2:8" s="324" customFormat="1" x14ac:dyDescent="0.35">
      <c r="B286" s="8"/>
      <c r="C286" s="106"/>
      <c r="D286" s="106"/>
      <c r="E286" s="106"/>
      <c r="F286" s="106"/>
      <c r="G286" s="680"/>
      <c r="H286" s="326"/>
    </row>
    <row r="287" spans="2:8" s="324" customFormat="1" x14ac:dyDescent="0.35">
      <c r="B287" s="8"/>
      <c r="C287" s="106"/>
      <c r="D287" s="106"/>
      <c r="E287" s="106"/>
      <c r="F287" s="106"/>
      <c r="G287" s="680"/>
      <c r="H287" s="326"/>
    </row>
    <row r="288" spans="2:8" s="324" customFormat="1" x14ac:dyDescent="0.35">
      <c r="B288" s="8"/>
      <c r="C288" s="106"/>
      <c r="D288" s="106"/>
      <c r="E288" s="106"/>
      <c r="F288" s="106"/>
      <c r="G288" s="680"/>
      <c r="H288" s="326"/>
    </row>
    <row r="289" spans="2:8" s="324" customFormat="1" x14ac:dyDescent="0.35">
      <c r="B289" s="8"/>
      <c r="C289" s="106"/>
      <c r="D289" s="106"/>
      <c r="E289" s="106"/>
      <c r="F289" s="106"/>
      <c r="G289" s="680"/>
      <c r="H289" s="326"/>
    </row>
    <row r="290" spans="2:8" s="324" customFormat="1" x14ac:dyDescent="0.35">
      <c r="B290" s="8"/>
      <c r="C290" s="106"/>
      <c r="D290" s="106"/>
      <c r="E290" s="106"/>
      <c r="F290" s="106"/>
      <c r="G290" s="680"/>
      <c r="H290" s="326"/>
    </row>
    <row r="291" spans="2:8" s="324" customFormat="1" x14ac:dyDescent="0.35">
      <c r="B291" s="8"/>
      <c r="C291" s="106"/>
      <c r="D291" s="106"/>
      <c r="E291" s="106"/>
      <c r="F291" s="106"/>
      <c r="G291" s="680"/>
      <c r="H291" s="326"/>
    </row>
    <row r="292" spans="2:8" s="324" customFormat="1" x14ac:dyDescent="0.35">
      <c r="B292" s="8"/>
      <c r="C292" s="106"/>
      <c r="D292" s="106"/>
      <c r="E292" s="106"/>
      <c r="F292" s="106"/>
      <c r="G292" s="680"/>
      <c r="H292" s="326"/>
    </row>
    <row r="293" spans="2:8" s="324" customFormat="1" x14ac:dyDescent="0.35">
      <c r="B293" s="8"/>
      <c r="C293" s="106"/>
      <c r="D293" s="106"/>
      <c r="E293" s="106"/>
      <c r="F293" s="106"/>
      <c r="G293" s="680"/>
      <c r="H293" s="326"/>
    </row>
    <row r="294" spans="2:8" s="324" customFormat="1" x14ac:dyDescent="0.35">
      <c r="B294" s="8"/>
      <c r="C294" s="106"/>
      <c r="D294" s="106"/>
      <c r="E294" s="106"/>
      <c r="F294" s="106"/>
      <c r="G294" s="680"/>
      <c r="H294" s="326"/>
    </row>
    <row r="295" spans="2:8" s="324" customFormat="1" x14ac:dyDescent="0.35">
      <c r="B295" s="8"/>
      <c r="C295" s="106"/>
      <c r="D295" s="106"/>
      <c r="E295" s="106"/>
      <c r="F295" s="106"/>
      <c r="G295" s="680"/>
      <c r="H295" s="326"/>
    </row>
    <row r="296" spans="2:8" s="324" customFormat="1" x14ac:dyDescent="0.35">
      <c r="B296" s="8"/>
      <c r="C296" s="106"/>
      <c r="D296" s="106"/>
      <c r="E296" s="106"/>
      <c r="F296" s="106"/>
      <c r="G296" s="680"/>
      <c r="H296" s="326"/>
    </row>
    <row r="297" spans="2:8" s="324" customFormat="1" x14ac:dyDescent="0.35">
      <c r="B297" s="8"/>
      <c r="C297" s="106"/>
      <c r="D297" s="106"/>
      <c r="E297" s="106"/>
      <c r="F297" s="106"/>
      <c r="G297" s="680"/>
      <c r="H297" s="326"/>
    </row>
    <row r="298" spans="2:8" s="324" customFormat="1" x14ac:dyDescent="0.35">
      <c r="B298" s="8"/>
      <c r="C298" s="106"/>
      <c r="D298" s="106"/>
      <c r="E298" s="106"/>
      <c r="F298" s="106"/>
      <c r="G298" s="680"/>
      <c r="H298" s="326"/>
    </row>
    <row r="299" spans="2:8" s="324" customFormat="1" x14ac:dyDescent="0.35">
      <c r="B299" s="8"/>
      <c r="C299" s="106"/>
      <c r="D299" s="106"/>
      <c r="E299" s="106"/>
      <c r="F299" s="106"/>
      <c r="G299" s="680"/>
      <c r="H299" s="326"/>
    </row>
    <row r="300" spans="2:8" s="324" customFormat="1" x14ac:dyDescent="0.35">
      <c r="B300" s="8"/>
      <c r="C300" s="106"/>
      <c r="D300" s="106"/>
      <c r="E300" s="106"/>
      <c r="F300" s="106"/>
      <c r="G300" s="680"/>
      <c r="H300" s="326"/>
    </row>
    <row r="301" spans="2:8" s="324" customFormat="1" x14ac:dyDescent="0.35">
      <c r="B301" s="8"/>
      <c r="C301" s="106"/>
      <c r="D301" s="106"/>
      <c r="E301" s="106"/>
      <c r="F301" s="106"/>
      <c r="G301" s="680"/>
      <c r="H301" s="326"/>
    </row>
    <row r="302" spans="2:8" s="324" customFormat="1" x14ac:dyDescent="0.35">
      <c r="B302" s="8"/>
      <c r="C302" s="106"/>
      <c r="D302" s="106"/>
      <c r="E302" s="106"/>
      <c r="F302" s="106"/>
      <c r="G302" s="680"/>
      <c r="H302" s="326"/>
    </row>
    <row r="303" spans="2:8" s="324" customFormat="1" x14ac:dyDescent="0.35">
      <c r="B303" s="8"/>
      <c r="C303" s="106"/>
      <c r="D303" s="106"/>
      <c r="E303" s="106"/>
      <c r="F303" s="106"/>
      <c r="G303" s="680"/>
      <c r="H303" s="326"/>
    </row>
    <row r="304" spans="2:8" s="324" customFormat="1" x14ac:dyDescent="0.35">
      <c r="B304" s="8"/>
      <c r="C304" s="106"/>
      <c r="D304" s="106"/>
      <c r="E304" s="106"/>
      <c r="F304" s="106"/>
      <c r="G304" s="680"/>
      <c r="H304" s="326"/>
    </row>
    <row r="305" spans="1:8" s="324" customFormat="1" x14ac:dyDescent="0.35">
      <c r="B305" s="8"/>
      <c r="C305" s="106"/>
      <c r="D305" s="106"/>
      <c r="E305" s="106"/>
      <c r="F305" s="106"/>
      <c r="G305" s="680"/>
      <c r="H305" s="326"/>
    </row>
    <row r="306" spans="1:8" s="324" customFormat="1" x14ac:dyDescent="0.35">
      <c r="B306" s="8"/>
      <c r="C306" s="106"/>
      <c r="D306" s="106"/>
      <c r="E306" s="106"/>
      <c r="F306" s="106"/>
      <c r="G306" s="680"/>
      <c r="H306" s="326"/>
    </row>
    <row r="307" spans="1:8" s="324" customFormat="1" x14ac:dyDescent="0.35">
      <c r="B307" s="8"/>
      <c r="C307" s="106"/>
      <c r="D307" s="106"/>
      <c r="E307" s="106"/>
      <c r="F307" s="106"/>
      <c r="G307" s="680"/>
      <c r="H307" s="326"/>
    </row>
    <row r="308" spans="1:8" s="324" customFormat="1" x14ac:dyDescent="0.35">
      <c r="B308" s="8"/>
      <c r="C308" s="106"/>
      <c r="D308" s="106"/>
      <c r="E308" s="106"/>
      <c r="F308" s="106"/>
      <c r="G308" s="680"/>
      <c r="H308" s="326"/>
    </row>
    <row r="309" spans="1:8" s="324" customFormat="1" x14ac:dyDescent="0.35">
      <c r="B309" s="8"/>
      <c r="C309" s="106"/>
      <c r="D309" s="106"/>
      <c r="E309" s="106"/>
      <c r="F309" s="106"/>
      <c r="G309" s="680"/>
      <c r="H309" s="326"/>
    </row>
    <row r="310" spans="1:8" s="324" customFormat="1" x14ac:dyDescent="0.35">
      <c r="B310" s="8"/>
      <c r="C310" s="106"/>
      <c r="D310" s="106"/>
      <c r="E310" s="106"/>
      <c r="F310" s="106"/>
      <c r="G310" s="680"/>
      <c r="H310" s="326"/>
    </row>
    <row r="311" spans="1:8" s="324" customFormat="1" x14ac:dyDescent="0.35">
      <c r="B311" s="8"/>
      <c r="C311" s="106"/>
      <c r="D311" s="106"/>
      <c r="E311" s="106"/>
      <c r="F311" s="106"/>
      <c r="G311" s="680"/>
      <c r="H311" s="326"/>
    </row>
    <row r="312" spans="1:8" s="324" customFormat="1" x14ac:dyDescent="0.35">
      <c r="B312" s="8"/>
      <c r="C312" s="106"/>
      <c r="D312" s="106"/>
      <c r="E312" s="106"/>
      <c r="F312" s="106"/>
      <c r="G312" s="680"/>
      <c r="H312" s="326"/>
    </row>
    <row r="313" spans="1:8" x14ac:dyDescent="0.35">
      <c r="A313" s="324"/>
    </row>
    <row r="314" spans="1:8" x14ac:dyDescent="0.35">
      <c r="A314" s="324"/>
    </row>
    <row r="315" spans="1:8" s="324" customFormat="1" x14ac:dyDescent="0.35">
      <c r="B315" s="8"/>
      <c r="C315" s="106"/>
      <c r="D315" s="106"/>
      <c r="E315" s="106"/>
      <c r="F315" s="106"/>
      <c r="G315" s="680"/>
      <c r="H315" s="326"/>
    </row>
    <row r="316" spans="1:8" s="324" customFormat="1" x14ac:dyDescent="0.35">
      <c r="B316" s="8"/>
      <c r="C316" s="106"/>
      <c r="D316" s="106"/>
      <c r="E316" s="106"/>
      <c r="F316" s="106"/>
      <c r="G316" s="680"/>
      <c r="H316" s="326"/>
    </row>
    <row r="317" spans="1:8" s="324" customFormat="1" x14ac:dyDescent="0.35">
      <c r="B317" s="8"/>
      <c r="C317" s="106"/>
      <c r="D317" s="106"/>
      <c r="E317" s="106"/>
      <c r="F317" s="106"/>
      <c r="G317" s="680"/>
      <c r="H317" s="326"/>
    </row>
    <row r="318" spans="1:8" s="324" customFormat="1" x14ac:dyDescent="0.35">
      <c r="B318" s="8"/>
      <c r="C318" s="106"/>
      <c r="D318" s="106"/>
      <c r="E318" s="106"/>
      <c r="F318" s="106"/>
      <c r="G318" s="680"/>
      <c r="H318" s="326"/>
    </row>
    <row r="319" spans="1:8" s="324" customFormat="1" x14ac:dyDescent="0.35">
      <c r="B319" s="8"/>
      <c r="C319" s="106"/>
      <c r="D319" s="106"/>
      <c r="E319" s="106"/>
      <c r="F319" s="106"/>
      <c r="G319" s="680"/>
      <c r="H319" s="326"/>
    </row>
    <row r="320" spans="1:8" s="324" customFormat="1" x14ac:dyDescent="0.35">
      <c r="B320" s="8"/>
      <c r="C320" s="106"/>
      <c r="D320" s="106"/>
      <c r="E320" s="106"/>
      <c r="F320" s="106"/>
      <c r="G320" s="680"/>
      <c r="H320" s="326"/>
    </row>
    <row r="321" spans="2:8" s="324" customFormat="1" x14ac:dyDescent="0.35">
      <c r="B321" s="8"/>
      <c r="C321" s="106"/>
      <c r="D321" s="106"/>
      <c r="E321" s="106"/>
      <c r="F321" s="106"/>
      <c r="G321" s="680"/>
      <c r="H321" s="326"/>
    </row>
    <row r="322" spans="2:8" s="324" customFormat="1" x14ac:dyDescent="0.35">
      <c r="B322" s="8"/>
      <c r="C322" s="106"/>
      <c r="D322" s="106"/>
      <c r="E322" s="106"/>
      <c r="F322" s="106"/>
      <c r="G322" s="680"/>
      <c r="H322" s="326"/>
    </row>
    <row r="323" spans="2:8" s="324" customFormat="1" x14ac:dyDescent="0.35">
      <c r="B323" s="8"/>
      <c r="C323" s="106"/>
      <c r="D323" s="106"/>
      <c r="E323" s="106"/>
      <c r="F323" s="106"/>
      <c r="G323" s="680"/>
      <c r="H323" s="326"/>
    </row>
    <row r="324" spans="2:8" s="324" customFormat="1" x14ac:dyDescent="0.35">
      <c r="B324" s="8"/>
      <c r="C324" s="106"/>
      <c r="D324" s="106"/>
      <c r="E324" s="106"/>
      <c r="F324" s="106"/>
      <c r="G324" s="680"/>
      <c r="H324" s="326"/>
    </row>
    <row r="325" spans="2:8" s="324" customFormat="1" x14ac:dyDescent="0.35">
      <c r="B325" s="8"/>
      <c r="C325" s="106"/>
      <c r="D325" s="106"/>
      <c r="E325" s="106"/>
      <c r="F325" s="106"/>
      <c r="G325" s="680"/>
      <c r="H325" s="326"/>
    </row>
    <row r="326" spans="2:8" s="324" customFormat="1" x14ac:dyDescent="0.35">
      <c r="B326" s="8"/>
      <c r="C326" s="106"/>
      <c r="D326" s="106"/>
      <c r="E326" s="106"/>
      <c r="F326" s="106"/>
      <c r="G326" s="680"/>
      <c r="H326" s="326"/>
    </row>
    <row r="327" spans="2:8" s="324" customFormat="1" x14ac:dyDescent="0.35">
      <c r="B327" s="8"/>
      <c r="C327" s="106"/>
      <c r="D327" s="106"/>
      <c r="E327" s="106"/>
      <c r="F327" s="106"/>
      <c r="G327" s="680"/>
      <c r="H327" s="326"/>
    </row>
    <row r="328" spans="2:8" s="324" customFormat="1" x14ac:dyDescent="0.35">
      <c r="B328" s="8"/>
      <c r="C328" s="106"/>
      <c r="D328" s="106"/>
      <c r="E328" s="106"/>
      <c r="F328" s="106"/>
      <c r="G328" s="680"/>
      <c r="H328" s="326"/>
    </row>
    <row r="329" spans="2:8" s="324" customFormat="1" x14ac:dyDescent="0.35">
      <c r="B329" s="8"/>
      <c r="C329" s="106"/>
      <c r="D329" s="106"/>
      <c r="E329" s="106"/>
      <c r="F329" s="106"/>
      <c r="G329" s="680"/>
      <c r="H329" s="326"/>
    </row>
    <row r="330" spans="2:8" s="324" customFormat="1" x14ac:dyDescent="0.35">
      <c r="B330" s="8"/>
      <c r="C330" s="106"/>
      <c r="D330" s="106"/>
      <c r="E330" s="106"/>
      <c r="F330" s="106"/>
      <c r="G330" s="680"/>
      <c r="H330" s="326"/>
    </row>
    <row r="331" spans="2:8" s="324" customFormat="1" x14ac:dyDescent="0.35">
      <c r="B331" s="8"/>
      <c r="C331" s="106"/>
      <c r="D331" s="106"/>
      <c r="E331" s="106"/>
      <c r="F331" s="106"/>
      <c r="G331" s="680"/>
      <c r="H331" s="326"/>
    </row>
    <row r="332" spans="2:8" s="324" customFormat="1" x14ac:dyDescent="0.35">
      <c r="B332" s="8"/>
      <c r="C332" s="106"/>
      <c r="D332" s="106"/>
      <c r="E332" s="106"/>
      <c r="F332" s="106"/>
      <c r="G332" s="680"/>
      <c r="H332" s="326"/>
    </row>
    <row r="333" spans="2:8" s="324" customFormat="1" x14ac:dyDescent="0.35">
      <c r="B333" s="8"/>
      <c r="C333" s="106"/>
      <c r="D333" s="106"/>
      <c r="E333" s="106"/>
      <c r="F333" s="106"/>
      <c r="G333" s="680"/>
      <c r="H333" s="326"/>
    </row>
    <row r="334" spans="2:8" s="324" customFormat="1" x14ac:dyDescent="0.35">
      <c r="B334" s="8"/>
      <c r="C334" s="106"/>
      <c r="D334" s="106"/>
      <c r="E334" s="106"/>
      <c r="F334" s="106"/>
      <c r="G334" s="680"/>
      <c r="H334" s="326"/>
    </row>
    <row r="335" spans="2:8" s="324" customFormat="1" x14ac:dyDescent="0.35">
      <c r="B335" s="8"/>
      <c r="C335" s="106"/>
      <c r="D335" s="106"/>
      <c r="E335" s="106"/>
      <c r="F335" s="106"/>
      <c r="G335" s="680"/>
      <c r="H335" s="326"/>
    </row>
    <row r="336" spans="2:8" s="324" customFormat="1" x14ac:dyDescent="0.35">
      <c r="B336" s="8"/>
      <c r="C336" s="106"/>
      <c r="D336" s="106"/>
      <c r="E336" s="106"/>
      <c r="F336" s="106"/>
      <c r="G336" s="680"/>
      <c r="H336" s="326"/>
    </row>
    <row r="337" spans="2:8" s="324" customFormat="1" x14ac:dyDescent="0.35">
      <c r="B337" s="8"/>
      <c r="C337" s="106"/>
      <c r="D337" s="106"/>
      <c r="E337" s="106"/>
      <c r="F337" s="106"/>
      <c r="G337" s="680"/>
      <c r="H337" s="326"/>
    </row>
    <row r="338" spans="2:8" s="324" customFormat="1" x14ac:dyDescent="0.35">
      <c r="B338" s="8"/>
      <c r="C338" s="106"/>
      <c r="D338" s="106"/>
      <c r="E338" s="106"/>
      <c r="F338" s="106"/>
      <c r="G338" s="680"/>
      <c r="H338" s="326"/>
    </row>
    <row r="339" spans="2:8" s="324" customFormat="1" x14ac:dyDescent="0.35">
      <c r="B339" s="8"/>
      <c r="C339" s="106"/>
      <c r="D339" s="106"/>
      <c r="E339" s="106"/>
      <c r="F339" s="106"/>
      <c r="G339" s="680"/>
      <c r="H339" s="326"/>
    </row>
    <row r="340" spans="2:8" s="324" customFormat="1" x14ac:dyDescent="0.35">
      <c r="B340" s="8"/>
      <c r="C340" s="106"/>
      <c r="D340" s="106"/>
      <c r="E340" s="106"/>
      <c r="F340" s="106"/>
      <c r="G340" s="680"/>
      <c r="H340" s="326"/>
    </row>
    <row r="341" spans="2:8" s="324" customFormat="1" x14ac:dyDescent="0.35">
      <c r="B341" s="8"/>
      <c r="C341" s="106"/>
      <c r="D341" s="106"/>
      <c r="E341" s="106"/>
      <c r="F341" s="106"/>
      <c r="G341" s="680"/>
      <c r="H341" s="326"/>
    </row>
    <row r="342" spans="2:8" s="324" customFormat="1" ht="14.25" customHeight="1" x14ac:dyDescent="0.35">
      <c r="B342" s="8"/>
      <c r="C342" s="106"/>
      <c r="D342" s="106"/>
      <c r="E342" s="106"/>
      <c r="F342" s="106"/>
      <c r="G342" s="680"/>
      <c r="H342" s="326"/>
    </row>
    <row r="343" spans="2:8" s="324" customFormat="1" ht="14.25" customHeight="1" x14ac:dyDescent="0.35">
      <c r="B343" s="8"/>
      <c r="C343" s="106"/>
      <c r="D343" s="106"/>
      <c r="E343" s="106"/>
      <c r="F343" s="106"/>
      <c r="G343" s="680"/>
      <c r="H343" s="326"/>
    </row>
    <row r="344" spans="2:8" s="324" customFormat="1" x14ac:dyDescent="0.35">
      <c r="B344" s="8"/>
      <c r="C344" s="106"/>
      <c r="D344" s="106"/>
      <c r="E344" s="106"/>
      <c r="F344" s="106"/>
      <c r="G344" s="680"/>
      <c r="H344" s="326"/>
    </row>
    <row r="345" spans="2:8" s="324" customFormat="1" x14ac:dyDescent="0.35">
      <c r="B345" s="8"/>
      <c r="C345" s="106"/>
      <c r="D345" s="106"/>
      <c r="E345" s="106"/>
      <c r="F345" s="106"/>
      <c r="G345" s="680"/>
      <c r="H345" s="326"/>
    </row>
    <row r="346" spans="2:8" s="324" customFormat="1" x14ac:dyDescent="0.35">
      <c r="B346" s="8"/>
      <c r="C346" s="106"/>
      <c r="D346" s="106"/>
      <c r="E346" s="106"/>
      <c r="F346" s="106"/>
      <c r="G346" s="680"/>
      <c r="H346" s="326"/>
    </row>
    <row r="347" spans="2:8" s="324" customFormat="1" x14ac:dyDescent="0.35">
      <c r="B347" s="8"/>
      <c r="C347" s="106"/>
      <c r="D347" s="106"/>
      <c r="E347" s="106"/>
      <c r="F347" s="106"/>
      <c r="G347" s="680"/>
      <c r="H347" s="326"/>
    </row>
    <row r="348" spans="2:8" s="324" customFormat="1" x14ac:dyDescent="0.35">
      <c r="B348" s="8"/>
      <c r="C348" s="106"/>
      <c r="D348" s="106"/>
      <c r="E348" s="106"/>
      <c r="F348" s="106"/>
      <c r="G348" s="680"/>
      <c r="H348" s="326"/>
    </row>
    <row r="349" spans="2:8" s="324" customFormat="1" x14ac:dyDescent="0.35">
      <c r="B349" s="8"/>
      <c r="C349" s="106"/>
      <c r="D349" s="106"/>
      <c r="E349" s="106"/>
      <c r="F349" s="106"/>
      <c r="G349" s="680"/>
      <c r="H349" s="326"/>
    </row>
    <row r="350" spans="2:8" s="324" customFormat="1" x14ac:dyDescent="0.35">
      <c r="B350" s="8"/>
      <c r="C350" s="106"/>
      <c r="D350" s="106"/>
      <c r="E350" s="106"/>
      <c r="F350" s="106"/>
      <c r="G350" s="680"/>
      <c r="H350" s="326"/>
    </row>
    <row r="351" spans="2:8" s="324" customFormat="1" x14ac:dyDescent="0.35">
      <c r="B351" s="8"/>
      <c r="C351" s="106"/>
      <c r="D351" s="106"/>
      <c r="E351" s="106"/>
      <c r="F351" s="106"/>
      <c r="G351" s="680"/>
      <c r="H351" s="326"/>
    </row>
    <row r="352" spans="2:8" s="324" customFormat="1" ht="29.25" customHeight="1" x14ac:dyDescent="0.35">
      <c r="B352" s="8"/>
      <c r="C352" s="106"/>
      <c r="D352" s="106"/>
      <c r="E352" s="106"/>
      <c r="F352" s="106"/>
      <c r="G352" s="680"/>
      <c r="H352" s="326"/>
    </row>
    <row r="353" spans="1:8" s="324" customFormat="1" x14ac:dyDescent="0.35">
      <c r="B353" s="8"/>
      <c r="C353" s="106"/>
      <c r="D353" s="106"/>
      <c r="E353" s="106"/>
      <c r="F353" s="106"/>
      <c r="G353" s="680"/>
      <c r="H353" s="326"/>
    </row>
    <row r="354" spans="1:8" x14ac:dyDescent="0.35">
      <c r="A354" s="324"/>
    </row>
    <row r="355" spans="1:8" x14ac:dyDescent="0.35">
      <c r="A355" s="324"/>
    </row>
    <row r="356" spans="1:8" s="324" customFormat="1" x14ac:dyDescent="0.35">
      <c r="B356" s="8"/>
      <c r="C356" s="106"/>
      <c r="D356" s="106"/>
      <c r="E356" s="106"/>
      <c r="F356" s="106"/>
      <c r="G356" s="680"/>
      <c r="H356" s="326"/>
    </row>
    <row r="357" spans="1:8" s="324" customFormat="1" x14ac:dyDescent="0.35">
      <c r="B357" s="8"/>
      <c r="C357" s="106"/>
      <c r="D357" s="106"/>
      <c r="E357" s="106"/>
      <c r="F357" s="106"/>
      <c r="G357" s="680"/>
      <c r="H357" s="326"/>
    </row>
    <row r="358" spans="1:8" s="324" customFormat="1" x14ac:dyDescent="0.35">
      <c r="B358" s="8"/>
      <c r="C358" s="106"/>
      <c r="D358" s="106"/>
      <c r="E358" s="106"/>
      <c r="F358" s="106"/>
      <c r="G358" s="680"/>
      <c r="H358" s="326"/>
    </row>
    <row r="359" spans="1:8" s="324" customFormat="1" x14ac:dyDescent="0.35">
      <c r="B359" s="8"/>
      <c r="C359" s="106"/>
      <c r="D359" s="106"/>
      <c r="E359" s="106"/>
      <c r="F359" s="106"/>
      <c r="G359" s="680"/>
      <c r="H359" s="326"/>
    </row>
    <row r="360" spans="1:8" s="324" customFormat="1" x14ac:dyDescent="0.35">
      <c r="B360" s="8"/>
      <c r="C360" s="106"/>
      <c r="D360" s="106"/>
      <c r="E360" s="106"/>
      <c r="F360" s="106"/>
      <c r="G360" s="680"/>
      <c r="H360" s="326"/>
    </row>
    <row r="361" spans="1:8" s="324" customFormat="1" x14ac:dyDescent="0.35">
      <c r="B361" s="8"/>
      <c r="C361" s="106"/>
      <c r="D361" s="106"/>
      <c r="E361" s="106"/>
      <c r="F361" s="106"/>
      <c r="G361" s="680"/>
      <c r="H361" s="326"/>
    </row>
    <row r="362" spans="1:8" s="324" customFormat="1" x14ac:dyDescent="0.35">
      <c r="B362" s="8"/>
      <c r="C362" s="106"/>
      <c r="D362" s="106"/>
      <c r="E362" s="106"/>
      <c r="F362" s="106"/>
      <c r="G362" s="680"/>
      <c r="H362" s="326"/>
    </row>
    <row r="363" spans="1:8" s="324" customFormat="1" x14ac:dyDescent="0.35">
      <c r="B363" s="8"/>
      <c r="C363" s="106"/>
      <c r="D363" s="106"/>
      <c r="E363" s="106"/>
      <c r="F363" s="106"/>
      <c r="G363" s="680"/>
      <c r="H363" s="326"/>
    </row>
    <row r="364" spans="1:8" s="324" customFormat="1" x14ac:dyDescent="0.35">
      <c r="B364" s="8"/>
      <c r="C364" s="106"/>
      <c r="D364" s="106"/>
      <c r="E364" s="106"/>
      <c r="F364" s="106"/>
      <c r="G364" s="680"/>
      <c r="H364" s="326"/>
    </row>
    <row r="365" spans="1:8" s="324" customFormat="1" x14ac:dyDescent="0.35">
      <c r="B365" s="8"/>
      <c r="C365" s="106"/>
      <c r="D365" s="106"/>
      <c r="E365" s="106"/>
      <c r="F365" s="106"/>
      <c r="G365" s="680"/>
      <c r="H365" s="326"/>
    </row>
    <row r="366" spans="1:8" s="324" customFormat="1" x14ac:dyDescent="0.35">
      <c r="B366" s="8"/>
      <c r="C366" s="106"/>
      <c r="D366" s="106"/>
      <c r="E366" s="106"/>
      <c r="F366" s="106"/>
      <c r="G366" s="680"/>
      <c r="H366" s="326"/>
    </row>
    <row r="367" spans="1:8" s="324" customFormat="1" x14ac:dyDescent="0.35">
      <c r="B367" s="8"/>
      <c r="C367" s="106"/>
      <c r="D367" s="106"/>
      <c r="E367" s="106"/>
      <c r="F367" s="106"/>
      <c r="G367" s="680"/>
      <c r="H367" s="326"/>
    </row>
    <row r="368" spans="1:8" s="324" customFormat="1" x14ac:dyDescent="0.35">
      <c r="B368" s="8"/>
      <c r="C368" s="106"/>
      <c r="D368" s="106"/>
      <c r="E368" s="106"/>
      <c r="F368" s="106"/>
      <c r="G368" s="680"/>
      <c r="H368" s="326"/>
    </row>
    <row r="369" spans="2:8" s="324" customFormat="1" x14ac:dyDescent="0.35">
      <c r="B369" s="8"/>
      <c r="C369" s="106"/>
      <c r="D369" s="106"/>
      <c r="E369" s="106"/>
      <c r="F369" s="106"/>
      <c r="G369" s="680"/>
      <c r="H369" s="326"/>
    </row>
    <row r="370" spans="2:8" s="324" customFormat="1" x14ac:dyDescent="0.35">
      <c r="B370" s="8"/>
      <c r="C370" s="106"/>
      <c r="D370" s="106"/>
      <c r="E370" s="106"/>
      <c r="F370" s="106"/>
      <c r="G370" s="680"/>
      <c r="H370" s="326"/>
    </row>
    <row r="371" spans="2:8" s="324" customFormat="1" x14ac:dyDescent="0.35">
      <c r="B371" s="8"/>
      <c r="C371" s="106"/>
      <c r="D371" s="106"/>
      <c r="E371" s="106"/>
      <c r="F371" s="106"/>
      <c r="G371" s="680"/>
      <c r="H371" s="326"/>
    </row>
    <row r="372" spans="2:8" s="324" customFormat="1" x14ac:dyDescent="0.35">
      <c r="B372" s="8"/>
      <c r="C372" s="106"/>
      <c r="D372" s="106"/>
      <c r="E372" s="106"/>
      <c r="F372" s="106"/>
      <c r="G372" s="680"/>
      <c r="H372" s="326"/>
    </row>
    <row r="373" spans="2:8" s="324" customFormat="1" x14ac:dyDescent="0.35">
      <c r="B373" s="8"/>
      <c r="C373" s="106"/>
      <c r="D373" s="106"/>
      <c r="E373" s="106"/>
      <c r="F373" s="106"/>
      <c r="G373" s="680"/>
      <c r="H373" s="326"/>
    </row>
    <row r="374" spans="2:8" s="324" customFormat="1" x14ac:dyDescent="0.35">
      <c r="B374" s="8"/>
      <c r="C374" s="106"/>
      <c r="D374" s="106"/>
      <c r="E374" s="106"/>
      <c r="F374" s="106"/>
      <c r="G374" s="680"/>
      <c r="H374" s="326"/>
    </row>
    <row r="375" spans="2:8" s="324" customFormat="1" x14ac:dyDescent="0.35">
      <c r="B375" s="8"/>
      <c r="C375" s="106"/>
      <c r="D375" s="106"/>
      <c r="E375" s="106"/>
      <c r="F375" s="106"/>
      <c r="G375" s="680"/>
      <c r="H375" s="326"/>
    </row>
    <row r="376" spans="2:8" s="324" customFormat="1" x14ac:dyDescent="0.35">
      <c r="B376" s="8"/>
      <c r="C376" s="106"/>
      <c r="D376" s="106"/>
      <c r="E376" s="106"/>
      <c r="F376" s="106"/>
      <c r="G376" s="680"/>
      <c r="H376" s="326"/>
    </row>
    <row r="377" spans="2:8" s="324" customFormat="1" x14ac:dyDescent="0.35">
      <c r="B377" s="8"/>
      <c r="C377" s="106"/>
      <c r="D377" s="106"/>
      <c r="E377" s="106"/>
      <c r="F377" s="106"/>
      <c r="G377" s="680"/>
      <c r="H377" s="326"/>
    </row>
    <row r="378" spans="2:8" s="324" customFormat="1" x14ac:dyDescent="0.35">
      <c r="B378" s="8"/>
      <c r="C378" s="106"/>
      <c r="D378" s="106"/>
      <c r="E378" s="106"/>
      <c r="F378" s="106"/>
      <c r="G378" s="680"/>
      <c r="H378" s="326"/>
    </row>
    <row r="379" spans="2:8" s="324" customFormat="1" x14ac:dyDescent="0.35">
      <c r="B379" s="8"/>
      <c r="C379" s="106"/>
      <c r="D379" s="106"/>
      <c r="E379" s="106"/>
      <c r="F379" s="106"/>
      <c r="G379" s="680"/>
      <c r="H379" s="326"/>
    </row>
    <row r="380" spans="2:8" s="324" customFormat="1" x14ac:dyDescent="0.35">
      <c r="B380" s="8"/>
      <c r="C380" s="106"/>
      <c r="D380" s="106"/>
      <c r="E380" s="106"/>
      <c r="F380" s="106"/>
      <c r="G380" s="680"/>
      <c r="H380" s="326"/>
    </row>
    <row r="381" spans="2:8" s="324" customFormat="1" x14ac:dyDescent="0.35">
      <c r="B381" s="8"/>
      <c r="C381" s="106"/>
      <c r="D381" s="106"/>
      <c r="E381" s="106"/>
      <c r="F381" s="106"/>
      <c r="G381" s="680"/>
      <c r="H381" s="326"/>
    </row>
    <row r="382" spans="2:8" s="324" customFormat="1" x14ac:dyDescent="0.35">
      <c r="B382" s="8"/>
      <c r="C382" s="106"/>
      <c r="D382" s="106"/>
      <c r="E382" s="106"/>
      <c r="F382" s="106"/>
      <c r="G382" s="680"/>
      <c r="H382" s="326"/>
    </row>
    <row r="383" spans="2:8" s="324" customFormat="1" ht="14.25" customHeight="1" x14ac:dyDescent="0.35">
      <c r="B383" s="8"/>
      <c r="C383" s="106"/>
      <c r="D383" s="106"/>
      <c r="E383" s="106"/>
      <c r="F383" s="106"/>
      <c r="G383" s="680"/>
      <c r="H383" s="326"/>
    </row>
    <row r="384" spans="2:8" s="324" customFormat="1" x14ac:dyDescent="0.35">
      <c r="B384" s="8"/>
      <c r="C384" s="106"/>
      <c r="D384" s="106"/>
      <c r="E384" s="106"/>
      <c r="F384" s="106"/>
      <c r="G384" s="680"/>
      <c r="H384" s="326"/>
    </row>
    <row r="385" spans="2:8" s="324" customFormat="1" x14ac:dyDescent="0.35">
      <c r="B385" s="8"/>
      <c r="C385" s="106"/>
      <c r="D385" s="106"/>
      <c r="E385" s="106"/>
      <c r="F385" s="106"/>
      <c r="G385" s="680"/>
      <c r="H385" s="326"/>
    </row>
    <row r="386" spans="2:8" s="324" customFormat="1" x14ac:dyDescent="0.35">
      <c r="B386" s="8"/>
      <c r="C386" s="106"/>
      <c r="D386" s="106"/>
      <c r="E386" s="106"/>
      <c r="F386" s="106"/>
      <c r="G386" s="680"/>
      <c r="H386" s="326"/>
    </row>
    <row r="387" spans="2:8" s="324" customFormat="1" x14ac:dyDescent="0.35">
      <c r="B387" s="8"/>
      <c r="C387" s="106"/>
      <c r="D387" s="106"/>
      <c r="E387" s="106"/>
      <c r="F387" s="106"/>
      <c r="G387" s="680"/>
      <c r="H387" s="326"/>
    </row>
    <row r="388" spans="2:8" s="324" customFormat="1" x14ac:dyDescent="0.35">
      <c r="B388" s="8"/>
      <c r="C388" s="106"/>
      <c r="D388" s="106"/>
      <c r="E388" s="106"/>
      <c r="F388" s="106"/>
      <c r="G388" s="680"/>
      <c r="H388" s="326"/>
    </row>
    <row r="389" spans="2:8" s="324" customFormat="1" x14ac:dyDescent="0.35">
      <c r="B389" s="8"/>
      <c r="C389" s="106"/>
      <c r="D389" s="106"/>
      <c r="E389" s="106"/>
      <c r="F389" s="106"/>
      <c r="G389" s="680"/>
      <c r="H389" s="326"/>
    </row>
    <row r="390" spans="2:8" s="324" customFormat="1" x14ac:dyDescent="0.35">
      <c r="B390" s="8"/>
      <c r="C390" s="106"/>
      <c r="D390" s="106"/>
      <c r="E390" s="106"/>
      <c r="F390" s="106"/>
      <c r="G390" s="680"/>
      <c r="H390" s="326"/>
    </row>
    <row r="391" spans="2:8" s="324" customFormat="1" x14ac:dyDescent="0.35">
      <c r="B391" s="8"/>
      <c r="C391" s="106"/>
      <c r="D391" s="106"/>
      <c r="E391" s="106"/>
      <c r="F391" s="106"/>
      <c r="G391" s="680"/>
      <c r="H391" s="326"/>
    </row>
    <row r="392" spans="2:8" s="324" customFormat="1" x14ac:dyDescent="0.35">
      <c r="B392" s="8"/>
      <c r="C392" s="106"/>
      <c r="D392" s="106"/>
      <c r="E392" s="106"/>
      <c r="F392" s="106"/>
      <c r="G392" s="680"/>
      <c r="H392" s="326"/>
    </row>
    <row r="393" spans="2:8" s="324" customFormat="1" x14ac:dyDescent="0.35">
      <c r="B393" s="8"/>
      <c r="C393" s="106"/>
      <c r="D393" s="106"/>
      <c r="E393" s="106"/>
      <c r="F393" s="106"/>
      <c r="G393" s="680"/>
      <c r="H393" s="326"/>
    </row>
    <row r="394" spans="2:8" s="324" customFormat="1" x14ac:dyDescent="0.35">
      <c r="B394" s="8"/>
      <c r="C394" s="106"/>
      <c r="D394" s="106"/>
      <c r="E394" s="106"/>
      <c r="F394" s="106"/>
      <c r="G394" s="680"/>
      <c r="H394" s="326"/>
    </row>
    <row r="395" spans="2:8" s="324" customFormat="1" x14ac:dyDescent="0.35">
      <c r="B395" s="8"/>
      <c r="C395" s="106"/>
      <c r="D395" s="106"/>
      <c r="E395" s="106"/>
      <c r="F395" s="106"/>
      <c r="G395" s="680"/>
      <c r="H395" s="326"/>
    </row>
    <row r="396" spans="2:8" s="324" customFormat="1" x14ac:dyDescent="0.35">
      <c r="B396" s="8"/>
      <c r="C396" s="106"/>
      <c r="D396" s="106"/>
      <c r="E396" s="106"/>
      <c r="F396" s="106"/>
      <c r="G396" s="680"/>
      <c r="H396" s="326"/>
    </row>
    <row r="397" spans="2:8" s="324" customFormat="1" x14ac:dyDescent="0.35">
      <c r="B397" s="8"/>
      <c r="C397" s="106"/>
      <c r="D397" s="106"/>
      <c r="E397" s="106"/>
      <c r="F397" s="106"/>
      <c r="G397" s="680"/>
      <c r="H397" s="326"/>
    </row>
    <row r="398" spans="2:8" s="324" customFormat="1" x14ac:dyDescent="0.35">
      <c r="B398" s="8"/>
      <c r="C398" s="106"/>
      <c r="D398" s="106"/>
      <c r="E398" s="106"/>
      <c r="F398" s="106"/>
      <c r="G398" s="680"/>
      <c r="H398" s="326"/>
    </row>
    <row r="399" spans="2:8" s="324" customFormat="1" x14ac:dyDescent="0.35">
      <c r="B399" s="8"/>
      <c r="C399" s="106"/>
      <c r="D399" s="106"/>
      <c r="E399" s="106"/>
      <c r="F399" s="106"/>
      <c r="G399" s="680"/>
      <c r="H399" s="326"/>
    </row>
    <row r="400" spans="2:8" s="324" customFormat="1" ht="21.75" customHeight="1" x14ac:dyDescent="0.35">
      <c r="B400" s="8"/>
      <c r="C400" s="106"/>
      <c r="D400" s="106"/>
      <c r="E400" s="106"/>
      <c r="F400" s="106"/>
      <c r="G400" s="680"/>
      <c r="H400" s="326"/>
    </row>
    <row r="401" spans="1:8" s="324" customFormat="1" ht="15.65" customHeight="1" x14ac:dyDescent="0.35">
      <c r="B401" s="8"/>
      <c r="C401" s="106"/>
      <c r="D401" s="106"/>
      <c r="E401" s="106"/>
      <c r="F401" s="106"/>
      <c r="G401" s="680"/>
      <c r="H401" s="326"/>
    </row>
    <row r="402" spans="1:8" s="324" customFormat="1" x14ac:dyDescent="0.35">
      <c r="B402" s="8"/>
      <c r="C402" s="106"/>
      <c r="D402" s="106"/>
      <c r="E402" s="106"/>
      <c r="F402" s="106"/>
      <c r="G402" s="680"/>
      <c r="H402" s="326"/>
    </row>
    <row r="403" spans="1:8" x14ac:dyDescent="0.35">
      <c r="A403" s="324"/>
    </row>
    <row r="404" spans="1:8" x14ac:dyDescent="0.35">
      <c r="A404" s="324"/>
    </row>
    <row r="405" spans="1:8" s="324" customFormat="1" x14ac:dyDescent="0.35">
      <c r="B405" s="8"/>
      <c r="C405" s="106"/>
      <c r="D405" s="106"/>
      <c r="E405" s="106"/>
      <c r="F405" s="106"/>
      <c r="G405" s="680"/>
      <c r="H405" s="326"/>
    </row>
    <row r="406" spans="1:8" s="324" customFormat="1" x14ac:dyDescent="0.35">
      <c r="B406" s="8"/>
      <c r="C406" s="106"/>
      <c r="D406" s="106"/>
      <c r="E406" s="106"/>
      <c r="F406" s="106"/>
      <c r="G406" s="680"/>
      <c r="H406" s="326"/>
    </row>
    <row r="407" spans="1:8" s="324" customFormat="1" x14ac:dyDescent="0.35">
      <c r="B407" s="8"/>
      <c r="C407" s="106"/>
      <c r="D407" s="106"/>
      <c r="E407" s="106"/>
      <c r="F407" s="106"/>
      <c r="G407" s="680"/>
      <c r="H407" s="326"/>
    </row>
    <row r="408" spans="1:8" s="324" customFormat="1" x14ac:dyDescent="0.35">
      <c r="B408" s="8"/>
      <c r="C408" s="106"/>
      <c r="D408" s="106"/>
      <c r="E408" s="106"/>
      <c r="F408" s="106"/>
      <c r="G408" s="680"/>
      <c r="H408" s="326"/>
    </row>
    <row r="409" spans="1:8" s="324" customFormat="1" x14ac:dyDescent="0.35">
      <c r="B409" s="8"/>
      <c r="C409" s="106"/>
      <c r="D409" s="106"/>
      <c r="E409" s="106"/>
      <c r="F409" s="106"/>
      <c r="G409" s="680"/>
      <c r="H409" s="326"/>
    </row>
    <row r="410" spans="1:8" s="324" customFormat="1" x14ac:dyDescent="0.35">
      <c r="B410" s="8"/>
      <c r="C410" s="106"/>
      <c r="D410" s="106"/>
      <c r="E410" s="106"/>
      <c r="F410" s="106"/>
      <c r="G410" s="680"/>
      <c r="H410" s="326"/>
    </row>
    <row r="411" spans="1:8" s="324" customFormat="1" x14ac:dyDescent="0.35">
      <c r="B411" s="8"/>
      <c r="C411" s="106"/>
      <c r="D411" s="106"/>
      <c r="E411" s="106"/>
      <c r="F411" s="106"/>
      <c r="G411" s="680"/>
      <c r="H411" s="326"/>
    </row>
    <row r="412" spans="1:8" s="324" customFormat="1" x14ac:dyDescent="0.35">
      <c r="B412" s="8"/>
      <c r="C412" s="106"/>
      <c r="D412" s="106"/>
      <c r="E412" s="106"/>
      <c r="F412" s="106"/>
      <c r="G412" s="680"/>
      <c r="H412" s="326"/>
    </row>
    <row r="413" spans="1:8" s="324" customFormat="1" x14ac:dyDescent="0.35">
      <c r="B413" s="8"/>
      <c r="C413" s="106"/>
      <c r="D413" s="106"/>
      <c r="E413" s="106"/>
      <c r="F413" s="106"/>
      <c r="G413" s="680"/>
      <c r="H413" s="326"/>
    </row>
    <row r="414" spans="1:8" s="324" customFormat="1" x14ac:dyDescent="0.35">
      <c r="B414" s="8"/>
      <c r="C414" s="106"/>
      <c r="D414" s="106"/>
      <c r="E414" s="106"/>
      <c r="F414" s="106"/>
      <c r="G414" s="680"/>
      <c r="H414" s="326"/>
    </row>
    <row r="415" spans="1:8" s="324" customFormat="1" x14ac:dyDescent="0.35">
      <c r="B415" s="8"/>
      <c r="C415" s="106"/>
      <c r="D415" s="106"/>
      <c r="E415" s="106"/>
      <c r="F415" s="106"/>
      <c r="G415" s="680"/>
      <c r="H415" s="326"/>
    </row>
    <row r="416" spans="1:8" s="324" customFormat="1" x14ac:dyDescent="0.35">
      <c r="B416" s="8"/>
      <c r="C416" s="106"/>
      <c r="D416" s="106"/>
      <c r="E416" s="106"/>
      <c r="F416" s="106"/>
      <c r="G416" s="680"/>
      <c r="H416" s="326"/>
    </row>
    <row r="417" spans="1:8" s="324" customFormat="1" x14ac:dyDescent="0.35">
      <c r="B417" s="8"/>
      <c r="C417" s="106"/>
      <c r="D417" s="106"/>
      <c r="E417" s="106"/>
      <c r="F417" s="106"/>
      <c r="G417" s="680"/>
      <c r="H417" s="326"/>
    </row>
    <row r="418" spans="1:8" s="324" customFormat="1" x14ac:dyDescent="0.35">
      <c r="B418" s="8"/>
      <c r="C418" s="106"/>
      <c r="D418" s="106"/>
      <c r="E418" s="106"/>
      <c r="F418" s="106"/>
      <c r="G418" s="680"/>
      <c r="H418" s="326"/>
    </row>
    <row r="419" spans="1:8" s="324" customFormat="1" x14ac:dyDescent="0.35">
      <c r="B419" s="8"/>
      <c r="C419" s="106"/>
      <c r="D419" s="106"/>
      <c r="E419" s="106"/>
      <c r="F419" s="106"/>
      <c r="G419" s="680"/>
      <c r="H419" s="326"/>
    </row>
    <row r="420" spans="1:8" s="324" customFormat="1" x14ac:dyDescent="0.35">
      <c r="B420" s="8"/>
      <c r="C420" s="106"/>
      <c r="D420" s="106"/>
      <c r="E420" s="106"/>
      <c r="F420" s="106"/>
      <c r="G420" s="680"/>
      <c r="H420" s="326"/>
    </row>
    <row r="421" spans="1:8" s="324" customFormat="1" x14ac:dyDescent="0.35">
      <c r="B421" s="8"/>
      <c r="C421" s="106"/>
      <c r="D421" s="106"/>
      <c r="E421" s="106"/>
      <c r="F421" s="106"/>
      <c r="G421" s="680"/>
      <c r="H421" s="326"/>
    </row>
    <row r="422" spans="1:8" s="324" customFormat="1" x14ac:dyDescent="0.35">
      <c r="B422" s="8"/>
      <c r="C422" s="106"/>
      <c r="D422" s="106"/>
      <c r="E422" s="106"/>
      <c r="F422" s="106"/>
      <c r="G422" s="680"/>
      <c r="H422" s="326"/>
    </row>
    <row r="423" spans="1:8" s="324" customFormat="1" x14ac:dyDescent="0.35">
      <c r="B423" s="8"/>
      <c r="C423" s="106"/>
      <c r="D423" s="106"/>
      <c r="E423" s="106"/>
      <c r="F423" s="106"/>
      <c r="G423" s="680"/>
      <c r="H423" s="326"/>
    </row>
    <row r="424" spans="1:8" s="324" customFormat="1" x14ac:dyDescent="0.35">
      <c r="B424" s="8"/>
      <c r="C424" s="106"/>
      <c r="D424" s="106"/>
      <c r="E424" s="106"/>
      <c r="F424" s="106"/>
      <c r="G424" s="680"/>
      <c r="H424" s="326"/>
    </row>
    <row r="425" spans="1:8" s="324" customFormat="1" x14ac:dyDescent="0.35">
      <c r="B425" s="8"/>
      <c r="C425" s="106"/>
      <c r="D425" s="106"/>
      <c r="E425" s="106"/>
      <c r="F425" s="106"/>
      <c r="G425" s="680"/>
      <c r="H425" s="326"/>
    </row>
    <row r="426" spans="1:8" s="324" customFormat="1" x14ac:dyDescent="0.35">
      <c r="B426" s="8"/>
      <c r="C426" s="106"/>
      <c r="D426" s="106"/>
      <c r="E426" s="106"/>
      <c r="F426" s="106"/>
      <c r="G426" s="680"/>
      <c r="H426" s="326"/>
    </row>
    <row r="427" spans="1:8" s="324" customFormat="1" x14ac:dyDescent="0.35">
      <c r="B427" s="8"/>
      <c r="C427" s="106"/>
      <c r="D427" s="106"/>
      <c r="E427" s="106"/>
      <c r="F427" s="106"/>
      <c r="G427" s="680"/>
      <c r="H427" s="326"/>
    </row>
    <row r="428" spans="1:8" s="324" customFormat="1" x14ac:dyDescent="0.35">
      <c r="B428" s="8"/>
      <c r="C428" s="106"/>
      <c r="D428" s="106"/>
      <c r="E428" s="106"/>
      <c r="F428" s="106"/>
      <c r="G428" s="680"/>
      <c r="H428" s="326"/>
    </row>
    <row r="429" spans="1:8" s="324" customFormat="1" x14ac:dyDescent="0.35">
      <c r="B429" s="8"/>
      <c r="C429" s="106"/>
      <c r="D429" s="106"/>
      <c r="E429" s="106"/>
      <c r="F429" s="106"/>
      <c r="G429" s="680"/>
      <c r="H429" s="326"/>
    </row>
    <row r="430" spans="1:8" s="3" customFormat="1" x14ac:dyDescent="0.35">
      <c r="A430" s="324"/>
      <c r="B430" s="8"/>
      <c r="C430" s="106"/>
      <c r="D430" s="106"/>
      <c r="E430" s="106"/>
      <c r="F430" s="106"/>
      <c r="G430" s="680"/>
      <c r="H430" s="350"/>
    </row>
    <row r="431" spans="1:8" s="324" customFormat="1" x14ac:dyDescent="0.35">
      <c r="B431" s="8"/>
      <c r="C431" s="106"/>
      <c r="D431" s="106"/>
      <c r="E431" s="106"/>
      <c r="F431" s="106"/>
      <c r="G431" s="680"/>
      <c r="H431" s="326"/>
    </row>
    <row r="432" spans="1:8" s="324" customFormat="1" ht="14.25" customHeight="1" x14ac:dyDescent="0.35">
      <c r="B432" s="8"/>
      <c r="C432" s="106"/>
      <c r="D432" s="106"/>
      <c r="E432" s="106"/>
      <c r="F432" s="106"/>
      <c r="G432" s="680"/>
      <c r="H432" s="326"/>
    </row>
    <row r="433" spans="1:15" s="324" customFormat="1" x14ac:dyDescent="0.35">
      <c r="B433" s="8"/>
      <c r="C433" s="106"/>
      <c r="D433" s="106"/>
      <c r="E433" s="106"/>
      <c r="F433" s="106"/>
      <c r="G433" s="680"/>
      <c r="H433" s="326"/>
    </row>
    <row r="434" spans="1:15" s="324" customFormat="1" x14ac:dyDescent="0.35">
      <c r="B434" s="8"/>
      <c r="C434" s="106"/>
      <c r="D434" s="106"/>
      <c r="E434" s="106"/>
      <c r="F434" s="106"/>
      <c r="G434" s="680"/>
      <c r="H434" s="326"/>
    </row>
    <row r="435" spans="1:15" s="324" customFormat="1" x14ac:dyDescent="0.35">
      <c r="B435" s="8"/>
      <c r="C435" s="106"/>
      <c r="D435" s="106"/>
      <c r="E435" s="106"/>
      <c r="F435" s="106"/>
      <c r="G435" s="680"/>
      <c r="H435" s="326"/>
    </row>
    <row r="436" spans="1:15" s="324" customFormat="1" x14ac:dyDescent="0.35">
      <c r="B436" s="8"/>
      <c r="C436" s="106"/>
      <c r="D436" s="106"/>
      <c r="E436" s="106"/>
      <c r="F436" s="106"/>
      <c r="G436" s="680"/>
      <c r="H436" s="326"/>
    </row>
    <row r="437" spans="1:15" s="324" customFormat="1" ht="19.5" customHeight="1" x14ac:dyDescent="0.35">
      <c r="B437" s="8"/>
      <c r="C437" s="106"/>
      <c r="D437" s="106"/>
      <c r="E437" s="106"/>
      <c r="F437" s="106"/>
      <c r="G437" s="680"/>
      <c r="H437" s="350"/>
    </row>
    <row r="438" spans="1:15" s="324" customFormat="1" x14ac:dyDescent="0.35">
      <c r="B438" s="8"/>
      <c r="C438" s="106"/>
      <c r="D438" s="106"/>
      <c r="E438" s="106"/>
      <c r="F438" s="106"/>
      <c r="G438" s="680"/>
      <c r="H438" s="350"/>
    </row>
    <row r="439" spans="1:15" x14ac:dyDescent="0.35">
      <c r="A439" s="324"/>
    </row>
    <row r="440" spans="1:15" x14ac:dyDescent="0.35">
      <c r="A440" s="324"/>
      <c r="O440" s="351"/>
    </row>
    <row r="441" spans="1:15" s="324" customFormat="1" x14ac:dyDescent="0.35">
      <c r="B441" s="8"/>
      <c r="C441" s="106"/>
      <c r="D441" s="106"/>
      <c r="E441" s="106"/>
      <c r="F441" s="106"/>
      <c r="G441" s="680"/>
      <c r="H441" s="350"/>
    </row>
    <row r="442" spans="1:15" s="324" customFormat="1" x14ac:dyDescent="0.35">
      <c r="B442" s="8"/>
      <c r="C442" s="106"/>
      <c r="D442" s="106"/>
      <c r="E442" s="106"/>
      <c r="F442" s="106"/>
      <c r="G442" s="680"/>
      <c r="H442" s="350"/>
    </row>
    <row r="443" spans="1:15" s="324" customFormat="1" x14ac:dyDescent="0.35">
      <c r="B443" s="8"/>
      <c r="C443" s="106"/>
      <c r="D443" s="106"/>
      <c r="E443" s="106"/>
      <c r="F443" s="106"/>
      <c r="G443" s="680"/>
      <c r="H443" s="350"/>
    </row>
    <row r="444" spans="1:15" s="324" customFormat="1" x14ac:dyDescent="0.35">
      <c r="B444" s="8"/>
      <c r="C444" s="106"/>
      <c r="D444" s="106"/>
      <c r="E444" s="106"/>
      <c r="F444" s="106"/>
      <c r="G444" s="680"/>
      <c r="H444" s="350"/>
    </row>
    <row r="445" spans="1:15" s="324" customFormat="1" x14ac:dyDescent="0.35">
      <c r="B445" s="8"/>
      <c r="C445" s="106"/>
      <c r="D445" s="106"/>
      <c r="E445" s="106"/>
      <c r="F445" s="106"/>
      <c r="G445" s="680"/>
      <c r="H445" s="350"/>
    </row>
    <row r="446" spans="1:15" s="324" customFormat="1" x14ac:dyDescent="0.35">
      <c r="B446" s="8"/>
      <c r="C446" s="106"/>
      <c r="D446" s="106"/>
      <c r="E446" s="106"/>
      <c r="F446" s="106"/>
      <c r="G446" s="680"/>
      <c r="H446" s="350"/>
    </row>
    <row r="447" spans="1:15" s="324" customFormat="1" x14ac:dyDescent="0.35">
      <c r="B447" s="8"/>
      <c r="C447" s="106"/>
      <c r="D447" s="106"/>
      <c r="E447" s="106"/>
      <c r="F447" s="106"/>
      <c r="G447" s="680"/>
      <c r="H447" s="350"/>
    </row>
    <row r="448" spans="1:15" s="324" customFormat="1" x14ac:dyDescent="0.35">
      <c r="B448" s="8"/>
      <c r="C448" s="106"/>
      <c r="D448" s="106"/>
      <c r="E448" s="106"/>
      <c r="F448" s="106"/>
      <c r="G448" s="680"/>
      <c r="H448" s="350"/>
    </row>
    <row r="449" spans="2:8" s="324" customFormat="1" x14ac:dyDescent="0.35">
      <c r="B449" s="8"/>
      <c r="C449" s="106"/>
      <c r="D449" s="106"/>
      <c r="E449" s="106"/>
      <c r="F449" s="106"/>
      <c r="G449" s="680"/>
      <c r="H449" s="350"/>
    </row>
    <row r="450" spans="2:8" s="324" customFormat="1" x14ac:dyDescent="0.35">
      <c r="B450" s="8"/>
      <c r="C450" s="106"/>
      <c r="D450" s="106"/>
      <c r="E450" s="106"/>
      <c r="F450" s="106"/>
      <c r="G450" s="680"/>
      <c r="H450" s="350"/>
    </row>
    <row r="451" spans="2:8" s="324" customFormat="1" x14ac:dyDescent="0.35">
      <c r="B451" s="8"/>
      <c r="C451" s="106"/>
      <c r="D451" s="106"/>
      <c r="E451" s="106"/>
      <c r="F451" s="106"/>
      <c r="G451" s="680"/>
      <c r="H451" s="350"/>
    </row>
    <row r="452" spans="2:8" s="324" customFormat="1" x14ac:dyDescent="0.35">
      <c r="B452" s="8"/>
      <c r="C452" s="106"/>
      <c r="D452" s="106"/>
      <c r="E452" s="106"/>
      <c r="F452" s="106"/>
      <c r="G452" s="680"/>
      <c r="H452" s="350"/>
    </row>
    <row r="453" spans="2:8" s="324" customFormat="1" x14ac:dyDescent="0.35">
      <c r="B453" s="8"/>
      <c r="C453" s="106"/>
      <c r="D453" s="106"/>
      <c r="E453" s="106"/>
      <c r="F453" s="106"/>
      <c r="G453" s="680"/>
      <c r="H453" s="350"/>
    </row>
    <row r="454" spans="2:8" s="324" customFormat="1" x14ac:dyDescent="0.35">
      <c r="B454" s="8"/>
      <c r="C454" s="106"/>
      <c r="D454" s="106"/>
      <c r="E454" s="106"/>
      <c r="F454" s="106"/>
      <c r="G454" s="680"/>
      <c r="H454" s="350"/>
    </row>
    <row r="455" spans="2:8" s="324" customFormat="1" x14ac:dyDescent="0.35">
      <c r="B455" s="8"/>
      <c r="C455" s="106"/>
      <c r="D455" s="106"/>
      <c r="E455" s="106"/>
      <c r="F455" s="106"/>
      <c r="G455" s="680"/>
      <c r="H455" s="350"/>
    </row>
    <row r="456" spans="2:8" s="324" customFormat="1" x14ac:dyDescent="0.35">
      <c r="B456" s="8"/>
      <c r="C456" s="106"/>
      <c r="D456" s="106"/>
      <c r="E456" s="106"/>
      <c r="F456" s="106"/>
      <c r="G456" s="680"/>
      <c r="H456" s="350"/>
    </row>
    <row r="457" spans="2:8" s="324" customFormat="1" x14ac:dyDescent="0.35">
      <c r="B457" s="8"/>
      <c r="C457" s="106"/>
      <c r="D457" s="106"/>
      <c r="E457" s="106"/>
      <c r="F457" s="106"/>
      <c r="G457" s="680"/>
      <c r="H457" s="350"/>
    </row>
    <row r="458" spans="2:8" s="324" customFormat="1" x14ac:dyDescent="0.35">
      <c r="B458" s="8"/>
      <c r="C458" s="106"/>
      <c r="D458" s="106"/>
      <c r="E458" s="106"/>
      <c r="F458" s="106"/>
      <c r="G458" s="680"/>
      <c r="H458" s="350"/>
    </row>
    <row r="459" spans="2:8" s="324" customFormat="1" x14ac:dyDescent="0.35">
      <c r="B459" s="8"/>
      <c r="C459" s="106"/>
      <c r="D459" s="106"/>
      <c r="E459" s="106"/>
      <c r="F459" s="106"/>
      <c r="G459" s="680"/>
      <c r="H459" s="350"/>
    </row>
    <row r="460" spans="2:8" s="324" customFormat="1" x14ac:dyDescent="0.35">
      <c r="B460" s="8"/>
      <c r="C460" s="106"/>
      <c r="D460" s="106"/>
      <c r="E460" s="106"/>
      <c r="F460" s="106"/>
      <c r="G460" s="680"/>
      <c r="H460" s="350"/>
    </row>
    <row r="461" spans="2:8" s="324" customFormat="1" x14ac:dyDescent="0.35">
      <c r="B461" s="8"/>
      <c r="C461" s="106"/>
      <c r="D461" s="106"/>
      <c r="E461" s="106"/>
      <c r="F461" s="106"/>
      <c r="G461" s="680"/>
      <c r="H461" s="350"/>
    </row>
    <row r="462" spans="2:8" s="324" customFormat="1" x14ac:dyDescent="0.35">
      <c r="B462" s="8"/>
      <c r="C462" s="106"/>
      <c r="D462" s="106"/>
      <c r="E462" s="106"/>
      <c r="F462" s="106"/>
      <c r="G462" s="680"/>
      <c r="H462" s="350"/>
    </row>
    <row r="463" spans="2:8" s="324" customFormat="1" x14ac:dyDescent="0.35">
      <c r="B463" s="8"/>
      <c r="C463" s="106"/>
      <c r="D463" s="106"/>
      <c r="E463" s="106"/>
      <c r="F463" s="106"/>
      <c r="G463" s="680"/>
      <c r="H463" s="350"/>
    </row>
    <row r="464" spans="2:8" s="324" customFormat="1" x14ac:dyDescent="0.35">
      <c r="B464" s="8"/>
      <c r="C464" s="106"/>
      <c r="D464" s="106"/>
      <c r="E464" s="106"/>
      <c r="F464" s="106"/>
      <c r="G464" s="680"/>
      <c r="H464" s="350"/>
    </row>
    <row r="465" spans="2:8" s="324" customFormat="1" x14ac:dyDescent="0.35">
      <c r="B465" s="8"/>
      <c r="C465" s="106"/>
      <c r="D465" s="106"/>
      <c r="E465" s="106"/>
      <c r="F465" s="106"/>
      <c r="G465" s="680"/>
      <c r="H465" s="350"/>
    </row>
    <row r="466" spans="2:8" s="324" customFormat="1" x14ac:dyDescent="0.35">
      <c r="B466" s="8"/>
      <c r="C466" s="106"/>
      <c r="D466" s="106"/>
      <c r="E466" s="106"/>
      <c r="F466" s="106"/>
      <c r="G466" s="680"/>
      <c r="H466" s="350"/>
    </row>
    <row r="467" spans="2:8" s="324" customFormat="1" x14ac:dyDescent="0.35">
      <c r="B467" s="8"/>
      <c r="C467" s="106"/>
      <c r="D467" s="106"/>
      <c r="E467" s="106"/>
      <c r="F467" s="106"/>
      <c r="G467" s="680"/>
      <c r="H467" s="350"/>
    </row>
    <row r="468" spans="2:8" s="324" customFormat="1" x14ac:dyDescent="0.35">
      <c r="B468" s="8"/>
      <c r="C468" s="106"/>
      <c r="D468" s="106"/>
      <c r="E468" s="106"/>
      <c r="F468" s="106"/>
      <c r="G468" s="680"/>
      <c r="H468" s="350"/>
    </row>
    <row r="469" spans="2:8" s="324" customFormat="1" x14ac:dyDescent="0.35">
      <c r="B469" s="8"/>
      <c r="C469" s="106"/>
      <c r="D469" s="106"/>
      <c r="E469" s="106"/>
      <c r="F469" s="106"/>
      <c r="G469" s="680"/>
      <c r="H469" s="350"/>
    </row>
    <row r="470" spans="2:8" s="324" customFormat="1" x14ac:dyDescent="0.35">
      <c r="B470" s="8"/>
      <c r="C470" s="106"/>
      <c r="D470" s="106"/>
      <c r="E470" s="106"/>
      <c r="F470" s="106"/>
      <c r="G470" s="680"/>
      <c r="H470" s="350"/>
    </row>
    <row r="471" spans="2:8" s="324" customFormat="1" x14ac:dyDescent="0.35">
      <c r="B471" s="8"/>
      <c r="C471" s="106"/>
      <c r="D471" s="106"/>
      <c r="E471" s="106"/>
      <c r="F471" s="106"/>
      <c r="G471" s="680"/>
      <c r="H471" s="350"/>
    </row>
    <row r="472" spans="2:8" s="324" customFormat="1" x14ac:dyDescent="0.35">
      <c r="B472" s="8"/>
      <c r="C472" s="106"/>
      <c r="D472" s="106"/>
      <c r="E472" s="106"/>
      <c r="F472" s="106"/>
      <c r="G472" s="680"/>
      <c r="H472" s="350"/>
    </row>
    <row r="473" spans="2:8" s="324" customFormat="1" x14ac:dyDescent="0.35">
      <c r="B473" s="8"/>
      <c r="C473" s="106"/>
      <c r="D473" s="106"/>
      <c r="E473" s="106"/>
      <c r="F473" s="106"/>
      <c r="G473" s="680"/>
      <c r="H473" s="350"/>
    </row>
    <row r="474" spans="2:8" s="324" customFormat="1" x14ac:dyDescent="0.35">
      <c r="B474" s="8"/>
      <c r="C474" s="106"/>
      <c r="D474" s="106"/>
      <c r="E474" s="106"/>
      <c r="F474" s="106"/>
      <c r="G474" s="680"/>
      <c r="H474" s="350"/>
    </row>
    <row r="475" spans="2:8" s="324" customFormat="1" x14ac:dyDescent="0.35">
      <c r="B475" s="8"/>
      <c r="C475" s="106"/>
      <c r="D475" s="106"/>
      <c r="E475" s="106"/>
      <c r="F475" s="106"/>
      <c r="G475" s="680"/>
      <c r="H475" s="350"/>
    </row>
    <row r="476" spans="2:8" s="324" customFormat="1" x14ac:dyDescent="0.35">
      <c r="B476" s="8"/>
      <c r="C476" s="106"/>
      <c r="D476" s="106"/>
      <c r="E476" s="106"/>
      <c r="F476" s="106"/>
      <c r="G476" s="680"/>
      <c r="H476" s="350"/>
    </row>
    <row r="477" spans="2:8" s="324" customFormat="1" x14ac:dyDescent="0.35">
      <c r="B477" s="8"/>
      <c r="C477" s="106"/>
      <c r="D477" s="106"/>
      <c r="E477" s="106"/>
      <c r="F477" s="106"/>
      <c r="G477" s="680"/>
      <c r="H477" s="350"/>
    </row>
    <row r="478" spans="2:8" s="324" customFormat="1" x14ac:dyDescent="0.35">
      <c r="B478" s="8"/>
      <c r="C478" s="106"/>
      <c r="D478" s="106"/>
      <c r="E478" s="106"/>
      <c r="F478" s="106"/>
      <c r="G478" s="680"/>
      <c r="H478" s="352"/>
    </row>
    <row r="479" spans="2:8" s="324" customFormat="1" x14ac:dyDescent="0.35">
      <c r="B479" s="8"/>
      <c r="C479" s="106"/>
      <c r="D479" s="106"/>
      <c r="E479" s="106"/>
      <c r="F479" s="106"/>
      <c r="G479" s="680"/>
      <c r="H479" s="352"/>
    </row>
    <row r="480" spans="2:8" s="324" customFormat="1" x14ac:dyDescent="0.35">
      <c r="B480" s="8"/>
      <c r="C480" s="106"/>
      <c r="D480" s="106"/>
      <c r="E480" s="106"/>
      <c r="F480" s="106"/>
      <c r="G480" s="680"/>
      <c r="H480" s="350"/>
    </row>
    <row r="481" spans="2:8" s="324" customFormat="1" x14ac:dyDescent="0.35">
      <c r="B481" s="8"/>
      <c r="C481" s="106"/>
      <c r="D481" s="106"/>
      <c r="E481" s="106"/>
      <c r="F481" s="106"/>
      <c r="G481" s="680"/>
      <c r="H481" s="352"/>
    </row>
    <row r="482" spans="2:8" s="324" customFormat="1" x14ac:dyDescent="0.35">
      <c r="B482" s="8"/>
      <c r="C482" s="106"/>
      <c r="D482" s="106"/>
      <c r="E482" s="106"/>
      <c r="F482" s="106"/>
      <c r="G482" s="680"/>
      <c r="H482" s="350"/>
    </row>
    <row r="483" spans="2:8" s="324" customFormat="1" x14ac:dyDescent="0.35">
      <c r="B483" s="8"/>
      <c r="C483" s="106"/>
      <c r="D483" s="106"/>
      <c r="E483" s="106"/>
      <c r="F483" s="106"/>
      <c r="G483" s="680"/>
      <c r="H483" s="350"/>
    </row>
    <row r="484" spans="2:8" s="324" customFormat="1" x14ac:dyDescent="0.35">
      <c r="B484" s="8"/>
      <c r="C484" s="106"/>
      <c r="D484" s="106"/>
      <c r="E484" s="106"/>
      <c r="F484" s="106"/>
      <c r="G484" s="680"/>
      <c r="H484" s="350"/>
    </row>
    <row r="485" spans="2:8" s="324" customFormat="1" x14ac:dyDescent="0.35">
      <c r="B485" s="8"/>
      <c r="C485" s="106"/>
      <c r="D485" s="106"/>
      <c r="E485" s="106"/>
      <c r="F485" s="106"/>
      <c r="G485" s="680"/>
      <c r="H485" s="350"/>
    </row>
    <row r="486" spans="2:8" s="324" customFormat="1" x14ac:dyDescent="0.35">
      <c r="B486" s="8"/>
      <c r="C486" s="106"/>
      <c r="D486" s="106"/>
      <c r="E486" s="106"/>
      <c r="F486" s="106"/>
      <c r="G486" s="680"/>
      <c r="H486" s="350"/>
    </row>
    <row r="487" spans="2:8" s="324" customFormat="1" x14ac:dyDescent="0.35">
      <c r="B487" s="8"/>
      <c r="C487" s="106"/>
      <c r="D487" s="106"/>
      <c r="E487" s="106"/>
      <c r="F487" s="106"/>
      <c r="G487" s="680"/>
      <c r="H487" s="350"/>
    </row>
    <row r="488" spans="2:8" s="324" customFormat="1" x14ac:dyDescent="0.35">
      <c r="B488" s="8"/>
      <c r="C488" s="106"/>
      <c r="D488" s="106"/>
      <c r="E488" s="106"/>
      <c r="F488" s="106"/>
      <c r="G488" s="680"/>
      <c r="H488" s="350"/>
    </row>
    <row r="489" spans="2:8" s="324" customFormat="1" x14ac:dyDescent="0.35">
      <c r="B489" s="8"/>
      <c r="C489" s="106"/>
      <c r="D489" s="106"/>
      <c r="E489" s="106"/>
      <c r="F489" s="106"/>
      <c r="G489" s="680"/>
      <c r="H489" s="350"/>
    </row>
    <row r="490" spans="2:8" s="324" customFormat="1" x14ac:dyDescent="0.35">
      <c r="B490" s="8"/>
      <c r="C490" s="106"/>
      <c r="D490" s="106"/>
      <c r="E490" s="106"/>
      <c r="F490" s="106"/>
      <c r="G490" s="680"/>
      <c r="H490" s="350"/>
    </row>
    <row r="491" spans="2:8" s="324" customFormat="1" x14ac:dyDescent="0.35">
      <c r="B491" s="8"/>
      <c r="C491" s="106"/>
      <c r="D491" s="106"/>
      <c r="E491" s="106"/>
      <c r="F491" s="106"/>
      <c r="G491" s="680"/>
      <c r="H491" s="352"/>
    </row>
    <row r="492" spans="2:8" s="324" customFormat="1" x14ac:dyDescent="0.35">
      <c r="B492" s="8"/>
      <c r="C492" s="106"/>
      <c r="D492" s="106"/>
      <c r="E492" s="106"/>
      <c r="F492" s="106"/>
      <c r="G492" s="680"/>
      <c r="H492" s="350"/>
    </row>
    <row r="493" spans="2:8" s="324" customFormat="1" x14ac:dyDescent="0.35">
      <c r="B493" s="8"/>
      <c r="C493" s="106"/>
      <c r="D493" s="106"/>
      <c r="E493" s="106"/>
      <c r="F493" s="106"/>
      <c r="G493" s="680"/>
      <c r="H493" s="350"/>
    </row>
    <row r="494" spans="2:8" s="324" customFormat="1" x14ac:dyDescent="0.35">
      <c r="B494" s="8"/>
      <c r="C494" s="106"/>
      <c r="D494" s="106"/>
      <c r="E494" s="106"/>
      <c r="F494" s="106"/>
      <c r="G494" s="680"/>
      <c r="H494" s="350"/>
    </row>
    <row r="495" spans="2:8" s="324" customFormat="1" x14ac:dyDescent="0.35">
      <c r="B495" s="8"/>
      <c r="C495" s="106"/>
      <c r="D495" s="106"/>
      <c r="E495" s="106"/>
      <c r="F495" s="106"/>
      <c r="G495" s="680"/>
      <c r="H495" s="350"/>
    </row>
    <row r="496" spans="2:8" s="324" customFormat="1" x14ac:dyDescent="0.35">
      <c r="B496" s="8"/>
      <c r="C496" s="106"/>
      <c r="D496" s="106"/>
      <c r="E496" s="106"/>
      <c r="F496" s="106"/>
      <c r="G496" s="680"/>
      <c r="H496" s="350"/>
    </row>
    <row r="497" spans="2:8" s="324" customFormat="1" x14ac:dyDescent="0.35">
      <c r="B497" s="8"/>
      <c r="C497" s="106"/>
      <c r="D497" s="106"/>
      <c r="E497" s="106"/>
      <c r="F497" s="106"/>
      <c r="G497" s="680"/>
      <c r="H497" s="350"/>
    </row>
    <row r="498" spans="2:8" s="324" customFormat="1" x14ac:dyDescent="0.35">
      <c r="B498" s="8"/>
      <c r="C498" s="106"/>
      <c r="D498" s="106"/>
      <c r="E498" s="106"/>
      <c r="F498" s="106"/>
      <c r="G498" s="680"/>
      <c r="H498" s="350"/>
    </row>
    <row r="499" spans="2:8" s="324" customFormat="1" x14ac:dyDescent="0.35">
      <c r="B499" s="8"/>
      <c r="C499" s="106"/>
      <c r="D499" s="106"/>
      <c r="E499" s="106"/>
      <c r="F499" s="106"/>
      <c r="G499" s="680"/>
      <c r="H499" s="350"/>
    </row>
    <row r="500" spans="2:8" s="324" customFormat="1" x14ac:dyDescent="0.35">
      <c r="B500" s="8"/>
      <c r="C500" s="106"/>
      <c r="D500" s="106"/>
      <c r="E500" s="106"/>
      <c r="F500" s="106"/>
      <c r="G500" s="680"/>
      <c r="H500" s="350"/>
    </row>
    <row r="501" spans="2:8" s="324" customFormat="1" x14ac:dyDescent="0.35">
      <c r="B501" s="8"/>
      <c r="C501" s="106"/>
      <c r="D501" s="106"/>
      <c r="E501" s="106"/>
      <c r="F501" s="106"/>
      <c r="G501" s="680"/>
      <c r="H501" s="350"/>
    </row>
    <row r="502" spans="2:8" s="324" customFormat="1" x14ac:dyDescent="0.35">
      <c r="B502" s="8"/>
      <c r="C502" s="106"/>
      <c r="D502" s="106"/>
      <c r="E502" s="106"/>
      <c r="F502" s="106"/>
      <c r="G502" s="680"/>
      <c r="H502" s="350"/>
    </row>
    <row r="503" spans="2:8" s="324" customFormat="1" x14ac:dyDescent="0.35">
      <c r="B503" s="8"/>
      <c r="C503" s="106"/>
      <c r="D503" s="106"/>
      <c r="E503" s="106"/>
      <c r="F503" s="106"/>
      <c r="G503" s="680"/>
      <c r="H503" s="350"/>
    </row>
    <row r="504" spans="2:8" s="324" customFormat="1" x14ac:dyDescent="0.35">
      <c r="B504" s="8"/>
      <c r="C504" s="106"/>
      <c r="D504" s="106"/>
      <c r="E504" s="106"/>
      <c r="F504" s="106"/>
      <c r="G504" s="680"/>
      <c r="H504" s="350"/>
    </row>
    <row r="505" spans="2:8" s="324" customFormat="1" x14ac:dyDescent="0.35">
      <c r="B505" s="8"/>
      <c r="C505" s="106"/>
      <c r="D505" s="106"/>
      <c r="E505" s="106"/>
      <c r="F505" s="106"/>
      <c r="G505" s="680"/>
      <c r="H505" s="350"/>
    </row>
    <row r="506" spans="2:8" s="324" customFormat="1" x14ac:dyDescent="0.35">
      <c r="B506" s="8"/>
      <c r="C506" s="106"/>
      <c r="D506" s="106"/>
      <c r="E506" s="106"/>
      <c r="F506" s="106"/>
      <c r="G506" s="680"/>
      <c r="H506" s="350"/>
    </row>
    <row r="507" spans="2:8" s="324" customFormat="1" x14ac:dyDescent="0.35">
      <c r="B507" s="8"/>
      <c r="C507" s="106"/>
      <c r="D507" s="106"/>
      <c r="E507" s="106"/>
      <c r="F507" s="106"/>
      <c r="G507" s="680"/>
      <c r="H507" s="350"/>
    </row>
    <row r="508" spans="2:8" s="324" customFormat="1" x14ac:dyDescent="0.35">
      <c r="B508" s="8"/>
      <c r="C508" s="106"/>
      <c r="D508" s="106"/>
      <c r="E508" s="106"/>
      <c r="F508" s="106"/>
      <c r="G508" s="680"/>
      <c r="H508" s="350"/>
    </row>
    <row r="509" spans="2:8" s="324" customFormat="1" x14ac:dyDescent="0.35">
      <c r="B509" s="8"/>
      <c r="C509" s="106"/>
      <c r="D509" s="106"/>
      <c r="E509" s="106"/>
      <c r="F509" s="106"/>
      <c r="G509" s="680"/>
      <c r="H509" s="350"/>
    </row>
    <row r="510" spans="2:8" s="324" customFormat="1" x14ac:dyDescent="0.35">
      <c r="B510" s="8"/>
      <c r="C510" s="106"/>
      <c r="D510" s="106"/>
      <c r="E510" s="106"/>
      <c r="F510" s="106"/>
      <c r="G510" s="680"/>
      <c r="H510" s="350"/>
    </row>
    <row r="511" spans="2:8" s="324" customFormat="1" x14ac:dyDescent="0.35">
      <c r="B511" s="8"/>
      <c r="C511" s="106"/>
      <c r="D511" s="106"/>
      <c r="E511" s="106"/>
      <c r="F511" s="106"/>
      <c r="G511" s="680"/>
      <c r="H511" s="350"/>
    </row>
    <row r="512" spans="2:8" s="324" customFormat="1" ht="38.25" customHeight="1" x14ac:dyDescent="0.35">
      <c r="B512" s="8"/>
      <c r="C512" s="106"/>
      <c r="D512" s="106"/>
      <c r="E512" s="106"/>
      <c r="F512" s="106"/>
      <c r="G512" s="680"/>
      <c r="H512" s="350"/>
    </row>
    <row r="513" spans="1:8" s="324" customFormat="1" x14ac:dyDescent="0.35">
      <c r="B513" s="8"/>
      <c r="C513" s="106"/>
      <c r="D513" s="106"/>
      <c r="E513" s="106"/>
      <c r="F513" s="106"/>
      <c r="G513" s="680"/>
      <c r="H513" s="350"/>
    </row>
    <row r="514" spans="1:8" x14ac:dyDescent="0.35">
      <c r="A514" s="324"/>
    </row>
    <row r="515" spans="1:8" x14ac:dyDescent="0.35">
      <c r="A515" s="324"/>
    </row>
    <row r="516" spans="1:8" s="324" customFormat="1" x14ac:dyDescent="0.35">
      <c r="B516" s="8"/>
      <c r="C516" s="106"/>
      <c r="D516" s="106"/>
      <c r="E516" s="106"/>
      <c r="F516" s="106"/>
      <c r="G516" s="680"/>
      <c r="H516" s="350"/>
    </row>
    <row r="517" spans="1:8" s="324" customFormat="1" x14ac:dyDescent="0.35">
      <c r="B517" s="8"/>
      <c r="C517" s="106"/>
      <c r="D517" s="106"/>
      <c r="E517" s="106"/>
      <c r="F517" s="106"/>
      <c r="G517" s="680"/>
      <c r="H517" s="350"/>
    </row>
    <row r="518" spans="1:8" s="324" customFormat="1" x14ac:dyDescent="0.35">
      <c r="B518" s="8"/>
      <c r="C518" s="106"/>
      <c r="D518" s="106"/>
      <c r="E518" s="106"/>
      <c r="F518" s="106"/>
      <c r="G518" s="680"/>
      <c r="H518" s="350"/>
    </row>
    <row r="519" spans="1:8" s="324" customFormat="1" x14ac:dyDescent="0.35">
      <c r="B519" s="8"/>
      <c r="C519" s="106"/>
      <c r="D519" s="106"/>
      <c r="E519" s="106"/>
      <c r="F519" s="106"/>
      <c r="G519" s="680"/>
      <c r="H519" s="350"/>
    </row>
    <row r="520" spans="1:8" s="324" customFormat="1" x14ac:dyDescent="0.35">
      <c r="B520" s="8"/>
      <c r="C520" s="106"/>
      <c r="D520" s="106"/>
      <c r="E520" s="106"/>
      <c r="F520" s="106"/>
      <c r="G520" s="680"/>
      <c r="H520" s="350"/>
    </row>
    <row r="521" spans="1:8" s="324" customFormat="1" x14ac:dyDescent="0.35">
      <c r="B521" s="8"/>
      <c r="C521" s="106"/>
      <c r="D521" s="106"/>
      <c r="E521" s="106"/>
      <c r="F521" s="106"/>
      <c r="G521" s="680"/>
      <c r="H521" s="350"/>
    </row>
    <row r="522" spans="1:8" s="324" customFormat="1" x14ac:dyDescent="0.35">
      <c r="B522" s="8"/>
      <c r="C522" s="106"/>
      <c r="D522" s="106"/>
      <c r="E522" s="106"/>
      <c r="F522" s="106"/>
      <c r="G522" s="680"/>
      <c r="H522" s="350"/>
    </row>
    <row r="523" spans="1:8" s="324" customFormat="1" ht="11.15" customHeight="1" x14ac:dyDescent="0.35">
      <c r="B523" s="8"/>
      <c r="C523" s="106"/>
      <c r="D523" s="106"/>
      <c r="E523" s="106"/>
      <c r="F523" s="106"/>
      <c r="G523" s="680"/>
      <c r="H523" s="350"/>
    </row>
    <row r="524" spans="1:8" s="324" customFormat="1" x14ac:dyDescent="0.35">
      <c r="B524" s="8"/>
      <c r="C524" s="106"/>
      <c r="D524" s="106"/>
      <c r="E524" s="106"/>
      <c r="F524" s="106"/>
      <c r="G524" s="680"/>
      <c r="H524" s="350"/>
    </row>
    <row r="525" spans="1:8" s="324" customFormat="1" x14ac:dyDescent="0.35">
      <c r="B525" s="8"/>
      <c r="C525" s="106"/>
      <c r="D525" s="106"/>
      <c r="E525" s="106"/>
      <c r="F525" s="106"/>
      <c r="G525" s="680"/>
      <c r="H525" s="350"/>
    </row>
    <row r="526" spans="1:8" s="324" customFormat="1" x14ac:dyDescent="0.35">
      <c r="B526" s="8"/>
      <c r="C526" s="106"/>
      <c r="D526" s="106"/>
      <c r="E526" s="106"/>
      <c r="F526" s="106"/>
      <c r="G526" s="680"/>
      <c r="H526" s="350"/>
    </row>
    <row r="527" spans="1:8" s="324" customFormat="1" x14ac:dyDescent="0.35">
      <c r="B527" s="8"/>
      <c r="C527" s="106"/>
      <c r="D527" s="106"/>
      <c r="E527" s="106"/>
      <c r="F527" s="106"/>
      <c r="G527" s="680"/>
      <c r="H527" s="350"/>
    </row>
    <row r="528" spans="1:8" s="324" customFormat="1" x14ac:dyDescent="0.35">
      <c r="B528" s="8"/>
      <c r="C528" s="106"/>
      <c r="D528" s="106"/>
      <c r="E528" s="106"/>
      <c r="F528" s="106"/>
      <c r="G528" s="680"/>
      <c r="H528" s="350"/>
    </row>
    <row r="529" spans="2:8" s="324" customFormat="1" x14ac:dyDescent="0.35">
      <c r="B529" s="8"/>
      <c r="C529" s="106"/>
      <c r="D529" s="106"/>
      <c r="E529" s="106"/>
      <c r="F529" s="106"/>
      <c r="G529" s="680"/>
      <c r="H529" s="350"/>
    </row>
    <row r="530" spans="2:8" s="324" customFormat="1" x14ac:dyDescent="0.35">
      <c r="B530" s="8"/>
      <c r="C530" s="106"/>
      <c r="D530" s="106"/>
      <c r="E530" s="106"/>
      <c r="F530" s="106"/>
      <c r="G530" s="680"/>
      <c r="H530" s="350"/>
    </row>
    <row r="531" spans="2:8" s="324" customFormat="1" x14ac:dyDescent="0.35">
      <c r="B531" s="8"/>
      <c r="C531" s="106"/>
      <c r="D531" s="106"/>
      <c r="E531" s="106"/>
      <c r="F531" s="106"/>
      <c r="G531" s="680"/>
      <c r="H531" s="350"/>
    </row>
    <row r="532" spans="2:8" s="324" customFormat="1" x14ac:dyDescent="0.35">
      <c r="B532" s="8"/>
      <c r="C532" s="106"/>
      <c r="D532" s="106"/>
      <c r="E532" s="106"/>
      <c r="F532" s="106"/>
      <c r="G532" s="680"/>
      <c r="H532" s="350"/>
    </row>
    <row r="533" spans="2:8" s="324" customFormat="1" x14ac:dyDescent="0.35">
      <c r="B533" s="8"/>
      <c r="C533" s="106"/>
      <c r="D533" s="106"/>
      <c r="E533" s="106"/>
      <c r="F533" s="106"/>
      <c r="G533" s="680"/>
      <c r="H533" s="350"/>
    </row>
    <row r="534" spans="2:8" s="324" customFormat="1" x14ac:dyDescent="0.35">
      <c r="B534" s="8"/>
      <c r="C534" s="106"/>
      <c r="D534" s="106"/>
      <c r="E534" s="106"/>
      <c r="F534" s="106"/>
      <c r="G534" s="680"/>
      <c r="H534" s="350"/>
    </row>
    <row r="535" spans="2:8" s="324" customFormat="1" x14ac:dyDescent="0.35">
      <c r="B535" s="8"/>
      <c r="C535" s="106"/>
      <c r="D535" s="106"/>
      <c r="E535" s="106"/>
      <c r="F535" s="106"/>
      <c r="G535" s="680"/>
      <c r="H535" s="350"/>
    </row>
    <row r="536" spans="2:8" s="324" customFormat="1" x14ac:dyDescent="0.35">
      <c r="B536" s="8"/>
      <c r="C536" s="106"/>
      <c r="D536" s="106"/>
      <c r="E536" s="106"/>
      <c r="F536" s="106"/>
      <c r="G536" s="680"/>
      <c r="H536" s="350"/>
    </row>
    <row r="537" spans="2:8" s="324" customFormat="1" x14ac:dyDescent="0.35">
      <c r="B537" s="8"/>
      <c r="C537" s="106"/>
      <c r="D537" s="106"/>
      <c r="E537" s="106"/>
      <c r="F537" s="106"/>
      <c r="G537" s="680"/>
      <c r="H537" s="350"/>
    </row>
    <row r="538" spans="2:8" s="324" customFormat="1" x14ac:dyDescent="0.35">
      <c r="B538" s="8"/>
      <c r="C538" s="106"/>
      <c r="D538" s="106"/>
      <c r="E538" s="106"/>
      <c r="F538" s="106"/>
      <c r="G538" s="680"/>
      <c r="H538" s="350"/>
    </row>
    <row r="539" spans="2:8" s="324" customFormat="1" x14ac:dyDescent="0.35">
      <c r="B539" s="8"/>
      <c r="C539" s="106"/>
      <c r="D539" s="106"/>
      <c r="E539" s="106"/>
      <c r="F539" s="106"/>
      <c r="G539" s="680"/>
      <c r="H539" s="350"/>
    </row>
    <row r="540" spans="2:8" s="324" customFormat="1" x14ac:dyDescent="0.35">
      <c r="B540" s="8"/>
      <c r="C540" s="106"/>
      <c r="D540" s="106"/>
      <c r="E540" s="106"/>
      <c r="F540" s="106"/>
      <c r="G540" s="680"/>
      <c r="H540" s="350"/>
    </row>
    <row r="541" spans="2:8" s="324" customFormat="1" x14ac:dyDescent="0.35">
      <c r="B541" s="8"/>
      <c r="C541" s="106"/>
      <c r="D541" s="106"/>
      <c r="E541" s="106"/>
      <c r="F541" s="106"/>
      <c r="G541" s="680"/>
      <c r="H541" s="350"/>
    </row>
    <row r="542" spans="2:8" s="324" customFormat="1" x14ac:dyDescent="0.35">
      <c r="B542" s="8"/>
      <c r="C542" s="106"/>
      <c r="D542" s="106"/>
      <c r="E542" s="106"/>
      <c r="F542" s="106"/>
      <c r="G542" s="680"/>
      <c r="H542" s="350"/>
    </row>
    <row r="543" spans="2:8" s="324" customFormat="1" x14ac:dyDescent="0.35">
      <c r="B543" s="8"/>
      <c r="C543" s="106"/>
      <c r="D543" s="106"/>
      <c r="E543" s="106"/>
      <c r="F543" s="106"/>
      <c r="G543" s="680"/>
      <c r="H543" s="350"/>
    </row>
    <row r="544" spans="2:8" s="324" customFormat="1" x14ac:dyDescent="0.35">
      <c r="B544" s="8"/>
      <c r="C544" s="106"/>
      <c r="D544" s="106"/>
      <c r="E544" s="106"/>
      <c r="F544" s="106"/>
      <c r="G544" s="680"/>
      <c r="H544" s="350"/>
    </row>
    <row r="545" spans="2:8" s="324" customFormat="1" x14ac:dyDescent="0.35">
      <c r="B545" s="8"/>
      <c r="C545" s="106"/>
      <c r="D545" s="106"/>
      <c r="E545" s="106"/>
      <c r="F545" s="106"/>
      <c r="G545" s="680"/>
      <c r="H545" s="350"/>
    </row>
    <row r="546" spans="2:8" s="324" customFormat="1" x14ac:dyDescent="0.35">
      <c r="B546" s="8"/>
      <c r="C546" s="106"/>
      <c r="D546" s="106"/>
      <c r="E546" s="106"/>
      <c r="F546" s="106"/>
      <c r="G546" s="680"/>
      <c r="H546" s="350"/>
    </row>
    <row r="547" spans="2:8" s="324" customFormat="1" x14ac:dyDescent="0.35">
      <c r="B547" s="8"/>
      <c r="C547" s="106"/>
      <c r="D547" s="106"/>
      <c r="E547" s="106"/>
      <c r="F547" s="106"/>
      <c r="G547" s="680"/>
      <c r="H547" s="350"/>
    </row>
    <row r="548" spans="2:8" s="324" customFormat="1" x14ac:dyDescent="0.35">
      <c r="B548" s="8"/>
      <c r="C548" s="106"/>
      <c r="D548" s="106"/>
      <c r="E548" s="106"/>
      <c r="F548" s="106"/>
      <c r="G548" s="680"/>
      <c r="H548" s="350"/>
    </row>
    <row r="549" spans="2:8" s="324" customFormat="1" x14ac:dyDescent="0.35">
      <c r="B549" s="8"/>
      <c r="C549" s="106"/>
      <c r="D549" s="106"/>
      <c r="E549" s="106"/>
      <c r="F549" s="106"/>
      <c r="G549" s="680"/>
      <c r="H549" s="350"/>
    </row>
    <row r="550" spans="2:8" s="324" customFormat="1" x14ac:dyDescent="0.35">
      <c r="B550" s="8"/>
      <c r="C550" s="106"/>
      <c r="D550" s="106"/>
      <c r="E550" s="106"/>
      <c r="F550" s="106"/>
      <c r="G550" s="680"/>
      <c r="H550" s="350"/>
    </row>
    <row r="551" spans="2:8" s="324" customFormat="1" x14ac:dyDescent="0.35">
      <c r="B551" s="8"/>
      <c r="C551" s="106"/>
      <c r="D551" s="106"/>
      <c r="E551" s="106"/>
      <c r="F551" s="106"/>
      <c r="G551" s="680"/>
      <c r="H551" s="350"/>
    </row>
    <row r="552" spans="2:8" s="324" customFormat="1" x14ac:dyDescent="0.35">
      <c r="B552" s="8"/>
      <c r="C552" s="106"/>
      <c r="D552" s="106"/>
      <c r="E552" s="106"/>
      <c r="F552" s="106"/>
      <c r="G552" s="680"/>
      <c r="H552" s="350"/>
    </row>
    <row r="553" spans="2:8" s="324" customFormat="1" x14ac:dyDescent="0.35">
      <c r="B553" s="8"/>
      <c r="C553" s="106"/>
      <c r="D553" s="106"/>
      <c r="E553" s="106"/>
      <c r="F553" s="106"/>
      <c r="G553" s="680"/>
      <c r="H553" s="350"/>
    </row>
    <row r="554" spans="2:8" s="324" customFormat="1" x14ac:dyDescent="0.35">
      <c r="B554" s="8"/>
      <c r="C554" s="106"/>
      <c r="D554" s="106"/>
      <c r="E554" s="106"/>
      <c r="F554" s="106"/>
      <c r="G554" s="680"/>
      <c r="H554" s="350"/>
    </row>
    <row r="555" spans="2:8" s="324" customFormat="1" x14ac:dyDescent="0.35">
      <c r="B555" s="8"/>
      <c r="C555" s="106"/>
      <c r="D555" s="106"/>
      <c r="E555" s="106"/>
      <c r="F555" s="106"/>
      <c r="G555" s="680"/>
      <c r="H555" s="350"/>
    </row>
    <row r="556" spans="2:8" s="324" customFormat="1" x14ac:dyDescent="0.35">
      <c r="B556" s="8"/>
      <c r="C556" s="106"/>
      <c r="D556" s="106"/>
      <c r="E556" s="106"/>
      <c r="F556" s="106"/>
      <c r="G556" s="680"/>
      <c r="H556" s="350"/>
    </row>
    <row r="557" spans="2:8" s="324" customFormat="1" x14ac:dyDescent="0.35">
      <c r="B557" s="8"/>
      <c r="C557" s="106"/>
      <c r="D557" s="106"/>
      <c r="E557" s="106"/>
      <c r="F557" s="106"/>
      <c r="G557" s="680"/>
      <c r="H557" s="350"/>
    </row>
    <row r="558" spans="2:8" s="324" customFormat="1" x14ac:dyDescent="0.35">
      <c r="B558" s="8"/>
      <c r="C558" s="106"/>
      <c r="D558" s="106"/>
      <c r="E558" s="106"/>
      <c r="F558" s="106"/>
      <c r="G558" s="680"/>
      <c r="H558" s="350"/>
    </row>
    <row r="559" spans="2:8" s="324" customFormat="1" x14ac:dyDescent="0.35">
      <c r="B559" s="8"/>
      <c r="C559" s="106"/>
      <c r="D559" s="106"/>
      <c r="E559" s="106"/>
      <c r="F559" s="106"/>
      <c r="G559" s="680"/>
      <c r="H559" s="350"/>
    </row>
    <row r="560" spans="2:8" s="324" customFormat="1" x14ac:dyDescent="0.35">
      <c r="B560" s="8"/>
      <c r="C560" s="106"/>
      <c r="D560" s="106"/>
      <c r="E560" s="106"/>
      <c r="F560" s="106"/>
      <c r="G560" s="680"/>
      <c r="H560" s="350"/>
    </row>
    <row r="561" spans="2:8" s="324" customFormat="1" x14ac:dyDescent="0.35">
      <c r="B561" s="8"/>
      <c r="C561" s="106"/>
      <c r="D561" s="106"/>
      <c r="E561" s="106"/>
      <c r="F561" s="106"/>
      <c r="G561" s="680"/>
      <c r="H561" s="350"/>
    </row>
    <row r="562" spans="2:8" s="324" customFormat="1" x14ac:dyDescent="0.35">
      <c r="B562" s="8"/>
      <c r="C562" s="106"/>
      <c r="D562" s="106"/>
      <c r="E562" s="106"/>
      <c r="F562" s="106"/>
      <c r="G562" s="680"/>
      <c r="H562" s="350"/>
    </row>
    <row r="563" spans="2:8" s="324" customFormat="1" x14ac:dyDescent="0.35">
      <c r="B563" s="8"/>
      <c r="C563" s="106"/>
      <c r="D563" s="106"/>
      <c r="E563" s="106"/>
      <c r="F563" s="106"/>
      <c r="G563" s="680"/>
      <c r="H563" s="350"/>
    </row>
    <row r="564" spans="2:8" s="324" customFormat="1" x14ac:dyDescent="0.35">
      <c r="B564" s="8"/>
      <c r="C564" s="106"/>
      <c r="D564" s="106"/>
      <c r="E564" s="106"/>
      <c r="F564" s="106"/>
      <c r="G564" s="680"/>
      <c r="H564" s="350"/>
    </row>
    <row r="565" spans="2:8" s="324" customFormat="1" x14ac:dyDescent="0.35">
      <c r="B565" s="8"/>
      <c r="C565" s="106"/>
      <c r="D565" s="106"/>
      <c r="E565" s="106"/>
      <c r="F565" s="106"/>
      <c r="G565" s="680"/>
      <c r="H565" s="350"/>
    </row>
    <row r="566" spans="2:8" s="324" customFormat="1" x14ac:dyDescent="0.35">
      <c r="B566" s="8"/>
      <c r="C566" s="106"/>
      <c r="D566" s="106"/>
      <c r="E566" s="106"/>
      <c r="F566" s="106"/>
      <c r="G566" s="680"/>
      <c r="H566" s="350"/>
    </row>
    <row r="567" spans="2:8" s="324" customFormat="1" x14ac:dyDescent="0.35">
      <c r="B567" s="8"/>
      <c r="C567" s="106"/>
      <c r="D567" s="106"/>
      <c r="E567" s="106"/>
      <c r="F567" s="106"/>
      <c r="G567" s="680"/>
      <c r="H567" s="350"/>
    </row>
    <row r="568" spans="2:8" s="324" customFormat="1" x14ac:dyDescent="0.35">
      <c r="B568" s="8"/>
      <c r="C568" s="106"/>
      <c r="D568" s="106"/>
      <c r="E568" s="106"/>
      <c r="F568" s="106"/>
      <c r="G568" s="680"/>
      <c r="H568" s="350"/>
    </row>
    <row r="569" spans="2:8" s="324" customFormat="1" x14ac:dyDescent="0.35">
      <c r="B569" s="8"/>
      <c r="C569" s="106"/>
      <c r="D569" s="106"/>
      <c r="E569" s="106"/>
      <c r="F569" s="106"/>
      <c r="G569" s="680"/>
      <c r="H569" s="350"/>
    </row>
    <row r="570" spans="2:8" s="324" customFormat="1" x14ac:dyDescent="0.35">
      <c r="B570" s="8"/>
      <c r="C570" s="106"/>
      <c r="D570" s="106"/>
      <c r="E570" s="106"/>
      <c r="F570" s="106"/>
      <c r="G570" s="680"/>
      <c r="H570" s="350"/>
    </row>
    <row r="571" spans="2:8" s="324" customFormat="1" x14ac:dyDescent="0.35">
      <c r="B571" s="8"/>
      <c r="C571" s="106"/>
      <c r="D571" s="106"/>
      <c r="E571" s="106"/>
      <c r="F571" s="106"/>
      <c r="G571" s="680"/>
      <c r="H571" s="350"/>
    </row>
    <row r="572" spans="2:8" s="324" customFormat="1" x14ac:dyDescent="0.35">
      <c r="B572" s="8"/>
      <c r="C572" s="106"/>
      <c r="D572" s="106"/>
      <c r="E572" s="106"/>
      <c r="F572" s="106"/>
      <c r="G572" s="680"/>
      <c r="H572" s="350"/>
    </row>
    <row r="573" spans="2:8" s="324" customFormat="1" x14ac:dyDescent="0.35">
      <c r="B573" s="8"/>
      <c r="C573" s="106"/>
      <c r="D573" s="106"/>
      <c r="E573" s="106"/>
      <c r="F573" s="106"/>
      <c r="G573" s="680"/>
      <c r="H573" s="350"/>
    </row>
    <row r="574" spans="2:8" s="324" customFormat="1" x14ac:dyDescent="0.35">
      <c r="B574" s="8"/>
      <c r="C574" s="106"/>
      <c r="D574" s="106"/>
      <c r="E574" s="106"/>
      <c r="F574" s="106"/>
      <c r="G574" s="680"/>
      <c r="H574" s="350"/>
    </row>
    <row r="575" spans="2:8" s="324" customFormat="1" x14ac:dyDescent="0.35">
      <c r="B575" s="8"/>
      <c r="C575" s="106"/>
      <c r="D575" s="106"/>
      <c r="E575" s="106"/>
      <c r="F575" s="106"/>
      <c r="G575" s="680"/>
      <c r="H575" s="350"/>
    </row>
    <row r="576" spans="2:8" s="324" customFormat="1" x14ac:dyDescent="0.35">
      <c r="B576" s="8"/>
      <c r="C576" s="106"/>
      <c r="D576" s="106"/>
      <c r="E576" s="106"/>
      <c r="F576" s="106"/>
      <c r="G576" s="680"/>
      <c r="H576" s="350"/>
    </row>
    <row r="577" spans="1:8" s="324" customFormat="1" x14ac:dyDescent="0.35">
      <c r="B577" s="8"/>
      <c r="C577" s="106"/>
      <c r="D577" s="106"/>
      <c r="E577" s="106"/>
      <c r="F577" s="106"/>
      <c r="G577" s="680"/>
      <c r="H577" s="350"/>
    </row>
    <row r="578" spans="1:8" s="324" customFormat="1" x14ac:dyDescent="0.35">
      <c r="B578" s="8"/>
      <c r="C578" s="106"/>
      <c r="D578" s="106"/>
      <c r="E578" s="106"/>
      <c r="F578" s="106"/>
      <c r="G578" s="680"/>
      <c r="H578" s="350"/>
    </row>
    <row r="579" spans="1:8" s="324" customFormat="1" x14ac:dyDescent="0.35">
      <c r="B579" s="8"/>
      <c r="C579" s="106"/>
      <c r="D579" s="106"/>
      <c r="E579" s="106"/>
      <c r="F579" s="106"/>
      <c r="G579" s="680"/>
      <c r="H579" s="350"/>
    </row>
    <row r="580" spans="1:8" s="324" customFormat="1" x14ac:dyDescent="0.35">
      <c r="B580" s="8"/>
      <c r="C580" s="106"/>
      <c r="D580" s="106"/>
      <c r="E580" s="106"/>
      <c r="F580" s="106"/>
      <c r="G580" s="680"/>
      <c r="H580" s="350"/>
    </row>
    <row r="581" spans="1:8" s="324" customFormat="1" x14ac:dyDescent="0.35">
      <c r="B581" s="8"/>
      <c r="C581" s="106"/>
      <c r="D581" s="106"/>
      <c r="E581" s="106"/>
      <c r="F581" s="106"/>
      <c r="G581" s="680"/>
      <c r="H581" s="350"/>
    </row>
    <row r="582" spans="1:8" s="324" customFormat="1" x14ac:dyDescent="0.35">
      <c r="B582" s="8"/>
      <c r="C582" s="106"/>
      <c r="D582" s="106"/>
      <c r="E582" s="106"/>
      <c r="F582" s="106"/>
      <c r="G582" s="680"/>
      <c r="H582" s="350"/>
    </row>
    <row r="583" spans="1:8" s="324" customFormat="1" x14ac:dyDescent="0.35">
      <c r="B583" s="8"/>
      <c r="C583" s="106"/>
      <c r="D583" s="106"/>
      <c r="E583" s="106"/>
      <c r="F583" s="106"/>
      <c r="G583" s="680"/>
      <c r="H583" s="350"/>
    </row>
    <row r="584" spans="1:8" s="324" customFormat="1" x14ac:dyDescent="0.35">
      <c r="B584" s="8"/>
      <c r="C584" s="106"/>
      <c r="D584" s="106"/>
      <c r="E584" s="106"/>
      <c r="F584" s="106"/>
      <c r="G584" s="680"/>
      <c r="H584" s="350"/>
    </row>
    <row r="585" spans="1:8" s="324" customFormat="1" x14ac:dyDescent="0.35">
      <c r="B585" s="8"/>
      <c r="C585" s="106"/>
      <c r="D585" s="106"/>
      <c r="E585" s="106"/>
      <c r="F585" s="106"/>
      <c r="G585" s="680"/>
      <c r="H585" s="350"/>
    </row>
    <row r="586" spans="1:8" s="324" customFormat="1" x14ac:dyDescent="0.35">
      <c r="B586" s="8"/>
      <c r="C586" s="106"/>
      <c r="D586" s="106"/>
      <c r="E586" s="106"/>
      <c r="F586" s="106"/>
      <c r="G586" s="680"/>
      <c r="H586" s="350"/>
    </row>
    <row r="587" spans="1:8" s="324" customFormat="1" ht="31.5" customHeight="1" x14ac:dyDescent="0.35">
      <c r="B587" s="8"/>
      <c r="C587" s="106"/>
      <c r="D587" s="106"/>
      <c r="E587" s="106"/>
      <c r="F587" s="106"/>
      <c r="G587" s="680"/>
      <c r="H587" s="350"/>
    </row>
    <row r="588" spans="1:8" s="324" customFormat="1" x14ac:dyDescent="0.35">
      <c r="B588" s="8"/>
      <c r="C588" s="106"/>
      <c r="D588" s="106"/>
      <c r="E588" s="106"/>
      <c r="F588" s="106"/>
      <c r="G588" s="680"/>
      <c r="H588" s="350"/>
    </row>
    <row r="589" spans="1:8" x14ac:dyDescent="0.35">
      <c r="A589" s="324"/>
    </row>
    <row r="590" spans="1:8" x14ac:dyDescent="0.35">
      <c r="A590" s="324"/>
    </row>
    <row r="591" spans="1:8" s="324" customFormat="1" x14ac:dyDescent="0.35">
      <c r="B591" s="8"/>
      <c r="C591" s="106"/>
      <c r="D591" s="106"/>
      <c r="E591" s="106"/>
      <c r="F591" s="106"/>
      <c r="G591" s="680"/>
      <c r="H591" s="350"/>
    </row>
    <row r="592" spans="1:8" s="324" customFormat="1" x14ac:dyDescent="0.35">
      <c r="B592" s="8"/>
      <c r="C592" s="106"/>
      <c r="D592" s="106"/>
      <c r="E592" s="106"/>
      <c r="F592" s="106"/>
      <c r="G592" s="680"/>
      <c r="H592" s="350"/>
    </row>
    <row r="593" spans="2:8" s="324" customFormat="1" x14ac:dyDescent="0.35">
      <c r="B593" s="8"/>
      <c r="C593" s="106"/>
      <c r="D593" s="106"/>
      <c r="E593" s="106"/>
      <c r="F593" s="106"/>
      <c r="G593" s="680"/>
      <c r="H593" s="350"/>
    </row>
    <row r="594" spans="2:8" s="324" customFormat="1" x14ac:dyDescent="0.35">
      <c r="B594" s="8"/>
      <c r="C594" s="106"/>
      <c r="D594" s="106"/>
      <c r="E594" s="106"/>
      <c r="F594" s="106"/>
      <c r="G594" s="680"/>
      <c r="H594" s="350"/>
    </row>
    <row r="595" spans="2:8" s="324" customFormat="1" x14ac:dyDescent="0.35">
      <c r="B595" s="8"/>
      <c r="C595" s="106"/>
      <c r="D595" s="106"/>
      <c r="E595" s="106"/>
      <c r="F595" s="106"/>
      <c r="G595" s="680"/>
      <c r="H595" s="350"/>
    </row>
    <row r="596" spans="2:8" s="324" customFormat="1" x14ac:dyDescent="0.35">
      <c r="B596" s="8"/>
      <c r="C596" s="106"/>
      <c r="D596" s="106"/>
      <c r="E596" s="106"/>
      <c r="F596" s="106"/>
      <c r="G596" s="680"/>
      <c r="H596" s="350"/>
    </row>
    <row r="597" spans="2:8" s="324" customFormat="1" x14ac:dyDescent="0.35">
      <c r="B597" s="8"/>
      <c r="C597" s="106"/>
      <c r="D597" s="106"/>
      <c r="E597" s="106"/>
      <c r="F597" s="106"/>
      <c r="G597" s="680"/>
      <c r="H597" s="350"/>
    </row>
    <row r="598" spans="2:8" s="324" customFormat="1" x14ac:dyDescent="0.35">
      <c r="B598" s="8"/>
      <c r="C598" s="106"/>
      <c r="D598" s="106"/>
      <c r="E598" s="106"/>
      <c r="F598" s="106"/>
      <c r="G598" s="680"/>
      <c r="H598" s="350"/>
    </row>
    <row r="599" spans="2:8" s="324" customFormat="1" x14ac:dyDescent="0.35">
      <c r="B599" s="8"/>
      <c r="C599" s="106"/>
      <c r="D599" s="106"/>
      <c r="E599" s="106"/>
      <c r="F599" s="106"/>
      <c r="G599" s="680"/>
      <c r="H599" s="350"/>
    </row>
    <row r="600" spans="2:8" s="324" customFormat="1" x14ac:dyDescent="0.35">
      <c r="B600" s="8"/>
      <c r="C600" s="106"/>
      <c r="D600" s="106"/>
      <c r="E600" s="106"/>
      <c r="F600" s="106"/>
      <c r="G600" s="680"/>
      <c r="H600" s="350"/>
    </row>
    <row r="601" spans="2:8" s="324" customFormat="1" x14ac:dyDescent="0.35">
      <c r="B601" s="8"/>
      <c r="C601" s="106"/>
      <c r="D601" s="106"/>
      <c r="E601" s="106"/>
      <c r="F601" s="106"/>
      <c r="G601" s="680"/>
      <c r="H601" s="350"/>
    </row>
    <row r="602" spans="2:8" s="324" customFormat="1" x14ac:dyDescent="0.35">
      <c r="B602" s="8"/>
      <c r="C602" s="106"/>
      <c r="D602" s="106"/>
      <c r="E602" s="106"/>
      <c r="F602" s="106"/>
      <c r="G602" s="680"/>
      <c r="H602" s="350"/>
    </row>
    <row r="603" spans="2:8" s="324" customFormat="1" x14ac:dyDescent="0.35">
      <c r="B603" s="8"/>
      <c r="C603" s="106"/>
      <c r="D603" s="106"/>
      <c r="E603" s="106"/>
      <c r="F603" s="106"/>
      <c r="G603" s="680"/>
      <c r="H603" s="350"/>
    </row>
    <row r="604" spans="2:8" s="324" customFormat="1" x14ac:dyDescent="0.35">
      <c r="B604" s="8"/>
      <c r="C604" s="106"/>
      <c r="D604" s="106"/>
      <c r="E604" s="106"/>
      <c r="F604" s="106"/>
      <c r="G604" s="680"/>
      <c r="H604" s="350"/>
    </row>
    <row r="605" spans="2:8" s="324" customFormat="1" x14ac:dyDescent="0.35">
      <c r="B605" s="8"/>
      <c r="C605" s="106"/>
      <c r="D605" s="106"/>
      <c r="E605" s="106"/>
      <c r="F605" s="106"/>
      <c r="G605" s="680"/>
      <c r="H605" s="350"/>
    </row>
    <row r="606" spans="2:8" s="324" customFormat="1" x14ac:dyDescent="0.35">
      <c r="B606" s="8"/>
      <c r="C606" s="106"/>
      <c r="D606" s="106"/>
      <c r="E606" s="106"/>
      <c r="F606" s="106"/>
      <c r="G606" s="680"/>
      <c r="H606" s="350"/>
    </row>
    <row r="607" spans="2:8" s="324" customFormat="1" x14ac:dyDescent="0.35">
      <c r="B607" s="8"/>
      <c r="C607" s="106"/>
      <c r="D607" s="106"/>
      <c r="E607" s="106"/>
      <c r="F607" s="106"/>
      <c r="G607" s="680"/>
      <c r="H607" s="350"/>
    </row>
    <row r="608" spans="2:8" s="324" customFormat="1" x14ac:dyDescent="0.35">
      <c r="B608" s="8"/>
      <c r="C608" s="106"/>
      <c r="D608" s="106"/>
      <c r="E608" s="106"/>
      <c r="F608" s="106"/>
      <c r="G608" s="680"/>
      <c r="H608" s="350"/>
    </row>
    <row r="609" spans="2:8" s="324" customFormat="1" x14ac:dyDescent="0.35">
      <c r="B609" s="8"/>
      <c r="C609" s="106"/>
      <c r="D609" s="106"/>
      <c r="E609" s="106"/>
      <c r="F609" s="106"/>
      <c r="G609" s="680"/>
      <c r="H609" s="350"/>
    </row>
    <row r="610" spans="2:8" s="324" customFormat="1" x14ac:dyDescent="0.35">
      <c r="B610" s="8"/>
      <c r="C610" s="106"/>
      <c r="D610" s="106"/>
      <c r="E610" s="106"/>
      <c r="F610" s="106"/>
      <c r="G610" s="680"/>
      <c r="H610" s="350"/>
    </row>
    <row r="611" spans="2:8" s="324" customFormat="1" x14ac:dyDescent="0.35">
      <c r="B611" s="8"/>
      <c r="C611" s="106"/>
      <c r="D611" s="106"/>
      <c r="E611" s="106"/>
      <c r="F611" s="106"/>
      <c r="G611" s="680"/>
      <c r="H611" s="350"/>
    </row>
    <row r="612" spans="2:8" s="324" customFormat="1" x14ac:dyDescent="0.35">
      <c r="B612" s="8"/>
      <c r="C612" s="106"/>
      <c r="D612" s="106"/>
      <c r="E612" s="106"/>
      <c r="F612" s="106"/>
      <c r="G612" s="680"/>
      <c r="H612" s="350"/>
    </row>
    <row r="613" spans="2:8" s="324" customFormat="1" x14ac:dyDescent="0.35">
      <c r="B613" s="8"/>
      <c r="C613" s="106"/>
      <c r="D613" s="106"/>
      <c r="E613" s="106"/>
      <c r="F613" s="106"/>
      <c r="G613" s="680"/>
      <c r="H613" s="350"/>
    </row>
    <row r="614" spans="2:8" s="324" customFormat="1" x14ac:dyDescent="0.35">
      <c r="B614" s="8"/>
      <c r="C614" s="106"/>
      <c r="D614" s="106"/>
      <c r="E614" s="106"/>
      <c r="F614" s="106"/>
      <c r="G614" s="680"/>
      <c r="H614" s="350"/>
    </row>
    <row r="615" spans="2:8" s="324" customFormat="1" x14ac:dyDescent="0.35">
      <c r="B615" s="8"/>
      <c r="C615" s="106"/>
      <c r="D615" s="106"/>
      <c r="E615" s="106"/>
      <c r="F615" s="106"/>
      <c r="G615" s="680"/>
      <c r="H615" s="350"/>
    </row>
    <row r="616" spans="2:8" s="324" customFormat="1" x14ac:dyDescent="0.35">
      <c r="B616" s="8"/>
      <c r="C616" s="106"/>
      <c r="D616" s="106"/>
      <c r="E616" s="106"/>
      <c r="F616" s="106"/>
      <c r="G616" s="680"/>
      <c r="H616" s="350"/>
    </row>
    <row r="617" spans="2:8" s="324" customFormat="1" x14ac:dyDescent="0.35">
      <c r="B617" s="8"/>
      <c r="C617" s="106"/>
      <c r="D617" s="106"/>
      <c r="E617" s="106"/>
      <c r="F617" s="106"/>
      <c r="G617" s="680"/>
      <c r="H617" s="350"/>
    </row>
    <row r="618" spans="2:8" s="324" customFormat="1" x14ac:dyDescent="0.35">
      <c r="B618" s="8"/>
      <c r="C618" s="106"/>
      <c r="D618" s="106"/>
      <c r="E618" s="106"/>
      <c r="F618" s="106"/>
      <c r="G618" s="680"/>
      <c r="H618" s="350"/>
    </row>
    <row r="619" spans="2:8" s="324" customFormat="1" x14ac:dyDescent="0.35">
      <c r="B619" s="8"/>
      <c r="C619" s="106"/>
      <c r="D619" s="106"/>
      <c r="E619" s="106"/>
      <c r="F619" s="106"/>
      <c r="G619" s="680"/>
      <c r="H619" s="350"/>
    </row>
    <row r="620" spans="2:8" s="324" customFormat="1" x14ac:dyDescent="0.35">
      <c r="B620" s="8"/>
      <c r="C620" s="106"/>
      <c r="D620" s="106"/>
      <c r="E620" s="106"/>
      <c r="F620" s="106"/>
      <c r="G620" s="680"/>
      <c r="H620" s="350"/>
    </row>
    <row r="621" spans="2:8" s="324" customFormat="1" x14ac:dyDescent="0.35">
      <c r="B621" s="8"/>
      <c r="C621" s="106"/>
      <c r="D621" s="106"/>
      <c r="E621" s="106"/>
      <c r="F621" s="106"/>
      <c r="G621" s="680"/>
      <c r="H621" s="350"/>
    </row>
    <row r="622" spans="2:8" s="324" customFormat="1" x14ac:dyDescent="0.35">
      <c r="B622" s="8"/>
      <c r="C622" s="106"/>
      <c r="D622" s="106"/>
      <c r="E622" s="106"/>
      <c r="F622" s="106"/>
      <c r="G622" s="680"/>
      <c r="H622" s="350"/>
    </row>
    <row r="623" spans="2:8" s="324" customFormat="1" x14ac:dyDescent="0.35">
      <c r="B623" s="8"/>
      <c r="C623" s="106"/>
      <c r="D623" s="106"/>
      <c r="E623" s="106"/>
      <c r="F623" s="106"/>
      <c r="G623" s="680"/>
      <c r="H623" s="350"/>
    </row>
    <row r="624" spans="2:8" s="324" customFormat="1" x14ac:dyDescent="0.35">
      <c r="B624" s="8"/>
      <c r="C624" s="106"/>
      <c r="D624" s="106"/>
      <c r="E624" s="106"/>
      <c r="F624" s="106"/>
      <c r="G624" s="680"/>
      <c r="H624" s="350"/>
    </row>
    <row r="625" spans="2:8" s="324" customFormat="1" x14ac:dyDescent="0.35">
      <c r="B625" s="8"/>
      <c r="C625" s="106"/>
      <c r="D625" s="106"/>
      <c r="E625" s="106"/>
      <c r="F625" s="106"/>
      <c r="G625" s="680"/>
      <c r="H625" s="350"/>
    </row>
    <row r="626" spans="2:8" s="324" customFormat="1" x14ac:dyDescent="0.35">
      <c r="B626" s="8"/>
      <c r="C626" s="106"/>
      <c r="D626" s="106"/>
      <c r="E626" s="106"/>
      <c r="F626" s="106"/>
      <c r="G626" s="680"/>
      <c r="H626" s="350"/>
    </row>
    <row r="627" spans="2:8" s="324" customFormat="1" x14ac:dyDescent="0.35">
      <c r="B627" s="8"/>
      <c r="C627" s="106"/>
      <c r="D627" s="106"/>
      <c r="E627" s="106"/>
      <c r="F627" s="106"/>
      <c r="G627" s="680"/>
      <c r="H627" s="350"/>
    </row>
    <row r="628" spans="2:8" s="324" customFormat="1" x14ac:dyDescent="0.35">
      <c r="B628" s="8"/>
      <c r="C628" s="106"/>
      <c r="D628" s="106"/>
      <c r="E628" s="106"/>
      <c r="F628" s="106"/>
      <c r="G628" s="680"/>
      <c r="H628" s="350"/>
    </row>
    <row r="629" spans="2:8" s="324" customFormat="1" x14ac:dyDescent="0.35">
      <c r="B629" s="8"/>
      <c r="C629" s="106"/>
      <c r="D629" s="106"/>
      <c r="E629" s="106"/>
      <c r="F629" s="106"/>
      <c r="G629" s="680"/>
      <c r="H629" s="350"/>
    </row>
    <row r="630" spans="2:8" s="324" customFormat="1" x14ac:dyDescent="0.35">
      <c r="B630" s="8"/>
      <c r="C630" s="106"/>
      <c r="D630" s="106"/>
      <c r="E630" s="106"/>
      <c r="F630" s="106"/>
      <c r="G630" s="680"/>
      <c r="H630" s="350"/>
    </row>
    <row r="631" spans="2:8" s="324" customFormat="1" x14ac:dyDescent="0.35">
      <c r="B631" s="8"/>
      <c r="C631" s="106"/>
      <c r="D631" s="106"/>
      <c r="E631" s="106"/>
      <c r="F631" s="106"/>
      <c r="G631" s="680"/>
      <c r="H631" s="350"/>
    </row>
    <row r="632" spans="2:8" s="324" customFormat="1" x14ac:dyDescent="0.35">
      <c r="B632" s="8"/>
      <c r="C632" s="106"/>
      <c r="D632" s="106"/>
      <c r="E632" s="106"/>
      <c r="F632" s="106"/>
      <c r="G632" s="680"/>
      <c r="H632" s="350"/>
    </row>
    <row r="633" spans="2:8" s="324" customFormat="1" x14ac:dyDescent="0.35">
      <c r="B633" s="8"/>
      <c r="C633" s="106"/>
      <c r="D633" s="106"/>
      <c r="E633" s="106"/>
      <c r="F633" s="106"/>
      <c r="G633" s="680"/>
      <c r="H633" s="350"/>
    </row>
    <row r="634" spans="2:8" s="324" customFormat="1" x14ac:dyDescent="0.35">
      <c r="B634" s="8"/>
      <c r="C634" s="106"/>
      <c r="D634" s="106"/>
      <c r="E634" s="106"/>
      <c r="F634" s="106"/>
      <c r="G634" s="680"/>
      <c r="H634" s="350"/>
    </row>
    <row r="635" spans="2:8" s="324" customFormat="1" x14ac:dyDescent="0.35">
      <c r="B635" s="8"/>
      <c r="C635" s="106"/>
      <c r="D635" s="106"/>
      <c r="E635" s="106"/>
      <c r="F635" s="106"/>
      <c r="G635" s="680"/>
      <c r="H635" s="350"/>
    </row>
    <row r="636" spans="2:8" s="324" customFormat="1" x14ac:dyDescent="0.35">
      <c r="B636" s="8"/>
      <c r="C636" s="106"/>
      <c r="D636" s="106"/>
      <c r="E636" s="106"/>
      <c r="F636" s="106"/>
      <c r="G636" s="680"/>
      <c r="H636" s="350"/>
    </row>
    <row r="637" spans="2:8" s="324" customFormat="1" x14ac:dyDescent="0.35">
      <c r="B637" s="8"/>
      <c r="C637" s="106"/>
      <c r="D637" s="106"/>
      <c r="E637" s="106"/>
      <c r="F637" s="106"/>
      <c r="G637" s="680"/>
      <c r="H637" s="350"/>
    </row>
    <row r="638" spans="2:8" s="324" customFormat="1" x14ac:dyDescent="0.35">
      <c r="B638" s="8"/>
      <c r="C638" s="106"/>
      <c r="D638" s="106"/>
      <c r="E638" s="106"/>
      <c r="F638" s="106"/>
      <c r="G638" s="680"/>
      <c r="H638" s="350"/>
    </row>
    <row r="639" spans="2:8" s="324" customFormat="1" x14ac:dyDescent="0.35">
      <c r="B639" s="8"/>
      <c r="C639" s="106"/>
      <c r="D639" s="106"/>
      <c r="E639" s="106"/>
      <c r="F639" s="106"/>
      <c r="G639" s="680"/>
      <c r="H639" s="350"/>
    </row>
    <row r="640" spans="2:8" s="324" customFormat="1" x14ac:dyDescent="0.35">
      <c r="B640" s="8"/>
      <c r="C640" s="106"/>
      <c r="D640" s="106"/>
      <c r="E640" s="106"/>
      <c r="F640" s="106"/>
      <c r="G640" s="680"/>
      <c r="H640" s="350"/>
    </row>
    <row r="641" spans="2:8" s="324" customFormat="1" x14ac:dyDescent="0.35">
      <c r="B641" s="8"/>
      <c r="C641" s="106"/>
      <c r="D641" s="106"/>
      <c r="E641" s="106"/>
      <c r="F641" s="106"/>
      <c r="G641" s="680"/>
      <c r="H641" s="350"/>
    </row>
    <row r="642" spans="2:8" s="324" customFormat="1" x14ac:dyDescent="0.35">
      <c r="B642" s="8"/>
      <c r="C642" s="106"/>
      <c r="D642" s="106"/>
      <c r="E642" s="106"/>
      <c r="F642" s="106"/>
      <c r="G642" s="680"/>
      <c r="H642" s="350"/>
    </row>
    <row r="643" spans="2:8" s="324" customFormat="1" x14ac:dyDescent="0.35">
      <c r="B643" s="8"/>
      <c r="C643" s="106"/>
      <c r="D643" s="106"/>
      <c r="E643" s="106"/>
      <c r="F643" s="106"/>
      <c r="G643" s="680"/>
      <c r="H643" s="350"/>
    </row>
    <row r="644" spans="2:8" s="324" customFormat="1" x14ac:dyDescent="0.35">
      <c r="B644" s="8"/>
      <c r="C644" s="106"/>
      <c r="D644" s="106"/>
      <c r="E644" s="106"/>
      <c r="F644" s="106"/>
      <c r="G644" s="680"/>
      <c r="H644" s="350"/>
    </row>
    <row r="645" spans="2:8" s="324" customFormat="1" x14ac:dyDescent="0.35">
      <c r="B645" s="8"/>
      <c r="C645" s="106"/>
      <c r="D645" s="106"/>
      <c r="E645" s="106"/>
      <c r="F645" s="106"/>
      <c r="G645" s="680"/>
      <c r="H645" s="350"/>
    </row>
    <row r="646" spans="2:8" s="324" customFormat="1" x14ac:dyDescent="0.35">
      <c r="B646" s="8"/>
      <c r="C646" s="106"/>
      <c r="D646" s="106"/>
      <c r="E646" s="106"/>
      <c r="F646" s="106"/>
      <c r="G646" s="680"/>
      <c r="H646" s="350"/>
    </row>
    <row r="647" spans="2:8" s="324" customFormat="1" x14ac:dyDescent="0.35">
      <c r="B647" s="8"/>
      <c r="C647" s="106"/>
      <c r="D647" s="106"/>
      <c r="E647" s="106"/>
      <c r="F647" s="106"/>
      <c r="G647" s="680"/>
      <c r="H647" s="350"/>
    </row>
    <row r="648" spans="2:8" s="324" customFormat="1" x14ac:dyDescent="0.35">
      <c r="B648" s="8"/>
      <c r="C648" s="106"/>
      <c r="D648" s="106"/>
      <c r="E648" s="106"/>
      <c r="F648" s="106"/>
      <c r="G648" s="680"/>
      <c r="H648" s="350"/>
    </row>
    <row r="649" spans="2:8" s="324" customFormat="1" x14ac:dyDescent="0.35">
      <c r="B649" s="8"/>
      <c r="C649" s="106"/>
      <c r="D649" s="106"/>
      <c r="E649" s="106"/>
      <c r="F649" s="106"/>
      <c r="G649" s="680"/>
      <c r="H649" s="350"/>
    </row>
    <row r="650" spans="2:8" s="324" customFormat="1" x14ac:dyDescent="0.35">
      <c r="B650" s="8"/>
      <c r="C650" s="106"/>
      <c r="D650" s="106"/>
      <c r="E650" s="106"/>
      <c r="F650" s="106"/>
      <c r="G650" s="680"/>
      <c r="H650" s="350"/>
    </row>
    <row r="651" spans="2:8" s="324" customFormat="1" x14ac:dyDescent="0.35">
      <c r="B651" s="8"/>
      <c r="C651" s="106"/>
      <c r="D651" s="106"/>
      <c r="E651" s="106"/>
      <c r="F651" s="106"/>
      <c r="G651" s="680"/>
      <c r="H651" s="350"/>
    </row>
    <row r="652" spans="2:8" s="324" customFormat="1" x14ac:dyDescent="0.35">
      <c r="B652" s="8"/>
      <c r="C652" s="106"/>
      <c r="D652" s="106"/>
      <c r="E652" s="106"/>
      <c r="F652" s="106"/>
      <c r="G652" s="680"/>
      <c r="H652" s="350"/>
    </row>
    <row r="653" spans="2:8" s="324" customFormat="1" x14ac:dyDescent="0.35">
      <c r="B653" s="8"/>
      <c r="C653" s="106"/>
      <c r="D653" s="106"/>
      <c r="E653" s="106"/>
      <c r="F653" s="106"/>
      <c r="G653" s="680"/>
      <c r="H653" s="350"/>
    </row>
    <row r="654" spans="2:8" s="324" customFormat="1" x14ac:dyDescent="0.35">
      <c r="B654" s="8"/>
      <c r="C654" s="106"/>
      <c r="D654" s="106"/>
      <c r="E654" s="106"/>
      <c r="F654" s="106"/>
      <c r="G654" s="680"/>
      <c r="H654" s="350"/>
    </row>
    <row r="655" spans="2:8" s="324" customFormat="1" x14ac:dyDescent="0.35">
      <c r="B655" s="8"/>
      <c r="C655" s="106"/>
      <c r="D655" s="106"/>
      <c r="E655" s="106"/>
      <c r="F655" s="106"/>
      <c r="G655" s="680"/>
      <c r="H655" s="350"/>
    </row>
    <row r="656" spans="2:8" s="324" customFormat="1" x14ac:dyDescent="0.35">
      <c r="B656" s="8"/>
      <c r="C656" s="106"/>
      <c r="D656" s="106"/>
      <c r="E656" s="106"/>
      <c r="F656" s="106"/>
      <c r="G656" s="680"/>
      <c r="H656" s="350"/>
    </row>
    <row r="657" spans="1:8" s="324" customFormat="1" x14ac:dyDescent="0.35">
      <c r="B657" s="8"/>
      <c r="C657" s="106"/>
      <c r="D657" s="106"/>
      <c r="E657" s="106"/>
      <c r="F657" s="106"/>
      <c r="G657" s="680"/>
      <c r="H657" s="350"/>
    </row>
    <row r="658" spans="1:8" s="324" customFormat="1" x14ac:dyDescent="0.35">
      <c r="B658" s="8"/>
      <c r="C658" s="106"/>
      <c r="D658" s="106"/>
      <c r="E658" s="106"/>
      <c r="F658" s="106"/>
      <c r="G658" s="680"/>
      <c r="H658" s="350"/>
    </row>
    <row r="659" spans="1:8" s="324" customFormat="1" x14ac:dyDescent="0.35">
      <c r="B659" s="8"/>
      <c r="C659" s="106"/>
      <c r="D659" s="106"/>
      <c r="E659" s="106"/>
      <c r="F659" s="106"/>
      <c r="G659" s="680"/>
      <c r="H659" s="350"/>
    </row>
    <row r="660" spans="1:8" s="324" customFormat="1" x14ac:dyDescent="0.35">
      <c r="B660" s="8"/>
      <c r="C660" s="106"/>
      <c r="D660" s="106"/>
      <c r="E660" s="106"/>
      <c r="F660" s="106"/>
      <c r="G660" s="680"/>
      <c r="H660" s="350"/>
    </row>
    <row r="661" spans="1:8" s="324" customFormat="1" x14ac:dyDescent="0.35">
      <c r="B661" s="8"/>
      <c r="C661" s="106"/>
      <c r="D661" s="106"/>
      <c r="E661" s="106"/>
      <c r="F661" s="106"/>
      <c r="G661" s="680"/>
      <c r="H661" s="326"/>
    </row>
    <row r="662" spans="1:8" s="324" customFormat="1" x14ac:dyDescent="0.35">
      <c r="B662" s="8"/>
      <c r="C662" s="106"/>
      <c r="D662" s="106"/>
      <c r="E662" s="106"/>
      <c r="F662" s="106"/>
      <c r="G662" s="680"/>
      <c r="H662" s="326"/>
    </row>
    <row r="663" spans="1:8" s="324" customFormat="1" x14ac:dyDescent="0.35">
      <c r="B663" s="8"/>
      <c r="C663" s="106"/>
      <c r="D663" s="106"/>
      <c r="E663" s="106"/>
      <c r="F663" s="106"/>
      <c r="G663" s="680"/>
      <c r="H663" s="326"/>
    </row>
    <row r="664" spans="1:8" s="324" customFormat="1" x14ac:dyDescent="0.35">
      <c r="B664" s="8"/>
      <c r="C664" s="106"/>
      <c r="D664" s="106"/>
      <c r="E664" s="106"/>
      <c r="F664" s="106"/>
      <c r="G664" s="680"/>
      <c r="H664" s="326"/>
    </row>
    <row r="665" spans="1:8" s="324" customFormat="1" x14ac:dyDescent="0.35">
      <c r="B665" s="8"/>
      <c r="C665" s="106"/>
      <c r="D665" s="106"/>
      <c r="E665" s="106"/>
      <c r="F665" s="106"/>
      <c r="G665" s="680"/>
      <c r="H665" s="326"/>
    </row>
    <row r="666" spans="1:8" x14ac:dyDescent="0.35">
      <c r="A666" s="324"/>
    </row>
    <row r="667" spans="1:8" x14ac:dyDescent="0.35">
      <c r="A667" s="324"/>
    </row>
    <row r="668" spans="1:8" s="324" customFormat="1" x14ac:dyDescent="0.35">
      <c r="B668" s="8"/>
      <c r="C668" s="106"/>
      <c r="D668" s="106"/>
      <c r="E668" s="106"/>
      <c r="F668" s="106"/>
      <c r="G668" s="680"/>
      <c r="H668" s="326"/>
    </row>
    <row r="669" spans="1:8" s="324" customFormat="1" x14ac:dyDescent="0.35">
      <c r="B669" s="8"/>
      <c r="C669" s="106"/>
      <c r="D669" s="106"/>
      <c r="E669" s="106"/>
      <c r="F669" s="106"/>
      <c r="G669" s="680"/>
      <c r="H669" s="326"/>
    </row>
    <row r="670" spans="1:8" s="324" customFormat="1" x14ac:dyDescent="0.35">
      <c r="B670" s="8"/>
      <c r="C670" s="106"/>
      <c r="D670" s="106"/>
      <c r="E670" s="106"/>
      <c r="F670" s="106"/>
      <c r="G670" s="680"/>
      <c r="H670" s="326"/>
    </row>
    <row r="671" spans="1:8" s="324" customFormat="1" x14ac:dyDescent="0.35">
      <c r="B671" s="8"/>
      <c r="C671" s="106"/>
      <c r="D671" s="106"/>
      <c r="E671" s="106"/>
      <c r="F671" s="106"/>
      <c r="G671" s="680"/>
      <c r="H671" s="326"/>
    </row>
    <row r="672" spans="1:8" s="324" customFormat="1" x14ac:dyDescent="0.35">
      <c r="B672" s="8"/>
      <c r="C672" s="106"/>
      <c r="D672" s="106"/>
      <c r="E672" s="106"/>
      <c r="F672" s="106"/>
      <c r="G672" s="680"/>
      <c r="H672" s="326"/>
    </row>
    <row r="673" spans="2:8" s="324" customFormat="1" x14ac:dyDescent="0.35">
      <c r="B673" s="8"/>
      <c r="C673" s="106"/>
      <c r="D673" s="106"/>
      <c r="E673" s="106"/>
      <c r="F673" s="106"/>
      <c r="G673" s="680"/>
      <c r="H673" s="326"/>
    </row>
    <row r="674" spans="2:8" s="324" customFormat="1" x14ac:dyDescent="0.35">
      <c r="B674" s="8"/>
      <c r="C674" s="106"/>
      <c r="D674" s="106"/>
      <c r="E674" s="106"/>
      <c r="F674" s="106"/>
      <c r="G674" s="680"/>
      <c r="H674" s="326"/>
    </row>
    <row r="675" spans="2:8" s="324" customFormat="1" x14ac:dyDescent="0.35">
      <c r="B675" s="8"/>
      <c r="C675" s="106"/>
      <c r="D675" s="106"/>
      <c r="E675" s="106"/>
      <c r="F675" s="106"/>
      <c r="G675" s="680"/>
      <c r="H675" s="326"/>
    </row>
    <row r="676" spans="2:8" s="324" customFormat="1" x14ac:dyDescent="0.35">
      <c r="B676" s="8"/>
      <c r="C676" s="106"/>
      <c r="D676" s="106"/>
      <c r="E676" s="106"/>
      <c r="F676" s="106"/>
      <c r="G676" s="680"/>
      <c r="H676" s="326"/>
    </row>
    <row r="677" spans="2:8" s="324" customFormat="1" x14ac:dyDescent="0.35">
      <c r="B677" s="8"/>
      <c r="C677" s="106"/>
      <c r="D677" s="106"/>
      <c r="E677" s="106"/>
      <c r="F677" s="106"/>
      <c r="G677" s="680"/>
      <c r="H677" s="326"/>
    </row>
    <row r="678" spans="2:8" s="324" customFormat="1" x14ac:dyDescent="0.35">
      <c r="B678" s="8"/>
      <c r="C678" s="106"/>
      <c r="D678" s="106"/>
      <c r="E678" s="106"/>
      <c r="F678" s="106"/>
      <c r="G678" s="680"/>
      <c r="H678" s="326"/>
    </row>
    <row r="679" spans="2:8" s="324" customFormat="1" x14ac:dyDescent="0.35">
      <c r="B679" s="8"/>
      <c r="C679" s="106"/>
      <c r="D679" s="106"/>
      <c r="E679" s="106"/>
      <c r="F679" s="106"/>
      <c r="G679" s="680"/>
      <c r="H679" s="326"/>
    </row>
    <row r="680" spans="2:8" s="324" customFormat="1" x14ac:dyDescent="0.35">
      <c r="B680" s="8"/>
      <c r="C680" s="106"/>
      <c r="D680" s="106"/>
      <c r="E680" s="106"/>
      <c r="F680" s="106"/>
      <c r="G680" s="680"/>
      <c r="H680" s="326"/>
    </row>
    <row r="681" spans="2:8" s="324" customFormat="1" x14ac:dyDescent="0.35">
      <c r="B681" s="8"/>
      <c r="C681" s="106"/>
      <c r="D681" s="106"/>
      <c r="E681" s="106"/>
      <c r="F681" s="106"/>
      <c r="G681" s="680"/>
      <c r="H681" s="326"/>
    </row>
    <row r="682" spans="2:8" s="324" customFormat="1" x14ac:dyDescent="0.35">
      <c r="B682" s="8"/>
      <c r="C682" s="106"/>
      <c r="D682" s="106"/>
      <c r="E682" s="106"/>
      <c r="F682" s="106"/>
      <c r="G682" s="680"/>
      <c r="H682" s="326"/>
    </row>
    <row r="683" spans="2:8" s="324" customFormat="1" x14ac:dyDescent="0.35">
      <c r="B683" s="8"/>
      <c r="C683" s="106"/>
      <c r="D683" s="106"/>
      <c r="E683" s="106"/>
      <c r="F683" s="106"/>
      <c r="G683" s="680"/>
      <c r="H683" s="326"/>
    </row>
    <row r="684" spans="2:8" s="324" customFormat="1" x14ac:dyDescent="0.35">
      <c r="B684" s="8"/>
      <c r="C684" s="106"/>
      <c r="D684" s="106"/>
      <c r="E684" s="106"/>
      <c r="F684" s="106"/>
      <c r="G684" s="680"/>
      <c r="H684" s="326"/>
    </row>
    <row r="685" spans="2:8" s="324" customFormat="1" x14ac:dyDescent="0.35">
      <c r="B685" s="8"/>
      <c r="C685" s="106"/>
      <c r="D685" s="106"/>
      <c r="E685" s="106"/>
      <c r="F685" s="106"/>
      <c r="G685" s="680"/>
      <c r="H685" s="326"/>
    </row>
    <row r="686" spans="2:8" s="324" customFormat="1" x14ac:dyDescent="0.35">
      <c r="B686" s="8"/>
      <c r="C686" s="106"/>
      <c r="D686" s="106"/>
      <c r="E686" s="106"/>
      <c r="F686" s="106"/>
      <c r="G686" s="680"/>
      <c r="H686" s="326"/>
    </row>
    <row r="687" spans="2:8" s="324" customFormat="1" x14ac:dyDescent="0.35">
      <c r="B687" s="8"/>
      <c r="C687" s="106"/>
      <c r="D687" s="106"/>
      <c r="E687" s="106"/>
      <c r="F687" s="106"/>
      <c r="G687" s="680"/>
      <c r="H687" s="326"/>
    </row>
    <row r="688" spans="2:8" s="324" customFormat="1" x14ac:dyDescent="0.35">
      <c r="B688" s="8"/>
      <c r="C688" s="106"/>
      <c r="D688" s="106"/>
      <c r="E688" s="106"/>
      <c r="F688" s="106"/>
      <c r="G688" s="680"/>
      <c r="H688" s="326"/>
    </row>
    <row r="689" spans="1:8" s="324" customFormat="1" x14ac:dyDescent="0.35">
      <c r="B689" s="8"/>
      <c r="C689" s="106"/>
      <c r="D689" s="106"/>
      <c r="E689" s="106"/>
      <c r="F689" s="106"/>
      <c r="G689" s="680"/>
      <c r="H689" s="326"/>
    </row>
    <row r="690" spans="1:8" s="324" customFormat="1" x14ac:dyDescent="0.35">
      <c r="B690" s="8"/>
      <c r="C690" s="106"/>
      <c r="D690" s="106"/>
      <c r="E690" s="106"/>
      <c r="F690" s="106"/>
      <c r="G690" s="680"/>
      <c r="H690" s="326"/>
    </row>
    <row r="691" spans="1:8" s="324" customFormat="1" x14ac:dyDescent="0.35">
      <c r="B691" s="8"/>
      <c r="C691" s="106"/>
      <c r="D691" s="106"/>
      <c r="E691" s="106"/>
      <c r="F691" s="106"/>
      <c r="G691" s="680"/>
      <c r="H691" s="326"/>
    </row>
    <row r="692" spans="1:8" s="324" customFormat="1" x14ac:dyDescent="0.35">
      <c r="B692" s="8"/>
      <c r="C692" s="106"/>
      <c r="D692" s="106"/>
      <c r="E692" s="106"/>
      <c r="F692" s="106"/>
      <c r="G692" s="680"/>
      <c r="H692" s="326"/>
    </row>
    <row r="693" spans="1:8" s="3" customFormat="1" x14ac:dyDescent="0.35">
      <c r="A693" s="324"/>
      <c r="B693" s="8"/>
      <c r="C693" s="106"/>
      <c r="D693" s="106"/>
      <c r="E693" s="106"/>
      <c r="F693" s="106"/>
      <c r="G693" s="680"/>
      <c r="H693" s="326"/>
    </row>
    <row r="694" spans="1:8" s="324" customFormat="1" x14ac:dyDescent="0.35">
      <c r="B694" s="8"/>
      <c r="C694" s="106"/>
      <c r="D694" s="106"/>
      <c r="E694" s="106"/>
      <c r="F694" s="106"/>
      <c r="G694" s="680"/>
      <c r="H694" s="326"/>
    </row>
    <row r="695" spans="1:8" s="324" customFormat="1" ht="22.5" customHeight="1" x14ac:dyDescent="0.35">
      <c r="B695" s="8"/>
      <c r="C695" s="106"/>
      <c r="D695" s="106"/>
      <c r="E695" s="106"/>
      <c r="F695" s="106"/>
      <c r="G695" s="680"/>
      <c r="H695" s="326"/>
    </row>
    <row r="696" spans="1:8" s="324" customFormat="1" x14ac:dyDescent="0.35">
      <c r="B696" s="8"/>
      <c r="C696" s="106"/>
      <c r="D696" s="106"/>
      <c r="E696" s="106"/>
      <c r="F696" s="106"/>
      <c r="G696" s="680"/>
      <c r="H696" s="326"/>
    </row>
    <row r="697" spans="1:8" x14ac:dyDescent="0.35">
      <c r="A697" s="324"/>
      <c r="H697" s="326"/>
    </row>
    <row r="698" spans="1:8" x14ac:dyDescent="0.35">
      <c r="A698" s="324"/>
      <c r="H698" s="326"/>
    </row>
    <row r="699" spans="1:8" s="324" customFormat="1" x14ac:dyDescent="0.35">
      <c r="B699" s="8"/>
      <c r="C699" s="106"/>
      <c r="D699" s="106"/>
      <c r="E699" s="106"/>
      <c r="F699" s="106"/>
      <c r="G699" s="680"/>
      <c r="H699" s="326"/>
    </row>
    <row r="700" spans="1:8" s="324" customFormat="1" x14ac:dyDescent="0.35">
      <c r="B700" s="8"/>
      <c r="C700" s="106"/>
      <c r="D700" s="106"/>
      <c r="E700" s="106"/>
      <c r="F700" s="106"/>
      <c r="G700" s="680"/>
      <c r="H700" s="326"/>
    </row>
    <row r="701" spans="1:8" s="324" customFormat="1" x14ac:dyDescent="0.35">
      <c r="B701" s="8"/>
      <c r="C701" s="106"/>
      <c r="D701" s="106"/>
      <c r="E701" s="106"/>
      <c r="F701" s="106"/>
      <c r="G701" s="680"/>
      <c r="H701" s="326"/>
    </row>
    <row r="702" spans="1:8" s="324" customFormat="1" x14ac:dyDescent="0.35">
      <c r="B702" s="8"/>
      <c r="C702" s="106"/>
      <c r="D702" s="106"/>
      <c r="E702" s="106"/>
      <c r="F702" s="106"/>
      <c r="G702" s="680"/>
      <c r="H702" s="326"/>
    </row>
    <row r="703" spans="1:8" s="324" customFormat="1" x14ac:dyDescent="0.35">
      <c r="B703" s="8"/>
      <c r="C703" s="106"/>
      <c r="D703" s="106"/>
      <c r="E703" s="106"/>
      <c r="F703" s="106"/>
      <c r="G703" s="680"/>
      <c r="H703" s="326"/>
    </row>
    <row r="704" spans="1:8" s="324" customFormat="1" x14ac:dyDescent="0.35">
      <c r="B704" s="8"/>
      <c r="C704" s="106"/>
      <c r="D704" s="106"/>
      <c r="E704" s="106"/>
      <c r="F704" s="106"/>
      <c r="G704" s="680"/>
      <c r="H704" s="326"/>
    </row>
    <row r="705" spans="2:8" s="324" customFormat="1" x14ac:dyDescent="0.35">
      <c r="B705" s="8"/>
      <c r="C705" s="106"/>
      <c r="D705" s="106"/>
      <c r="E705" s="106"/>
      <c r="F705" s="106"/>
      <c r="G705" s="680"/>
      <c r="H705" s="326"/>
    </row>
    <row r="706" spans="2:8" s="324" customFormat="1" x14ac:dyDescent="0.35">
      <c r="B706" s="8"/>
      <c r="C706" s="106"/>
      <c r="D706" s="106"/>
      <c r="E706" s="106"/>
      <c r="F706" s="106"/>
      <c r="G706" s="680"/>
      <c r="H706" s="326"/>
    </row>
    <row r="707" spans="2:8" s="324" customFormat="1" x14ac:dyDescent="0.35">
      <c r="B707" s="8"/>
      <c r="C707" s="106"/>
      <c r="D707" s="106"/>
      <c r="E707" s="106"/>
      <c r="F707" s="106"/>
      <c r="G707" s="680"/>
      <c r="H707" s="326"/>
    </row>
    <row r="708" spans="2:8" s="324" customFormat="1" x14ac:dyDescent="0.35">
      <c r="B708" s="8"/>
      <c r="C708" s="106"/>
      <c r="D708" s="106"/>
      <c r="E708" s="106"/>
      <c r="F708" s="106"/>
      <c r="G708" s="680"/>
      <c r="H708" s="326"/>
    </row>
    <row r="709" spans="2:8" s="324" customFormat="1" x14ac:dyDescent="0.35">
      <c r="B709" s="8"/>
      <c r="C709" s="106"/>
      <c r="D709" s="106"/>
      <c r="E709" s="106"/>
      <c r="F709" s="106"/>
      <c r="G709" s="680"/>
      <c r="H709" s="326"/>
    </row>
    <row r="710" spans="2:8" s="324" customFormat="1" x14ac:dyDescent="0.35">
      <c r="B710" s="8"/>
      <c r="C710" s="106"/>
      <c r="D710" s="106"/>
      <c r="E710" s="106"/>
      <c r="F710" s="106"/>
      <c r="G710" s="680"/>
      <c r="H710" s="326"/>
    </row>
    <row r="711" spans="2:8" s="324" customFormat="1" x14ac:dyDescent="0.35">
      <c r="B711" s="8"/>
      <c r="C711" s="106"/>
      <c r="D711" s="106"/>
      <c r="E711" s="106"/>
      <c r="F711" s="106"/>
      <c r="G711" s="680"/>
      <c r="H711" s="326"/>
    </row>
    <row r="712" spans="2:8" s="324" customFormat="1" x14ac:dyDescent="0.35">
      <c r="B712" s="8"/>
      <c r="C712" s="106"/>
      <c r="D712" s="106"/>
      <c r="E712" s="106"/>
      <c r="F712" s="106"/>
      <c r="G712" s="680"/>
      <c r="H712" s="326"/>
    </row>
    <row r="713" spans="2:8" s="324" customFormat="1" x14ac:dyDescent="0.35">
      <c r="B713" s="8"/>
      <c r="C713" s="106"/>
      <c r="D713" s="106"/>
      <c r="E713" s="106"/>
      <c r="F713" s="106"/>
      <c r="G713" s="680"/>
      <c r="H713" s="326"/>
    </row>
    <row r="714" spans="2:8" s="324" customFormat="1" x14ac:dyDescent="0.35">
      <c r="B714" s="8"/>
      <c r="C714" s="106"/>
      <c r="D714" s="106"/>
      <c r="E714" s="106"/>
      <c r="F714" s="106"/>
      <c r="G714" s="680"/>
      <c r="H714" s="326"/>
    </row>
    <row r="715" spans="2:8" s="324" customFormat="1" x14ac:dyDescent="0.35">
      <c r="B715" s="8"/>
      <c r="C715" s="106"/>
      <c r="D715" s="106"/>
      <c r="E715" s="106"/>
      <c r="F715" s="106"/>
      <c r="G715" s="680"/>
      <c r="H715" s="326"/>
    </row>
    <row r="716" spans="2:8" s="324" customFormat="1" x14ac:dyDescent="0.35">
      <c r="B716" s="8"/>
      <c r="C716" s="106"/>
      <c r="D716" s="106"/>
      <c r="E716" s="106"/>
      <c r="F716" s="106"/>
      <c r="G716" s="680"/>
      <c r="H716" s="326"/>
    </row>
    <row r="717" spans="2:8" s="324" customFormat="1" x14ac:dyDescent="0.35">
      <c r="B717" s="8"/>
      <c r="C717" s="106"/>
      <c r="D717" s="106"/>
      <c r="E717" s="106"/>
      <c r="F717" s="106"/>
      <c r="G717" s="680"/>
      <c r="H717" s="326"/>
    </row>
    <row r="718" spans="2:8" s="324" customFormat="1" x14ac:dyDescent="0.35">
      <c r="B718" s="8"/>
      <c r="C718" s="106"/>
      <c r="D718" s="106"/>
      <c r="E718" s="106"/>
      <c r="F718" s="106"/>
      <c r="G718" s="680"/>
      <c r="H718" s="326"/>
    </row>
    <row r="719" spans="2:8" s="324" customFormat="1" x14ac:dyDescent="0.35">
      <c r="B719" s="8"/>
      <c r="C719" s="106"/>
      <c r="D719" s="106"/>
      <c r="E719" s="106"/>
      <c r="F719" s="106"/>
      <c r="G719" s="680"/>
      <c r="H719" s="326"/>
    </row>
    <row r="720" spans="2:8" s="324" customFormat="1" x14ac:dyDescent="0.35">
      <c r="B720" s="8"/>
      <c r="C720" s="106"/>
      <c r="D720" s="106"/>
      <c r="E720" s="106"/>
      <c r="F720" s="106"/>
      <c r="G720" s="680"/>
      <c r="H720" s="326"/>
    </row>
    <row r="721" spans="1:8" s="324" customFormat="1" x14ac:dyDescent="0.35">
      <c r="B721" s="8"/>
      <c r="C721" s="106"/>
      <c r="D721" s="106"/>
      <c r="E721" s="106"/>
      <c r="F721" s="106"/>
      <c r="G721" s="680"/>
      <c r="H721" s="326"/>
    </row>
    <row r="722" spans="1:8" s="324" customFormat="1" x14ac:dyDescent="0.35">
      <c r="B722" s="8"/>
      <c r="C722" s="106"/>
      <c r="D722" s="106"/>
      <c r="E722" s="106"/>
      <c r="F722" s="106"/>
      <c r="G722" s="680"/>
      <c r="H722" s="326"/>
    </row>
    <row r="723" spans="1:8" s="324" customFormat="1" x14ac:dyDescent="0.35">
      <c r="B723" s="8"/>
      <c r="C723" s="106"/>
      <c r="D723" s="106"/>
      <c r="E723" s="106"/>
      <c r="F723" s="106"/>
      <c r="G723" s="680"/>
      <c r="H723" s="326"/>
    </row>
    <row r="724" spans="1:8" s="324" customFormat="1" x14ac:dyDescent="0.35">
      <c r="B724" s="8"/>
      <c r="C724" s="106"/>
      <c r="D724" s="106"/>
      <c r="E724" s="106"/>
      <c r="F724" s="106"/>
      <c r="G724" s="680"/>
      <c r="H724" s="326"/>
    </row>
    <row r="725" spans="1:8" s="324" customFormat="1" x14ac:dyDescent="0.35">
      <c r="B725" s="8"/>
      <c r="C725" s="106"/>
      <c r="D725" s="106"/>
      <c r="E725" s="106"/>
      <c r="F725" s="106"/>
      <c r="G725" s="680"/>
      <c r="H725" s="326"/>
    </row>
    <row r="726" spans="1:8" s="324" customFormat="1" ht="14.25" customHeight="1" x14ac:dyDescent="0.35">
      <c r="B726" s="8"/>
      <c r="C726" s="106"/>
      <c r="D726" s="106"/>
      <c r="E726" s="106"/>
      <c r="F726" s="106"/>
      <c r="G726" s="680"/>
      <c r="H726" s="326"/>
    </row>
    <row r="727" spans="1:8" s="324" customFormat="1" x14ac:dyDescent="0.35">
      <c r="B727" s="8"/>
      <c r="C727" s="106"/>
      <c r="D727" s="106"/>
      <c r="E727" s="106"/>
      <c r="F727" s="106"/>
      <c r="G727" s="680"/>
      <c r="H727" s="326"/>
    </row>
    <row r="728" spans="1:8" s="324" customFormat="1" x14ac:dyDescent="0.35">
      <c r="B728" s="8"/>
      <c r="C728" s="106"/>
      <c r="D728" s="106"/>
      <c r="E728" s="106"/>
      <c r="F728" s="106"/>
      <c r="G728" s="680"/>
      <c r="H728" s="326"/>
    </row>
    <row r="729" spans="1:8" s="324" customFormat="1" x14ac:dyDescent="0.35">
      <c r="B729" s="8"/>
      <c r="C729" s="106"/>
      <c r="D729" s="106"/>
      <c r="E729" s="106"/>
      <c r="F729" s="106"/>
      <c r="G729" s="680"/>
      <c r="H729" s="326"/>
    </row>
    <row r="730" spans="1:8" s="324" customFormat="1" ht="36.75" customHeight="1" x14ac:dyDescent="0.35">
      <c r="B730" s="8"/>
      <c r="C730" s="106"/>
      <c r="D730" s="106"/>
      <c r="E730" s="106"/>
      <c r="F730" s="106"/>
      <c r="G730" s="680"/>
      <c r="H730" s="326"/>
    </row>
    <row r="731" spans="1:8" s="324" customFormat="1" x14ac:dyDescent="0.35">
      <c r="B731" s="8"/>
      <c r="C731" s="106"/>
      <c r="D731" s="106"/>
      <c r="E731" s="106"/>
      <c r="F731" s="106"/>
      <c r="G731" s="680"/>
      <c r="H731" s="326"/>
    </row>
    <row r="732" spans="1:8" x14ac:dyDescent="0.35">
      <c r="A732" s="324"/>
    </row>
    <row r="733" spans="1:8" x14ac:dyDescent="0.35">
      <c r="A733" s="324"/>
    </row>
    <row r="734" spans="1:8" s="324" customFormat="1" ht="14.25" customHeight="1" x14ac:dyDescent="0.35">
      <c r="B734" s="8"/>
      <c r="C734" s="106"/>
      <c r="D734" s="106"/>
      <c r="E734" s="106"/>
      <c r="F734" s="106"/>
      <c r="G734" s="680"/>
      <c r="H734" s="326"/>
    </row>
    <row r="735" spans="1:8" s="324" customFormat="1" ht="13" customHeight="1" x14ac:dyDescent="0.35">
      <c r="B735" s="8"/>
      <c r="C735" s="106"/>
      <c r="D735" s="106"/>
      <c r="E735" s="106"/>
      <c r="F735" s="106"/>
      <c r="G735" s="680"/>
      <c r="H735" s="326"/>
    </row>
    <row r="736" spans="1:8" s="324" customFormat="1" ht="14.25" customHeight="1" x14ac:dyDescent="0.35">
      <c r="B736" s="8"/>
      <c r="C736" s="106"/>
      <c r="D736" s="106"/>
      <c r="E736" s="106"/>
      <c r="F736" s="106"/>
      <c r="G736" s="680"/>
      <c r="H736" s="326"/>
    </row>
    <row r="737" spans="2:8" s="324" customFormat="1" ht="14.25" customHeight="1" x14ac:dyDescent="0.35">
      <c r="B737" s="8"/>
      <c r="C737" s="106"/>
      <c r="D737" s="106"/>
      <c r="E737" s="106"/>
      <c r="F737" s="106"/>
      <c r="G737" s="680"/>
      <c r="H737" s="352"/>
    </row>
    <row r="738" spans="2:8" s="324" customFormat="1" ht="14.25" customHeight="1" x14ac:dyDescent="0.35">
      <c r="B738" s="8"/>
      <c r="C738" s="106"/>
      <c r="D738" s="106"/>
      <c r="E738" s="106"/>
      <c r="F738" s="106"/>
      <c r="G738" s="680"/>
      <c r="H738" s="352"/>
    </row>
    <row r="739" spans="2:8" s="324" customFormat="1" ht="14.25" customHeight="1" x14ac:dyDescent="0.35">
      <c r="B739" s="8"/>
      <c r="C739" s="106"/>
      <c r="D739" s="106"/>
      <c r="E739" s="106"/>
      <c r="F739" s="106"/>
      <c r="G739" s="680"/>
      <c r="H739" s="352"/>
    </row>
    <row r="740" spans="2:8" s="324" customFormat="1" ht="14.25" customHeight="1" x14ac:dyDescent="0.35">
      <c r="B740" s="8"/>
      <c r="C740" s="106"/>
      <c r="D740" s="106"/>
      <c r="E740" s="106"/>
      <c r="F740" s="106"/>
      <c r="G740" s="680"/>
      <c r="H740" s="352"/>
    </row>
    <row r="741" spans="2:8" s="324" customFormat="1" ht="14.25" customHeight="1" x14ac:dyDescent="0.35">
      <c r="B741" s="8"/>
      <c r="C741" s="106"/>
      <c r="D741" s="106"/>
      <c r="E741" s="106"/>
      <c r="F741" s="106"/>
      <c r="G741" s="680"/>
      <c r="H741" s="326"/>
    </row>
    <row r="742" spans="2:8" s="324" customFormat="1" ht="14.25" customHeight="1" x14ac:dyDescent="0.35">
      <c r="B742" s="8"/>
      <c r="C742" s="106"/>
      <c r="D742" s="106"/>
      <c r="E742" s="106"/>
      <c r="F742" s="106"/>
      <c r="G742" s="680"/>
      <c r="H742" s="326"/>
    </row>
    <row r="743" spans="2:8" s="324" customFormat="1" ht="14.25" customHeight="1" x14ac:dyDescent="0.35">
      <c r="B743" s="8"/>
      <c r="C743" s="106"/>
      <c r="D743" s="106"/>
      <c r="E743" s="106"/>
      <c r="F743" s="106"/>
      <c r="G743" s="680"/>
      <c r="H743" s="326"/>
    </row>
    <row r="744" spans="2:8" s="324" customFormat="1" ht="14.25" customHeight="1" x14ac:dyDescent="0.35">
      <c r="B744" s="8"/>
      <c r="C744" s="106"/>
      <c r="D744" s="106"/>
      <c r="E744" s="106"/>
      <c r="F744" s="106"/>
      <c r="G744" s="680"/>
      <c r="H744" s="326"/>
    </row>
    <row r="745" spans="2:8" s="324" customFormat="1" ht="14.25" customHeight="1" x14ac:dyDescent="0.35">
      <c r="B745" s="8"/>
      <c r="C745" s="106"/>
      <c r="D745" s="106"/>
      <c r="E745" s="106"/>
      <c r="F745" s="106"/>
      <c r="G745" s="680"/>
      <c r="H745" s="326"/>
    </row>
    <row r="746" spans="2:8" s="324" customFormat="1" x14ac:dyDescent="0.35">
      <c r="B746" s="8"/>
      <c r="C746" s="106"/>
      <c r="D746" s="106"/>
      <c r="E746" s="106"/>
      <c r="F746" s="106"/>
      <c r="G746" s="680"/>
      <c r="H746" s="326"/>
    </row>
    <row r="747" spans="2:8" s="324" customFormat="1" x14ac:dyDescent="0.35">
      <c r="B747" s="8"/>
      <c r="C747" s="106"/>
      <c r="D747" s="106"/>
      <c r="E747" s="106"/>
      <c r="F747" s="106"/>
      <c r="G747" s="680"/>
      <c r="H747" s="326"/>
    </row>
    <row r="748" spans="2:8" s="324" customFormat="1" x14ac:dyDescent="0.35">
      <c r="B748" s="8"/>
      <c r="C748" s="106"/>
      <c r="D748" s="106"/>
      <c r="E748" s="106"/>
      <c r="F748" s="106"/>
      <c r="G748" s="680"/>
      <c r="H748" s="326"/>
    </row>
    <row r="749" spans="2:8" s="324" customFormat="1" x14ac:dyDescent="0.35">
      <c r="B749" s="8"/>
      <c r="C749" s="106"/>
      <c r="D749" s="106"/>
      <c r="E749" s="106"/>
      <c r="F749" s="106"/>
      <c r="G749" s="680"/>
      <c r="H749" s="326"/>
    </row>
    <row r="750" spans="2:8" s="324" customFormat="1" x14ac:dyDescent="0.35">
      <c r="B750" s="8"/>
      <c r="C750" s="106"/>
      <c r="D750" s="106"/>
      <c r="E750" s="106"/>
      <c r="F750" s="106"/>
      <c r="G750" s="680"/>
      <c r="H750" s="326"/>
    </row>
    <row r="751" spans="2:8" s="324" customFormat="1" x14ac:dyDescent="0.35">
      <c r="B751" s="8"/>
      <c r="C751" s="106"/>
      <c r="D751" s="106"/>
      <c r="E751" s="106"/>
      <c r="F751" s="106"/>
      <c r="G751" s="680"/>
      <c r="H751" s="326"/>
    </row>
    <row r="752" spans="2:8" s="324" customFormat="1" x14ac:dyDescent="0.35">
      <c r="B752" s="8"/>
      <c r="C752" s="106"/>
      <c r="D752" s="106"/>
      <c r="E752" s="106"/>
      <c r="F752" s="106"/>
      <c r="G752" s="680"/>
      <c r="H752" s="326"/>
    </row>
    <row r="753" spans="2:8" s="324" customFormat="1" x14ac:dyDescent="0.35">
      <c r="B753" s="8"/>
      <c r="C753" s="106"/>
      <c r="D753" s="106"/>
      <c r="E753" s="106"/>
      <c r="F753" s="106"/>
      <c r="G753" s="680"/>
      <c r="H753" s="326"/>
    </row>
    <row r="754" spans="2:8" s="324" customFormat="1" x14ac:dyDescent="0.35">
      <c r="B754" s="8"/>
      <c r="C754" s="106"/>
      <c r="D754" s="106"/>
      <c r="E754" s="106"/>
      <c r="F754" s="106"/>
      <c r="G754" s="680"/>
      <c r="H754" s="326"/>
    </row>
    <row r="755" spans="2:8" s="324" customFormat="1" x14ac:dyDescent="0.35">
      <c r="B755" s="8"/>
      <c r="C755" s="106"/>
      <c r="D755" s="106"/>
      <c r="E755" s="106"/>
      <c r="F755" s="106"/>
      <c r="G755" s="680"/>
      <c r="H755" s="326"/>
    </row>
    <row r="756" spans="2:8" s="324" customFormat="1" x14ac:dyDescent="0.35">
      <c r="B756" s="8"/>
      <c r="C756" s="106"/>
      <c r="D756" s="106"/>
      <c r="E756" s="106"/>
      <c r="F756" s="106"/>
      <c r="G756" s="680"/>
      <c r="H756" s="326"/>
    </row>
    <row r="757" spans="2:8" s="324" customFormat="1" x14ac:dyDescent="0.35">
      <c r="B757" s="8"/>
      <c r="C757" s="106"/>
      <c r="D757" s="106"/>
      <c r="E757" s="106"/>
      <c r="F757" s="106"/>
      <c r="G757" s="680"/>
      <c r="H757" s="326"/>
    </row>
    <row r="758" spans="2:8" s="324" customFormat="1" x14ac:dyDescent="0.35">
      <c r="B758" s="8"/>
      <c r="C758" s="106"/>
      <c r="D758" s="106"/>
      <c r="E758" s="106"/>
      <c r="F758" s="106"/>
      <c r="G758" s="680"/>
      <c r="H758" s="326"/>
    </row>
    <row r="759" spans="2:8" s="324" customFormat="1" x14ac:dyDescent="0.35">
      <c r="B759" s="8"/>
      <c r="C759" s="106"/>
      <c r="D759" s="106"/>
      <c r="E759" s="106"/>
      <c r="F759" s="106"/>
      <c r="G759" s="680"/>
      <c r="H759" s="326"/>
    </row>
    <row r="760" spans="2:8" s="324" customFormat="1" x14ac:dyDescent="0.35">
      <c r="B760" s="8"/>
      <c r="C760" s="106"/>
      <c r="D760" s="106"/>
      <c r="E760" s="106"/>
      <c r="F760" s="106"/>
      <c r="G760" s="680"/>
      <c r="H760" s="326"/>
    </row>
    <row r="761" spans="2:8" s="324" customFormat="1" ht="14.25" customHeight="1" x14ac:dyDescent="0.35">
      <c r="B761" s="8"/>
      <c r="C761" s="106"/>
      <c r="D761" s="106"/>
      <c r="E761" s="106"/>
      <c r="F761" s="106"/>
      <c r="G761" s="680"/>
      <c r="H761" s="326"/>
    </row>
    <row r="762" spans="2:8" s="324" customFormat="1" x14ac:dyDescent="0.35">
      <c r="B762" s="8"/>
      <c r="C762" s="106"/>
      <c r="D762" s="106"/>
      <c r="E762" s="106"/>
      <c r="F762" s="106"/>
      <c r="G762" s="680"/>
      <c r="H762" s="326"/>
    </row>
    <row r="763" spans="2:8" s="324" customFormat="1" x14ac:dyDescent="0.35">
      <c r="B763" s="8"/>
      <c r="C763" s="106"/>
      <c r="D763" s="106"/>
      <c r="E763" s="106"/>
      <c r="F763" s="106"/>
      <c r="G763" s="680"/>
      <c r="H763" s="326"/>
    </row>
    <row r="764" spans="2:8" s="324" customFormat="1" x14ac:dyDescent="0.35">
      <c r="B764" s="8"/>
      <c r="C764" s="106"/>
      <c r="D764" s="106"/>
      <c r="E764" s="106"/>
      <c r="F764" s="106"/>
      <c r="G764" s="680"/>
      <c r="H764" s="326"/>
    </row>
    <row r="765" spans="2:8" s="324" customFormat="1" x14ac:dyDescent="0.35">
      <c r="B765" s="8"/>
      <c r="C765" s="106"/>
      <c r="D765" s="106"/>
      <c r="E765" s="106"/>
      <c r="F765" s="106"/>
      <c r="G765" s="680"/>
      <c r="H765" s="326"/>
    </row>
    <row r="766" spans="2:8" s="324" customFormat="1" x14ac:dyDescent="0.35">
      <c r="B766" s="8"/>
      <c r="C766" s="106"/>
      <c r="D766" s="106"/>
      <c r="E766" s="106"/>
      <c r="F766" s="106"/>
      <c r="G766" s="680"/>
      <c r="H766" s="326"/>
    </row>
    <row r="767" spans="2:8" s="324" customFormat="1" x14ac:dyDescent="0.35">
      <c r="B767" s="8"/>
      <c r="C767" s="106"/>
      <c r="D767" s="106"/>
      <c r="E767" s="106"/>
      <c r="F767" s="106"/>
      <c r="G767" s="680"/>
      <c r="H767" s="326"/>
    </row>
    <row r="768" spans="2:8" s="324" customFormat="1" x14ac:dyDescent="0.35">
      <c r="B768" s="8"/>
      <c r="C768" s="106"/>
      <c r="D768" s="106"/>
      <c r="E768" s="106"/>
      <c r="F768" s="106"/>
      <c r="G768" s="680"/>
      <c r="H768" s="326"/>
    </row>
    <row r="769" spans="2:8" s="324" customFormat="1" x14ac:dyDescent="0.35">
      <c r="B769" s="8"/>
      <c r="C769" s="106"/>
      <c r="D769" s="106"/>
      <c r="E769" s="106"/>
      <c r="F769" s="106"/>
      <c r="G769" s="680"/>
      <c r="H769" s="326"/>
    </row>
    <row r="770" spans="2:8" s="324" customFormat="1" x14ac:dyDescent="0.35">
      <c r="B770" s="8"/>
      <c r="C770" s="106"/>
      <c r="D770" s="106"/>
      <c r="E770" s="106"/>
      <c r="F770" s="106"/>
      <c r="G770" s="680"/>
      <c r="H770" s="326"/>
    </row>
    <row r="771" spans="2:8" s="324" customFormat="1" ht="14.25" customHeight="1" x14ac:dyDescent="0.35">
      <c r="B771" s="8"/>
      <c r="C771" s="106"/>
      <c r="D771" s="106"/>
      <c r="E771" s="106"/>
      <c r="F771" s="106"/>
      <c r="G771" s="680"/>
      <c r="H771" s="352"/>
    </row>
    <row r="772" spans="2:8" s="324" customFormat="1" ht="14.25" customHeight="1" x14ac:dyDescent="0.35">
      <c r="B772" s="8"/>
      <c r="C772" s="106"/>
      <c r="D772" s="106"/>
      <c r="E772" s="106"/>
      <c r="F772" s="106"/>
      <c r="G772" s="680"/>
      <c r="H772" s="352"/>
    </row>
    <row r="773" spans="2:8" s="324" customFormat="1" ht="14.25" customHeight="1" x14ac:dyDescent="0.35">
      <c r="B773" s="8"/>
      <c r="C773" s="106"/>
      <c r="D773" s="106"/>
      <c r="E773" s="106"/>
      <c r="F773" s="106"/>
      <c r="G773" s="680"/>
      <c r="H773" s="352"/>
    </row>
    <row r="774" spans="2:8" s="324" customFormat="1" ht="14.25" customHeight="1" x14ac:dyDescent="0.35">
      <c r="B774" s="8"/>
      <c r="C774" s="106"/>
      <c r="D774" s="106"/>
      <c r="E774" s="106"/>
      <c r="F774" s="106"/>
      <c r="G774" s="680"/>
      <c r="H774" s="352"/>
    </row>
    <row r="775" spans="2:8" s="324" customFormat="1" ht="14.25" customHeight="1" x14ac:dyDescent="0.35">
      <c r="B775" s="8"/>
      <c r="C775" s="106"/>
      <c r="D775" s="106"/>
      <c r="E775" s="106"/>
      <c r="F775" s="106"/>
      <c r="G775" s="680"/>
      <c r="H775" s="326"/>
    </row>
    <row r="776" spans="2:8" s="324" customFormat="1" ht="14.25" customHeight="1" x14ac:dyDescent="0.35">
      <c r="B776" s="8"/>
      <c r="C776" s="106"/>
      <c r="D776" s="106"/>
      <c r="E776" s="106"/>
      <c r="F776" s="106"/>
      <c r="G776" s="680"/>
      <c r="H776" s="326"/>
    </row>
    <row r="777" spans="2:8" s="324" customFormat="1" ht="14.25" customHeight="1" x14ac:dyDescent="0.35">
      <c r="B777" s="8"/>
      <c r="C777" s="106"/>
      <c r="D777" s="106"/>
      <c r="E777" s="106"/>
      <c r="F777" s="106"/>
      <c r="G777" s="680"/>
      <c r="H777" s="326"/>
    </row>
    <row r="778" spans="2:8" s="324" customFormat="1" ht="14.25" customHeight="1" x14ac:dyDescent="0.35">
      <c r="B778" s="8"/>
      <c r="C778" s="106"/>
      <c r="D778" s="106"/>
      <c r="E778" s="106"/>
      <c r="F778" s="106"/>
      <c r="G778" s="680"/>
      <c r="H778" s="326"/>
    </row>
    <row r="779" spans="2:8" s="324" customFormat="1" x14ac:dyDescent="0.35">
      <c r="B779" s="8"/>
      <c r="C779" s="106"/>
      <c r="D779" s="106"/>
      <c r="E779" s="106"/>
      <c r="F779" s="106"/>
      <c r="G779" s="680"/>
      <c r="H779" s="326"/>
    </row>
    <row r="780" spans="2:8" s="324" customFormat="1" x14ac:dyDescent="0.35">
      <c r="B780" s="8"/>
      <c r="C780" s="106"/>
      <c r="D780" s="106"/>
      <c r="E780" s="106"/>
      <c r="F780" s="106"/>
      <c r="G780" s="680"/>
      <c r="H780" s="326"/>
    </row>
    <row r="781" spans="2:8" s="324" customFormat="1" x14ac:dyDescent="0.35">
      <c r="B781" s="8"/>
      <c r="C781" s="106"/>
      <c r="D781" s="106"/>
      <c r="E781" s="106"/>
      <c r="F781" s="106"/>
      <c r="G781" s="680"/>
      <c r="H781" s="326"/>
    </row>
    <row r="782" spans="2:8" s="324" customFormat="1" x14ac:dyDescent="0.35">
      <c r="B782" s="8"/>
      <c r="C782" s="106"/>
      <c r="D782" s="106"/>
      <c r="E782" s="106"/>
      <c r="F782" s="106"/>
      <c r="G782" s="680"/>
      <c r="H782" s="326"/>
    </row>
    <row r="783" spans="2:8" s="324" customFormat="1" x14ac:dyDescent="0.35">
      <c r="B783" s="8"/>
      <c r="C783" s="106"/>
      <c r="D783" s="106"/>
      <c r="E783" s="106"/>
      <c r="F783" s="106"/>
      <c r="G783" s="680"/>
      <c r="H783" s="326"/>
    </row>
    <row r="784" spans="2:8" s="324" customFormat="1" x14ac:dyDescent="0.35">
      <c r="B784" s="8"/>
      <c r="C784" s="106"/>
      <c r="D784" s="106"/>
      <c r="E784" s="106"/>
      <c r="F784" s="106"/>
      <c r="G784" s="680"/>
      <c r="H784" s="326"/>
    </row>
    <row r="785" spans="1:8" s="324" customFormat="1" x14ac:dyDescent="0.35">
      <c r="B785" s="8"/>
      <c r="C785" s="106"/>
      <c r="D785" s="106"/>
      <c r="E785" s="106"/>
      <c r="F785" s="106"/>
      <c r="G785" s="680"/>
      <c r="H785" s="326"/>
    </row>
    <row r="786" spans="1:8" s="324" customFormat="1" x14ac:dyDescent="0.35">
      <c r="B786" s="8"/>
      <c r="C786" s="106"/>
      <c r="D786" s="106"/>
      <c r="E786" s="106"/>
      <c r="F786" s="106"/>
      <c r="G786" s="680"/>
      <c r="H786" s="326"/>
    </row>
    <row r="787" spans="1:8" s="324" customFormat="1" x14ac:dyDescent="0.35">
      <c r="B787" s="8"/>
      <c r="C787" s="106"/>
      <c r="D787" s="106"/>
      <c r="E787" s="106"/>
      <c r="F787" s="106"/>
      <c r="G787" s="680"/>
      <c r="H787" s="326"/>
    </row>
    <row r="788" spans="1:8" s="324" customFormat="1" x14ac:dyDescent="0.35">
      <c r="B788" s="8"/>
      <c r="C788" s="106"/>
      <c r="D788" s="106"/>
      <c r="E788" s="106"/>
      <c r="F788" s="106"/>
      <c r="G788" s="680"/>
      <c r="H788" s="326"/>
    </row>
    <row r="789" spans="1:8" s="324" customFormat="1" x14ac:dyDescent="0.35">
      <c r="B789" s="8"/>
      <c r="C789" s="106"/>
      <c r="D789" s="106"/>
      <c r="E789" s="106"/>
      <c r="F789" s="106"/>
      <c r="G789" s="680"/>
      <c r="H789" s="326"/>
    </row>
    <row r="790" spans="1:8" s="324" customFormat="1" x14ac:dyDescent="0.35">
      <c r="B790" s="8"/>
      <c r="C790" s="106"/>
      <c r="D790" s="106"/>
      <c r="E790" s="106"/>
      <c r="F790" s="106"/>
      <c r="G790" s="680"/>
      <c r="H790" s="326"/>
    </row>
    <row r="791" spans="1:8" x14ac:dyDescent="0.35">
      <c r="A791" s="324"/>
    </row>
    <row r="792" spans="1:8" x14ac:dyDescent="0.35">
      <c r="A792" s="324"/>
    </row>
    <row r="793" spans="1:8" s="324" customFormat="1" x14ac:dyDescent="0.35">
      <c r="B793" s="8"/>
      <c r="C793" s="106"/>
      <c r="D793" s="106"/>
      <c r="E793" s="106"/>
      <c r="F793" s="106"/>
      <c r="G793" s="680"/>
      <c r="H793" s="326"/>
    </row>
    <row r="794" spans="1:8" s="324" customFormat="1" x14ac:dyDescent="0.35">
      <c r="B794" s="8"/>
      <c r="C794" s="106"/>
      <c r="D794" s="106"/>
      <c r="E794" s="106"/>
      <c r="F794" s="106"/>
      <c r="G794" s="680"/>
      <c r="H794" s="326"/>
    </row>
    <row r="795" spans="1:8" s="324" customFormat="1" x14ac:dyDescent="0.35">
      <c r="B795" s="8"/>
      <c r="C795" s="106"/>
      <c r="D795" s="106"/>
      <c r="E795" s="106"/>
      <c r="F795" s="106"/>
      <c r="G795" s="680"/>
      <c r="H795" s="326"/>
    </row>
    <row r="796" spans="1:8" s="324" customFormat="1" x14ac:dyDescent="0.35">
      <c r="B796" s="8"/>
      <c r="C796" s="106"/>
      <c r="D796" s="106"/>
      <c r="E796" s="106"/>
      <c r="F796" s="106"/>
      <c r="G796" s="680"/>
      <c r="H796" s="326"/>
    </row>
    <row r="797" spans="1:8" s="324" customFormat="1" x14ac:dyDescent="0.35">
      <c r="B797" s="8"/>
      <c r="C797" s="106"/>
      <c r="D797" s="106"/>
      <c r="E797" s="106"/>
      <c r="F797" s="106"/>
      <c r="G797" s="680"/>
      <c r="H797" s="326"/>
    </row>
    <row r="798" spans="1:8" s="324" customFormat="1" x14ac:dyDescent="0.35">
      <c r="B798" s="8"/>
      <c r="C798" s="106"/>
      <c r="D798" s="106"/>
      <c r="E798" s="106"/>
      <c r="F798" s="106"/>
      <c r="G798" s="680"/>
      <c r="H798" s="326"/>
    </row>
    <row r="799" spans="1:8" s="324" customFormat="1" x14ac:dyDescent="0.35">
      <c r="B799" s="8"/>
      <c r="C799" s="106"/>
      <c r="D799" s="106"/>
      <c r="E799" s="106"/>
      <c r="F799" s="106"/>
      <c r="G799" s="680"/>
      <c r="H799" s="326"/>
    </row>
    <row r="800" spans="1:8" s="324" customFormat="1" x14ac:dyDescent="0.35">
      <c r="B800" s="8"/>
      <c r="C800" s="106"/>
      <c r="D800" s="106"/>
      <c r="E800" s="106"/>
      <c r="F800" s="106"/>
      <c r="G800" s="680"/>
      <c r="H800" s="326"/>
    </row>
    <row r="801" spans="2:8" s="324" customFormat="1" x14ac:dyDescent="0.35">
      <c r="B801" s="8"/>
      <c r="C801" s="106"/>
      <c r="D801" s="106"/>
      <c r="E801" s="106"/>
      <c r="F801" s="106"/>
      <c r="G801" s="680"/>
      <c r="H801" s="326"/>
    </row>
    <row r="802" spans="2:8" s="324" customFormat="1" x14ac:dyDescent="0.35">
      <c r="B802" s="8"/>
      <c r="C802" s="106"/>
      <c r="D802" s="106"/>
      <c r="E802" s="106"/>
      <c r="F802" s="106"/>
      <c r="G802" s="680"/>
      <c r="H802" s="326"/>
    </row>
    <row r="803" spans="2:8" s="324" customFormat="1" x14ac:dyDescent="0.35">
      <c r="B803" s="8"/>
      <c r="C803" s="106"/>
      <c r="D803" s="106"/>
      <c r="E803" s="106"/>
      <c r="F803" s="106"/>
      <c r="G803" s="680"/>
      <c r="H803" s="326"/>
    </row>
    <row r="804" spans="2:8" s="324" customFormat="1" x14ac:dyDescent="0.35">
      <c r="B804" s="8"/>
      <c r="C804" s="106"/>
      <c r="D804" s="106"/>
      <c r="E804" s="106"/>
      <c r="F804" s="106"/>
      <c r="G804" s="680"/>
      <c r="H804" s="326"/>
    </row>
    <row r="805" spans="2:8" s="324" customFormat="1" x14ac:dyDescent="0.35">
      <c r="B805" s="8"/>
      <c r="C805" s="106"/>
      <c r="D805" s="106"/>
      <c r="E805" s="106"/>
      <c r="F805" s="106"/>
      <c r="G805" s="680"/>
      <c r="H805" s="326"/>
    </row>
    <row r="806" spans="2:8" s="324" customFormat="1" x14ac:dyDescent="0.35">
      <c r="B806" s="8"/>
      <c r="C806" s="106"/>
      <c r="D806" s="106"/>
      <c r="E806" s="106"/>
      <c r="F806" s="106"/>
      <c r="G806" s="680"/>
      <c r="H806" s="326"/>
    </row>
    <row r="807" spans="2:8" s="324" customFormat="1" x14ac:dyDescent="0.35">
      <c r="B807" s="8"/>
      <c r="C807" s="106"/>
      <c r="D807" s="106"/>
      <c r="E807" s="106"/>
      <c r="F807" s="106"/>
      <c r="G807" s="680"/>
      <c r="H807" s="326"/>
    </row>
    <row r="808" spans="2:8" s="324" customFormat="1" x14ac:dyDescent="0.35">
      <c r="B808" s="8"/>
      <c r="C808" s="106"/>
      <c r="D808" s="106"/>
      <c r="E808" s="106"/>
      <c r="F808" s="106"/>
      <c r="G808" s="680"/>
      <c r="H808" s="326"/>
    </row>
    <row r="809" spans="2:8" s="324" customFormat="1" x14ac:dyDescent="0.35">
      <c r="B809" s="8"/>
      <c r="C809" s="106"/>
      <c r="D809" s="106"/>
      <c r="E809" s="106"/>
      <c r="F809" s="106"/>
      <c r="G809" s="680"/>
      <c r="H809" s="326"/>
    </row>
    <row r="810" spans="2:8" s="324" customFormat="1" ht="24.75" customHeight="1" x14ac:dyDescent="0.35">
      <c r="B810" s="8"/>
      <c r="C810" s="106"/>
      <c r="D810" s="106"/>
      <c r="E810" s="106"/>
      <c r="F810" s="106"/>
      <c r="G810" s="680"/>
      <c r="H810" s="326"/>
    </row>
    <row r="811" spans="2:8" s="324" customFormat="1" x14ac:dyDescent="0.35">
      <c r="B811" s="8"/>
      <c r="C811" s="106"/>
      <c r="D811" s="106"/>
      <c r="E811" s="106"/>
      <c r="F811" s="106"/>
      <c r="G811" s="680"/>
      <c r="H811" s="326"/>
    </row>
    <row r="812" spans="2:8" s="324" customFormat="1" x14ac:dyDescent="0.35">
      <c r="B812" s="8"/>
      <c r="C812" s="106"/>
      <c r="D812" s="106"/>
      <c r="E812" s="106"/>
      <c r="F812" s="106"/>
      <c r="G812" s="680"/>
      <c r="H812" s="326"/>
    </row>
    <row r="813" spans="2:8" s="324" customFormat="1" x14ac:dyDescent="0.35">
      <c r="B813" s="8"/>
      <c r="C813" s="106"/>
      <c r="D813" s="106"/>
      <c r="E813" s="106"/>
      <c r="F813" s="106"/>
      <c r="G813" s="680"/>
      <c r="H813" s="326"/>
    </row>
    <row r="814" spans="2:8" s="324" customFormat="1" x14ac:dyDescent="0.35">
      <c r="B814" s="8"/>
      <c r="C814" s="106"/>
      <c r="D814" s="106"/>
      <c r="E814" s="106"/>
      <c r="F814" s="106"/>
      <c r="G814" s="680"/>
      <c r="H814" s="326"/>
    </row>
    <row r="815" spans="2:8" s="324" customFormat="1" x14ac:dyDescent="0.35">
      <c r="B815" s="8"/>
      <c r="C815" s="106"/>
      <c r="D815" s="106"/>
      <c r="E815" s="106"/>
      <c r="F815" s="106"/>
      <c r="G815" s="680"/>
      <c r="H815" s="326"/>
    </row>
    <row r="816" spans="2:8" s="324" customFormat="1" x14ac:dyDescent="0.35">
      <c r="B816" s="8"/>
      <c r="C816" s="106"/>
      <c r="D816" s="106"/>
      <c r="E816" s="106"/>
      <c r="F816" s="106"/>
      <c r="G816" s="680"/>
      <c r="H816" s="326"/>
    </row>
    <row r="817" spans="1:8" s="324" customFormat="1" x14ac:dyDescent="0.35">
      <c r="B817" s="8"/>
      <c r="C817" s="106"/>
      <c r="D817" s="106"/>
      <c r="E817" s="106"/>
      <c r="F817" s="106"/>
      <c r="G817" s="680"/>
      <c r="H817" s="326"/>
    </row>
    <row r="818" spans="1:8" s="324" customFormat="1" ht="15.75" customHeight="1" x14ac:dyDescent="0.35">
      <c r="B818" s="8"/>
      <c r="C818" s="106"/>
      <c r="D818" s="106"/>
      <c r="E818" s="106"/>
      <c r="F818" s="106"/>
      <c r="G818" s="680"/>
      <c r="H818" s="350"/>
    </row>
    <row r="819" spans="1:8" s="324" customFormat="1" x14ac:dyDescent="0.35">
      <c r="B819" s="8"/>
      <c r="C819" s="106"/>
      <c r="D819" s="106"/>
      <c r="E819" s="106"/>
      <c r="F819" s="106"/>
      <c r="G819" s="680"/>
      <c r="H819" s="350"/>
    </row>
    <row r="820" spans="1:8" x14ac:dyDescent="0.35">
      <c r="A820" s="324"/>
    </row>
    <row r="821" spans="1:8" x14ac:dyDescent="0.35">
      <c r="A821" s="324"/>
    </row>
    <row r="822" spans="1:8" s="324" customFormat="1" ht="14.25" customHeight="1" x14ac:dyDescent="0.35">
      <c r="B822" s="8"/>
      <c r="C822" s="106"/>
      <c r="D822" s="106"/>
      <c r="E822" s="106"/>
      <c r="F822" s="106"/>
      <c r="G822" s="680"/>
      <c r="H822" s="326"/>
    </row>
    <row r="823" spans="1:8" s="324" customFormat="1" x14ac:dyDescent="0.35">
      <c r="B823" s="8"/>
      <c r="C823" s="106"/>
      <c r="D823" s="106"/>
      <c r="E823" s="106"/>
      <c r="F823" s="106"/>
      <c r="G823" s="680"/>
      <c r="H823" s="326"/>
    </row>
    <row r="824" spans="1:8" s="324" customFormat="1" x14ac:dyDescent="0.35">
      <c r="B824" s="8"/>
      <c r="C824" s="106"/>
      <c r="D824" s="106"/>
      <c r="E824" s="106"/>
      <c r="F824" s="106"/>
      <c r="G824" s="680"/>
      <c r="H824" s="326"/>
    </row>
    <row r="825" spans="1:8" s="324" customFormat="1" x14ac:dyDescent="0.35">
      <c r="B825" s="8"/>
      <c r="C825" s="106"/>
      <c r="D825" s="106"/>
      <c r="E825" s="106"/>
      <c r="F825" s="106"/>
      <c r="G825" s="680"/>
      <c r="H825" s="326"/>
    </row>
    <row r="826" spans="1:8" s="324" customFormat="1" x14ac:dyDescent="0.35">
      <c r="B826" s="8"/>
      <c r="C826" s="106"/>
      <c r="D826" s="106"/>
      <c r="E826" s="106"/>
      <c r="F826" s="106"/>
      <c r="G826" s="680"/>
      <c r="H826" s="326"/>
    </row>
    <row r="827" spans="1:8" s="324" customFormat="1" x14ac:dyDescent="0.35">
      <c r="B827" s="8"/>
      <c r="C827" s="106"/>
      <c r="D827" s="106"/>
      <c r="E827" s="106"/>
      <c r="F827" s="106"/>
      <c r="G827" s="680"/>
      <c r="H827" s="326"/>
    </row>
    <row r="828" spans="1:8" s="324" customFormat="1" x14ac:dyDescent="0.35">
      <c r="B828" s="8"/>
      <c r="C828" s="106"/>
      <c r="D828" s="106"/>
      <c r="E828" s="106"/>
      <c r="F828" s="106"/>
      <c r="G828" s="680"/>
      <c r="H828" s="326"/>
    </row>
    <row r="829" spans="1:8" s="324" customFormat="1" x14ac:dyDescent="0.35">
      <c r="B829" s="8"/>
      <c r="C829" s="106"/>
      <c r="D829" s="106"/>
      <c r="E829" s="106"/>
      <c r="F829" s="106"/>
      <c r="G829" s="680"/>
      <c r="H829" s="326"/>
    </row>
    <row r="830" spans="1:8" s="324" customFormat="1" x14ac:dyDescent="0.35">
      <c r="B830" s="8"/>
      <c r="C830" s="106"/>
      <c r="D830" s="106"/>
      <c r="E830" s="106"/>
      <c r="F830" s="106"/>
      <c r="G830" s="680"/>
      <c r="H830" s="326"/>
    </row>
    <row r="831" spans="1:8" s="324" customFormat="1" x14ac:dyDescent="0.35">
      <c r="B831" s="8"/>
      <c r="C831" s="106"/>
      <c r="D831" s="106"/>
      <c r="E831" s="106"/>
      <c r="F831" s="106"/>
      <c r="G831" s="680"/>
      <c r="H831" s="326"/>
    </row>
    <row r="832" spans="1:8" s="324" customFormat="1" x14ac:dyDescent="0.35">
      <c r="B832" s="8"/>
      <c r="C832" s="106"/>
      <c r="D832" s="106"/>
      <c r="E832" s="106"/>
      <c r="F832" s="106"/>
      <c r="G832" s="680"/>
      <c r="H832" s="326"/>
    </row>
    <row r="833" spans="1:8" s="324" customFormat="1" x14ac:dyDescent="0.35">
      <c r="B833" s="8"/>
      <c r="C833" s="106"/>
      <c r="D833" s="106"/>
      <c r="E833" s="106"/>
      <c r="F833" s="106"/>
      <c r="G833" s="680"/>
      <c r="H833" s="326"/>
    </row>
    <row r="834" spans="1:8" s="324" customFormat="1" x14ac:dyDescent="0.35">
      <c r="B834" s="8"/>
      <c r="C834" s="106"/>
      <c r="D834" s="106"/>
      <c r="E834" s="106"/>
      <c r="F834" s="106"/>
      <c r="G834" s="680"/>
      <c r="H834" s="326"/>
    </row>
    <row r="835" spans="1:8" s="324" customFormat="1" x14ac:dyDescent="0.35">
      <c r="B835" s="8"/>
      <c r="C835" s="106"/>
      <c r="D835" s="106"/>
      <c r="E835" s="106"/>
      <c r="F835" s="106"/>
      <c r="G835" s="680"/>
      <c r="H835" s="326"/>
    </row>
    <row r="836" spans="1:8" s="324" customFormat="1" x14ac:dyDescent="0.35">
      <c r="B836" s="8"/>
      <c r="C836" s="106"/>
      <c r="D836" s="106"/>
      <c r="E836" s="106"/>
      <c r="F836" s="106"/>
      <c r="G836" s="680"/>
      <c r="H836" s="326"/>
    </row>
    <row r="837" spans="1:8" s="324" customFormat="1" x14ac:dyDescent="0.35">
      <c r="B837" s="8"/>
      <c r="C837" s="106"/>
      <c r="D837" s="106"/>
      <c r="E837" s="106"/>
      <c r="F837" s="106"/>
      <c r="G837" s="680"/>
      <c r="H837" s="326"/>
    </row>
    <row r="838" spans="1:8" s="324" customFormat="1" x14ac:dyDescent="0.35">
      <c r="B838" s="8"/>
      <c r="C838" s="106"/>
      <c r="D838" s="106"/>
      <c r="E838" s="106"/>
      <c r="F838" s="106"/>
      <c r="G838" s="680"/>
      <c r="H838" s="326"/>
    </row>
    <row r="839" spans="1:8" s="324" customFormat="1" x14ac:dyDescent="0.35">
      <c r="B839" s="8"/>
      <c r="C839" s="106"/>
      <c r="D839" s="106"/>
      <c r="E839" s="106"/>
      <c r="F839" s="106"/>
      <c r="G839" s="680"/>
      <c r="H839" s="326"/>
    </row>
    <row r="840" spans="1:8" s="324" customFormat="1" x14ac:dyDescent="0.35">
      <c r="B840" s="8"/>
      <c r="C840" s="106"/>
      <c r="D840" s="106"/>
      <c r="E840" s="106"/>
      <c r="F840" s="106"/>
      <c r="G840" s="680"/>
      <c r="H840" s="326"/>
    </row>
    <row r="841" spans="1:8" s="324" customFormat="1" x14ac:dyDescent="0.35">
      <c r="B841" s="8"/>
      <c r="C841" s="106"/>
      <c r="D841" s="106"/>
      <c r="E841" s="106"/>
      <c r="F841" s="106"/>
      <c r="G841" s="680"/>
      <c r="H841" s="326"/>
    </row>
    <row r="842" spans="1:8" s="324" customFormat="1" x14ac:dyDescent="0.35">
      <c r="B842" s="8"/>
      <c r="C842" s="106"/>
      <c r="D842" s="106"/>
      <c r="E842" s="106"/>
      <c r="F842" s="106"/>
      <c r="G842" s="680"/>
      <c r="H842" s="326"/>
    </row>
    <row r="843" spans="1:8" s="324" customFormat="1" x14ac:dyDescent="0.35">
      <c r="B843" s="8"/>
      <c r="C843" s="106"/>
      <c r="D843" s="106"/>
      <c r="E843" s="106"/>
      <c r="F843" s="106"/>
      <c r="G843" s="680"/>
      <c r="H843" s="326"/>
    </row>
    <row r="844" spans="1:8" x14ac:dyDescent="0.35">
      <c r="A844" s="324"/>
    </row>
    <row r="845" spans="1:8" x14ac:dyDescent="0.35">
      <c r="A845" s="324"/>
    </row>
    <row r="846" spans="1:8" s="324" customFormat="1" x14ac:dyDescent="0.35">
      <c r="B846" s="8"/>
      <c r="C846" s="106"/>
      <c r="D846" s="106"/>
      <c r="E846" s="106"/>
      <c r="F846" s="106"/>
      <c r="G846" s="680"/>
      <c r="H846" s="326"/>
    </row>
    <row r="847" spans="1:8" s="324" customFormat="1" x14ac:dyDescent="0.35">
      <c r="B847" s="8"/>
      <c r="C847" s="106"/>
      <c r="D847" s="106"/>
      <c r="E847" s="106"/>
      <c r="F847" s="106"/>
      <c r="G847" s="680"/>
      <c r="H847" s="326"/>
    </row>
    <row r="848" spans="1:8" s="324" customFormat="1" x14ac:dyDescent="0.35">
      <c r="B848" s="8"/>
      <c r="C848" s="106"/>
      <c r="D848" s="106"/>
      <c r="E848" s="106"/>
      <c r="F848" s="106"/>
      <c r="G848" s="680"/>
      <c r="H848" s="353"/>
    </row>
    <row r="849" spans="2:8" s="324" customFormat="1" x14ac:dyDescent="0.35">
      <c r="B849" s="8"/>
      <c r="C849" s="106"/>
      <c r="D849" s="106"/>
      <c r="E849" s="106"/>
      <c r="F849" s="106"/>
      <c r="G849" s="680"/>
      <c r="H849" s="326"/>
    </row>
    <row r="850" spans="2:8" s="324" customFormat="1" ht="14.25" customHeight="1" x14ac:dyDescent="0.35">
      <c r="B850" s="8"/>
      <c r="C850" s="106"/>
      <c r="D850" s="106"/>
      <c r="E850" s="106"/>
      <c r="F850" s="106"/>
      <c r="G850" s="680"/>
      <c r="H850" s="326"/>
    </row>
    <row r="851" spans="2:8" s="324" customFormat="1" x14ac:dyDescent="0.35">
      <c r="B851" s="8"/>
      <c r="C851" s="106"/>
      <c r="D851" s="106"/>
      <c r="E851" s="106"/>
      <c r="F851" s="106"/>
      <c r="G851" s="680"/>
      <c r="H851" s="326"/>
    </row>
    <row r="852" spans="2:8" s="324" customFormat="1" x14ac:dyDescent="0.35">
      <c r="B852" s="8"/>
      <c r="C852" s="106"/>
      <c r="D852" s="106"/>
      <c r="E852" s="106"/>
      <c r="F852" s="106"/>
      <c r="G852" s="680"/>
      <c r="H852" s="326"/>
    </row>
    <row r="853" spans="2:8" s="324" customFormat="1" x14ac:dyDescent="0.35">
      <c r="B853" s="8"/>
      <c r="C853" s="106"/>
      <c r="D853" s="106"/>
      <c r="E853" s="106"/>
      <c r="F853" s="106"/>
      <c r="G853" s="680"/>
      <c r="H853" s="326"/>
    </row>
    <row r="854" spans="2:8" s="324" customFormat="1" x14ac:dyDescent="0.35">
      <c r="B854" s="8"/>
      <c r="C854" s="106"/>
      <c r="D854" s="106"/>
      <c r="E854" s="106"/>
      <c r="F854" s="106"/>
      <c r="G854" s="680"/>
      <c r="H854" s="326"/>
    </row>
    <row r="855" spans="2:8" s="324" customFormat="1" x14ac:dyDescent="0.35">
      <c r="B855" s="8"/>
      <c r="C855" s="106"/>
      <c r="D855" s="106"/>
      <c r="E855" s="106"/>
      <c r="F855" s="106"/>
      <c r="G855" s="680"/>
      <c r="H855" s="326"/>
    </row>
    <row r="856" spans="2:8" s="324" customFormat="1" x14ac:dyDescent="0.35">
      <c r="B856" s="8"/>
      <c r="C856" s="106"/>
      <c r="D856" s="106"/>
      <c r="E856" s="106"/>
      <c r="F856" s="106"/>
      <c r="G856" s="680"/>
      <c r="H856" s="326"/>
    </row>
    <row r="857" spans="2:8" s="324" customFormat="1" x14ac:dyDescent="0.35">
      <c r="B857" s="8"/>
      <c r="C857" s="106"/>
      <c r="D857" s="106"/>
      <c r="E857" s="106"/>
      <c r="F857" s="106"/>
      <c r="G857" s="680"/>
      <c r="H857" s="326"/>
    </row>
    <row r="858" spans="2:8" s="324" customFormat="1" x14ac:dyDescent="0.35">
      <c r="B858" s="8"/>
      <c r="C858" s="106"/>
      <c r="D858" s="106"/>
      <c r="E858" s="106"/>
      <c r="F858" s="106"/>
      <c r="G858" s="680"/>
      <c r="H858" s="326"/>
    </row>
    <row r="859" spans="2:8" s="324" customFormat="1" x14ac:dyDescent="0.35">
      <c r="B859" s="8"/>
      <c r="C859" s="106"/>
      <c r="D859" s="106"/>
      <c r="E859" s="106"/>
      <c r="F859" s="106"/>
      <c r="G859" s="680"/>
      <c r="H859" s="326"/>
    </row>
    <row r="860" spans="2:8" s="324" customFormat="1" x14ac:dyDescent="0.35">
      <c r="B860" s="8"/>
      <c r="C860" s="106"/>
      <c r="D860" s="106"/>
      <c r="E860" s="106"/>
      <c r="F860" s="106"/>
      <c r="G860" s="680"/>
      <c r="H860" s="326"/>
    </row>
    <row r="861" spans="2:8" s="324" customFormat="1" x14ac:dyDescent="0.35">
      <c r="B861" s="8"/>
      <c r="C861" s="106"/>
      <c r="D861" s="106"/>
      <c r="E861" s="106"/>
      <c r="F861" s="106"/>
      <c r="G861" s="680"/>
      <c r="H861" s="326"/>
    </row>
    <row r="862" spans="2:8" s="324" customFormat="1" x14ac:dyDescent="0.35">
      <c r="B862" s="8"/>
      <c r="C862" s="106"/>
      <c r="D862" s="106"/>
      <c r="E862" s="106"/>
      <c r="F862" s="106"/>
      <c r="G862" s="680"/>
      <c r="H862" s="326"/>
    </row>
    <row r="863" spans="2:8" s="324" customFormat="1" x14ac:dyDescent="0.35">
      <c r="B863" s="8"/>
      <c r="C863" s="106"/>
      <c r="D863" s="106"/>
      <c r="E863" s="106"/>
      <c r="F863" s="106"/>
      <c r="G863" s="680"/>
      <c r="H863" s="326"/>
    </row>
    <row r="864" spans="2:8" s="324" customFormat="1" x14ac:dyDescent="0.35">
      <c r="B864" s="8"/>
      <c r="C864" s="106"/>
      <c r="D864" s="106"/>
      <c r="E864" s="106"/>
      <c r="F864" s="106"/>
      <c r="G864" s="680"/>
      <c r="H864" s="326"/>
    </row>
    <row r="865" spans="1:8" s="324" customFormat="1" x14ac:dyDescent="0.35">
      <c r="B865" s="8"/>
      <c r="C865" s="106"/>
      <c r="D865" s="106"/>
      <c r="E865" s="106"/>
      <c r="F865" s="106"/>
      <c r="G865" s="680"/>
      <c r="H865" s="326"/>
    </row>
    <row r="866" spans="1:8" s="324" customFormat="1" x14ac:dyDescent="0.35">
      <c r="B866" s="8"/>
      <c r="C866" s="106"/>
      <c r="D866" s="106"/>
      <c r="E866" s="106"/>
      <c r="F866" s="106"/>
      <c r="G866" s="680"/>
      <c r="H866" s="326"/>
    </row>
    <row r="867" spans="1:8" s="324" customFormat="1" x14ac:dyDescent="0.35">
      <c r="B867" s="8"/>
      <c r="C867" s="106"/>
      <c r="D867" s="106"/>
      <c r="E867" s="106"/>
      <c r="F867" s="106"/>
      <c r="G867" s="680"/>
      <c r="H867" s="326"/>
    </row>
    <row r="868" spans="1:8" s="324" customFormat="1" x14ac:dyDescent="0.35">
      <c r="B868" s="8"/>
      <c r="C868" s="106"/>
      <c r="D868" s="106"/>
      <c r="E868" s="106"/>
      <c r="F868" s="106"/>
      <c r="G868" s="680"/>
      <c r="H868" s="326"/>
    </row>
    <row r="869" spans="1:8" s="324" customFormat="1" x14ac:dyDescent="0.35">
      <c r="B869" s="8"/>
      <c r="C869" s="106"/>
      <c r="D869" s="106"/>
      <c r="E869" s="106"/>
      <c r="F869" s="106"/>
      <c r="G869" s="680"/>
      <c r="H869" s="18"/>
    </row>
    <row r="870" spans="1:8" s="324" customFormat="1" x14ac:dyDescent="0.35">
      <c r="B870" s="8"/>
      <c r="C870" s="106"/>
      <c r="D870" s="106"/>
      <c r="E870" s="106"/>
      <c r="F870" s="106"/>
      <c r="G870" s="680"/>
      <c r="H870" s="18"/>
    </row>
    <row r="871" spans="1:8" s="324" customFormat="1" x14ac:dyDescent="0.35">
      <c r="B871" s="8"/>
      <c r="C871" s="106"/>
      <c r="D871" s="106"/>
      <c r="E871" s="106"/>
      <c r="F871" s="106"/>
      <c r="G871" s="680"/>
      <c r="H871" s="350"/>
    </row>
    <row r="872" spans="1:8" s="324" customFormat="1" x14ac:dyDescent="0.35">
      <c r="B872" s="8"/>
      <c r="C872" s="106"/>
      <c r="D872" s="106"/>
      <c r="E872" s="106"/>
      <c r="F872" s="106"/>
      <c r="G872" s="680"/>
      <c r="H872" s="350"/>
    </row>
    <row r="873" spans="1:8" x14ac:dyDescent="0.35">
      <c r="A873" s="324"/>
    </row>
    <row r="874" spans="1:8" x14ac:dyDescent="0.35">
      <c r="A874" s="324"/>
    </row>
    <row r="875" spans="1:8" s="324" customFormat="1" x14ac:dyDescent="0.35">
      <c r="B875" s="8"/>
      <c r="C875" s="106"/>
      <c r="D875" s="106"/>
      <c r="E875" s="106"/>
      <c r="F875" s="106"/>
      <c r="G875" s="680"/>
      <c r="H875" s="350"/>
    </row>
    <row r="876" spans="1:8" s="324" customFormat="1" x14ac:dyDescent="0.35">
      <c r="B876" s="8"/>
      <c r="C876" s="106"/>
      <c r="D876" s="106"/>
      <c r="E876" s="106"/>
      <c r="F876" s="106"/>
      <c r="G876" s="680"/>
      <c r="H876" s="350"/>
    </row>
    <row r="877" spans="1:8" s="324" customFormat="1" x14ac:dyDescent="0.35">
      <c r="B877" s="8"/>
      <c r="C877" s="106"/>
      <c r="D877" s="106"/>
      <c r="E877" s="106"/>
      <c r="F877" s="106"/>
      <c r="G877" s="680"/>
      <c r="H877" s="350"/>
    </row>
    <row r="878" spans="1:8" s="324" customFormat="1" x14ac:dyDescent="0.35">
      <c r="B878" s="8"/>
      <c r="C878" s="106"/>
      <c r="D878" s="106"/>
      <c r="E878" s="106"/>
      <c r="F878" s="106"/>
      <c r="G878" s="680"/>
      <c r="H878" s="350"/>
    </row>
    <row r="879" spans="1:8" s="324" customFormat="1" x14ac:dyDescent="0.35">
      <c r="B879" s="8"/>
      <c r="C879" s="106"/>
      <c r="D879" s="106"/>
      <c r="E879" s="106"/>
      <c r="F879" s="106"/>
      <c r="G879" s="680"/>
      <c r="H879" s="350"/>
    </row>
    <row r="880" spans="1:8" s="324" customFormat="1" x14ac:dyDescent="0.35">
      <c r="B880" s="8"/>
      <c r="C880" s="106"/>
      <c r="D880" s="106"/>
      <c r="E880" s="106"/>
      <c r="F880" s="106"/>
      <c r="G880" s="680"/>
      <c r="H880" s="350"/>
    </row>
    <row r="881" spans="2:8" s="324" customFormat="1" x14ac:dyDescent="0.35">
      <c r="B881" s="8"/>
      <c r="C881" s="106"/>
      <c r="D881" s="106"/>
      <c r="E881" s="106"/>
      <c r="F881" s="106"/>
      <c r="G881" s="680"/>
      <c r="H881" s="350"/>
    </row>
    <row r="882" spans="2:8" s="324" customFormat="1" x14ac:dyDescent="0.35">
      <c r="B882" s="8"/>
      <c r="C882" s="106"/>
      <c r="D882" s="106"/>
      <c r="E882" s="106"/>
      <c r="F882" s="106"/>
      <c r="G882" s="680"/>
      <c r="H882" s="350"/>
    </row>
    <row r="883" spans="2:8" s="324" customFormat="1" x14ac:dyDescent="0.35">
      <c r="B883" s="8"/>
      <c r="C883" s="106"/>
      <c r="D883" s="106"/>
      <c r="E883" s="106"/>
      <c r="F883" s="106"/>
      <c r="G883" s="680"/>
      <c r="H883" s="350"/>
    </row>
    <row r="884" spans="2:8" s="324" customFormat="1" x14ac:dyDescent="0.35">
      <c r="B884" s="8"/>
      <c r="C884" s="106"/>
      <c r="D884" s="106"/>
      <c r="E884" s="106"/>
      <c r="F884" s="106"/>
      <c r="G884" s="680"/>
      <c r="H884" s="350"/>
    </row>
    <row r="885" spans="2:8" s="324" customFormat="1" x14ac:dyDescent="0.35">
      <c r="B885" s="8"/>
      <c r="C885" s="106"/>
      <c r="D885" s="106"/>
      <c r="E885" s="106"/>
      <c r="F885" s="106"/>
      <c r="G885" s="680"/>
      <c r="H885" s="350"/>
    </row>
    <row r="886" spans="2:8" s="324" customFormat="1" x14ac:dyDescent="0.35">
      <c r="B886" s="8"/>
      <c r="C886" s="106"/>
      <c r="D886" s="106"/>
      <c r="E886" s="106"/>
      <c r="F886" s="106"/>
      <c r="G886" s="680"/>
      <c r="H886" s="350"/>
    </row>
    <row r="887" spans="2:8" s="324" customFormat="1" x14ac:dyDescent="0.35">
      <c r="B887" s="8"/>
      <c r="C887" s="106"/>
      <c r="D887" s="106"/>
      <c r="E887" s="106"/>
      <c r="F887" s="106"/>
      <c r="G887" s="680"/>
      <c r="H887" s="350"/>
    </row>
    <row r="888" spans="2:8" s="324" customFormat="1" x14ac:dyDescent="0.35">
      <c r="B888" s="8"/>
      <c r="C888" s="106"/>
      <c r="D888" s="106"/>
      <c r="E888" s="106"/>
      <c r="F888" s="106"/>
      <c r="G888" s="680"/>
      <c r="H888" s="350"/>
    </row>
    <row r="889" spans="2:8" s="324" customFormat="1" x14ac:dyDescent="0.35">
      <c r="B889" s="8"/>
      <c r="C889" s="106"/>
      <c r="D889" s="106"/>
      <c r="E889" s="106"/>
      <c r="F889" s="106"/>
      <c r="G889" s="680"/>
      <c r="H889" s="350"/>
    </row>
    <row r="890" spans="2:8" s="324" customFormat="1" x14ac:dyDescent="0.35">
      <c r="B890" s="8"/>
      <c r="C890" s="106"/>
      <c r="D890" s="106"/>
      <c r="E890" s="106"/>
      <c r="F890" s="106"/>
      <c r="G890" s="680"/>
      <c r="H890" s="350"/>
    </row>
    <row r="891" spans="2:8" s="324" customFormat="1" x14ac:dyDescent="0.35">
      <c r="B891" s="8"/>
      <c r="C891" s="106"/>
      <c r="D891" s="106"/>
      <c r="E891" s="106"/>
      <c r="F891" s="106"/>
      <c r="G891" s="680"/>
      <c r="H891" s="350"/>
    </row>
    <row r="892" spans="2:8" s="324" customFormat="1" x14ac:dyDescent="0.35">
      <c r="B892" s="8"/>
      <c r="C892" s="106"/>
      <c r="D892" s="106"/>
      <c r="E892" s="106"/>
      <c r="F892" s="106"/>
      <c r="G892" s="680"/>
      <c r="H892" s="350"/>
    </row>
    <row r="893" spans="2:8" s="324" customFormat="1" x14ac:dyDescent="0.35">
      <c r="B893" s="8"/>
      <c r="C893" s="106"/>
      <c r="D893" s="106"/>
      <c r="E893" s="106"/>
      <c r="F893" s="106"/>
      <c r="G893" s="680"/>
      <c r="H893" s="350"/>
    </row>
    <row r="894" spans="2:8" s="324" customFormat="1" x14ac:dyDescent="0.35">
      <c r="B894" s="8"/>
      <c r="C894" s="106"/>
      <c r="D894" s="106"/>
      <c r="E894" s="106"/>
      <c r="F894" s="106"/>
      <c r="G894" s="680"/>
      <c r="H894" s="350"/>
    </row>
    <row r="895" spans="2:8" s="324" customFormat="1" x14ac:dyDescent="0.35">
      <c r="B895" s="8"/>
      <c r="C895" s="106"/>
      <c r="D895" s="106"/>
      <c r="E895" s="106"/>
      <c r="F895" s="106"/>
      <c r="G895" s="680"/>
      <c r="H895" s="350"/>
    </row>
    <row r="896" spans="2:8" s="324" customFormat="1" x14ac:dyDescent="0.35">
      <c r="B896" s="8"/>
      <c r="C896" s="106"/>
      <c r="D896" s="106"/>
      <c r="E896" s="106"/>
      <c r="F896" s="106"/>
      <c r="G896" s="680"/>
      <c r="H896" s="350"/>
    </row>
    <row r="897" spans="2:8" s="324" customFormat="1" x14ac:dyDescent="0.35">
      <c r="B897" s="8"/>
      <c r="C897" s="106"/>
      <c r="D897" s="106"/>
      <c r="E897" s="106"/>
      <c r="F897" s="106"/>
      <c r="G897" s="680"/>
      <c r="H897" s="350"/>
    </row>
    <row r="898" spans="2:8" s="324" customFormat="1" x14ac:dyDescent="0.35">
      <c r="B898" s="8"/>
      <c r="C898" s="106"/>
      <c r="D898" s="106"/>
      <c r="E898" s="106"/>
      <c r="F898" s="106"/>
      <c r="G898" s="680"/>
      <c r="H898" s="350"/>
    </row>
    <row r="899" spans="2:8" s="324" customFormat="1" x14ac:dyDescent="0.35">
      <c r="B899" s="8"/>
      <c r="C899" s="106"/>
      <c r="D899" s="106"/>
      <c r="E899" s="106"/>
      <c r="F899" s="106"/>
      <c r="G899" s="680"/>
      <c r="H899" s="350"/>
    </row>
    <row r="900" spans="2:8" s="324" customFormat="1" x14ac:dyDescent="0.35">
      <c r="B900" s="8"/>
      <c r="C900" s="106"/>
      <c r="D900" s="106"/>
      <c r="E900" s="106"/>
      <c r="F900" s="106"/>
      <c r="G900" s="680"/>
      <c r="H900" s="350"/>
    </row>
    <row r="901" spans="2:8" s="324" customFormat="1" x14ac:dyDescent="0.35">
      <c r="B901" s="8"/>
      <c r="C901" s="106"/>
      <c r="D901" s="106"/>
      <c r="E901" s="106"/>
      <c r="F901" s="106"/>
      <c r="G901" s="680"/>
      <c r="H901" s="350"/>
    </row>
    <row r="902" spans="2:8" s="324" customFormat="1" x14ac:dyDescent="0.35">
      <c r="B902" s="8"/>
      <c r="C902" s="106"/>
      <c r="D902" s="106"/>
      <c r="E902" s="106"/>
      <c r="F902" s="106"/>
      <c r="G902" s="680"/>
      <c r="H902" s="350"/>
    </row>
    <row r="903" spans="2:8" s="324" customFormat="1" x14ac:dyDescent="0.35">
      <c r="B903" s="8"/>
      <c r="C903" s="106"/>
      <c r="D903" s="106"/>
      <c r="E903" s="106"/>
      <c r="F903" s="106"/>
      <c r="G903" s="680"/>
      <c r="H903" s="350"/>
    </row>
    <row r="904" spans="2:8" s="324" customFormat="1" x14ac:dyDescent="0.35">
      <c r="B904" s="8"/>
      <c r="C904" s="106"/>
      <c r="D904" s="106"/>
      <c r="E904" s="106"/>
      <c r="F904" s="106"/>
      <c r="G904" s="680"/>
      <c r="H904" s="350"/>
    </row>
    <row r="905" spans="2:8" s="324" customFormat="1" x14ac:dyDescent="0.35">
      <c r="B905" s="8"/>
      <c r="C905" s="106"/>
      <c r="D905" s="106"/>
      <c r="E905" s="106"/>
      <c r="F905" s="106"/>
      <c r="G905" s="680"/>
      <c r="H905" s="350"/>
    </row>
    <row r="906" spans="2:8" s="324" customFormat="1" x14ac:dyDescent="0.35">
      <c r="B906" s="8"/>
      <c r="C906" s="106"/>
      <c r="D906" s="106"/>
      <c r="E906" s="106"/>
      <c r="F906" s="106"/>
      <c r="G906" s="680"/>
      <c r="H906" s="350"/>
    </row>
    <row r="907" spans="2:8" s="324" customFormat="1" x14ac:dyDescent="0.35">
      <c r="B907" s="8"/>
      <c r="C907" s="106"/>
      <c r="D907" s="106"/>
      <c r="E907" s="106"/>
      <c r="F907" s="106"/>
      <c r="G907" s="680"/>
      <c r="H907" s="350"/>
    </row>
    <row r="908" spans="2:8" s="324" customFormat="1" x14ac:dyDescent="0.35">
      <c r="B908" s="8"/>
      <c r="C908" s="106"/>
      <c r="D908" s="106"/>
      <c r="E908" s="106"/>
      <c r="F908" s="106"/>
      <c r="G908" s="680"/>
      <c r="H908" s="350"/>
    </row>
    <row r="909" spans="2:8" s="324" customFormat="1" x14ac:dyDescent="0.35">
      <c r="B909" s="8"/>
      <c r="C909" s="106"/>
      <c r="D909" s="106"/>
      <c r="E909" s="106"/>
      <c r="F909" s="106"/>
      <c r="G909" s="680"/>
      <c r="H909" s="350"/>
    </row>
    <row r="910" spans="2:8" s="324" customFormat="1" x14ac:dyDescent="0.35">
      <c r="B910" s="8"/>
      <c r="C910" s="106"/>
      <c r="D910" s="106"/>
      <c r="E910" s="106"/>
      <c r="F910" s="106"/>
      <c r="G910" s="680"/>
      <c r="H910" s="350"/>
    </row>
    <row r="911" spans="2:8" s="324" customFormat="1" x14ac:dyDescent="0.35">
      <c r="B911" s="8"/>
      <c r="C911" s="106"/>
      <c r="D911" s="106"/>
      <c r="E911" s="106"/>
      <c r="F911" s="106"/>
      <c r="G911" s="680"/>
      <c r="H911" s="350"/>
    </row>
    <row r="912" spans="2:8" s="324" customFormat="1" x14ac:dyDescent="0.35">
      <c r="B912" s="8"/>
      <c r="C912" s="106"/>
      <c r="D912" s="106"/>
      <c r="E912" s="106"/>
      <c r="F912" s="106"/>
      <c r="G912" s="680"/>
      <c r="H912" s="350"/>
    </row>
    <row r="913" spans="2:8" s="324" customFormat="1" x14ac:dyDescent="0.35">
      <c r="B913" s="8"/>
      <c r="C913" s="106"/>
      <c r="D913" s="106"/>
      <c r="E913" s="106"/>
      <c r="F913" s="106"/>
      <c r="G913" s="680"/>
      <c r="H913" s="350"/>
    </row>
    <row r="914" spans="2:8" s="324" customFormat="1" x14ac:dyDescent="0.35">
      <c r="B914" s="8"/>
      <c r="C914" s="106"/>
      <c r="D914" s="106"/>
      <c r="E914" s="106"/>
      <c r="F914" s="106"/>
      <c r="G914" s="680"/>
      <c r="H914" s="350"/>
    </row>
    <row r="915" spans="2:8" s="324" customFormat="1" x14ac:dyDescent="0.35">
      <c r="B915" s="8"/>
      <c r="C915" s="106"/>
      <c r="D915" s="106"/>
      <c r="E915" s="106"/>
      <c r="F915" s="106"/>
      <c r="G915" s="680"/>
      <c r="H915" s="350"/>
    </row>
    <row r="916" spans="2:8" s="324" customFormat="1" x14ac:dyDescent="0.35">
      <c r="B916" s="8"/>
      <c r="C916" s="106"/>
      <c r="D916" s="106"/>
      <c r="E916" s="106"/>
      <c r="F916" s="106"/>
      <c r="G916" s="680"/>
      <c r="H916" s="350"/>
    </row>
    <row r="917" spans="2:8" s="324" customFormat="1" x14ac:dyDescent="0.35">
      <c r="B917" s="8"/>
      <c r="C917" s="106"/>
      <c r="D917" s="106"/>
      <c r="E917" s="106"/>
      <c r="F917" s="106"/>
      <c r="G917" s="680"/>
      <c r="H917" s="350"/>
    </row>
    <row r="918" spans="2:8" s="324" customFormat="1" x14ac:dyDescent="0.35">
      <c r="B918" s="8"/>
      <c r="C918" s="106"/>
      <c r="D918" s="106"/>
      <c r="E918" s="106"/>
      <c r="F918" s="106"/>
      <c r="G918" s="680"/>
      <c r="H918" s="350"/>
    </row>
    <row r="919" spans="2:8" s="324" customFormat="1" x14ac:dyDescent="0.35">
      <c r="B919" s="8"/>
      <c r="C919" s="106"/>
      <c r="D919" s="106"/>
      <c r="E919" s="106"/>
      <c r="F919" s="106"/>
      <c r="G919" s="680"/>
      <c r="H919" s="350"/>
    </row>
    <row r="920" spans="2:8" s="324" customFormat="1" x14ac:dyDescent="0.35">
      <c r="B920" s="8"/>
      <c r="C920" s="106"/>
      <c r="D920" s="106"/>
      <c r="E920" s="106"/>
      <c r="F920" s="106"/>
      <c r="G920" s="680"/>
      <c r="H920" s="350"/>
    </row>
    <row r="921" spans="2:8" s="324" customFormat="1" x14ac:dyDescent="0.35">
      <c r="B921" s="8"/>
      <c r="C921" s="106"/>
      <c r="D921" s="106"/>
      <c r="E921" s="106"/>
      <c r="F921" s="106"/>
      <c r="G921" s="680"/>
      <c r="H921" s="350"/>
    </row>
    <row r="922" spans="2:8" s="324" customFormat="1" x14ac:dyDescent="0.35">
      <c r="B922" s="8"/>
      <c r="C922" s="106"/>
      <c r="D922" s="106"/>
      <c r="E922" s="106"/>
      <c r="F922" s="106"/>
      <c r="G922" s="680"/>
      <c r="H922" s="350"/>
    </row>
    <row r="923" spans="2:8" s="324" customFormat="1" x14ac:dyDescent="0.35">
      <c r="B923" s="8"/>
      <c r="C923" s="106"/>
      <c r="D923" s="106"/>
      <c r="E923" s="106"/>
      <c r="F923" s="106"/>
      <c r="G923" s="680"/>
      <c r="H923" s="350"/>
    </row>
    <row r="924" spans="2:8" s="324" customFormat="1" x14ac:dyDescent="0.35">
      <c r="B924" s="8"/>
      <c r="C924" s="106"/>
      <c r="D924" s="106"/>
      <c r="E924" s="106"/>
      <c r="F924" s="106"/>
      <c r="G924" s="680"/>
      <c r="H924" s="350"/>
    </row>
    <row r="925" spans="2:8" s="324" customFormat="1" x14ac:dyDescent="0.35">
      <c r="B925" s="8"/>
      <c r="C925" s="106"/>
      <c r="D925" s="106"/>
      <c r="E925" s="106"/>
      <c r="F925" s="106"/>
      <c r="G925" s="680"/>
      <c r="H925" s="350"/>
    </row>
    <row r="926" spans="2:8" s="324" customFormat="1" x14ac:dyDescent="0.35">
      <c r="B926" s="8"/>
      <c r="C926" s="106"/>
      <c r="D926" s="106"/>
      <c r="E926" s="106"/>
      <c r="F926" s="106"/>
      <c r="G926" s="680"/>
      <c r="H926" s="350"/>
    </row>
    <row r="927" spans="2:8" s="324" customFormat="1" x14ac:dyDescent="0.35">
      <c r="B927" s="8"/>
      <c r="C927" s="106"/>
      <c r="D927" s="106"/>
      <c r="E927" s="106"/>
      <c r="F927" s="106"/>
      <c r="G927" s="680"/>
      <c r="H927" s="350"/>
    </row>
    <row r="928" spans="2:8" s="324" customFormat="1" x14ac:dyDescent="0.35">
      <c r="B928" s="8"/>
      <c r="C928" s="106"/>
      <c r="D928" s="106"/>
      <c r="E928" s="106"/>
      <c r="F928" s="106"/>
      <c r="G928" s="680"/>
      <c r="H928" s="350"/>
    </row>
    <row r="929" spans="1:8" s="324" customFormat="1" x14ac:dyDescent="0.35">
      <c r="B929" s="8"/>
      <c r="C929" s="106"/>
      <c r="D929" s="106"/>
      <c r="E929" s="106"/>
      <c r="F929" s="106"/>
      <c r="G929" s="680"/>
      <c r="H929" s="350"/>
    </row>
    <row r="930" spans="1:8" s="324" customFormat="1" x14ac:dyDescent="0.35">
      <c r="B930" s="8"/>
      <c r="C930" s="106"/>
      <c r="D930" s="106"/>
      <c r="E930" s="106"/>
      <c r="F930" s="106"/>
      <c r="G930" s="680"/>
      <c r="H930" s="350"/>
    </row>
    <row r="931" spans="1:8" s="324" customFormat="1" x14ac:dyDescent="0.35">
      <c r="B931" s="8"/>
      <c r="C931" s="106"/>
      <c r="D931" s="106"/>
      <c r="E931" s="106"/>
      <c r="F931" s="106"/>
      <c r="G931" s="680"/>
      <c r="H931" s="350"/>
    </row>
    <row r="932" spans="1:8" s="324" customFormat="1" x14ac:dyDescent="0.35">
      <c r="B932" s="8"/>
      <c r="C932" s="106"/>
      <c r="D932" s="106"/>
      <c r="E932" s="106"/>
      <c r="F932" s="106"/>
      <c r="G932" s="680"/>
      <c r="H932" s="350"/>
    </row>
    <row r="933" spans="1:8" s="324" customFormat="1" x14ac:dyDescent="0.35">
      <c r="B933" s="8"/>
      <c r="C933" s="106"/>
      <c r="D933" s="106"/>
      <c r="E933" s="106"/>
      <c r="F933" s="106"/>
      <c r="G933" s="680"/>
      <c r="H933" s="350"/>
    </row>
    <row r="934" spans="1:8" s="324" customFormat="1" x14ac:dyDescent="0.35">
      <c r="B934" s="8"/>
      <c r="C934" s="106"/>
      <c r="D934" s="106"/>
      <c r="E934" s="106"/>
      <c r="F934" s="106"/>
      <c r="G934" s="680"/>
      <c r="H934" s="350"/>
    </row>
    <row r="935" spans="1:8" s="324" customFormat="1" x14ac:dyDescent="0.35">
      <c r="B935" s="8"/>
      <c r="C935" s="106"/>
      <c r="D935" s="106"/>
      <c r="E935" s="106"/>
      <c r="F935" s="106"/>
      <c r="G935" s="680"/>
      <c r="H935" s="350"/>
    </row>
    <row r="936" spans="1:8" x14ac:dyDescent="0.35">
      <c r="A936" s="324"/>
    </row>
    <row r="937" spans="1:8" x14ac:dyDescent="0.35">
      <c r="A937" s="324"/>
    </row>
    <row r="938" spans="1:8" s="324" customFormat="1" x14ac:dyDescent="0.35">
      <c r="B938" s="8"/>
      <c r="C938" s="106"/>
      <c r="D938" s="106"/>
      <c r="E938" s="106"/>
      <c r="F938" s="106"/>
      <c r="G938" s="680"/>
      <c r="H938" s="350"/>
    </row>
    <row r="939" spans="1:8" s="324" customFormat="1" x14ac:dyDescent="0.35">
      <c r="B939" s="8"/>
      <c r="C939" s="106"/>
      <c r="D939" s="106"/>
      <c r="E939" s="106"/>
      <c r="F939" s="106"/>
      <c r="G939" s="680"/>
      <c r="H939" s="350"/>
    </row>
    <row r="940" spans="1:8" s="324" customFormat="1" x14ac:dyDescent="0.35">
      <c r="B940" s="8"/>
      <c r="C940" s="106"/>
      <c r="D940" s="106"/>
      <c r="E940" s="106"/>
      <c r="F940" s="106"/>
      <c r="G940" s="680"/>
      <c r="H940" s="350"/>
    </row>
    <row r="941" spans="1:8" s="324" customFormat="1" x14ac:dyDescent="0.35">
      <c r="B941" s="8"/>
      <c r="C941" s="106"/>
      <c r="D941" s="106"/>
      <c r="E941" s="106"/>
      <c r="F941" s="106"/>
      <c r="G941" s="680"/>
      <c r="H941" s="350"/>
    </row>
    <row r="942" spans="1:8" s="324" customFormat="1" x14ac:dyDescent="0.35">
      <c r="B942" s="8"/>
      <c r="C942" s="106"/>
      <c r="D942" s="106"/>
      <c r="E942" s="106"/>
      <c r="F942" s="106"/>
      <c r="G942" s="680"/>
      <c r="H942" s="350"/>
    </row>
    <row r="943" spans="1:8" s="324" customFormat="1" x14ac:dyDescent="0.35">
      <c r="B943" s="8"/>
      <c r="C943" s="106"/>
      <c r="D943" s="106"/>
      <c r="E943" s="106"/>
      <c r="F943" s="106"/>
      <c r="G943" s="680"/>
      <c r="H943" s="350"/>
    </row>
    <row r="944" spans="1:8" s="324" customFormat="1" x14ac:dyDescent="0.35">
      <c r="B944" s="8"/>
      <c r="C944" s="106"/>
      <c r="D944" s="106"/>
      <c r="E944" s="106"/>
      <c r="F944" s="106"/>
      <c r="G944" s="680"/>
      <c r="H944" s="350"/>
    </row>
    <row r="945" spans="2:8" s="324" customFormat="1" x14ac:dyDescent="0.35">
      <c r="B945" s="8"/>
      <c r="C945" s="106"/>
      <c r="D945" s="106"/>
      <c r="E945" s="106"/>
      <c r="F945" s="106"/>
      <c r="G945" s="680"/>
      <c r="H945" s="350"/>
    </row>
    <row r="946" spans="2:8" s="324" customFormat="1" x14ac:dyDescent="0.35">
      <c r="B946" s="8"/>
      <c r="C946" s="106"/>
      <c r="D946" s="106"/>
      <c r="E946" s="106"/>
      <c r="F946" s="106"/>
      <c r="G946" s="680"/>
      <c r="H946" s="350"/>
    </row>
    <row r="947" spans="2:8" s="324" customFormat="1" x14ac:dyDescent="0.35">
      <c r="B947" s="8"/>
      <c r="C947" s="106"/>
      <c r="D947" s="106"/>
      <c r="E947" s="106"/>
      <c r="F947" s="106"/>
      <c r="G947" s="680"/>
      <c r="H947" s="350"/>
    </row>
    <row r="948" spans="2:8" s="324" customFormat="1" x14ac:dyDescent="0.35">
      <c r="B948" s="8"/>
      <c r="C948" s="106"/>
      <c r="D948" s="106"/>
      <c r="E948" s="106"/>
      <c r="F948" s="106"/>
      <c r="G948" s="680"/>
      <c r="H948" s="350"/>
    </row>
    <row r="949" spans="2:8" s="324" customFormat="1" x14ac:dyDescent="0.35">
      <c r="B949" s="8"/>
      <c r="C949" s="106"/>
      <c r="D949" s="106"/>
      <c r="E949" s="106"/>
      <c r="F949" s="106"/>
      <c r="G949" s="680"/>
      <c r="H949" s="350"/>
    </row>
    <row r="950" spans="2:8" s="324" customFormat="1" x14ac:dyDescent="0.35">
      <c r="B950" s="8"/>
      <c r="C950" s="106"/>
      <c r="D950" s="106"/>
      <c r="E950" s="106"/>
      <c r="F950" s="106"/>
      <c r="G950" s="680"/>
      <c r="H950" s="350"/>
    </row>
    <row r="951" spans="2:8" s="324" customFormat="1" x14ac:dyDescent="0.35">
      <c r="B951" s="8"/>
      <c r="C951" s="106"/>
      <c r="D951" s="106"/>
      <c r="E951" s="106"/>
      <c r="F951" s="106"/>
      <c r="G951" s="680"/>
      <c r="H951" s="350"/>
    </row>
    <row r="952" spans="2:8" s="324" customFormat="1" x14ac:dyDescent="0.35">
      <c r="B952" s="8"/>
      <c r="C952" s="106"/>
      <c r="D952" s="106"/>
      <c r="E952" s="106"/>
      <c r="F952" s="106"/>
      <c r="G952" s="680"/>
      <c r="H952" s="350"/>
    </row>
    <row r="953" spans="2:8" s="324" customFormat="1" x14ac:dyDescent="0.35">
      <c r="B953" s="8"/>
      <c r="C953" s="106"/>
      <c r="D953" s="106"/>
      <c r="E953" s="106"/>
      <c r="F953" s="106"/>
      <c r="G953" s="680"/>
      <c r="H953" s="350"/>
    </row>
    <row r="954" spans="2:8" s="324" customFormat="1" x14ac:dyDescent="0.35">
      <c r="B954" s="8"/>
      <c r="C954" s="106"/>
      <c r="D954" s="106"/>
      <c r="E954" s="106"/>
      <c r="F954" s="106"/>
      <c r="G954" s="680"/>
      <c r="H954" s="350"/>
    </row>
    <row r="955" spans="2:8" s="324" customFormat="1" x14ac:dyDescent="0.35">
      <c r="B955" s="8"/>
      <c r="C955" s="106"/>
      <c r="D955" s="106"/>
      <c r="E955" s="106"/>
      <c r="F955" s="106"/>
      <c r="G955" s="680"/>
      <c r="H955" s="350"/>
    </row>
    <row r="956" spans="2:8" s="324" customFormat="1" x14ac:dyDescent="0.35">
      <c r="B956" s="8"/>
      <c r="C956" s="106"/>
      <c r="D956" s="106"/>
      <c r="E956" s="106"/>
      <c r="F956" s="106"/>
      <c r="G956" s="680"/>
      <c r="H956" s="350"/>
    </row>
    <row r="957" spans="2:8" s="324" customFormat="1" x14ac:dyDescent="0.35">
      <c r="B957" s="8"/>
      <c r="C957" s="106"/>
      <c r="D957" s="106"/>
      <c r="E957" s="106"/>
      <c r="F957" s="106"/>
      <c r="G957" s="680"/>
      <c r="H957" s="350"/>
    </row>
    <row r="958" spans="2:8" s="324" customFormat="1" x14ac:dyDescent="0.35">
      <c r="B958" s="8"/>
      <c r="C958" s="106"/>
      <c r="D958" s="106"/>
      <c r="E958" s="106"/>
      <c r="F958" s="106"/>
      <c r="G958" s="680"/>
      <c r="H958" s="350"/>
    </row>
    <row r="959" spans="2:8" s="324" customFormat="1" x14ac:dyDescent="0.35">
      <c r="B959" s="8"/>
      <c r="C959" s="106"/>
      <c r="D959" s="106"/>
      <c r="E959" s="106"/>
      <c r="F959" s="106"/>
      <c r="G959" s="680"/>
      <c r="H959" s="350"/>
    </row>
    <row r="960" spans="2:8" s="324" customFormat="1" x14ac:dyDescent="0.35">
      <c r="B960" s="8"/>
      <c r="C960" s="106"/>
      <c r="D960" s="106"/>
      <c r="E960" s="106"/>
      <c r="F960" s="106"/>
      <c r="G960" s="680"/>
      <c r="H960" s="350"/>
    </row>
    <row r="961" spans="2:8" s="324" customFormat="1" x14ac:dyDescent="0.35">
      <c r="B961" s="8"/>
      <c r="C961" s="106"/>
      <c r="D961" s="106"/>
      <c r="E961" s="106"/>
      <c r="F961" s="106"/>
      <c r="G961" s="680"/>
      <c r="H961" s="350"/>
    </row>
    <row r="962" spans="2:8" s="324" customFormat="1" x14ac:dyDescent="0.35">
      <c r="B962" s="8"/>
      <c r="C962" s="106"/>
      <c r="D962" s="106"/>
      <c r="E962" s="106"/>
      <c r="F962" s="106"/>
      <c r="G962" s="680"/>
      <c r="H962" s="350"/>
    </row>
    <row r="963" spans="2:8" s="324" customFormat="1" x14ac:dyDescent="0.35">
      <c r="B963" s="8"/>
      <c r="C963" s="106"/>
      <c r="D963" s="106"/>
      <c r="E963" s="106"/>
      <c r="F963" s="106"/>
      <c r="G963" s="680"/>
      <c r="H963" s="350"/>
    </row>
    <row r="964" spans="2:8" s="324" customFormat="1" x14ac:dyDescent="0.35">
      <c r="B964" s="8"/>
      <c r="C964" s="106"/>
      <c r="D964" s="106"/>
      <c r="E964" s="106"/>
      <c r="F964" s="106"/>
      <c r="G964" s="680"/>
      <c r="H964" s="350"/>
    </row>
    <row r="965" spans="2:8" s="324" customFormat="1" x14ac:dyDescent="0.35">
      <c r="B965" s="8"/>
      <c r="C965" s="106"/>
      <c r="D965" s="106"/>
      <c r="E965" s="106"/>
      <c r="F965" s="106"/>
      <c r="G965" s="680"/>
      <c r="H965" s="350"/>
    </row>
    <row r="966" spans="2:8" s="324" customFormat="1" x14ac:dyDescent="0.35">
      <c r="B966" s="8"/>
      <c r="C966" s="106"/>
      <c r="D966" s="106"/>
      <c r="E966" s="106"/>
      <c r="F966" s="106"/>
      <c r="G966" s="680"/>
      <c r="H966" s="350"/>
    </row>
    <row r="967" spans="2:8" s="324" customFormat="1" x14ac:dyDescent="0.35">
      <c r="B967" s="8"/>
      <c r="C967" s="106"/>
      <c r="D967" s="106"/>
      <c r="E967" s="106"/>
      <c r="F967" s="106"/>
      <c r="G967" s="680"/>
      <c r="H967" s="350"/>
    </row>
    <row r="968" spans="2:8" s="324" customFormat="1" x14ac:dyDescent="0.35">
      <c r="B968" s="8"/>
      <c r="C968" s="106"/>
      <c r="D968" s="106"/>
      <c r="E968" s="106"/>
      <c r="F968" s="106"/>
      <c r="G968" s="680"/>
      <c r="H968" s="350"/>
    </row>
    <row r="969" spans="2:8" s="324" customFormat="1" x14ac:dyDescent="0.35">
      <c r="B969" s="8"/>
      <c r="C969" s="106"/>
      <c r="D969" s="106"/>
      <c r="E969" s="106"/>
      <c r="F969" s="106"/>
      <c r="G969" s="680"/>
      <c r="H969" s="350"/>
    </row>
    <row r="970" spans="2:8" s="324" customFormat="1" x14ac:dyDescent="0.35">
      <c r="B970" s="8"/>
      <c r="C970" s="106"/>
      <c r="D970" s="106"/>
      <c r="E970" s="106"/>
      <c r="F970" s="106"/>
      <c r="G970" s="680"/>
      <c r="H970" s="350"/>
    </row>
    <row r="971" spans="2:8" s="324" customFormat="1" x14ac:dyDescent="0.35">
      <c r="B971" s="8"/>
      <c r="C971" s="106"/>
      <c r="D971" s="106"/>
      <c r="E971" s="106"/>
      <c r="F971" s="106"/>
      <c r="G971" s="680"/>
      <c r="H971" s="350"/>
    </row>
    <row r="972" spans="2:8" s="324" customFormat="1" x14ac:dyDescent="0.35">
      <c r="B972" s="8"/>
      <c r="C972" s="106"/>
      <c r="D972" s="106"/>
      <c r="E972" s="106"/>
      <c r="F972" s="106"/>
      <c r="G972" s="680"/>
      <c r="H972" s="350"/>
    </row>
    <row r="973" spans="2:8" s="324" customFormat="1" x14ac:dyDescent="0.35">
      <c r="B973" s="8"/>
      <c r="C973" s="106"/>
      <c r="D973" s="106"/>
      <c r="E973" s="106"/>
      <c r="F973" s="106"/>
      <c r="G973" s="680"/>
      <c r="H973" s="350"/>
    </row>
    <row r="974" spans="2:8" s="324" customFormat="1" x14ac:dyDescent="0.35">
      <c r="B974" s="8"/>
      <c r="C974" s="106"/>
      <c r="D974" s="106"/>
      <c r="E974" s="106"/>
      <c r="F974" s="106"/>
      <c r="G974" s="680"/>
      <c r="H974" s="350"/>
    </row>
    <row r="975" spans="2:8" s="324" customFormat="1" x14ac:dyDescent="0.35">
      <c r="B975" s="8"/>
      <c r="C975" s="106"/>
      <c r="D975" s="106"/>
      <c r="E975" s="106"/>
      <c r="F975" s="106"/>
      <c r="G975" s="680"/>
      <c r="H975" s="350"/>
    </row>
    <row r="976" spans="2:8" s="324" customFormat="1" x14ac:dyDescent="0.35">
      <c r="B976" s="8"/>
      <c r="C976" s="106"/>
      <c r="D976" s="106"/>
      <c r="E976" s="106"/>
      <c r="F976" s="106"/>
      <c r="G976" s="680"/>
      <c r="H976" s="350"/>
    </row>
    <row r="977" spans="2:8" s="324" customFormat="1" x14ac:dyDescent="0.35">
      <c r="B977" s="8"/>
      <c r="C977" s="106"/>
      <c r="D977" s="106"/>
      <c r="E977" s="106"/>
      <c r="F977" s="106"/>
      <c r="G977" s="680"/>
      <c r="H977" s="350"/>
    </row>
    <row r="978" spans="2:8" s="324" customFormat="1" x14ac:dyDescent="0.35">
      <c r="B978" s="8"/>
      <c r="C978" s="106"/>
      <c r="D978" s="106"/>
      <c r="E978" s="106"/>
      <c r="F978" s="106"/>
      <c r="G978" s="680"/>
      <c r="H978" s="350"/>
    </row>
    <row r="979" spans="2:8" s="324" customFormat="1" x14ac:dyDescent="0.35">
      <c r="B979" s="8"/>
      <c r="C979" s="106"/>
      <c r="D979" s="106"/>
      <c r="E979" s="106"/>
      <c r="F979" s="106"/>
      <c r="G979" s="680"/>
      <c r="H979" s="350"/>
    </row>
    <row r="980" spans="2:8" s="324" customFormat="1" x14ac:dyDescent="0.35">
      <c r="B980" s="8"/>
      <c r="C980" s="106"/>
      <c r="D980" s="106"/>
      <c r="E980" s="106"/>
      <c r="F980" s="106"/>
      <c r="G980" s="680"/>
      <c r="H980" s="350"/>
    </row>
    <row r="981" spans="2:8" s="324" customFormat="1" x14ac:dyDescent="0.35">
      <c r="B981" s="8"/>
      <c r="C981" s="106"/>
      <c r="D981" s="106"/>
      <c r="E981" s="106"/>
      <c r="F981" s="106"/>
      <c r="G981" s="680"/>
      <c r="H981" s="350"/>
    </row>
    <row r="982" spans="2:8" s="324" customFormat="1" x14ac:dyDescent="0.35">
      <c r="B982" s="8"/>
      <c r="C982" s="106"/>
      <c r="D982" s="106"/>
      <c r="E982" s="106"/>
      <c r="F982" s="106"/>
      <c r="G982" s="680"/>
      <c r="H982" s="350"/>
    </row>
    <row r="983" spans="2:8" s="324" customFormat="1" x14ac:dyDescent="0.35">
      <c r="B983" s="8"/>
      <c r="C983" s="106"/>
      <c r="D983" s="106"/>
      <c r="E983" s="106"/>
      <c r="F983" s="106"/>
      <c r="G983" s="680"/>
      <c r="H983" s="350"/>
    </row>
    <row r="984" spans="2:8" s="324" customFormat="1" x14ac:dyDescent="0.35">
      <c r="B984" s="8"/>
      <c r="C984" s="106"/>
      <c r="D984" s="106"/>
      <c r="E984" s="106"/>
      <c r="F984" s="106"/>
      <c r="G984" s="680"/>
      <c r="H984" s="350"/>
    </row>
    <row r="985" spans="2:8" s="324" customFormat="1" x14ac:dyDescent="0.35">
      <c r="B985" s="8"/>
      <c r="C985" s="106"/>
      <c r="D985" s="106"/>
      <c r="E985" s="106"/>
      <c r="F985" s="106"/>
      <c r="G985" s="680"/>
      <c r="H985" s="350"/>
    </row>
    <row r="986" spans="2:8" s="324" customFormat="1" x14ac:dyDescent="0.35">
      <c r="B986" s="8"/>
      <c r="C986" s="106"/>
      <c r="D986" s="106"/>
      <c r="E986" s="106"/>
      <c r="F986" s="106"/>
      <c r="G986" s="680"/>
      <c r="H986" s="350"/>
    </row>
    <row r="987" spans="2:8" s="324" customFormat="1" x14ac:dyDescent="0.35">
      <c r="B987" s="8"/>
      <c r="C987" s="106"/>
      <c r="D987" s="106"/>
      <c r="E987" s="106"/>
      <c r="F987" s="106"/>
      <c r="G987" s="680"/>
      <c r="H987" s="350"/>
    </row>
    <row r="988" spans="2:8" s="324" customFormat="1" x14ac:dyDescent="0.35">
      <c r="B988" s="8"/>
      <c r="C988" s="106"/>
      <c r="D988" s="106"/>
      <c r="E988" s="106"/>
      <c r="F988" s="106"/>
      <c r="G988" s="680"/>
      <c r="H988" s="350"/>
    </row>
    <row r="989" spans="2:8" s="324" customFormat="1" x14ac:dyDescent="0.35">
      <c r="B989" s="8"/>
      <c r="C989" s="106"/>
      <c r="D989" s="106"/>
      <c r="E989" s="106"/>
      <c r="F989" s="106"/>
      <c r="G989" s="680"/>
      <c r="H989" s="350"/>
    </row>
    <row r="990" spans="2:8" s="324" customFormat="1" x14ac:dyDescent="0.35">
      <c r="B990" s="8"/>
      <c r="C990" s="106"/>
      <c r="D990" s="106"/>
      <c r="E990" s="106"/>
      <c r="F990" s="106"/>
      <c r="G990" s="680"/>
      <c r="H990" s="350"/>
    </row>
    <row r="991" spans="2:8" s="324" customFormat="1" x14ac:dyDescent="0.35">
      <c r="B991" s="8"/>
      <c r="C991" s="106"/>
      <c r="D991" s="106"/>
      <c r="E991" s="106"/>
      <c r="F991" s="106"/>
      <c r="G991" s="680"/>
      <c r="H991" s="350"/>
    </row>
    <row r="992" spans="2:8" s="324" customFormat="1" x14ac:dyDescent="0.35">
      <c r="B992" s="8"/>
      <c r="C992" s="106"/>
      <c r="D992" s="106"/>
      <c r="E992" s="106"/>
      <c r="F992" s="106"/>
      <c r="G992" s="680"/>
      <c r="H992" s="350"/>
    </row>
    <row r="993" spans="1:12" s="324" customFormat="1" x14ac:dyDescent="0.35">
      <c r="B993" s="8"/>
      <c r="C993" s="106"/>
      <c r="D993" s="106"/>
      <c r="E993" s="106"/>
      <c r="F993" s="106"/>
      <c r="G993" s="680"/>
      <c r="H993" s="350"/>
    </row>
    <row r="994" spans="1:12" s="324" customFormat="1" x14ac:dyDescent="0.35">
      <c r="B994" s="8"/>
      <c r="C994" s="106"/>
      <c r="D994" s="106"/>
      <c r="E994" s="106"/>
      <c r="F994" s="106"/>
      <c r="G994" s="680"/>
      <c r="H994" s="350"/>
    </row>
    <row r="995" spans="1:12" s="324" customFormat="1" x14ac:dyDescent="0.35">
      <c r="B995" s="8"/>
      <c r="C995" s="106"/>
      <c r="D995" s="106"/>
      <c r="E995" s="106"/>
      <c r="F995" s="106"/>
      <c r="G995" s="680"/>
      <c r="H995" s="350"/>
    </row>
    <row r="996" spans="1:12" s="324" customFormat="1" x14ac:dyDescent="0.35">
      <c r="B996" s="8"/>
      <c r="C996" s="106"/>
      <c r="D996" s="106"/>
      <c r="E996" s="106"/>
      <c r="F996" s="106"/>
      <c r="G996" s="680"/>
      <c r="H996" s="350"/>
      <c r="L996" s="324" t="s">
        <v>11</v>
      </c>
    </row>
    <row r="997" spans="1:12" s="324" customFormat="1" x14ac:dyDescent="0.35">
      <c r="B997" s="8"/>
      <c r="C997" s="106"/>
      <c r="D997" s="106"/>
      <c r="E997" s="106"/>
      <c r="F997" s="106"/>
      <c r="G997" s="680"/>
      <c r="H997" s="350"/>
    </row>
    <row r="998" spans="1:12" s="324" customFormat="1" x14ac:dyDescent="0.35">
      <c r="B998" s="8"/>
      <c r="C998" s="106"/>
      <c r="D998" s="106"/>
      <c r="E998" s="106"/>
      <c r="F998" s="106"/>
      <c r="G998" s="680"/>
      <c r="H998" s="350"/>
    </row>
    <row r="999" spans="1:12" x14ac:dyDescent="0.35">
      <c r="A999" s="324"/>
    </row>
    <row r="1000" spans="1:12" x14ac:dyDescent="0.35">
      <c r="A1000" s="324"/>
    </row>
    <row r="1001" spans="1:12" s="324" customFormat="1" x14ac:dyDescent="0.35">
      <c r="B1001" s="8"/>
      <c r="C1001" s="106"/>
      <c r="D1001" s="106"/>
      <c r="E1001" s="106"/>
      <c r="F1001" s="106"/>
      <c r="G1001" s="680"/>
      <c r="H1001" s="350"/>
    </row>
    <row r="1002" spans="1:12" s="324" customFormat="1" x14ac:dyDescent="0.35">
      <c r="B1002" s="8"/>
      <c r="C1002" s="106"/>
      <c r="D1002" s="106"/>
      <c r="E1002" s="106"/>
      <c r="F1002" s="106"/>
      <c r="G1002" s="680"/>
      <c r="H1002" s="350"/>
    </row>
    <row r="1003" spans="1:12" s="324" customFormat="1" x14ac:dyDescent="0.35">
      <c r="B1003" s="8"/>
      <c r="C1003" s="106"/>
      <c r="D1003" s="106"/>
      <c r="E1003" s="106"/>
      <c r="F1003" s="106"/>
      <c r="G1003" s="680"/>
      <c r="H1003" s="350"/>
    </row>
    <row r="1004" spans="1:12" s="324" customFormat="1" x14ac:dyDescent="0.35">
      <c r="B1004" s="8"/>
      <c r="C1004" s="106"/>
      <c r="D1004" s="106"/>
      <c r="E1004" s="106"/>
      <c r="F1004" s="106"/>
      <c r="G1004" s="680"/>
      <c r="H1004" s="350"/>
    </row>
    <row r="1005" spans="1:12" s="324" customFormat="1" x14ac:dyDescent="0.35">
      <c r="B1005" s="8"/>
      <c r="C1005" s="106"/>
      <c r="D1005" s="106"/>
      <c r="E1005" s="106"/>
      <c r="F1005" s="106"/>
      <c r="G1005" s="680"/>
      <c r="H1005" s="350"/>
    </row>
    <row r="1006" spans="1:12" s="324" customFormat="1" x14ac:dyDescent="0.35">
      <c r="B1006" s="8"/>
      <c r="C1006" s="106"/>
      <c r="D1006" s="106"/>
      <c r="E1006" s="106"/>
      <c r="F1006" s="106"/>
      <c r="G1006" s="680"/>
      <c r="H1006" s="350"/>
    </row>
    <row r="1007" spans="1:12" s="324" customFormat="1" x14ac:dyDescent="0.35">
      <c r="B1007" s="8"/>
      <c r="C1007" s="106"/>
      <c r="D1007" s="106"/>
      <c r="E1007" s="106"/>
      <c r="F1007" s="106"/>
      <c r="G1007" s="680"/>
      <c r="H1007" s="350"/>
    </row>
    <row r="1008" spans="1:12" s="324" customFormat="1" x14ac:dyDescent="0.35">
      <c r="B1008" s="8"/>
      <c r="C1008" s="106"/>
      <c r="D1008" s="106"/>
      <c r="E1008" s="106"/>
      <c r="F1008" s="106"/>
      <c r="G1008" s="680"/>
      <c r="H1008" s="350"/>
    </row>
    <row r="1009" spans="2:8" s="324" customFormat="1" x14ac:dyDescent="0.35">
      <c r="B1009" s="8"/>
      <c r="C1009" s="106"/>
      <c r="D1009" s="106"/>
      <c r="E1009" s="106"/>
      <c r="F1009" s="106"/>
      <c r="G1009" s="680"/>
      <c r="H1009" s="350"/>
    </row>
    <row r="1010" spans="2:8" s="324" customFormat="1" x14ac:dyDescent="0.35">
      <c r="B1010" s="8"/>
      <c r="C1010" s="106"/>
      <c r="D1010" s="106"/>
      <c r="E1010" s="106"/>
      <c r="F1010" s="106"/>
      <c r="G1010" s="680"/>
      <c r="H1010" s="350"/>
    </row>
    <row r="1011" spans="2:8" s="324" customFormat="1" x14ac:dyDescent="0.35">
      <c r="B1011" s="8"/>
      <c r="C1011" s="106"/>
      <c r="D1011" s="106"/>
      <c r="E1011" s="106"/>
      <c r="F1011" s="106"/>
      <c r="G1011" s="680"/>
      <c r="H1011" s="350"/>
    </row>
    <row r="1012" spans="2:8" s="324" customFormat="1" x14ac:dyDescent="0.35">
      <c r="B1012" s="8"/>
      <c r="C1012" s="106"/>
      <c r="D1012" s="106"/>
      <c r="E1012" s="106"/>
      <c r="F1012" s="106"/>
      <c r="G1012" s="680"/>
      <c r="H1012" s="350"/>
    </row>
    <row r="1013" spans="2:8" s="324" customFormat="1" x14ac:dyDescent="0.35">
      <c r="B1013" s="8"/>
      <c r="C1013" s="106"/>
      <c r="D1013" s="106"/>
      <c r="E1013" s="106"/>
      <c r="F1013" s="106"/>
      <c r="G1013" s="680"/>
      <c r="H1013" s="350"/>
    </row>
    <row r="1014" spans="2:8" s="324" customFormat="1" x14ac:dyDescent="0.35">
      <c r="B1014" s="8"/>
      <c r="C1014" s="106"/>
      <c r="D1014" s="106"/>
      <c r="E1014" s="106"/>
      <c r="F1014" s="106"/>
      <c r="G1014" s="680"/>
      <c r="H1014" s="350"/>
    </row>
    <row r="1015" spans="2:8" s="324" customFormat="1" x14ac:dyDescent="0.35">
      <c r="B1015" s="8"/>
      <c r="C1015" s="106"/>
      <c r="D1015" s="106"/>
      <c r="E1015" s="106"/>
      <c r="F1015" s="106"/>
      <c r="G1015" s="680"/>
      <c r="H1015" s="350"/>
    </row>
    <row r="1016" spans="2:8" s="324" customFormat="1" x14ac:dyDescent="0.35">
      <c r="B1016" s="8"/>
      <c r="C1016" s="106"/>
      <c r="D1016" s="106"/>
      <c r="E1016" s="106"/>
      <c r="F1016" s="106"/>
      <c r="G1016" s="680"/>
      <c r="H1016" s="350"/>
    </row>
    <row r="1017" spans="2:8" s="324" customFormat="1" x14ac:dyDescent="0.35">
      <c r="B1017" s="8"/>
      <c r="C1017" s="106"/>
      <c r="D1017" s="106"/>
      <c r="E1017" s="106"/>
      <c r="F1017" s="106"/>
      <c r="G1017" s="680"/>
      <c r="H1017" s="350"/>
    </row>
    <row r="1018" spans="2:8" s="324" customFormat="1" x14ac:dyDescent="0.35">
      <c r="B1018" s="8"/>
      <c r="C1018" s="106"/>
      <c r="D1018" s="106"/>
      <c r="E1018" s="106"/>
      <c r="F1018" s="106"/>
      <c r="G1018" s="680"/>
      <c r="H1018" s="350"/>
    </row>
    <row r="1019" spans="2:8" s="324" customFormat="1" x14ac:dyDescent="0.35">
      <c r="B1019" s="8"/>
      <c r="C1019" s="106"/>
      <c r="D1019" s="106"/>
      <c r="E1019" s="106"/>
      <c r="F1019" s="106"/>
      <c r="G1019" s="680"/>
      <c r="H1019" s="350"/>
    </row>
    <row r="1020" spans="2:8" s="324" customFormat="1" x14ac:dyDescent="0.35">
      <c r="B1020" s="8"/>
      <c r="C1020" s="106"/>
      <c r="D1020" s="106"/>
      <c r="E1020" s="106"/>
      <c r="F1020" s="106"/>
      <c r="G1020" s="680"/>
      <c r="H1020" s="350"/>
    </row>
    <row r="1021" spans="2:8" s="324" customFormat="1" x14ac:dyDescent="0.35">
      <c r="B1021" s="8"/>
      <c r="C1021" s="106"/>
      <c r="D1021" s="106"/>
      <c r="E1021" s="106"/>
      <c r="F1021" s="106"/>
      <c r="G1021" s="680"/>
      <c r="H1021" s="350"/>
    </row>
    <row r="1022" spans="2:8" s="324" customFormat="1" x14ac:dyDescent="0.35">
      <c r="B1022" s="8"/>
      <c r="C1022" s="106"/>
      <c r="D1022" s="106"/>
      <c r="E1022" s="106"/>
      <c r="F1022" s="106"/>
      <c r="G1022" s="680"/>
      <c r="H1022" s="350"/>
    </row>
    <row r="1023" spans="2:8" s="324" customFormat="1" x14ac:dyDescent="0.35">
      <c r="B1023" s="8"/>
      <c r="C1023" s="106"/>
      <c r="D1023" s="106"/>
      <c r="E1023" s="106"/>
      <c r="F1023" s="106"/>
      <c r="G1023" s="680"/>
      <c r="H1023" s="350"/>
    </row>
    <row r="1024" spans="2:8" s="324" customFormat="1" x14ac:dyDescent="0.35">
      <c r="B1024" s="8"/>
      <c r="C1024" s="106"/>
      <c r="D1024" s="106"/>
      <c r="E1024" s="106"/>
      <c r="F1024" s="106"/>
      <c r="G1024" s="680"/>
      <c r="H1024" s="350"/>
    </row>
    <row r="1025" spans="2:10" s="324" customFormat="1" x14ac:dyDescent="0.35">
      <c r="B1025" s="8"/>
      <c r="C1025" s="106"/>
      <c r="D1025" s="106"/>
      <c r="E1025" s="106"/>
      <c r="F1025" s="106"/>
      <c r="G1025" s="680"/>
      <c r="H1025" s="350"/>
      <c r="J1025" s="324" t="s">
        <v>11</v>
      </c>
    </row>
    <row r="1026" spans="2:10" s="324" customFormat="1" x14ac:dyDescent="0.35">
      <c r="B1026" s="8"/>
      <c r="C1026" s="106"/>
      <c r="D1026" s="106"/>
      <c r="E1026" s="106"/>
      <c r="F1026" s="106"/>
      <c r="G1026" s="680"/>
      <c r="H1026" s="350"/>
    </row>
    <row r="1027" spans="2:10" s="324" customFormat="1" x14ac:dyDescent="0.35">
      <c r="B1027" s="8"/>
      <c r="C1027" s="106"/>
      <c r="D1027" s="106"/>
      <c r="E1027" s="106"/>
      <c r="F1027" s="106"/>
      <c r="G1027" s="680"/>
      <c r="H1027" s="350"/>
    </row>
    <row r="1028" spans="2:10" s="324" customFormat="1" x14ac:dyDescent="0.35">
      <c r="B1028" s="8"/>
      <c r="C1028" s="106"/>
      <c r="D1028" s="106"/>
      <c r="E1028" s="106"/>
      <c r="F1028" s="106"/>
      <c r="G1028" s="680"/>
      <c r="H1028" s="350"/>
    </row>
    <row r="1029" spans="2:10" s="324" customFormat="1" x14ac:dyDescent="0.35">
      <c r="B1029" s="8"/>
      <c r="C1029" s="106"/>
      <c r="D1029" s="106"/>
      <c r="E1029" s="106"/>
      <c r="F1029" s="106"/>
      <c r="G1029" s="680"/>
      <c r="H1029" s="350"/>
    </row>
    <row r="1030" spans="2:10" s="324" customFormat="1" x14ac:dyDescent="0.35">
      <c r="B1030" s="8"/>
      <c r="C1030" s="106"/>
      <c r="D1030" s="106"/>
      <c r="E1030" s="106"/>
      <c r="F1030" s="106"/>
      <c r="G1030" s="680"/>
      <c r="H1030" s="350"/>
    </row>
    <row r="1031" spans="2:10" s="324" customFormat="1" x14ac:dyDescent="0.35">
      <c r="B1031" s="8"/>
      <c r="C1031" s="106"/>
      <c r="D1031" s="106"/>
      <c r="E1031" s="106"/>
      <c r="F1031" s="106"/>
      <c r="G1031" s="680"/>
      <c r="H1031" s="350"/>
    </row>
    <row r="1032" spans="2:10" s="324" customFormat="1" x14ac:dyDescent="0.35">
      <c r="B1032" s="8"/>
      <c r="C1032" s="106"/>
      <c r="D1032" s="106"/>
      <c r="E1032" s="106"/>
      <c r="F1032" s="106"/>
      <c r="G1032" s="680"/>
      <c r="H1032" s="350"/>
    </row>
    <row r="1033" spans="2:10" s="324" customFormat="1" x14ac:dyDescent="0.35">
      <c r="B1033" s="8"/>
      <c r="C1033" s="106"/>
      <c r="D1033" s="106"/>
      <c r="E1033" s="106"/>
      <c r="F1033" s="106"/>
      <c r="G1033" s="680"/>
      <c r="H1033" s="350"/>
    </row>
    <row r="1034" spans="2:10" s="324" customFormat="1" x14ac:dyDescent="0.35">
      <c r="B1034" s="8"/>
      <c r="C1034" s="106"/>
      <c r="D1034" s="106"/>
      <c r="E1034" s="106"/>
      <c r="F1034" s="106"/>
      <c r="G1034" s="680"/>
      <c r="H1034" s="350"/>
    </row>
    <row r="1035" spans="2:10" s="324" customFormat="1" x14ac:dyDescent="0.35">
      <c r="B1035" s="8"/>
      <c r="C1035" s="106"/>
      <c r="D1035" s="106"/>
      <c r="E1035" s="106"/>
      <c r="F1035" s="106"/>
      <c r="G1035" s="680"/>
      <c r="H1035" s="350"/>
    </row>
    <row r="1036" spans="2:10" s="324" customFormat="1" x14ac:dyDescent="0.35">
      <c r="B1036" s="8"/>
      <c r="C1036" s="106"/>
      <c r="D1036" s="106"/>
      <c r="E1036" s="106"/>
      <c r="F1036" s="106"/>
      <c r="G1036" s="680"/>
      <c r="H1036" s="350"/>
    </row>
    <row r="1037" spans="2:10" s="324" customFormat="1" x14ac:dyDescent="0.35">
      <c r="B1037" s="8"/>
      <c r="C1037" s="106"/>
      <c r="D1037" s="106"/>
      <c r="E1037" s="106"/>
      <c r="F1037" s="106"/>
      <c r="G1037" s="680"/>
      <c r="H1037" s="350"/>
    </row>
    <row r="1038" spans="2:10" s="324" customFormat="1" x14ac:dyDescent="0.35">
      <c r="B1038" s="8"/>
      <c r="C1038" s="106"/>
      <c r="D1038" s="106"/>
      <c r="E1038" s="106"/>
      <c r="F1038" s="106"/>
      <c r="G1038" s="680"/>
      <c r="H1038" s="350"/>
    </row>
    <row r="1039" spans="2:10" s="324" customFormat="1" x14ac:dyDescent="0.35">
      <c r="B1039" s="8"/>
      <c r="C1039" s="106"/>
      <c r="D1039" s="106"/>
      <c r="E1039" s="106"/>
      <c r="F1039" s="106"/>
      <c r="G1039" s="680"/>
      <c r="H1039" s="350"/>
    </row>
    <row r="1040" spans="2:10" s="324" customFormat="1" x14ac:dyDescent="0.35">
      <c r="B1040" s="8"/>
      <c r="C1040" s="106"/>
      <c r="D1040" s="106"/>
      <c r="E1040" s="106"/>
      <c r="F1040" s="106"/>
      <c r="G1040" s="680"/>
      <c r="H1040" s="350"/>
    </row>
    <row r="1041" spans="2:8" s="324" customFormat="1" x14ac:dyDescent="0.35">
      <c r="B1041" s="8"/>
      <c r="C1041" s="106"/>
      <c r="D1041" s="106"/>
      <c r="E1041" s="106"/>
      <c r="F1041" s="106"/>
      <c r="G1041" s="680"/>
      <c r="H1041" s="350"/>
    </row>
    <row r="1042" spans="2:8" s="324" customFormat="1" x14ac:dyDescent="0.35">
      <c r="B1042" s="8"/>
      <c r="C1042" s="106"/>
      <c r="D1042" s="106"/>
      <c r="E1042" s="106"/>
      <c r="F1042" s="106"/>
      <c r="G1042" s="680"/>
      <c r="H1042" s="350"/>
    </row>
    <row r="1045" spans="2:8" s="324" customFormat="1" x14ac:dyDescent="0.35">
      <c r="B1045" s="8"/>
      <c r="C1045" s="106"/>
      <c r="D1045" s="106"/>
      <c r="E1045" s="106"/>
      <c r="F1045" s="106"/>
      <c r="G1045" s="680"/>
      <c r="H1045" s="350"/>
    </row>
    <row r="1046" spans="2:8" s="324" customFormat="1" x14ac:dyDescent="0.35">
      <c r="B1046" s="8"/>
      <c r="C1046" s="106"/>
      <c r="D1046" s="106"/>
      <c r="E1046" s="106"/>
      <c r="F1046" s="106"/>
      <c r="G1046" s="680"/>
      <c r="H1046" s="350"/>
    </row>
    <row r="1047" spans="2:8" s="324" customFormat="1" x14ac:dyDescent="0.35">
      <c r="B1047" s="8"/>
      <c r="C1047" s="106"/>
      <c r="D1047" s="106"/>
      <c r="E1047" s="106"/>
      <c r="F1047" s="106"/>
      <c r="G1047" s="680"/>
      <c r="H1047" s="350"/>
    </row>
    <row r="1048" spans="2:8" s="324" customFormat="1" x14ac:dyDescent="0.35">
      <c r="B1048" s="8"/>
      <c r="C1048" s="106"/>
      <c r="D1048" s="106"/>
      <c r="E1048" s="106"/>
      <c r="F1048" s="106"/>
      <c r="G1048" s="680"/>
      <c r="H1048" s="350"/>
    </row>
    <row r="1049" spans="2:8" s="324" customFormat="1" x14ac:dyDescent="0.35">
      <c r="B1049" s="8"/>
      <c r="C1049" s="106"/>
      <c r="D1049" s="106"/>
      <c r="E1049" s="106"/>
      <c r="F1049" s="106"/>
      <c r="G1049" s="680"/>
      <c r="H1049" s="350"/>
    </row>
    <row r="1050" spans="2:8" s="324" customFormat="1" x14ac:dyDescent="0.35">
      <c r="B1050" s="8"/>
      <c r="C1050" s="106"/>
      <c r="D1050" s="106"/>
      <c r="E1050" s="106"/>
      <c r="F1050" s="106"/>
      <c r="G1050" s="680"/>
      <c r="H1050" s="350"/>
    </row>
    <row r="1051" spans="2:8" s="324" customFormat="1" x14ac:dyDescent="0.35">
      <c r="B1051" s="8"/>
      <c r="C1051" s="106"/>
      <c r="D1051" s="106"/>
      <c r="E1051" s="106"/>
      <c r="F1051" s="106"/>
      <c r="G1051" s="680"/>
      <c r="H1051" s="350"/>
    </row>
    <row r="1052" spans="2:8" s="324" customFormat="1" x14ac:dyDescent="0.35">
      <c r="B1052" s="8"/>
      <c r="C1052" s="106"/>
      <c r="D1052" s="106"/>
      <c r="E1052" s="106"/>
      <c r="F1052" s="106"/>
      <c r="G1052" s="680"/>
      <c r="H1052" s="350"/>
    </row>
    <row r="1053" spans="2:8" s="324" customFormat="1" x14ac:dyDescent="0.35">
      <c r="B1053" s="8"/>
      <c r="C1053" s="106"/>
      <c r="D1053" s="106"/>
      <c r="E1053" s="106"/>
      <c r="F1053" s="106"/>
      <c r="G1053" s="680"/>
      <c r="H1053" s="350"/>
    </row>
    <row r="1054" spans="2:8" s="324" customFormat="1" x14ac:dyDescent="0.35">
      <c r="B1054" s="8"/>
      <c r="C1054" s="106"/>
      <c r="D1054" s="106"/>
      <c r="E1054" s="106"/>
      <c r="F1054" s="106"/>
      <c r="G1054" s="680"/>
      <c r="H1054" s="350"/>
    </row>
    <row r="1055" spans="2:8" s="324" customFormat="1" x14ac:dyDescent="0.35">
      <c r="B1055" s="8"/>
      <c r="C1055" s="106"/>
      <c r="D1055" s="106"/>
      <c r="E1055" s="106"/>
      <c r="F1055" s="106"/>
      <c r="G1055" s="680"/>
      <c r="H1055" s="350"/>
    </row>
    <row r="1056" spans="2:8" s="324" customFormat="1" x14ac:dyDescent="0.35">
      <c r="B1056" s="8"/>
      <c r="C1056" s="106"/>
      <c r="D1056" s="106"/>
      <c r="E1056" s="106"/>
      <c r="F1056" s="106"/>
      <c r="G1056" s="680"/>
      <c r="H1056" s="350"/>
    </row>
    <row r="1057" spans="2:8" s="324" customFormat="1" x14ac:dyDescent="0.35">
      <c r="B1057" s="8"/>
      <c r="C1057" s="106"/>
      <c r="D1057" s="106"/>
      <c r="E1057" s="106"/>
      <c r="F1057" s="106"/>
      <c r="G1057" s="680"/>
      <c r="H1057" s="350"/>
    </row>
    <row r="1058" spans="2:8" s="324" customFormat="1" x14ac:dyDescent="0.35">
      <c r="B1058" s="8"/>
      <c r="C1058" s="106"/>
      <c r="D1058" s="106"/>
      <c r="E1058" s="106"/>
      <c r="F1058" s="106"/>
      <c r="G1058" s="680"/>
      <c r="H1058" s="350"/>
    </row>
    <row r="1059" spans="2:8" s="324" customFormat="1" x14ac:dyDescent="0.35">
      <c r="B1059" s="8"/>
      <c r="C1059" s="106"/>
      <c r="D1059" s="106"/>
      <c r="E1059" s="106"/>
      <c r="F1059" s="106"/>
      <c r="G1059" s="680"/>
      <c r="H1059" s="350"/>
    </row>
    <row r="1060" spans="2:8" s="324" customFormat="1" x14ac:dyDescent="0.35">
      <c r="B1060" s="8"/>
      <c r="C1060" s="106"/>
      <c r="D1060" s="106"/>
      <c r="E1060" s="106"/>
      <c r="F1060" s="106"/>
      <c r="G1060" s="680"/>
      <c r="H1060" s="350"/>
    </row>
    <row r="1061" spans="2:8" s="324" customFormat="1" x14ac:dyDescent="0.35">
      <c r="B1061" s="8"/>
      <c r="C1061" s="106"/>
      <c r="D1061" s="106"/>
      <c r="E1061" s="106"/>
      <c r="F1061" s="106"/>
      <c r="G1061" s="680"/>
      <c r="H1061" s="350"/>
    </row>
    <row r="1062" spans="2:8" s="324" customFormat="1" x14ac:dyDescent="0.35">
      <c r="B1062" s="8"/>
      <c r="C1062" s="106"/>
      <c r="D1062" s="106"/>
      <c r="E1062" s="106"/>
      <c r="F1062" s="106"/>
      <c r="G1062" s="680"/>
      <c r="H1062" s="350"/>
    </row>
    <row r="1063" spans="2:8" s="324" customFormat="1" x14ac:dyDescent="0.35">
      <c r="B1063" s="8"/>
      <c r="C1063" s="106"/>
      <c r="D1063" s="106"/>
      <c r="E1063" s="106"/>
      <c r="F1063" s="106"/>
      <c r="G1063" s="680"/>
      <c r="H1063" s="350"/>
    </row>
    <row r="1064" spans="2:8" s="324" customFormat="1" x14ac:dyDescent="0.35">
      <c r="B1064" s="8"/>
      <c r="C1064" s="106"/>
      <c r="D1064" s="106"/>
      <c r="E1064" s="106"/>
      <c r="F1064" s="106"/>
      <c r="G1064" s="680"/>
      <c r="H1064" s="350"/>
    </row>
    <row r="1065" spans="2:8" s="324" customFormat="1" x14ac:dyDescent="0.35">
      <c r="B1065" s="8"/>
      <c r="C1065" s="106"/>
      <c r="D1065" s="106"/>
      <c r="E1065" s="106"/>
      <c r="F1065" s="106"/>
      <c r="G1065" s="680"/>
      <c r="H1065" s="350"/>
    </row>
    <row r="1066" spans="2:8" s="324" customFormat="1" x14ac:dyDescent="0.35">
      <c r="B1066" s="8"/>
      <c r="C1066" s="106"/>
      <c r="D1066" s="106"/>
      <c r="E1066" s="106"/>
      <c r="F1066" s="106"/>
      <c r="G1066" s="680"/>
      <c r="H1066" s="350"/>
    </row>
    <row r="1067" spans="2:8" s="324" customFormat="1" x14ac:dyDescent="0.35">
      <c r="B1067" s="8"/>
      <c r="C1067" s="106"/>
      <c r="D1067" s="106"/>
      <c r="E1067" s="106"/>
      <c r="F1067" s="106"/>
      <c r="G1067" s="680"/>
      <c r="H1067" s="350"/>
    </row>
    <row r="1068" spans="2:8" s="324" customFormat="1" x14ac:dyDescent="0.35">
      <c r="B1068" s="8"/>
      <c r="C1068" s="106"/>
      <c r="D1068" s="106"/>
      <c r="E1068" s="106"/>
      <c r="F1068" s="106"/>
      <c r="G1068" s="680"/>
      <c r="H1068" s="350"/>
    </row>
    <row r="1069" spans="2:8" s="324" customFormat="1" x14ac:dyDescent="0.35">
      <c r="B1069" s="8"/>
      <c r="C1069" s="106"/>
      <c r="D1069" s="106"/>
      <c r="E1069" s="106"/>
      <c r="F1069" s="106"/>
      <c r="G1069" s="680"/>
      <c r="H1069" s="350"/>
    </row>
    <row r="1070" spans="2:8" s="324" customFormat="1" x14ac:dyDescent="0.35">
      <c r="B1070" s="8"/>
      <c r="C1070" s="106"/>
      <c r="D1070" s="106"/>
      <c r="E1070" s="106"/>
      <c r="F1070" s="106"/>
      <c r="G1070" s="680"/>
      <c r="H1070" s="350"/>
    </row>
    <row r="1071" spans="2:8" s="324" customFormat="1" x14ac:dyDescent="0.35">
      <c r="B1071" s="8"/>
      <c r="C1071" s="106"/>
      <c r="D1071" s="106"/>
      <c r="E1071" s="106"/>
      <c r="F1071" s="106"/>
      <c r="G1071" s="680"/>
      <c r="H1071" s="350"/>
    </row>
    <row r="1072" spans="2:8" s="324" customFormat="1" x14ac:dyDescent="0.35">
      <c r="B1072" s="8"/>
      <c r="C1072" s="106"/>
      <c r="D1072" s="106"/>
      <c r="E1072" s="106"/>
      <c r="F1072" s="106"/>
      <c r="G1072" s="680"/>
      <c r="H1072" s="350"/>
    </row>
    <row r="1073" spans="1:8" s="324" customFormat="1" x14ac:dyDescent="0.35">
      <c r="B1073" s="8"/>
      <c r="C1073" s="106"/>
      <c r="D1073" s="106"/>
      <c r="E1073" s="106"/>
      <c r="F1073" s="106"/>
      <c r="G1073" s="680"/>
      <c r="H1073" s="350"/>
    </row>
    <row r="1074" spans="1:8" s="324" customFormat="1" x14ac:dyDescent="0.35">
      <c r="B1074" s="8"/>
      <c r="C1074" s="106"/>
      <c r="D1074" s="106"/>
      <c r="E1074" s="106"/>
      <c r="F1074" s="106"/>
      <c r="G1074" s="680"/>
      <c r="H1074" s="350"/>
    </row>
    <row r="1075" spans="1:8" s="324" customFormat="1" x14ac:dyDescent="0.35">
      <c r="B1075" s="8"/>
      <c r="C1075" s="106"/>
      <c r="D1075" s="106"/>
      <c r="E1075" s="106"/>
      <c r="F1075" s="106"/>
      <c r="G1075" s="680"/>
      <c r="H1075" s="350"/>
    </row>
    <row r="1076" spans="1:8" s="324" customFormat="1" x14ac:dyDescent="0.35">
      <c r="B1076" s="8"/>
      <c r="C1076" s="106"/>
      <c r="D1076" s="106"/>
      <c r="E1076" s="106"/>
      <c r="F1076" s="106"/>
      <c r="G1076" s="680"/>
      <c r="H1076" s="350"/>
    </row>
    <row r="1077" spans="1:8" s="324" customFormat="1" x14ac:dyDescent="0.35">
      <c r="B1077" s="8"/>
      <c r="C1077" s="106"/>
      <c r="D1077" s="106"/>
      <c r="E1077" s="106"/>
      <c r="F1077" s="106"/>
      <c r="G1077" s="680"/>
      <c r="H1077" s="350"/>
    </row>
    <row r="1078" spans="1:8" s="324" customFormat="1" x14ac:dyDescent="0.35">
      <c r="B1078" s="8"/>
      <c r="C1078" s="106"/>
      <c r="D1078" s="106"/>
      <c r="E1078" s="106"/>
      <c r="F1078" s="106"/>
      <c r="G1078" s="680"/>
      <c r="H1078" s="350"/>
    </row>
    <row r="1079" spans="1:8" s="324" customFormat="1" x14ac:dyDescent="0.35">
      <c r="B1079" s="8"/>
      <c r="C1079" s="106"/>
      <c r="D1079" s="106"/>
      <c r="E1079" s="106"/>
      <c r="F1079" s="106"/>
      <c r="G1079" s="680"/>
      <c r="H1079" s="350"/>
    </row>
    <row r="1080" spans="1:8" s="324" customFormat="1" x14ac:dyDescent="0.35">
      <c r="B1080" s="8"/>
      <c r="C1080" s="106"/>
      <c r="D1080" s="106"/>
      <c r="E1080" s="106"/>
      <c r="F1080" s="106"/>
      <c r="G1080" s="680"/>
      <c r="H1080" s="350"/>
    </row>
    <row r="1081" spans="1:8" s="324" customFormat="1" x14ac:dyDescent="0.35">
      <c r="B1081" s="8"/>
      <c r="C1081" s="106"/>
      <c r="D1081" s="106"/>
      <c r="E1081" s="106"/>
      <c r="F1081" s="106"/>
      <c r="G1081" s="680"/>
      <c r="H1081" s="350"/>
    </row>
    <row r="1082" spans="1:8" s="3" customFormat="1" x14ac:dyDescent="0.35">
      <c r="A1082" s="324"/>
      <c r="B1082" s="8"/>
      <c r="C1082" s="106"/>
      <c r="D1082" s="106"/>
      <c r="E1082" s="106"/>
      <c r="F1082" s="106"/>
      <c r="G1082" s="680"/>
      <c r="H1082" s="350"/>
    </row>
    <row r="1083" spans="1:8" s="324" customFormat="1" x14ac:dyDescent="0.35">
      <c r="B1083" s="8"/>
      <c r="C1083" s="106"/>
      <c r="D1083" s="106"/>
      <c r="E1083" s="106"/>
      <c r="F1083" s="106"/>
      <c r="G1083" s="680"/>
      <c r="H1083" s="350"/>
    </row>
    <row r="1084" spans="1:8" s="324" customFormat="1" x14ac:dyDescent="0.35">
      <c r="B1084" s="8"/>
      <c r="C1084" s="106"/>
      <c r="D1084" s="106"/>
      <c r="E1084" s="106"/>
      <c r="F1084" s="106"/>
      <c r="G1084" s="680"/>
      <c r="H1084" s="350"/>
    </row>
    <row r="1085" spans="1:8" s="324" customFormat="1" x14ac:dyDescent="0.35">
      <c r="B1085" s="8"/>
      <c r="C1085" s="106"/>
      <c r="D1085" s="106"/>
      <c r="E1085" s="106"/>
      <c r="F1085" s="106"/>
      <c r="G1085" s="680"/>
      <c r="H1085" s="350"/>
    </row>
    <row r="1088" spans="1:8" s="324" customFormat="1" x14ac:dyDescent="0.35">
      <c r="B1088" s="8"/>
      <c r="C1088" s="106"/>
      <c r="D1088" s="106"/>
      <c r="E1088" s="106"/>
      <c r="F1088" s="106"/>
      <c r="G1088" s="680"/>
      <c r="H1088" s="350"/>
    </row>
    <row r="1089" spans="1:8" s="324" customFormat="1" x14ac:dyDescent="0.35">
      <c r="B1089" s="8"/>
      <c r="C1089" s="106"/>
      <c r="D1089" s="106"/>
      <c r="E1089" s="106"/>
      <c r="F1089" s="106"/>
      <c r="G1089" s="680"/>
      <c r="H1089" s="350"/>
    </row>
    <row r="1090" spans="1:8" s="324" customFormat="1" x14ac:dyDescent="0.35">
      <c r="B1090" s="8"/>
      <c r="C1090" s="106"/>
      <c r="D1090" s="106"/>
      <c r="E1090" s="106"/>
      <c r="F1090" s="106"/>
      <c r="G1090" s="680"/>
      <c r="H1090" s="350"/>
    </row>
    <row r="1091" spans="1:8" s="324" customFormat="1" x14ac:dyDescent="0.35">
      <c r="B1091" s="8"/>
      <c r="C1091" s="106"/>
      <c r="D1091" s="106"/>
      <c r="E1091" s="106"/>
      <c r="F1091" s="106"/>
      <c r="G1091" s="680"/>
      <c r="H1091" s="350"/>
    </row>
    <row r="1092" spans="1:8" s="324" customFormat="1" x14ac:dyDescent="0.35">
      <c r="B1092" s="8"/>
      <c r="C1092" s="106"/>
      <c r="D1092" s="106"/>
      <c r="E1092" s="106"/>
      <c r="F1092" s="106"/>
      <c r="G1092" s="680"/>
      <c r="H1092" s="350"/>
    </row>
    <row r="1093" spans="1:8" s="324" customFormat="1" x14ac:dyDescent="0.35">
      <c r="B1093" s="8"/>
      <c r="C1093" s="106"/>
      <c r="D1093" s="106"/>
      <c r="E1093" s="106"/>
      <c r="F1093" s="106"/>
      <c r="G1093" s="680"/>
      <c r="H1093" s="350"/>
    </row>
    <row r="1094" spans="1:8" s="324" customFormat="1" x14ac:dyDescent="0.35">
      <c r="B1094" s="8"/>
      <c r="C1094" s="106"/>
      <c r="D1094" s="106"/>
      <c r="E1094" s="106"/>
      <c r="F1094" s="106"/>
      <c r="G1094" s="680"/>
      <c r="H1094" s="350"/>
    </row>
    <row r="1095" spans="1:8" s="324" customFormat="1" x14ac:dyDescent="0.35">
      <c r="B1095" s="8"/>
      <c r="C1095" s="106"/>
      <c r="D1095" s="106"/>
      <c r="E1095" s="106"/>
      <c r="F1095" s="106"/>
      <c r="G1095" s="680"/>
      <c r="H1095" s="350"/>
    </row>
    <row r="1096" spans="1:8" s="324" customFormat="1" x14ac:dyDescent="0.35">
      <c r="B1096" s="8"/>
      <c r="C1096" s="106"/>
      <c r="D1096" s="106"/>
      <c r="E1096" s="106"/>
      <c r="F1096" s="106"/>
      <c r="G1096" s="680"/>
      <c r="H1096" s="350"/>
    </row>
    <row r="1097" spans="1:8" s="324" customFormat="1" x14ac:dyDescent="0.35">
      <c r="B1097" s="8"/>
      <c r="C1097" s="106"/>
      <c r="D1097" s="106"/>
      <c r="E1097" s="106"/>
      <c r="F1097" s="106"/>
      <c r="G1097" s="680"/>
      <c r="H1097" s="350"/>
    </row>
    <row r="1098" spans="1:8" s="324" customFormat="1" x14ac:dyDescent="0.35">
      <c r="B1098" s="8"/>
      <c r="C1098" s="106"/>
      <c r="D1098" s="106"/>
      <c r="E1098" s="106"/>
      <c r="F1098" s="106"/>
      <c r="G1098" s="680"/>
      <c r="H1098" s="350"/>
    </row>
    <row r="1099" spans="1:8" s="324" customFormat="1" x14ac:dyDescent="0.35">
      <c r="B1099" s="8"/>
      <c r="C1099" s="106"/>
      <c r="D1099" s="106"/>
      <c r="E1099" s="106"/>
      <c r="F1099" s="106"/>
      <c r="G1099" s="680"/>
      <c r="H1099" s="350"/>
    </row>
    <row r="1100" spans="1:8" s="324" customFormat="1" x14ac:dyDescent="0.35">
      <c r="B1100" s="8"/>
      <c r="C1100" s="106"/>
      <c r="D1100" s="106"/>
      <c r="E1100" s="106"/>
      <c r="F1100" s="106"/>
      <c r="G1100" s="680"/>
      <c r="H1100" s="350"/>
    </row>
    <row r="1101" spans="1:8" s="324" customFormat="1" x14ac:dyDescent="0.35">
      <c r="B1101" s="8"/>
      <c r="C1101" s="106"/>
      <c r="D1101" s="106"/>
      <c r="E1101" s="106"/>
      <c r="F1101" s="106"/>
      <c r="G1101" s="680"/>
      <c r="H1101" s="350"/>
    </row>
    <row r="1102" spans="1:8" s="324" customFormat="1" x14ac:dyDescent="0.35">
      <c r="B1102" s="8"/>
      <c r="C1102" s="106"/>
      <c r="D1102" s="106"/>
      <c r="E1102" s="106"/>
      <c r="F1102" s="106"/>
      <c r="G1102" s="680"/>
      <c r="H1102" s="350"/>
    </row>
    <row r="1103" spans="1:8" s="324" customFormat="1" x14ac:dyDescent="0.35">
      <c r="B1103" s="8"/>
      <c r="C1103" s="106"/>
      <c r="D1103" s="106"/>
      <c r="E1103" s="106"/>
      <c r="F1103" s="106"/>
      <c r="G1103" s="680"/>
      <c r="H1103" s="350"/>
    </row>
    <row r="1104" spans="1:8" s="324" customFormat="1" x14ac:dyDescent="0.35">
      <c r="A1104" s="42"/>
      <c r="B1104" s="8"/>
      <c r="C1104" s="106"/>
      <c r="D1104" s="106"/>
      <c r="E1104" s="106"/>
      <c r="F1104" s="106"/>
      <c r="G1104" s="680"/>
      <c r="H1104" s="350"/>
    </row>
    <row r="1105" spans="1:8" s="324" customFormat="1" x14ac:dyDescent="0.35">
      <c r="B1105" s="8"/>
      <c r="C1105" s="106"/>
      <c r="D1105" s="106"/>
      <c r="E1105" s="106"/>
      <c r="F1105" s="106"/>
      <c r="G1105" s="680"/>
      <c r="H1105" s="350"/>
    </row>
    <row r="1106" spans="1:8" s="324" customFormat="1" x14ac:dyDescent="0.35">
      <c r="B1106" s="8"/>
      <c r="C1106" s="106"/>
      <c r="D1106" s="106"/>
      <c r="E1106" s="106"/>
      <c r="F1106" s="106"/>
      <c r="G1106" s="680"/>
      <c r="H1106" s="350"/>
    </row>
    <row r="1107" spans="1:8" s="324" customFormat="1" x14ac:dyDescent="0.35">
      <c r="B1107" s="8"/>
      <c r="C1107" s="106"/>
      <c r="D1107" s="106"/>
      <c r="E1107" s="106"/>
      <c r="F1107" s="106"/>
      <c r="G1107" s="680"/>
      <c r="H1107" s="350"/>
    </row>
    <row r="1108" spans="1:8" s="324" customFormat="1" x14ac:dyDescent="0.35">
      <c r="B1108" s="8"/>
      <c r="C1108" s="106"/>
      <c r="D1108" s="106"/>
      <c r="E1108" s="106"/>
      <c r="F1108" s="106"/>
      <c r="G1108" s="680"/>
      <c r="H1108" s="350"/>
    </row>
    <row r="1109" spans="1:8" s="324" customFormat="1" x14ac:dyDescent="0.35">
      <c r="B1109" s="8"/>
      <c r="C1109" s="106"/>
      <c r="D1109" s="106"/>
      <c r="E1109" s="106"/>
      <c r="F1109" s="106"/>
      <c r="G1109" s="680"/>
      <c r="H1109" s="350"/>
    </row>
    <row r="1110" spans="1:8" s="324" customFormat="1" x14ac:dyDescent="0.35">
      <c r="B1110" s="8"/>
      <c r="C1110" s="106"/>
      <c r="D1110" s="106"/>
      <c r="E1110" s="106"/>
      <c r="F1110" s="106"/>
      <c r="G1110" s="680"/>
      <c r="H1110" s="350"/>
    </row>
    <row r="1111" spans="1:8" s="324" customFormat="1" x14ac:dyDescent="0.35">
      <c r="B1111" s="8"/>
      <c r="C1111" s="106"/>
      <c r="D1111" s="106"/>
      <c r="E1111" s="106"/>
      <c r="F1111" s="106"/>
      <c r="G1111" s="680"/>
      <c r="H1111" s="350"/>
    </row>
    <row r="1112" spans="1:8" s="324" customFormat="1" x14ac:dyDescent="0.35">
      <c r="B1112" s="8"/>
      <c r="C1112" s="106"/>
      <c r="D1112" s="106"/>
      <c r="E1112" s="106"/>
      <c r="F1112" s="106"/>
      <c r="G1112" s="680"/>
      <c r="H1112" s="350"/>
    </row>
    <row r="1113" spans="1:8" s="324" customFormat="1" x14ac:dyDescent="0.35">
      <c r="A1113" s="354"/>
      <c r="B1113" s="8"/>
      <c r="C1113" s="106"/>
      <c r="D1113" s="106"/>
      <c r="E1113" s="106"/>
      <c r="F1113" s="106"/>
      <c r="G1113" s="680"/>
      <c r="H1113" s="350"/>
    </row>
    <row r="1114" spans="1:8" s="324" customFormat="1" x14ac:dyDescent="0.35">
      <c r="A1114" s="354"/>
      <c r="B1114" s="8"/>
      <c r="C1114" s="106"/>
      <c r="D1114" s="106"/>
      <c r="E1114" s="106"/>
      <c r="F1114" s="106"/>
      <c r="G1114" s="680"/>
      <c r="H1114" s="350"/>
    </row>
    <row r="1115" spans="1:8" s="324" customFormat="1" x14ac:dyDescent="0.35">
      <c r="B1115" s="8"/>
      <c r="C1115" s="106"/>
      <c r="D1115" s="106"/>
      <c r="E1115" s="106"/>
      <c r="F1115" s="106"/>
      <c r="G1115" s="680"/>
      <c r="H1115" s="350"/>
    </row>
    <row r="1116" spans="1:8" s="324" customFormat="1" ht="15.65" customHeight="1" x14ac:dyDescent="0.35">
      <c r="B1116" s="8"/>
      <c r="C1116" s="106"/>
      <c r="D1116" s="106"/>
      <c r="E1116" s="106"/>
      <c r="F1116" s="106"/>
      <c r="G1116" s="680"/>
      <c r="H1116" s="350"/>
    </row>
    <row r="1117" spans="1:8" s="324" customFormat="1" ht="15.75" customHeight="1" x14ac:dyDescent="0.35">
      <c r="B1117" s="8"/>
      <c r="C1117" s="106"/>
      <c r="D1117" s="106"/>
      <c r="E1117" s="106"/>
      <c r="F1117" s="106"/>
      <c r="G1117" s="680"/>
      <c r="H1117" s="350"/>
    </row>
    <row r="1120" spans="1:8" s="324" customFormat="1" x14ac:dyDescent="0.35">
      <c r="B1120" s="8"/>
      <c r="C1120" s="106"/>
      <c r="D1120" s="106"/>
      <c r="E1120" s="106"/>
      <c r="F1120" s="106"/>
      <c r="G1120" s="680"/>
      <c r="H1120" s="350"/>
    </row>
    <row r="1121" spans="2:8" s="324" customFormat="1" x14ac:dyDescent="0.35">
      <c r="B1121" s="8"/>
      <c r="C1121" s="106"/>
      <c r="D1121" s="106"/>
      <c r="E1121" s="106"/>
      <c r="F1121" s="106"/>
      <c r="G1121" s="680"/>
      <c r="H1121" s="350"/>
    </row>
    <row r="1122" spans="2:8" s="324" customFormat="1" x14ac:dyDescent="0.35">
      <c r="B1122" s="8"/>
      <c r="C1122" s="106"/>
      <c r="D1122" s="106"/>
      <c r="E1122" s="106"/>
      <c r="F1122" s="106"/>
      <c r="G1122" s="680"/>
      <c r="H1122" s="350"/>
    </row>
    <row r="1123" spans="2:8" s="324" customFormat="1" x14ac:dyDescent="0.35">
      <c r="B1123" s="8"/>
      <c r="C1123" s="106"/>
      <c r="D1123" s="106"/>
      <c r="E1123" s="106"/>
      <c r="F1123" s="106"/>
      <c r="G1123" s="680"/>
      <c r="H1123" s="350"/>
    </row>
    <row r="1124" spans="2:8" s="324" customFormat="1" x14ac:dyDescent="0.35">
      <c r="B1124" s="8"/>
      <c r="C1124" s="106"/>
      <c r="D1124" s="106"/>
      <c r="E1124" s="106"/>
      <c r="F1124" s="106"/>
      <c r="G1124" s="680"/>
      <c r="H1124" s="350"/>
    </row>
    <row r="1125" spans="2:8" s="324" customFormat="1" x14ac:dyDescent="0.35">
      <c r="B1125" s="8"/>
      <c r="C1125" s="106"/>
      <c r="D1125" s="106"/>
      <c r="E1125" s="106"/>
      <c r="F1125" s="106"/>
      <c r="G1125" s="680"/>
      <c r="H1125" s="350"/>
    </row>
    <row r="1126" spans="2:8" s="324" customFormat="1" x14ac:dyDescent="0.35">
      <c r="B1126" s="8"/>
      <c r="C1126" s="106"/>
      <c r="D1126" s="106"/>
      <c r="E1126" s="106"/>
      <c r="F1126" s="106"/>
      <c r="G1126" s="680"/>
      <c r="H1126" s="350"/>
    </row>
    <row r="1127" spans="2:8" s="324" customFormat="1" x14ac:dyDescent="0.35">
      <c r="B1127" s="8"/>
      <c r="C1127" s="106"/>
      <c r="D1127" s="106"/>
      <c r="E1127" s="106"/>
      <c r="F1127" s="106"/>
      <c r="G1127" s="680"/>
      <c r="H1127" s="350"/>
    </row>
    <row r="1128" spans="2:8" s="324" customFormat="1" x14ac:dyDescent="0.35">
      <c r="B1128" s="8"/>
      <c r="C1128" s="106"/>
      <c r="D1128" s="106"/>
      <c r="E1128" s="106"/>
      <c r="F1128" s="106"/>
      <c r="G1128" s="680"/>
      <c r="H1128" s="350"/>
    </row>
    <row r="1129" spans="2:8" s="324" customFormat="1" x14ac:dyDescent="0.35">
      <c r="B1129" s="8"/>
      <c r="C1129" s="106"/>
      <c r="D1129" s="106"/>
      <c r="E1129" s="106"/>
      <c r="F1129" s="106"/>
      <c r="G1129" s="680"/>
      <c r="H1129" s="350"/>
    </row>
    <row r="1130" spans="2:8" s="324" customFormat="1" x14ac:dyDescent="0.35">
      <c r="B1130" s="8"/>
      <c r="C1130" s="106"/>
      <c r="D1130" s="106"/>
      <c r="E1130" s="106"/>
      <c r="F1130" s="106"/>
      <c r="G1130" s="680"/>
      <c r="H1130" s="350"/>
    </row>
    <row r="1131" spans="2:8" s="324" customFormat="1" x14ac:dyDescent="0.35">
      <c r="B1131" s="8"/>
      <c r="C1131" s="106"/>
      <c r="D1131" s="106"/>
      <c r="E1131" s="106"/>
      <c r="F1131" s="106"/>
      <c r="G1131" s="680"/>
      <c r="H1131" s="350"/>
    </row>
    <row r="1132" spans="2:8" s="324" customFormat="1" x14ac:dyDescent="0.35">
      <c r="B1132" s="8"/>
      <c r="C1132" s="106"/>
      <c r="D1132" s="106"/>
      <c r="E1132" s="106"/>
      <c r="F1132" s="106"/>
      <c r="G1132" s="680"/>
      <c r="H1132" s="350"/>
    </row>
    <row r="1133" spans="2:8" s="324" customFormat="1" x14ac:dyDescent="0.35">
      <c r="B1133" s="8"/>
      <c r="C1133" s="106"/>
      <c r="D1133" s="106"/>
      <c r="E1133" s="106"/>
      <c r="F1133" s="106"/>
      <c r="G1133" s="680"/>
      <c r="H1133" s="350"/>
    </row>
    <row r="1134" spans="2:8" s="324" customFormat="1" x14ac:dyDescent="0.35">
      <c r="B1134" s="8"/>
      <c r="C1134" s="106"/>
      <c r="D1134" s="106"/>
      <c r="E1134" s="106"/>
      <c r="F1134" s="106"/>
      <c r="G1134" s="680"/>
      <c r="H1134" s="350"/>
    </row>
    <row r="1135" spans="2:8" s="324" customFormat="1" x14ac:dyDescent="0.35">
      <c r="B1135" s="8"/>
      <c r="C1135" s="106"/>
      <c r="D1135" s="106"/>
      <c r="E1135" s="106"/>
      <c r="F1135" s="106"/>
      <c r="G1135" s="680"/>
      <c r="H1135" s="350"/>
    </row>
    <row r="1136" spans="2:8" s="324" customFormat="1" x14ac:dyDescent="0.35">
      <c r="B1136" s="8"/>
      <c r="C1136" s="106"/>
      <c r="D1136" s="106"/>
      <c r="E1136" s="106"/>
      <c r="F1136" s="106"/>
      <c r="G1136" s="680"/>
      <c r="H1136" s="350"/>
    </row>
    <row r="1137" spans="1:8" s="324" customFormat="1" x14ac:dyDescent="0.35">
      <c r="B1137" s="8"/>
      <c r="C1137" s="106"/>
      <c r="D1137" s="106"/>
      <c r="E1137" s="106"/>
      <c r="F1137" s="106"/>
      <c r="G1137" s="680"/>
      <c r="H1137" s="350"/>
    </row>
    <row r="1138" spans="1:8" s="42" customFormat="1" x14ac:dyDescent="0.35">
      <c r="A1138" s="324"/>
      <c r="B1138" s="8"/>
      <c r="C1138" s="106"/>
      <c r="D1138" s="106"/>
      <c r="E1138" s="106"/>
      <c r="F1138" s="106"/>
      <c r="G1138" s="680"/>
      <c r="H1138" s="350"/>
    </row>
    <row r="1139" spans="1:8" s="324" customFormat="1" x14ac:dyDescent="0.35">
      <c r="B1139" s="8"/>
      <c r="C1139" s="106"/>
      <c r="D1139" s="106"/>
      <c r="E1139" s="106"/>
      <c r="F1139" s="106"/>
      <c r="G1139" s="680"/>
      <c r="H1139" s="350"/>
    </row>
    <row r="1140" spans="1:8" s="324" customFormat="1" x14ac:dyDescent="0.35">
      <c r="B1140" s="8"/>
      <c r="C1140" s="106"/>
      <c r="D1140" s="106"/>
      <c r="E1140" s="106"/>
      <c r="F1140" s="106"/>
      <c r="G1140" s="680"/>
      <c r="H1140" s="350"/>
    </row>
    <row r="1141" spans="1:8" s="324" customFormat="1" x14ac:dyDescent="0.35">
      <c r="B1141" s="8"/>
      <c r="C1141" s="106"/>
      <c r="D1141" s="106"/>
      <c r="E1141" s="106"/>
      <c r="F1141" s="106"/>
      <c r="G1141" s="680"/>
      <c r="H1141" s="350"/>
    </row>
    <row r="1142" spans="1:8" s="324" customFormat="1" x14ac:dyDescent="0.35">
      <c r="B1142" s="8"/>
      <c r="C1142" s="106"/>
      <c r="D1142" s="106"/>
      <c r="E1142" s="106"/>
      <c r="F1142" s="106"/>
      <c r="G1142" s="680"/>
      <c r="H1142" s="350"/>
    </row>
    <row r="1143" spans="1:8" s="324" customFormat="1" x14ac:dyDescent="0.35">
      <c r="B1143" s="8"/>
      <c r="C1143" s="106"/>
      <c r="D1143" s="106"/>
      <c r="E1143" s="106"/>
      <c r="F1143" s="106"/>
      <c r="G1143" s="680"/>
      <c r="H1143" s="350"/>
    </row>
    <row r="1144" spans="1:8" s="324" customFormat="1" x14ac:dyDescent="0.35">
      <c r="B1144" s="8"/>
      <c r="C1144" s="106"/>
      <c r="D1144" s="106"/>
      <c r="E1144" s="106"/>
      <c r="F1144" s="106"/>
      <c r="G1144" s="680"/>
      <c r="H1144" s="350"/>
    </row>
    <row r="1145" spans="1:8" s="324" customFormat="1" x14ac:dyDescent="0.35">
      <c r="B1145" s="8"/>
      <c r="C1145" s="106"/>
      <c r="D1145" s="106"/>
      <c r="E1145" s="106"/>
      <c r="F1145" s="106"/>
      <c r="G1145" s="680"/>
      <c r="H1145" s="350"/>
    </row>
    <row r="1146" spans="1:8" s="324" customFormat="1" x14ac:dyDescent="0.35">
      <c r="B1146" s="8"/>
      <c r="C1146" s="106"/>
      <c r="D1146" s="106"/>
      <c r="E1146" s="106"/>
      <c r="F1146" s="106"/>
      <c r="G1146" s="680"/>
      <c r="H1146" s="350"/>
    </row>
    <row r="1147" spans="1:8" s="324" customFormat="1" x14ac:dyDescent="0.35">
      <c r="B1147" s="8"/>
      <c r="C1147" s="106"/>
      <c r="D1147" s="106"/>
      <c r="E1147" s="106"/>
      <c r="F1147" s="106"/>
      <c r="G1147" s="680"/>
      <c r="H1147" s="350"/>
    </row>
    <row r="1148" spans="1:8" s="324" customFormat="1" x14ac:dyDescent="0.35">
      <c r="B1148" s="8"/>
      <c r="C1148" s="106"/>
      <c r="D1148" s="106"/>
      <c r="E1148" s="106"/>
      <c r="F1148" s="106"/>
      <c r="G1148" s="680"/>
      <c r="H1148" s="350"/>
    </row>
    <row r="1149" spans="1:8" s="324" customFormat="1" x14ac:dyDescent="0.35">
      <c r="B1149" s="8"/>
      <c r="C1149" s="106"/>
      <c r="D1149" s="106"/>
      <c r="E1149" s="106"/>
      <c r="F1149" s="106"/>
      <c r="G1149" s="680"/>
      <c r="H1149" s="350"/>
    </row>
    <row r="1150" spans="1:8" s="324" customFormat="1" x14ac:dyDescent="0.35">
      <c r="B1150" s="8"/>
      <c r="C1150" s="106"/>
      <c r="D1150" s="106"/>
      <c r="E1150" s="106"/>
      <c r="F1150" s="106"/>
      <c r="G1150" s="680"/>
      <c r="H1150" s="350"/>
    </row>
    <row r="1151" spans="1:8" s="324" customFormat="1" x14ac:dyDescent="0.35">
      <c r="B1151" s="8"/>
      <c r="C1151" s="106"/>
      <c r="D1151" s="106"/>
      <c r="E1151" s="106"/>
      <c r="F1151" s="106"/>
      <c r="G1151" s="680"/>
      <c r="H1151" s="350"/>
    </row>
    <row r="1152" spans="1:8" s="324" customFormat="1" x14ac:dyDescent="0.35">
      <c r="B1152" s="8"/>
      <c r="C1152" s="106"/>
      <c r="D1152" s="106"/>
      <c r="E1152" s="106"/>
      <c r="F1152" s="106"/>
      <c r="G1152" s="680"/>
      <c r="H1152" s="350"/>
    </row>
    <row r="1153" spans="2:8" s="324" customFormat="1" x14ac:dyDescent="0.35">
      <c r="B1153" s="8"/>
      <c r="C1153" s="106"/>
      <c r="D1153" s="106"/>
      <c r="E1153" s="106"/>
      <c r="F1153" s="106"/>
      <c r="G1153" s="680"/>
      <c r="H1153" s="350"/>
    </row>
    <row r="1154" spans="2:8" s="324" customFormat="1" x14ac:dyDescent="0.35">
      <c r="B1154" s="8"/>
      <c r="C1154" s="106"/>
      <c r="D1154" s="106"/>
      <c r="E1154" s="106"/>
      <c r="F1154" s="106"/>
      <c r="G1154" s="680"/>
      <c r="H1154" s="350"/>
    </row>
    <row r="1155" spans="2:8" s="324" customFormat="1" x14ac:dyDescent="0.35">
      <c r="B1155" s="8"/>
      <c r="C1155" s="106"/>
      <c r="D1155" s="106"/>
      <c r="E1155" s="106"/>
      <c r="F1155" s="106"/>
      <c r="G1155" s="680"/>
      <c r="H1155" s="350"/>
    </row>
    <row r="1156" spans="2:8" s="324" customFormat="1" x14ac:dyDescent="0.35">
      <c r="B1156" s="8"/>
      <c r="C1156" s="106"/>
      <c r="D1156" s="106"/>
      <c r="E1156" s="106"/>
      <c r="F1156" s="106"/>
      <c r="G1156" s="680"/>
      <c r="H1156" s="350"/>
    </row>
    <row r="1157" spans="2:8" s="324" customFormat="1" x14ac:dyDescent="0.35">
      <c r="B1157" s="8"/>
      <c r="C1157" s="106"/>
      <c r="D1157" s="106"/>
      <c r="E1157" s="106"/>
      <c r="F1157" s="106"/>
      <c r="G1157" s="680"/>
      <c r="H1157" s="350"/>
    </row>
    <row r="1158" spans="2:8" s="324" customFormat="1" x14ac:dyDescent="0.35">
      <c r="B1158" s="8"/>
      <c r="C1158" s="106"/>
      <c r="D1158" s="106"/>
      <c r="E1158" s="106"/>
      <c r="F1158" s="106"/>
      <c r="G1158" s="680"/>
      <c r="H1158" s="350"/>
    </row>
    <row r="1159" spans="2:8" s="324" customFormat="1" x14ac:dyDescent="0.35">
      <c r="B1159" s="8"/>
      <c r="C1159" s="106"/>
      <c r="D1159" s="106"/>
      <c r="E1159" s="106"/>
      <c r="F1159" s="106"/>
      <c r="G1159" s="680"/>
      <c r="H1159" s="350"/>
    </row>
    <row r="1160" spans="2:8" s="324" customFormat="1" x14ac:dyDescent="0.35">
      <c r="B1160" s="8"/>
      <c r="C1160" s="106"/>
      <c r="D1160" s="106"/>
      <c r="E1160" s="106"/>
      <c r="F1160" s="106"/>
      <c r="G1160" s="680"/>
      <c r="H1160" s="350"/>
    </row>
    <row r="1161" spans="2:8" s="324" customFormat="1" x14ac:dyDescent="0.35">
      <c r="B1161" s="8"/>
      <c r="C1161" s="106"/>
      <c r="D1161" s="106"/>
      <c r="E1161" s="106"/>
      <c r="F1161" s="106"/>
      <c r="G1161" s="680"/>
      <c r="H1161" s="350"/>
    </row>
    <row r="1162" spans="2:8" s="324" customFormat="1" x14ac:dyDescent="0.35">
      <c r="B1162" s="8"/>
      <c r="C1162" s="106"/>
      <c r="D1162" s="106"/>
      <c r="E1162" s="106"/>
      <c r="F1162" s="106"/>
      <c r="G1162" s="680"/>
      <c r="H1162" s="350"/>
    </row>
    <row r="1163" spans="2:8" s="324" customFormat="1" x14ac:dyDescent="0.35">
      <c r="B1163" s="8"/>
      <c r="C1163" s="106"/>
      <c r="D1163" s="106"/>
      <c r="E1163" s="106"/>
      <c r="F1163" s="106"/>
      <c r="G1163" s="680"/>
      <c r="H1163" s="350"/>
    </row>
    <row r="1164" spans="2:8" s="324" customFormat="1" x14ac:dyDescent="0.35">
      <c r="B1164" s="8"/>
      <c r="C1164" s="106"/>
      <c r="D1164" s="106"/>
      <c r="E1164" s="106"/>
      <c r="F1164" s="106"/>
      <c r="G1164" s="680"/>
      <c r="H1164" s="350"/>
    </row>
    <row r="1165" spans="2:8" s="324" customFormat="1" x14ac:dyDescent="0.35">
      <c r="B1165" s="8"/>
      <c r="C1165" s="106"/>
      <c r="D1165" s="106"/>
      <c r="E1165" s="106"/>
      <c r="F1165" s="106"/>
      <c r="G1165" s="680"/>
      <c r="H1165" s="350"/>
    </row>
    <row r="1166" spans="2:8" s="324" customFormat="1" x14ac:dyDescent="0.35">
      <c r="B1166" s="8"/>
      <c r="C1166" s="106"/>
      <c r="D1166" s="106"/>
      <c r="E1166" s="106"/>
      <c r="F1166" s="106"/>
      <c r="G1166" s="680"/>
      <c r="H1166" s="350"/>
    </row>
    <row r="1167" spans="2:8" s="324" customFormat="1" x14ac:dyDescent="0.35">
      <c r="B1167" s="8"/>
      <c r="C1167" s="106"/>
      <c r="D1167" s="106"/>
      <c r="E1167" s="106"/>
      <c r="F1167" s="106"/>
      <c r="G1167" s="680"/>
      <c r="H1167" s="350"/>
    </row>
    <row r="1168" spans="2:8" s="324" customFormat="1" x14ac:dyDescent="0.35">
      <c r="B1168" s="8"/>
      <c r="C1168" s="106"/>
      <c r="D1168" s="106"/>
      <c r="E1168" s="106"/>
      <c r="F1168" s="106"/>
      <c r="G1168" s="680"/>
      <c r="H1168" s="350"/>
    </row>
    <row r="1169" spans="2:8" s="324" customFormat="1" x14ac:dyDescent="0.35">
      <c r="B1169" s="8"/>
      <c r="C1169" s="106"/>
      <c r="D1169" s="106"/>
      <c r="E1169" s="106"/>
      <c r="F1169" s="106"/>
      <c r="G1169" s="680"/>
      <c r="H1169" s="350"/>
    </row>
    <row r="1170" spans="2:8" s="324" customFormat="1" x14ac:dyDescent="0.35">
      <c r="B1170" s="8"/>
      <c r="C1170" s="106"/>
      <c r="D1170" s="106"/>
      <c r="E1170" s="106"/>
      <c r="F1170" s="106"/>
      <c r="G1170" s="680"/>
      <c r="H1170" s="350"/>
    </row>
    <row r="1171" spans="2:8" s="324" customFormat="1" x14ac:dyDescent="0.35">
      <c r="B1171" s="8"/>
      <c r="C1171" s="106"/>
      <c r="D1171" s="106"/>
      <c r="E1171" s="106"/>
      <c r="F1171" s="106"/>
      <c r="G1171" s="680"/>
      <c r="H1171" s="350"/>
    </row>
    <row r="1172" spans="2:8" s="324" customFormat="1" x14ac:dyDescent="0.35">
      <c r="B1172" s="8"/>
      <c r="C1172" s="106"/>
      <c r="D1172" s="106"/>
      <c r="E1172" s="106"/>
      <c r="F1172" s="106"/>
      <c r="G1172" s="680"/>
      <c r="H1172" s="350"/>
    </row>
    <row r="1173" spans="2:8" s="324" customFormat="1" x14ac:dyDescent="0.35">
      <c r="B1173" s="8"/>
      <c r="C1173" s="106"/>
      <c r="D1173" s="106"/>
      <c r="E1173" s="106"/>
      <c r="F1173" s="106"/>
      <c r="G1173" s="680"/>
      <c r="H1173" s="350"/>
    </row>
    <row r="1174" spans="2:8" s="324" customFormat="1" x14ac:dyDescent="0.35">
      <c r="B1174" s="8"/>
      <c r="C1174" s="106"/>
      <c r="D1174" s="106"/>
      <c r="E1174" s="106"/>
      <c r="F1174" s="106"/>
      <c r="G1174" s="680"/>
      <c r="H1174" s="350"/>
    </row>
    <row r="1175" spans="2:8" s="324" customFormat="1" x14ac:dyDescent="0.35">
      <c r="B1175" s="8"/>
      <c r="C1175" s="106"/>
      <c r="D1175" s="106"/>
      <c r="E1175" s="106"/>
      <c r="F1175" s="106"/>
      <c r="G1175" s="680"/>
      <c r="H1175" s="350"/>
    </row>
    <row r="1176" spans="2:8" s="324" customFormat="1" x14ac:dyDescent="0.35">
      <c r="B1176" s="8"/>
      <c r="C1176" s="106"/>
      <c r="D1176" s="106"/>
      <c r="E1176" s="106"/>
      <c r="F1176" s="106"/>
      <c r="G1176" s="680"/>
      <c r="H1176" s="350"/>
    </row>
    <row r="1177" spans="2:8" s="324" customFormat="1" x14ac:dyDescent="0.35">
      <c r="B1177" s="8"/>
      <c r="C1177" s="106"/>
      <c r="D1177" s="106"/>
      <c r="E1177" s="106"/>
      <c r="F1177" s="106"/>
      <c r="G1177" s="680"/>
      <c r="H1177" s="350"/>
    </row>
    <row r="1178" spans="2:8" s="324" customFormat="1" x14ac:dyDescent="0.35">
      <c r="B1178" s="8"/>
      <c r="C1178" s="106"/>
      <c r="D1178" s="106"/>
      <c r="E1178" s="106"/>
      <c r="F1178" s="106"/>
      <c r="G1178" s="680"/>
      <c r="H1178" s="350"/>
    </row>
    <row r="1179" spans="2:8" s="324" customFormat="1" x14ac:dyDescent="0.35">
      <c r="B1179" s="8"/>
      <c r="C1179" s="106"/>
      <c r="D1179" s="106"/>
      <c r="E1179" s="106"/>
      <c r="F1179" s="106"/>
      <c r="G1179" s="680"/>
      <c r="H1179" s="350"/>
    </row>
    <row r="1180" spans="2:8" s="324" customFormat="1" ht="24" customHeight="1" x14ac:dyDescent="0.35">
      <c r="B1180" s="8"/>
      <c r="C1180" s="106"/>
      <c r="D1180" s="106"/>
      <c r="E1180" s="106"/>
      <c r="F1180" s="106"/>
      <c r="G1180" s="680"/>
      <c r="H1180" s="350"/>
    </row>
    <row r="1181" spans="2:8" s="324" customFormat="1" ht="24" customHeight="1" x14ac:dyDescent="0.35">
      <c r="B1181" s="8"/>
      <c r="C1181" s="106"/>
      <c r="D1181" s="106"/>
      <c r="E1181" s="106"/>
      <c r="F1181" s="106"/>
      <c r="G1181" s="680"/>
      <c r="H1181" s="350"/>
    </row>
    <row r="1182" spans="2:8" s="324" customFormat="1" x14ac:dyDescent="0.35">
      <c r="B1182" s="8"/>
      <c r="C1182" s="106"/>
      <c r="D1182" s="106"/>
      <c r="E1182" s="106"/>
      <c r="F1182" s="106"/>
      <c r="G1182" s="680"/>
      <c r="H1182" s="350"/>
    </row>
    <row r="1183" spans="2:8" s="324" customFormat="1" ht="14.25" customHeight="1" x14ac:dyDescent="0.35">
      <c r="B1183" s="8"/>
      <c r="C1183" s="106"/>
      <c r="D1183" s="106"/>
      <c r="E1183" s="106"/>
      <c r="F1183" s="106"/>
      <c r="G1183" s="680"/>
      <c r="H1183" s="350"/>
    </row>
    <row r="1184" spans="2:8" s="324" customFormat="1" x14ac:dyDescent="0.35">
      <c r="B1184" s="8"/>
      <c r="C1184" s="106"/>
      <c r="D1184" s="106"/>
      <c r="E1184" s="106"/>
      <c r="F1184" s="106"/>
      <c r="G1184" s="680"/>
      <c r="H1184" s="350"/>
    </row>
    <row r="1185" spans="2:8" s="324" customFormat="1" x14ac:dyDescent="0.35">
      <c r="B1185" s="8"/>
      <c r="C1185" s="106"/>
      <c r="D1185" s="106"/>
      <c r="E1185" s="106"/>
      <c r="F1185" s="106"/>
      <c r="G1185" s="680"/>
      <c r="H1185" s="350"/>
    </row>
    <row r="1186" spans="2:8" s="324" customFormat="1" x14ac:dyDescent="0.35">
      <c r="B1186" s="8"/>
      <c r="C1186" s="106"/>
      <c r="D1186" s="106"/>
      <c r="E1186" s="106"/>
      <c r="F1186" s="106"/>
      <c r="G1186" s="680"/>
      <c r="H1186" s="350"/>
    </row>
    <row r="1187" spans="2:8" s="324" customFormat="1" x14ac:dyDescent="0.35">
      <c r="B1187" s="8"/>
      <c r="C1187" s="106"/>
      <c r="D1187" s="106"/>
      <c r="E1187" s="106"/>
      <c r="F1187" s="106"/>
      <c r="G1187" s="680"/>
      <c r="H1187" s="350"/>
    </row>
    <row r="1188" spans="2:8" s="324" customFormat="1" x14ac:dyDescent="0.35">
      <c r="B1188" s="8"/>
      <c r="C1188" s="106"/>
      <c r="D1188" s="106"/>
      <c r="E1188" s="106"/>
      <c r="F1188" s="106"/>
      <c r="G1188" s="680"/>
      <c r="H1188" s="350"/>
    </row>
    <row r="1189" spans="2:8" s="324" customFormat="1" x14ac:dyDescent="0.35">
      <c r="B1189" s="8"/>
      <c r="C1189" s="106"/>
      <c r="D1189" s="106"/>
      <c r="E1189" s="106"/>
      <c r="F1189" s="106"/>
      <c r="G1189" s="680"/>
      <c r="H1189" s="350"/>
    </row>
    <row r="1190" spans="2:8" s="324" customFormat="1" x14ac:dyDescent="0.35">
      <c r="B1190" s="8"/>
      <c r="C1190" s="106"/>
      <c r="D1190" s="106"/>
      <c r="E1190" s="106"/>
      <c r="F1190" s="106"/>
      <c r="G1190" s="680"/>
      <c r="H1190" s="350"/>
    </row>
    <row r="1191" spans="2:8" s="324" customFormat="1" x14ac:dyDescent="0.35">
      <c r="B1191" s="8"/>
      <c r="C1191" s="106"/>
      <c r="D1191" s="106"/>
      <c r="E1191" s="106"/>
      <c r="F1191" s="106"/>
      <c r="G1191" s="680"/>
      <c r="H1191" s="350"/>
    </row>
    <row r="1192" spans="2:8" s="324" customFormat="1" x14ac:dyDescent="0.35">
      <c r="B1192" s="8"/>
      <c r="C1192" s="106"/>
      <c r="D1192" s="106"/>
      <c r="E1192" s="106"/>
      <c r="F1192" s="106"/>
      <c r="G1192" s="680"/>
      <c r="H1192" s="350"/>
    </row>
    <row r="1193" spans="2:8" s="324" customFormat="1" x14ac:dyDescent="0.35">
      <c r="B1193" s="8"/>
      <c r="C1193" s="106"/>
      <c r="D1193" s="106"/>
      <c r="E1193" s="106"/>
      <c r="F1193" s="106"/>
      <c r="G1193" s="680"/>
      <c r="H1193" s="350"/>
    </row>
    <row r="1194" spans="2:8" s="324" customFormat="1" x14ac:dyDescent="0.35">
      <c r="B1194" s="8"/>
      <c r="C1194" s="106"/>
      <c r="D1194" s="106"/>
      <c r="E1194" s="106"/>
      <c r="F1194" s="106"/>
      <c r="G1194" s="680"/>
      <c r="H1194" s="350"/>
    </row>
    <row r="1195" spans="2:8" s="324" customFormat="1" x14ac:dyDescent="0.35">
      <c r="B1195" s="8"/>
      <c r="C1195" s="106"/>
      <c r="D1195" s="106"/>
      <c r="E1195" s="106"/>
      <c r="F1195" s="106"/>
      <c r="G1195" s="680"/>
      <c r="H1195" s="350"/>
    </row>
    <row r="1196" spans="2:8" s="324" customFormat="1" x14ac:dyDescent="0.35">
      <c r="B1196" s="8"/>
      <c r="C1196" s="106"/>
      <c r="D1196" s="106"/>
      <c r="E1196" s="106"/>
      <c r="F1196" s="106"/>
      <c r="G1196" s="680"/>
      <c r="H1196" s="350"/>
    </row>
    <row r="1197" spans="2:8" s="324" customFormat="1" x14ac:dyDescent="0.35">
      <c r="B1197" s="8"/>
      <c r="C1197" s="106"/>
      <c r="D1197" s="106"/>
      <c r="E1197" s="106"/>
      <c r="F1197" s="106"/>
      <c r="G1197" s="680"/>
      <c r="H1197" s="350"/>
    </row>
    <row r="1198" spans="2:8" s="324" customFormat="1" x14ac:dyDescent="0.35">
      <c r="B1198" s="8"/>
      <c r="C1198" s="106"/>
      <c r="D1198" s="106"/>
      <c r="E1198" s="106"/>
      <c r="F1198" s="106"/>
      <c r="G1198" s="680"/>
      <c r="H1198" s="350"/>
    </row>
    <row r="1199" spans="2:8" s="324" customFormat="1" x14ac:dyDescent="0.35">
      <c r="B1199" s="8"/>
      <c r="C1199" s="106"/>
      <c r="D1199" s="106"/>
      <c r="E1199" s="106"/>
      <c r="F1199" s="106"/>
      <c r="G1199" s="680"/>
      <c r="H1199" s="350"/>
    </row>
    <row r="1200" spans="2:8" s="324" customFormat="1" x14ac:dyDescent="0.35">
      <c r="B1200" s="8"/>
      <c r="C1200" s="106"/>
      <c r="D1200" s="106"/>
      <c r="E1200" s="106"/>
      <c r="F1200" s="106"/>
      <c r="G1200" s="680"/>
      <c r="H1200" s="350"/>
    </row>
    <row r="1201" spans="2:10" s="324" customFormat="1" x14ac:dyDescent="0.35">
      <c r="B1201" s="8"/>
      <c r="C1201" s="106"/>
      <c r="D1201" s="106"/>
      <c r="E1201" s="106"/>
      <c r="F1201" s="106"/>
      <c r="G1201" s="680"/>
      <c r="H1201" s="350"/>
    </row>
    <row r="1202" spans="2:10" s="324" customFormat="1" x14ac:dyDescent="0.35">
      <c r="B1202" s="8"/>
      <c r="C1202" s="106"/>
      <c r="D1202" s="106"/>
      <c r="E1202" s="106"/>
      <c r="F1202" s="106"/>
      <c r="G1202" s="680"/>
      <c r="H1202" s="350"/>
    </row>
    <row r="1203" spans="2:10" s="324" customFormat="1" ht="15.65" customHeight="1" x14ac:dyDescent="0.35">
      <c r="B1203" s="8"/>
      <c r="C1203" s="106"/>
      <c r="D1203" s="106"/>
      <c r="E1203" s="106"/>
      <c r="F1203" s="106"/>
      <c r="G1203" s="680"/>
      <c r="H1203" s="350"/>
    </row>
    <row r="1204" spans="2:10" s="324" customFormat="1" x14ac:dyDescent="0.35">
      <c r="B1204" s="8"/>
      <c r="C1204" s="106"/>
      <c r="D1204" s="106"/>
      <c r="E1204" s="106"/>
      <c r="F1204" s="106"/>
      <c r="G1204" s="680"/>
      <c r="H1204" s="350"/>
    </row>
    <row r="1205" spans="2:10" s="324" customFormat="1" x14ac:dyDescent="0.35">
      <c r="B1205" s="8"/>
      <c r="C1205" s="106"/>
      <c r="D1205" s="106"/>
      <c r="E1205" s="106"/>
      <c r="F1205" s="106"/>
      <c r="G1205" s="680"/>
      <c r="H1205" s="350"/>
    </row>
    <row r="1206" spans="2:10" s="324" customFormat="1" x14ac:dyDescent="0.35">
      <c r="B1206" s="8"/>
      <c r="C1206" s="106"/>
      <c r="D1206" s="106"/>
      <c r="E1206" s="106"/>
      <c r="F1206" s="106"/>
      <c r="G1206" s="680"/>
      <c r="H1206" s="350"/>
    </row>
    <row r="1207" spans="2:10" s="324" customFormat="1" x14ac:dyDescent="0.35">
      <c r="B1207" s="8"/>
      <c r="C1207" s="106"/>
      <c r="D1207" s="106"/>
      <c r="E1207" s="106"/>
      <c r="F1207" s="106"/>
      <c r="G1207" s="680"/>
      <c r="H1207" s="350"/>
    </row>
    <row r="1208" spans="2:10" s="324" customFormat="1" x14ac:dyDescent="0.35">
      <c r="B1208" s="8"/>
      <c r="C1208" s="106"/>
      <c r="D1208" s="106"/>
      <c r="E1208" s="106"/>
      <c r="F1208" s="106"/>
      <c r="G1208" s="680"/>
      <c r="H1208" s="350"/>
    </row>
    <row r="1209" spans="2:10" s="324" customFormat="1" x14ac:dyDescent="0.35">
      <c r="B1209" s="8"/>
      <c r="C1209" s="106"/>
      <c r="D1209" s="106"/>
      <c r="E1209" s="106"/>
      <c r="F1209" s="106"/>
      <c r="G1209" s="680"/>
      <c r="H1209" s="350"/>
    </row>
    <row r="1210" spans="2:10" s="324" customFormat="1" x14ac:dyDescent="0.35">
      <c r="B1210" s="8"/>
      <c r="C1210" s="106"/>
      <c r="D1210" s="106"/>
      <c r="E1210" s="106"/>
      <c r="F1210" s="106"/>
      <c r="G1210" s="680"/>
      <c r="H1210" s="350"/>
    </row>
    <row r="1211" spans="2:10" s="324" customFormat="1" x14ac:dyDescent="0.35">
      <c r="B1211" s="8"/>
      <c r="C1211" s="106"/>
      <c r="D1211" s="106"/>
      <c r="E1211" s="106"/>
      <c r="F1211" s="106"/>
      <c r="G1211" s="680"/>
      <c r="H1211" s="350"/>
    </row>
    <row r="1212" spans="2:10" s="324" customFormat="1" x14ac:dyDescent="0.35">
      <c r="B1212" s="8"/>
      <c r="C1212" s="106"/>
      <c r="D1212" s="106"/>
      <c r="E1212" s="106"/>
      <c r="F1212" s="106"/>
      <c r="G1212" s="680"/>
      <c r="H1212" s="350"/>
    </row>
    <row r="1213" spans="2:10" s="324" customFormat="1" x14ac:dyDescent="0.35">
      <c r="B1213" s="8"/>
      <c r="C1213" s="106"/>
      <c r="D1213" s="106"/>
      <c r="E1213" s="106"/>
      <c r="F1213" s="106"/>
      <c r="G1213" s="680"/>
      <c r="H1213" s="350"/>
    </row>
    <row r="1214" spans="2:10" s="324" customFormat="1" x14ac:dyDescent="0.35">
      <c r="B1214" s="8"/>
      <c r="C1214" s="106"/>
      <c r="D1214" s="106"/>
      <c r="E1214" s="106"/>
      <c r="F1214" s="106"/>
      <c r="G1214" s="680"/>
      <c r="H1214" s="350"/>
    </row>
    <row r="1215" spans="2:10" s="324" customFormat="1" x14ac:dyDescent="0.35">
      <c r="B1215" s="8"/>
      <c r="C1215" s="106"/>
      <c r="D1215" s="106"/>
      <c r="E1215" s="106"/>
      <c r="F1215" s="106"/>
      <c r="G1215" s="680"/>
      <c r="H1215" s="350"/>
      <c r="J1215" s="324" t="s">
        <v>11</v>
      </c>
    </row>
    <row r="1216" spans="2:10" s="324" customFormat="1" x14ac:dyDescent="0.35">
      <c r="B1216" s="8"/>
      <c r="C1216" s="106"/>
      <c r="D1216" s="106"/>
      <c r="E1216" s="106"/>
      <c r="F1216" s="106"/>
      <c r="G1216" s="680"/>
      <c r="H1216" s="350"/>
    </row>
    <row r="1217" spans="2:9" s="324" customFormat="1" x14ac:dyDescent="0.35">
      <c r="B1217" s="8"/>
      <c r="C1217" s="106"/>
      <c r="D1217" s="106"/>
      <c r="E1217" s="106"/>
      <c r="F1217" s="106"/>
      <c r="G1217" s="680"/>
      <c r="H1217" s="350"/>
    </row>
    <row r="1218" spans="2:9" s="324" customFormat="1" x14ac:dyDescent="0.35">
      <c r="B1218" s="8"/>
      <c r="C1218" s="106"/>
      <c r="D1218" s="106"/>
      <c r="E1218" s="106"/>
      <c r="F1218" s="106"/>
      <c r="G1218" s="680"/>
      <c r="H1218" s="350"/>
    </row>
    <row r="1219" spans="2:9" s="324" customFormat="1" x14ac:dyDescent="0.35">
      <c r="B1219" s="8"/>
      <c r="C1219" s="106"/>
      <c r="D1219" s="106"/>
      <c r="E1219" s="106"/>
      <c r="F1219" s="106"/>
      <c r="G1219" s="680"/>
      <c r="H1219" s="350"/>
    </row>
    <row r="1220" spans="2:9" s="324" customFormat="1" x14ac:dyDescent="0.35">
      <c r="B1220" s="8"/>
      <c r="C1220" s="106"/>
      <c r="D1220" s="106"/>
      <c r="E1220" s="106"/>
      <c r="F1220" s="106"/>
      <c r="G1220" s="680"/>
      <c r="H1220" s="350"/>
      <c r="I1220" s="324" t="s">
        <v>11</v>
      </c>
    </row>
    <row r="1221" spans="2:9" s="324" customFormat="1" x14ac:dyDescent="0.35">
      <c r="B1221" s="8"/>
      <c r="C1221" s="106"/>
      <c r="D1221" s="106"/>
      <c r="E1221" s="106"/>
      <c r="F1221" s="106"/>
      <c r="G1221" s="680"/>
      <c r="H1221" s="350"/>
    </row>
    <row r="1222" spans="2:9" s="324" customFormat="1" x14ac:dyDescent="0.35">
      <c r="B1222" s="8"/>
      <c r="C1222" s="106"/>
      <c r="D1222" s="106"/>
      <c r="E1222" s="106"/>
      <c r="F1222" s="106"/>
      <c r="G1222" s="680"/>
      <c r="H1222" s="350"/>
    </row>
    <row r="1223" spans="2:9" s="324" customFormat="1" x14ac:dyDescent="0.35">
      <c r="B1223" s="8"/>
      <c r="C1223" s="106"/>
      <c r="D1223" s="106"/>
      <c r="E1223" s="106"/>
      <c r="F1223" s="106"/>
      <c r="G1223" s="680"/>
      <c r="H1223" s="350"/>
    </row>
    <row r="1224" spans="2:9" s="324" customFormat="1" ht="15.65" customHeight="1" x14ac:dyDescent="0.35">
      <c r="B1224" s="8"/>
      <c r="C1224" s="106"/>
      <c r="D1224" s="106"/>
      <c r="E1224" s="106"/>
      <c r="F1224" s="106"/>
      <c r="G1224" s="680"/>
    </row>
    <row r="1225" spans="2:9" s="324" customFormat="1" x14ac:dyDescent="0.35">
      <c r="B1225" s="8"/>
      <c r="C1225" s="106"/>
      <c r="D1225" s="106"/>
      <c r="E1225" s="106"/>
      <c r="F1225" s="106"/>
      <c r="G1225" s="680"/>
    </row>
    <row r="1226" spans="2:9" s="324" customFormat="1" x14ac:dyDescent="0.35">
      <c r="B1226" s="8"/>
      <c r="C1226" s="106"/>
      <c r="D1226" s="106"/>
      <c r="E1226" s="106"/>
      <c r="F1226" s="106"/>
      <c r="G1226" s="680"/>
    </row>
    <row r="1227" spans="2:9" s="324" customFormat="1" x14ac:dyDescent="0.35">
      <c r="B1227" s="8"/>
      <c r="C1227" s="106"/>
      <c r="D1227" s="106"/>
      <c r="E1227" s="106"/>
      <c r="F1227" s="106"/>
      <c r="G1227" s="680"/>
    </row>
    <row r="1228" spans="2:9" s="324" customFormat="1" x14ac:dyDescent="0.35">
      <c r="B1228" s="8"/>
      <c r="C1228" s="106"/>
      <c r="D1228" s="106"/>
      <c r="E1228" s="106"/>
      <c r="F1228" s="106"/>
      <c r="G1228" s="680"/>
    </row>
    <row r="1229" spans="2:9" s="324" customFormat="1" x14ac:dyDescent="0.35">
      <c r="B1229" s="8"/>
      <c r="C1229" s="106"/>
      <c r="D1229" s="106"/>
      <c r="E1229" s="106"/>
      <c r="F1229" s="106"/>
      <c r="G1229" s="680"/>
    </row>
    <row r="1230" spans="2:9" s="324" customFormat="1" x14ac:dyDescent="0.35">
      <c r="B1230" s="8"/>
      <c r="C1230" s="106"/>
      <c r="D1230" s="106"/>
      <c r="E1230" s="106"/>
      <c r="F1230" s="106"/>
      <c r="G1230" s="680"/>
    </row>
    <row r="1231" spans="2:9" s="324" customFormat="1" x14ac:dyDescent="0.35">
      <c r="B1231" s="8"/>
      <c r="C1231" s="106"/>
      <c r="D1231" s="106"/>
      <c r="E1231" s="106"/>
      <c r="F1231" s="106"/>
      <c r="G1231" s="680"/>
    </row>
    <row r="1232" spans="2:9" s="324" customFormat="1" x14ac:dyDescent="0.35">
      <c r="B1232" s="8"/>
      <c r="C1232" s="106"/>
      <c r="D1232" s="106"/>
      <c r="E1232" s="106"/>
      <c r="F1232" s="106"/>
      <c r="G1232" s="680"/>
    </row>
    <row r="1233" spans="2:7" s="324" customFormat="1" x14ac:dyDescent="0.35">
      <c r="B1233" s="8"/>
      <c r="C1233" s="106"/>
      <c r="D1233" s="106"/>
      <c r="E1233" s="106"/>
      <c r="F1233" s="106"/>
      <c r="G1233" s="680"/>
    </row>
    <row r="1234" spans="2:7" s="324" customFormat="1" x14ac:dyDescent="0.35">
      <c r="B1234" s="8"/>
      <c r="C1234" s="106"/>
      <c r="D1234" s="106"/>
      <c r="E1234" s="106"/>
      <c r="F1234" s="106"/>
      <c r="G1234" s="680"/>
    </row>
    <row r="1235" spans="2:7" s="324" customFormat="1" x14ac:dyDescent="0.35">
      <c r="B1235" s="8"/>
      <c r="C1235" s="106"/>
      <c r="D1235" s="106"/>
      <c r="E1235" s="106"/>
      <c r="F1235" s="106"/>
      <c r="G1235" s="680"/>
    </row>
    <row r="1236" spans="2:7" s="324" customFormat="1" x14ac:dyDescent="0.35">
      <c r="B1236" s="8"/>
      <c r="C1236" s="106"/>
      <c r="D1236" s="106"/>
      <c r="E1236" s="106"/>
      <c r="F1236" s="106"/>
      <c r="G1236" s="680"/>
    </row>
    <row r="1237" spans="2:7" s="324" customFormat="1" x14ac:dyDescent="0.35">
      <c r="B1237" s="8"/>
      <c r="C1237" s="106"/>
      <c r="D1237" s="106"/>
      <c r="E1237" s="106"/>
      <c r="F1237" s="106"/>
      <c r="G1237" s="680"/>
    </row>
    <row r="1238" spans="2:7" s="324" customFormat="1" x14ac:dyDescent="0.35">
      <c r="B1238" s="8"/>
      <c r="C1238" s="106"/>
      <c r="D1238" s="106"/>
      <c r="E1238" s="106"/>
      <c r="F1238" s="106"/>
      <c r="G1238" s="680"/>
    </row>
    <row r="1239" spans="2:7" s="324" customFormat="1" x14ac:dyDescent="0.35">
      <c r="B1239" s="8"/>
      <c r="C1239" s="106"/>
      <c r="D1239" s="106"/>
      <c r="E1239" s="106"/>
      <c r="F1239" s="106"/>
      <c r="G1239" s="680"/>
    </row>
    <row r="1240" spans="2:7" s="324" customFormat="1" x14ac:dyDescent="0.35">
      <c r="B1240" s="8"/>
      <c r="C1240" s="106"/>
      <c r="D1240" s="106"/>
      <c r="E1240" s="106"/>
      <c r="F1240" s="106"/>
      <c r="G1240" s="680"/>
    </row>
    <row r="1241" spans="2:7" s="324" customFormat="1" x14ac:dyDescent="0.35">
      <c r="B1241" s="8"/>
      <c r="C1241" s="106"/>
      <c r="D1241" s="106"/>
      <c r="E1241" s="106"/>
      <c r="F1241" s="106"/>
      <c r="G1241" s="680"/>
    </row>
    <row r="1242" spans="2:7" s="324" customFormat="1" x14ac:dyDescent="0.35">
      <c r="B1242" s="8"/>
      <c r="C1242" s="106"/>
      <c r="D1242" s="106"/>
      <c r="E1242" s="106"/>
      <c r="F1242" s="106"/>
      <c r="G1242" s="680"/>
    </row>
    <row r="1243" spans="2:7" s="324" customFormat="1" x14ac:dyDescent="0.35">
      <c r="B1243" s="8"/>
      <c r="C1243" s="106"/>
      <c r="D1243" s="106"/>
      <c r="E1243" s="106"/>
      <c r="F1243" s="106"/>
      <c r="G1243" s="680"/>
    </row>
    <row r="1244" spans="2:7" s="324" customFormat="1" x14ac:dyDescent="0.35">
      <c r="B1244" s="8"/>
      <c r="C1244" s="106"/>
      <c r="D1244" s="106"/>
      <c r="E1244" s="106"/>
      <c r="F1244" s="106"/>
      <c r="G1244" s="680"/>
    </row>
    <row r="1245" spans="2:7" s="324" customFormat="1" x14ac:dyDescent="0.35">
      <c r="B1245" s="8"/>
      <c r="C1245" s="106"/>
      <c r="D1245" s="106"/>
      <c r="E1245" s="106"/>
      <c r="F1245" s="106"/>
      <c r="G1245" s="680"/>
    </row>
    <row r="1246" spans="2:7" s="324" customFormat="1" x14ac:dyDescent="0.35">
      <c r="B1246" s="8"/>
      <c r="C1246" s="106"/>
      <c r="D1246" s="106"/>
      <c r="E1246" s="106"/>
      <c r="F1246" s="106"/>
      <c r="G1246" s="680"/>
    </row>
    <row r="1247" spans="2:7" s="324" customFormat="1" x14ac:dyDescent="0.35">
      <c r="B1247" s="8"/>
      <c r="C1247" s="106"/>
      <c r="D1247" s="106"/>
      <c r="E1247" s="106"/>
      <c r="F1247" s="106"/>
      <c r="G1247" s="680"/>
    </row>
    <row r="1248" spans="2:7" s="324" customFormat="1" x14ac:dyDescent="0.35">
      <c r="B1248" s="8"/>
      <c r="C1248" s="106"/>
      <c r="D1248" s="106"/>
      <c r="E1248" s="106"/>
      <c r="F1248" s="106"/>
      <c r="G1248" s="680"/>
    </row>
    <row r="1249" spans="2:7" s="324" customFormat="1" x14ac:dyDescent="0.35">
      <c r="B1249" s="8"/>
      <c r="C1249" s="106"/>
      <c r="D1249" s="106"/>
      <c r="E1249" s="106"/>
      <c r="F1249" s="106"/>
      <c r="G1249" s="680"/>
    </row>
    <row r="1250" spans="2:7" s="324" customFormat="1" x14ac:dyDescent="0.35">
      <c r="B1250" s="8"/>
      <c r="C1250" s="106"/>
      <c r="D1250" s="106"/>
      <c r="E1250" s="106"/>
      <c r="F1250" s="106"/>
      <c r="G1250" s="680"/>
    </row>
    <row r="1251" spans="2:7" s="324" customFormat="1" x14ac:dyDescent="0.35">
      <c r="B1251" s="8"/>
      <c r="C1251" s="106"/>
      <c r="D1251" s="106"/>
      <c r="E1251" s="106"/>
      <c r="F1251" s="106"/>
      <c r="G1251" s="680"/>
    </row>
    <row r="1252" spans="2:7" s="324" customFormat="1" x14ac:dyDescent="0.35">
      <c r="B1252" s="8"/>
      <c r="C1252" s="106"/>
      <c r="D1252" s="106"/>
      <c r="E1252" s="106"/>
      <c r="F1252" s="106"/>
      <c r="G1252" s="680"/>
    </row>
    <row r="1253" spans="2:7" s="324" customFormat="1" x14ac:dyDescent="0.35">
      <c r="B1253" s="8"/>
      <c r="C1253" s="106"/>
      <c r="D1253" s="106"/>
      <c r="E1253" s="106"/>
      <c r="F1253" s="106"/>
      <c r="G1253" s="680"/>
    </row>
    <row r="1254" spans="2:7" s="324" customFormat="1" x14ac:dyDescent="0.35">
      <c r="B1254" s="8"/>
      <c r="C1254" s="106"/>
      <c r="D1254" s="106"/>
      <c r="E1254" s="106"/>
      <c r="F1254" s="106"/>
      <c r="G1254" s="680"/>
    </row>
    <row r="1255" spans="2:7" s="324" customFormat="1" x14ac:dyDescent="0.35">
      <c r="B1255" s="8"/>
      <c r="C1255" s="106"/>
      <c r="D1255" s="106"/>
      <c r="E1255" s="106"/>
      <c r="F1255" s="106"/>
      <c r="G1255" s="680"/>
    </row>
    <row r="1256" spans="2:7" s="324" customFormat="1" x14ac:dyDescent="0.35">
      <c r="B1256" s="8"/>
      <c r="C1256" s="106"/>
      <c r="D1256" s="106"/>
      <c r="E1256" s="106"/>
      <c r="F1256" s="106"/>
      <c r="G1256" s="680"/>
    </row>
    <row r="1257" spans="2:7" s="324" customFormat="1" x14ac:dyDescent="0.35">
      <c r="B1257" s="8"/>
      <c r="C1257" s="106"/>
      <c r="D1257" s="106"/>
      <c r="E1257" s="106"/>
      <c r="F1257" s="106"/>
      <c r="G1257" s="680"/>
    </row>
    <row r="1258" spans="2:7" s="324" customFormat="1" x14ac:dyDescent="0.35">
      <c r="B1258" s="8"/>
      <c r="C1258" s="106"/>
      <c r="D1258" s="106"/>
      <c r="E1258" s="106"/>
      <c r="F1258" s="106"/>
      <c r="G1258" s="680"/>
    </row>
    <row r="1259" spans="2:7" s="324" customFormat="1" x14ac:dyDescent="0.35">
      <c r="B1259" s="8"/>
      <c r="C1259" s="106"/>
      <c r="D1259" s="106"/>
      <c r="E1259" s="106"/>
      <c r="F1259" s="106"/>
      <c r="G1259" s="680"/>
    </row>
    <row r="1260" spans="2:7" s="324" customFormat="1" x14ac:dyDescent="0.35">
      <c r="B1260" s="8"/>
      <c r="C1260" s="106"/>
      <c r="D1260" s="106"/>
      <c r="E1260" s="106"/>
      <c r="F1260" s="106"/>
      <c r="G1260" s="680"/>
    </row>
    <row r="1261" spans="2:7" s="324" customFormat="1" x14ac:dyDescent="0.35">
      <c r="B1261" s="8"/>
      <c r="C1261" s="106"/>
      <c r="D1261" s="106"/>
      <c r="E1261" s="106"/>
      <c r="F1261" s="106"/>
      <c r="G1261" s="680"/>
    </row>
    <row r="1262" spans="2:7" s="324" customFormat="1" x14ac:dyDescent="0.35">
      <c r="B1262" s="8"/>
      <c r="C1262" s="106"/>
      <c r="D1262" s="106"/>
      <c r="E1262" s="106"/>
      <c r="F1262" s="106"/>
      <c r="G1262" s="680"/>
    </row>
    <row r="1263" spans="2:7" s="324" customFormat="1" x14ac:dyDescent="0.35">
      <c r="B1263" s="8"/>
      <c r="C1263" s="106"/>
      <c r="D1263" s="106"/>
      <c r="E1263" s="106"/>
      <c r="F1263" s="106"/>
      <c r="G1263" s="680"/>
    </row>
    <row r="1264" spans="2:7" s="324" customFormat="1" x14ac:dyDescent="0.35">
      <c r="B1264" s="8"/>
      <c r="C1264" s="106"/>
      <c r="D1264" s="106"/>
      <c r="E1264" s="106"/>
      <c r="F1264" s="106"/>
      <c r="G1264" s="680"/>
    </row>
    <row r="1265" spans="2:7" s="324" customFormat="1" x14ac:dyDescent="0.35">
      <c r="B1265" s="8"/>
      <c r="C1265" s="106"/>
      <c r="D1265" s="106"/>
      <c r="E1265" s="106"/>
      <c r="F1265" s="106"/>
      <c r="G1265" s="680"/>
    </row>
    <row r="1266" spans="2:7" s="324" customFormat="1" x14ac:dyDescent="0.35">
      <c r="B1266" s="8"/>
      <c r="C1266" s="106"/>
      <c r="D1266" s="106"/>
      <c r="E1266" s="106"/>
      <c r="F1266" s="106"/>
      <c r="G1266" s="680"/>
    </row>
    <row r="1267" spans="2:7" s="324" customFormat="1" x14ac:dyDescent="0.35">
      <c r="B1267" s="8"/>
      <c r="C1267" s="106"/>
      <c r="D1267" s="106"/>
      <c r="E1267" s="106"/>
      <c r="F1267" s="106"/>
      <c r="G1267" s="680"/>
    </row>
    <row r="1268" spans="2:7" s="324" customFormat="1" x14ac:dyDescent="0.35">
      <c r="B1268" s="8"/>
      <c r="C1268" s="106"/>
      <c r="D1268" s="106"/>
      <c r="E1268" s="106"/>
      <c r="F1268" s="106"/>
      <c r="G1268" s="680"/>
    </row>
    <row r="1269" spans="2:7" s="324" customFormat="1" x14ac:dyDescent="0.35">
      <c r="B1269" s="8"/>
      <c r="C1269" s="106"/>
      <c r="D1269" s="106"/>
      <c r="E1269" s="106"/>
      <c r="F1269" s="106"/>
      <c r="G1269" s="680"/>
    </row>
    <row r="1270" spans="2:7" s="324" customFormat="1" x14ac:dyDescent="0.35">
      <c r="B1270" s="8"/>
      <c r="C1270" s="106"/>
      <c r="D1270" s="106"/>
      <c r="E1270" s="106"/>
      <c r="F1270" s="106"/>
      <c r="G1270" s="680"/>
    </row>
    <row r="1271" spans="2:7" s="324" customFormat="1" x14ac:dyDescent="0.35">
      <c r="B1271" s="8"/>
      <c r="C1271" s="106"/>
      <c r="D1271" s="106"/>
      <c r="E1271" s="106"/>
      <c r="F1271" s="106"/>
      <c r="G1271" s="680"/>
    </row>
    <row r="1272" spans="2:7" s="324" customFormat="1" x14ac:dyDescent="0.35">
      <c r="B1272" s="8"/>
      <c r="C1272" s="106"/>
      <c r="D1272" s="106"/>
      <c r="E1272" s="106"/>
      <c r="F1272" s="106"/>
      <c r="G1272" s="680"/>
    </row>
    <row r="1273" spans="2:7" s="324" customFormat="1" x14ac:dyDescent="0.35">
      <c r="B1273" s="8"/>
      <c r="C1273" s="106"/>
      <c r="D1273" s="106"/>
      <c r="E1273" s="106"/>
      <c r="F1273" s="106"/>
      <c r="G1273" s="680"/>
    </row>
    <row r="1274" spans="2:7" s="324" customFormat="1" x14ac:dyDescent="0.35">
      <c r="B1274" s="8"/>
      <c r="C1274" s="106"/>
      <c r="D1274" s="106"/>
      <c r="E1274" s="106"/>
      <c r="F1274" s="106"/>
      <c r="G1274" s="680"/>
    </row>
    <row r="1275" spans="2:7" s="324" customFormat="1" x14ac:dyDescent="0.35">
      <c r="B1275" s="8"/>
      <c r="C1275" s="106"/>
      <c r="D1275" s="106"/>
      <c r="E1275" s="106"/>
      <c r="F1275" s="106"/>
      <c r="G1275" s="680"/>
    </row>
    <row r="1276" spans="2:7" s="324" customFormat="1" x14ac:dyDescent="0.35">
      <c r="B1276" s="8"/>
      <c r="C1276" s="106"/>
      <c r="D1276" s="106"/>
      <c r="E1276" s="106"/>
      <c r="F1276" s="106"/>
      <c r="G1276" s="680"/>
    </row>
    <row r="1277" spans="2:7" s="324" customFormat="1" x14ac:dyDescent="0.35">
      <c r="B1277" s="8"/>
      <c r="C1277" s="106"/>
      <c r="D1277" s="106"/>
      <c r="E1277" s="106"/>
      <c r="F1277" s="106"/>
      <c r="G1277" s="680"/>
    </row>
    <row r="1278" spans="2:7" s="324" customFormat="1" x14ac:dyDescent="0.35">
      <c r="B1278" s="8"/>
      <c r="C1278" s="106"/>
      <c r="D1278" s="106"/>
      <c r="E1278" s="106"/>
      <c r="F1278" s="106"/>
      <c r="G1278" s="680"/>
    </row>
    <row r="1279" spans="2:7" s="324" customFormat="1" x14ac:dyDescent="0.35">
      <c r="B1279" s="8"/>
      <c r="C1279" s="106"/>
      <c r="D1279" s="106"/>
      <c r="E1279" s="106"/>
      <c r="F1279" s="106"/>
      <c r="G1279" s="680"/>
    </row>
    <row r="1280" spans="2:7" s="324" customFormat="1" x14ac:dyDescent="0.35">
      <c r="B1280" s="8"/>
      <c r="C1280" s="106"/>
      <c r="D1280" s="106"/>
      <c r="E1280" s="106"/>
      <c r="F1280" s="106"/>
      <c r="G1280" s="680"/>
    </row>
    <row r="1281" spans="2:7" s="324" customFormat="1" x14ac:dyDescent="0.35">
      <c r="B1281" s="8"/>
      <c r="C1281" s="106"/>
      <c r="D1281" s="106"/>
      <c r="E1281" s="106"/>
      <c r="F1281" s="106"/>
      <c r="G1281" s="680"/>
    </row>
    <row r="1282" spans="2:7" s="324" customFormat="1" x14ac:dyDescent="0.35">
      <c r="B1282" s="8"/>
      <c r="C1282" s="106"/>
      <c r="D1282" s="106"/>
      <c r="E1282" s="106"/>
      <c r="F1282" s="106"/>
      <c r="G1282" s="680"/>
    </row>
    <row r="1283" spans="2:7" s="324" customFormat="1" x14ac:dyDescent="0.35">
      <c r="B1283" s="8"/>
      <c r="C1283" s="106"/>
      <c r="D1283" s="106"/>
      <c r="E1283" s="106"/>
      <c r="F1283" s="106"/>
      <c r="G1283" s="680"/>
    </row>
    <row r="1284" spans="2:7" s="324" customFormat="1" x14ac:dyDescent="0.35">
      <c r="B1284" s="8"/>
      <c r="C1284" s="106"/>
      <c r="D1284" s="106"/>
      <c r="E1284" s="106"/>
      <c r="F1284" s="106"/>
      <c r="G1284" s="680"/>
    </row>
    <row r="1285" spans="2:7" s="324" customFormat="1" x14ac:dyDescent="0.35">
      <c r="B1285" s="8"/>
      <c r="C1285" s="106"/>
      <c r="D1285" s="106"/>
      <c r="E1285" s="106"/>
      <c r="F1285" s="106"/>
      <c r="G1285" s="680"/>
    </row>
    <row r="1286" spans="2:7" s="324" customFormat="1" x14ac:dyDescent="0.35">
      <c r="B1286" s="8"/>
      <c r="C1286" s="106"/>
      <c r="D1286" s="106"/>
      <c r="E1286" s="106"/>
      <c r="F1286" s="106"/>
      <c r="G1286" s="680"/>
    </row>
    <row r="1287" spans="2:7" s="324" customFormat="1" x14ac:dyDescent="0.35">
      <c r="B1287" s="8"/>
      <c r="C1287" s="106"/>
      <c r="D1287" s="106"/>
      <c r="E1287" s="106"/>
      <c r="F1287" s="106"/>
      <c r="G1287" s="680"/>
    </row>
    <row r="1288" spans="2:7" s="324" customFormat="1" x14ac:dyDescent="0.35">
      <c r="B1288" s="8"/>
      <c r="C1288" s="106"/>
      <c r="D1288" s="106"/>
      <c r="E1288" s="106"/>
      <c r="F1288" s="106"/>
      <c r="G1288" s="680"/>
    </row>
    <row r="1289" spans="2:7" s="324" customFormat="1" x14ac:dyDescent="0.35">
      <c r="B1289" s="8"/>
      <c r="C1289" s="106"/>
      <c r="D1289" s="106"/>
      <c r="E1289" s="106"/>
      <c r="F1289" s="106"/>
      <c r="G1289" s="680"/>
    </row>
    <row r="1290" spans="2:7" s="324" customFormat="1" x14ac:dyDescent="0.35">
      <c r="B1290" s="8"/>
      <c r="C1290" s="106"/>
      <c r="D1290" s="106"/>
      <c r="E1290" s="106"/>
      <c r="F1290" s="106"/>
      <c r="G1290" s="680"/>
    </row>
    <row r="1291" spans="2:7" s="324" customFormat="1" x14ac:dyDescent="0.35">
      <c r="B1291" s="8"/>
      <c r="C1291" s="106"/>
      <c r="D1291" s="106"/>
      <c r="E1291" s="106"/>
      <c r="F1291" s="106"/>
      <c r="G1291" s="680"/>
    </row>
    <row r="1292" spans="2:7" s="324" customFormat="1" x14ac:dyDescent="0.35">
      <c r="B1292" s="8"/>
      <c r="C1292" s="106"/>
      <c r="D1292" s="106"/>
      <c r="E1292" s="106"/>
      <c r="F1292" s="106"/>
      <c r="G1292" s="680"/>
    </row>
    <row r="1293" spans="2:7" s="324" customFormat="1" x14ac:dyDescent="0.35">
      <c r="B1293" s="8"/>
      <c r="C1293" s="106"/>
      <c r="D1293" s="106"/>
      <c r="E1293" s="106"/>
      <c r="F1293" s="106"/>
      <c r="G1293" s="680"/>
    </row>
    <row r="1294" spans="2:7" s="324" customFormat="1" x14ac:dyDescent="0.35">
      <c r="B1294" s="8"/>
      <c r="C1294" s="106"/>
      <c r="D1294" s="106"/>
      <c r="E1294" s="106"/>
      <c r="F1294" s="106"/>
      <c r="G1294" s="680"/>
    </row>
    <row r="1295" spans="2:7" s="324" customFormat="1" x14ac:dyDescent="0.35">
      <c r="B1295" s="8"/>
      <c r="C1295" s="106"/>
      <c r="D1295" s="106"/>
      <c r="E1295" s="106"/>
      <c r="F1295" s="106"/>
      <c r="G1295" s="680"/>
    </row>
    <row r="1296" spans="2:7" s="324" customFormat="1" x14ac:dyDescent="0.35">
      <c r="B1296" s="8"/>
      <c r="C1296" s="106"/>
      <c r="D1296" s="106"/>
      <c r="E1296" s="106"/>
      <c r="F1296" s="106"/>
      <c r="G1296" s="680"/>
    </row>
    <row r="1297" spans="2:8" s="324" customFormat="1" x14ac:dyDescent="0.35">
      <c r="B1297" s="8"/>
      <c r="C1297" s="106"/>
      <c r="D1297" s="106"/>
      <c r="E1297" s="106"/>
      <c r="F1297" s="106"/>
      <c r="G1297" s="680"/>
    </row>
    <row r="1298" spans="2:8" s="324" customFormat="1" x14ac:dyDescent="0.35">
      <c r="B1298" s="8"/>
      <c r="C1298" s="106"/>
      <c r="D1298" s="106"/>
      <c r="E1298" s="106"/>
      <c r="F1298" s="106"/>
      <c r="G1298" s="680"/>
    </row>
    <row r="1299" spans="2:8" s="324" customFormat="1" x14ac:dyDescent="0.35">
      <c r="B1299" s="8"/>
      <c r="C1299" s="106"/>
      <c r="D1299" s="106"/>
      <c r="E1299" s="106"/>
      <c r="F1299" s="106"/>
      <c r="G1299" s="680"/>
    </row>
    <row r="1300" spans="2:8" s="324" customFormat="1" x14ac:dyDescent="0.35">
      <c r="B1300" s="8"/>
      <c r="C1300" s="106"/>
      <c r="D1300" s="106"/>
      <c r="E1300" s="106"/>
      <c r="F1300" s="106"/>
      <c r="G1300" s="680"/>
    </row>
    <row r="1301" spans="2:8" s="324" customFormat="1" x14ac:dyDescent="0.35">
      <c r="B1301" s="8"/>
      <c r="C1301" s="106"/>
      <c r="D1301" s="106"/>
      <c r="E1301" s="106"/>
      <c r="F1301" s="106"/>
      <c r="G1301" s="680"/>
    </row>
    <row r="1302" spans="2:8" s="324" customFormat="1" x14ac:dyDescent="0.35">
      <c r="B1302" s="8"/>
      <c r="C1302" s="106"/>
      <c r="D1302" s="106"/>
      <c r="E1302" s="106"/>
      <c r="F1302" s="106"/>
      <c r="G1302" s="680"/>
    </row>
    <row r="1303" spans="2:8" s="324" customFormat="1" x14ac:dyDescent="0.35">
      <c r="B1303" s="8"/>
      <c r="C1303" s="106"/>
      <c r="D1303" s="106"/>
      <c r="E1303" s="106"/>
      <c r="F1303" s="106"/>
      <c r="G1303" s="680"/>
    </row>
    <row r="1304" spans="2:8" s="324" customFormat="1" x14ac:dyDescent="0.35">
      <c r="B1304" s="8"/>
      <c r="C1304" s="106"/>
      <c r="D1304" s="106"/>
      <c r="E1304" s="106"/>
      <c r="F1304" s="106"/>
      <c r="G1304" s="680"/>
    </row>
    <row r="1305" spans="2:8" s="324" customFormat="1" ht="14.25" customHeight="1" x14ac:dyDescent="0.35">
      <c r="B1305" s="8"/>
      <c r="C1305" s="106"/>
      <c r="D1305" s="106"/>
      <c r="E1305" s="106"/>
      <c r="F1305" s="106"/>
      <c r="G1305" s="680"/>
      <c r="H1305" s="355"/>
    </row>
    <row r="1306" spans="2:8" s="324" customFormat="1" ht="11.25" customHeight="1" x14ac:dyDescent="0.35">
      <c r="B1306" s="8"/>
      <c r="C1306" s="106"/>
      <c r="D1306" s="106"/>
      <c r="E1306" s="106"/>
      <c r="F1306" s="106"/>
      <c r="G1306" s="680"/>
      <c r="H1306" s="347"/>
    </row>
    <row r="1307" spans="2:8" s="324" customFormat="1" ht="18.75" customHeight="1" x14ac:dyDescent="0.35">
      <c r="B1307" s="8"/>
      <c r="C1307" s="106"/>
      <c r="D1307" s="106"/>
      <c r="E1307" s="106"/>
      <c r="F1307" s="106"/>
      <c r="G1307" s="680"/>
      <c r="H1307" s="345"/>
    </row>
    <row r="1308" spans="2:8" s="324" customFormat="1" ht="15" customHeight="1" x14ac:dyDescent="0.35">
      <c r="B1308" s="8"/>
      <c r="C1308" s="106"/>
      <c r="D1308" s="106"/>
      <c r="E1308" s="106"/>
      <c r="F1308" s="106"/>
      <c r="G1308" s="680"/>
    </row>
    <row r="1309" spans="2:8" s="324" customFormat="1" x14ac:dyDescent="0.35">
      <c r="B1309" s="8"/>
      <c r="C1309" s="106"/>
      <c r="D1309" s="106"/>
      <c r="E1309" s="106"/>
      <c r="F1309" s="106"/>
      <c r="G1309" s="680"/>
    </row>
    <row r="1310" spans="2:8" s="324" customFormat="1" ht="18.75" customHeight="1" x14ac:dyDescent="0.35">
      <c r="B1310" s="8"/>
      <c r="C1310" s="106"/>
      <c r="D1310" s="106"/>
      <c r="E1310" s="106"/>
      <c r="F1310" s="106"/>
      <c r="G1310" s="680"/>
    </row>
    <row r="1311" spans="2:8" s="324" customFormat="1" ht="18.75" customHeight="1" x14ac:dyDescent="0.35">
      <c r="B1311" s="8"/>
      <c r="C1311" s="106"/>
      <c r="D1311" s="106"/>
      <c r="E1311" s="106"/>
      <c r="F1311" s="106"/>
      <c r="G1311" s="680"/>
    </row>
    <row r="1312" spans="2:8" s="324" customFormat="1" ht="18.75" customHeight="1" x14ac:dyDescent="0.35">
      <c r="B1312" s="8"/>
      <c r="C1312" s="106"/>
      <c r="D1312" s="106"/>
      <c r="E1312" s="106"/>
      <c r="F1312" s="106"/>
      <c r="G1312" s="680"/>
    </row>
    <row r="1313" spans="2:7" s="324" customFormat="1" ht="18.75" customHeight="1" x14ac:dyDescent="0.35">
      <c r="B1313" s="8"/>
      <c r="C1313" s="106"/>
      <c r="D1313" s="106"/>
      <c r="E1313" s="106"/>
      <c r="F1313" s="106"/>
      <c r="G1313" s="680"/>
    </row>
    <row r="1314" spans="2:7" s="324" customFormat="1" ht="18.75" customHeight="1" x14ac:dyDescent="0.35">
      <c r="B1314" s="8"/>
      <c r="C1314" s="106"/>
      <c r="D1314" s="106"/>
      <c r="E1314" s="106"/>
      <c r="F1314" s="106"/>
      <c r="G1314" s="680"/>
    </row>
    <row r="1315" spans="2:7" s="324" customFormat="1" x14ac:dyDescent="0.35">
      <c r="B1315" s="8"/>
      <c r="C1315" s="106"/>
      <c r="D1315" s="106"/>
      <c r="E1315" s="106"/>
      <c r="F1315" s="106"/>
      <c r="G1315" s="680"/>
    </row>
    <row r="1316" spans="2:7" s="324" customFormat="1" ht="18.75" customHeight="1" x14ac:dyDescent="0.35">
      <c r="B1316" s="8"/>
      <c r="C1316" s="106"/>
      <c r="D1316" s="106"/>
      <c r="E1316" s="106"/>
      <c r="F1316" s="106"/>
      <c r="G1316" s="680"/>
    </row>
    <row r="1317" spans="2:7" s="324" customFormat="1" ht="18.75" customHeight="1" x14ac:dyDescent="0.35">
      <c r="B1317" s="8"/>
      <c r="C1317" s="106"/>
      <c r="D1317" s="106"/>
      <c r="E1317" s="106"/>
      <c r="F1317" s="106"/>
      <c r="G1317" s="680"/>
    </row>
    <row r="1318" spans="2:7" s="324" customFormat="1" ht="18.75" customHeight="1" x14ac:dyDescent="0.35">
      <c r="B1318" s="8"/>
      <c r="C1318" s="106"/>
      <c r="D1318" s="106"/>
      <c r="E1318" s="106"/>
      <c r="F1318" s="106"/>
      <c r="G1318" s="680"/>
    </row>
    <row r="1319" spans="2:7" s="324" customFormat="1" ht="18.75" customHeight="1" x14ac:dyDescent="0.35">
      <c r="B1319" s="8"/>
      <c r="C1319" s="106"/>
      <c r="D1319" s="106"/>
      <c r="E1319" s="106"/>
      <c r="F1319" s="106"/>
      <c r="G1319" s="680"/>
    </row>
    <row r="1320" spans="2:7" s="324" customFormat="1" ht="18.75" customHeight="1" x14ac:dyDescent="0.35">
      <c r="B1320" s="8"/>
      <c r="C1320" s="106"/>
      <c r="D1320" s="106"/>
      <c r="E1320" s="106"/>
      <c r="F1320" s="106"/>
      <c r="G1320" s="680"/>
    </row>
    <row r="1321" spans="2:7" s="324" customFormat="1" ht="18.75" customHeight="1" x14ac:dyDescent="0.35">
      <c r="B1321" s="8"/>
      <c r="C1321" s="106"/>
      <c r="D1321" s="106"/>
      <c r="E1321" s="106"/>
      <c r="F1321" s="106"/>
      <c r="G1321" s="680"/>
    </row>
    <row r="1322" spans="2:7" s="324" customFormat="1" ht="18.75" customHeight="1" x14ac:dyDescent="0.35">
      <c r="B1322" s="8"/>
      <c r="C1322" s="106"/>
      <c r="D1322" s="106"/>
      <c r="E1322" s="106"/>
      <c r="F1322" s="106"/>
      <c r="G1322" s="680"/>
    </row>
    <row r="1323" spans="2:7" s="324" customFormat="1" x14ac:dyDescent="0.35">
      <c r="B1323" s="8"/>
      <c r="C1323" s="106"/>
      <c r="D1323" s="106"/>
      <c r="E1323" s="106"/>
      <c r="F1323" s="106"/>
      <c r="G1323" s="680"/>
    </row>
    <row r="1324" spans="2:7" s="324" customFormat="1" ht="18.75" customHeight="1" x14ac:dyDescent="0.35">
      <c r="B1324" s="8"/>
      <c r="C1324" s="106"/>
      <c r="D1324" s="106"/>
      <c r="E1324" s="106"/>
      <c r="F1324" s="106"/>
      <c r="G1324" s="680"/>
    </row>
    <row r="1325" spans="2:7" s="324" customFormat="1" x14ac:dyDescent="0.35">
      <c r="B1325" s="8"/>
      <c r="C1325" s="106"/>
      <c r="D1325" s="106"/>
      <c r="E1325" s="106"/>
      <c r="F1325" s="106"/>
      <c r="G1325" s="680"/>
    </row>
    <row r="1326" spans="2:7" s="324" customFormat="1" ht="18.75" customHeight="1" x14ac:dyDescent="0.35">
      <c r="B1326" s="8"/>
      <c r="C1326" s="106"/>
      <c r="D1326" s="106"/>
      <c r="E1326" s="106"/>
      <c r="F1326" s="106"/>
      <c r="G1326" s="680"/>
    </row>
    <row r="1327" spans="2:7" s="324" customFormat="1" x14ac:dyDescent="0.35">
      <c r="B1327" s="8"/>
      <c r="C1327" s="106"/>
      <c r="D1327" s="106"/>
      <c r="E1327" s="106"/>
      <c r="F1327" s="106"/>
      <c r="G1327" s="680"/>
    </row>
    <row r="1328" spans="2:7" s="324" customFormat="1" x14ac:dyDescent="0.35">
      <c r="B1328" s="8"/>
      <c r="C1328" s="106"/>
      <c r="D1328" s="106"/>
      <c r="E1328" s="106"/>
      <c r="F1328" s="106"/>
      <c r="G1328" s="680"/>
    </row>
    <row r="1329" spans="2:8" s="324" customFormat="1" x14ac:dyDescent="0.35">
      <c r="B1329" s="8"/>
      <c r="C1329" s="106"/>
      <c r="D1329" s="106"/>
      <c r="E1329" s="106"/>
      <c r="F1329" s="106"/>
      <c r="G1329" s="680"/>
      <c r="H1329" s="326"/>
    </row>
    <row r="1330" spans="2:8" s="324" customFormat="1" x14ac:dyDescent="0.35">
      <c r="B1330" s="8"/>
      <c r="C1330" s="106"/>
      <c r="D1330" s="106"/>
      <c r="E1330" s="106"/>
      <c r="F1330" s="106"/>
      <c r="G1330" s="680"/>
      <c r="H1330" s="350"/>
    </row>
    <row r="1331" spans="2:8" s="324" customFormat="1" x14ac:dyDescent="0.35">
      <c r="B1331" s="8"/>
      <c r="C1331" s="106"/>
      <c r="D1331" s="106"/>
      <c r="E1331" s="106"/>
      <c r="F1331" s="106"/>
      <c r="G1331" s="680"/>
      <c r="H1331" s="326"/>
    </row>
    <row r="1332" spans="2:8" s="324" customFormat="1" ht="15.65" customHeight="1" x14ac:dyDescent="0.35">
      <c r="B1332" s="8"/>
      <c r="C1332" s="106"/>
      <c r="D1332" s="106"/>
      <c r="E1332" s="106"/>
      <c r="F1332" s="106"/>
      <c r="G1332" s="680"/>
    </row>
    <row r="1333" spans="2:8" s="324" customFormat="1" x14ac:dyDescent="0.35">
      <c r="B1333" s="8"/>
      <c r="C1333" s="106"/>
      <c r="D1333" s="106"/>
      <c r="E1333" s="106"/>
      <c r="F1333" s="106"/>
      <c r="G1333" s="680"/>
    </row>
    <row r="1334" spans="2:8" s="324" customFormat="1" x14ac:dyDescent="0.35">
      <c r="B1334" s="8"/>
      <c r="C1334" s="106"/>
      <c r="D1334" s="106"/>
      <c r="E1334" s="106"/>
      <c r="F1334" s="106"/>
      <c r="G1334" s="680"/>
    </row>
    <row r="1335" spans="2:8" s="324" customFormat="1" x14ac:dyDescent="0.35">
      <c r="B1335" s="8"/>
      <c r="C1335" s="106"/>
      <c r="D1335" s="106"/>
      <c r="E1335" s="106"/>
      <c r="F1335" s="106"/>
      <c r="G1335" s="680"/>
    </row>
    <row r="1336" spans="2:8" s="324" customFormat="1" x14ac:dyDescent="0.35">
      <c r="B1336" s="8"/>
      <c r="C1336" s="106"/>
      <c r="D1336" s="106"/>
      <c r="E1336" s="106"/>
      <c r="F1336" s="106"/>
      <c r="G1336" s="680"/>
    </row>
    <row r="1337" spans="2:8" s="324" customFormat="1" x14ac:dyDescent="0.35">
      <c r="B1337" s="8"/>
      <c r="C1337" s="106"/>
      <c r="D1337" s="106"/>
      <c r="E1337" s="106"/>
      <c r="F1337" s="106"/>
      <c r="G1337" s="680"/>
    </row>
    <row r="1338" spans="2:8" s="324" customFormat="1" x14ac:dyDescent="0.35">
      <c r="B1338" s="8"/>
      <c r="C1338" s="106"/>
      <c r="D1338" s="106"/>
      <c r="E1338" s="106"/>
      <c r="F1338" s="106"/>
      <c r="G1338" s="680"/>
    </row>
    <row r="1339" spans="2:8" s="324" customFormat="1" x14ac:dyDescent="0.35">
      <c r="B1339" s="8"/>
      <c r="C1339" s="106"/>
      <c r="D1339" s="106"/>
      <c r="E1339" s="106"/>
      <c r="F1339" s="106"/>
      <c r="G1339" s="680"/>
    </row>
    <row r="1340" spans="2:8" s="324" customFormat="1" x14ac:dyDescent="0.35">
      <c r="B1340" s="8"/>
      <c r="C1340" s="106"/>
      <c r="D1340" s="106"/>
      <c r="E1340" s="106"/>
      <c r="F1340" s="106"/>
      <c r="G1340" s="680"/>
    </row>
    <row r="1341" spans="2:8" s="324" customFormat="1" x14ac:dyDescent="0.35">
      <c r="B1341" s="8"/>
      <c r="C1341" s="106"/>
      <c r="D1341" s="106"/>
      <c r="E1341" s="106"/>
      <c r="F1341" s="106"/>
      <c r="G1341" s="680"/>
    </row>
    <row r="1342" spans="2:8" s="324" customFormat="1" x14ac:dyDescent="0.35">
      <c r="B1342" s="8"/>
      <c r="C1342" s="106"/>
      <c r="D1342" s="106"/>
      <c r="E1342" s="106"/>
      <c r="F1342" s="106"/>
      <c r="G1342" s="680"/>
    </row>
    <row r="1343" spans="2:8" s="324" customFormat="1" x14ac:dyDescent="0.35">
      <c r="B1343" s="8"/>
      <c r="C1343" s="106"/>
      <c r="D1343" s="106"/>
      <c r="E1343" s="106"/>
      <c r="F1343" s="106"/>
      <c r="G1343" s="680"/>
    </row>
    <row r="1344" spans="2:8" s="324" customFormat="1" x14ac:dyDescent="0.35">
      <c r="B1344" s="8"/>
      <c r="C1344" s="106"/>
      <c r="D1344" s="106"/>
      <c r="E1344" s="106"/>
      <c r="F1344" s="106"/>
      <c r="G1344" s="680"/>
    </row>
    <row r="1345" spans="2:9" s="324" customFormat="1" x14ac:dyDescent="0.35">
      <c r="B1345" s="8"/>
      <c r="C1345" s="106"/>
      <c r="D1345" s="106"/>
      <c r="E1345" s="106"/>
      <c r="F1345" s="106"/>
      <c r="G1345" s="680"/>
    </row>
    <row r="1346" spans="2:9" s="324" customFormat="1" x14ac:dyDescent="0.35">
      <c r="B1346" s="8"/>
      <c r="C1346" s="106"/>
      <c r="D1346" s="106"/>
      <c r="E1346" s="106"/>
      <c r="F1346" s="106"/>
      <c r="G1346" s="680"/>
    </row>
    <row r="1347" spans="2:9" s="324" customFormat="1" x14ac:dyDescent="0.35">
      <c r="B1347" s="8"/>
      <c r="C1347" s="106"/>
      <c r="D1347" s="106"/>
      <c r="E1347" s="106"/>
      <c r="F1347" s="106"/>
      <c r="G1347" s="680"/>
    </row>
    <row r="1348" spans="2:9" s="324" customFormat="1" x14ac:dyDescent="0.35">
      <c r="B1348" s="8"/>
      <c r="C1348" s="106"/>
      <c r="D1348" s="106"/>
      <c r="E1348" s="106"/>
      <c r="F1348" s="106"/>
      <c r="G1348" s="680"/>
    </row>
    <row r="1349" spans="2:9" s="324" customFormat="1" x14ac:dyDescent="0.35">
      <c r="B1349" s="8"/>
      <c r="C1349" s="106"/>
      <c r="D1349" s="106"/>
      <c r="E1349" s="106"/>
      <c r="F1349" s="106"/>
      <c r="G1349" s="680"/>
    </row>
    <row r="1350" spans="2:9" s="324" customFormat="1" x14ac:dyDescent="0.35">
      <c r="B1350" s="8"/>
      <c r="C1350" s="106"/>
      <c r="D1350" s="106"/>
      <c r="E1350" s="106"/>
      <c r="F1350" s="106"/>
      <c r="G1350" s="680"/>
    </row>
    <row r="1351" spans="2:9" s="324" customFormat="1" x14ac:dyDescent="0.35">
      <c r="B1351" s="8"/>
      <c r="C1351" s="106"/>
      <c r="D1351" s="106"/>
      <c r="E1351" s="106"/>
      <c r="F1351" s="106"/>
      <c r="G1351" s="680"/>
    </row>
    <row r="1352" spans="2:9" s="324" customFormat="1" x14ac:dyDescent="0.35">
      <c r="B1352" s="8"/>
      <c r="C1352" s="106"/>
      <c r="D1352" s="106"/>
      <c r="E1352" s="106"/>
      <c r="F1352" s="106"/>
      <c r="G1352" s="680"/>
    </row>
    <row r="1353" spans="2:9" s="324" customFormat="1" x14ac:dyDescent="0.35">
      <c r="B1353" s="8"/>
      <c r="C1353" s="106"/>
      <c r="D1353" s="106"/>
      <c r="E1353" s="106"/>
      <c r="F1353" s="106"/>
      <c r="G1353" s="680"/>
    </row>
    <row r="1354" spans="2:9" s="324" customFormat="1" x14ac:dyDescent="0.35">
      <c r="B1354" s="8"/>
      <c r="C1354" s="106"/>
      <c r="D1354" s="106"/>
      <c r="E1354" s="106"/>
      <c r="F1354" s="106"/>
      <c r="G1354" s="680"/>
    </row>
    <row r="1355" spans="2:9" s="324" customFormat="1" x14ac:dyDescent="0.35">
      <c r="B1355" s="8"/>
      <c r="C1355" s="106"/>
      <c r="D1355" s="106"/>
      <c r="E1355" s="106"/>
      <c r="F1355" s="106"/>
      <c r="G1355" s="680"/>
      <c r="I1355" s="324" t="s">
        <v>11</v>
      </c>
    </row>
    <row r="1356" spans="2:9" s="324" customFormat="1" x14ac:dyDescent="0.35">
      <c r="B1356" s="8"/>
      <c r="C1356" s="106"/>
      <c r="D1356" s="106"/>
      <c r="E1356" s="106"/>
      <c r="F1356" s="106"/>
      <c r="G1356" s="680"/>
    </row>
    <row r="1357" spans="2:9" s="324" customFormat="1" x14ac:dyDescent="0.35">
      <c r="B1357" s="8"/>
      <c r="C1357" s="106"/>
      <c r="D1357" s="106"/>
      <c r="E1357" s="106"/>
      <c r="F1357" s="106"/>
      <c r="G1357" s="680"/>
    </row>
    <row r="1358" spans="2:9" s="324" customFormat="1" x14ac:dyDescent="0.35">
      <c r="B1358" s="8"/>
      <c r="C1358" s="106"/>
      <c r="D1358" s="106"/>
      <c r="E1358" s="106"/>
      <c r="F1358" s="106"/>
      <c r="G1358" s="680"/>
    </row>
    <row r="1359" spans="2:9" s="324" customFormat="1" x14ac:dyDescent="0.35">
      <c r="B1359" s="8"/>
      <c r="C1359" s="106"/>
      <c r="D1359" s="106"/>
      <c r="E1359" s="106"/>
      <c r="F1359" s="106"/>
      <c r="G1359" s="680"/>
    </row>
    <row r="1360" spans="2:9" s="324" customFormat="1" x14ac:dyDescent="0.35">
      <c r="B1360" s="8"/>
      <c r="C1360" s="106"/>
      <c r="D1360" s="106"/>
      <c r="E1360" s="106"/>
      <c r="F1360" s="106"/>
      <c r="G1360" s="680"/>
    </row>
    <row r="1361" spans="2:8" s="324" customFormat="1" x14ac:dyDescent="0.35">
      <c r="B1361" s="8"/>
      <c r="C1361" s="106"/>
      <c r="D1361" s="106"/>
      <c r="E1361" s="106"/>
      <c r="F1361" s="106"/>
      <c r="G1361" s="680"/>
    </row>
    <row r="1362" spans="2:8" s="324" customFormat="1" x14ac:dyDescent="0.35">
      <c r="B1362" s="8"/>
      <c r="C1362" s="106"/>
      <c r="D1362" s="106"/>
      <c r="E1362" s="106"/>
      <c r="F1362" s="106"/>
      <c r="G1362" s="680"/>
    </row>
    <row r="1363" spans="2:8" s="324" customFormat="1" x14ac:dyDescent="0.35">
      <c r="B1363" s="8"/>
      <c r="C1363" s="106"/>
      <c r="D1363" s="106"/>
      <c r="E1363" s="106"/>
      <c r="F1363" s="106"/>
      <c r="G1363" s="680"/>
    </row>
    <row r="1364" spans="2:8" s="324" customFormat="1" x14ac:dyDescent="0.35">
      <c r="B1364" s="8"/>
      <c r="C1364" s="106"/>
      <c r="D1364" s="106"/>
      <c r="E1364" s="106"/>
      <c r="F1364" s="106"/>
      <c r="G1364" s="680"/>
    </row>
    <row r="1365" spans="2:8" s="324" customFormat="1" x14ac:dyDescent="0.35">
      <c r="B1365" s="8"/>
      <c r="C1365" s="106"/>
      <c r="D1365" s="106"/>
      <c r="E1365" s="106"/>
      <c r="F1365" s="106"/>
      <c r="G1365" s="680"/>
    </row>
    <row r="1366" spans="2:8" s="324" customFormat="1" x14ac:dyDescent="0.35">
      <c r="B1366" s="8"/>
      <c r="C1366" s="106"/>
      <c r="D1366" s="106"/>
      <c r="E1366" s="106"/>
      <c r="F1366" s="106"/>
      <c r="G1366" s="680"/>
    </row>
    <row r="1367" spans="2:8" s="324" customFormat="1" x14ac:dyDescent="0.35">
      <c r="B1367" s="8"/>
      <c r="C1367" s="106"/>
      <c r="D1367" s="106"/>
      <c r="E1367" s="106"/>
      <c r="F1367" s="106"/>
      <c r="G1367" s="680"/>
    </row>
    <row r="1368" spans="2:8" s="324" customFormat="1" x14ac:dyDescent="0.35">
      <c r="B1368" s="8"/>
      <c r="C1368" s="106"/>
      <c r="D1368" s="106"/>
      <c r="E1368" s="106"/>
      <c r="F1368" s="106"/>
      <c r="G1368" s="680"/>
    </row>
    <row r="1369" spans="2:8" s="324" customFormat="1" x14ac:dyDescent="0.35">
      <c r="B1369" s="8"/>
      <c r="C1369" s="106"/>
      <c r="D1369" s="106"/>
      <c r="E1369" s="106"/>
      <c r="F1369" s="106"/>
      <c r="G1369" s="680"/>
    </row>
    <row r="1370" spans="2:8" s="324" customFormat="1" x14ac:dyDescent="0.35">
      <c r="B1370" s="8"/>
      <c r="C1370" s="106"/>
      <c r="D1370" s="106"/>
      <c r="E1370" s="106"/>
      <c r="F1370" s="106"/>
      <c r="G1370" s="680"/>
    </row>
    <row r="1371" spans="2:8" s="324" customFormat="1" x14ac:dyDescent="0.35">
      <c r="B1371" s="8"/>
      <c r="C1371" s="106"/>
      <c r="D1371" s="106"/>
      <c r="E1371" s="106"/>
      <c r="F1371" s="106"/>
      <c r="G1371" s="680"/>
      <c r="H1371" s="326"/>
    </row>
    <row r="1372" spans="2:8" s="324" customFormat="1" x14ac:dyDescent="0.35">
      <c r="B1372" s="8"/>
      <c r="C1372" s="106"/>
      <c r="D1372" s="106"/>
      <c r="E1372" s="106"/>
      <c r="F1372" s="106"/>
      <c r="G1372" s="680"/>
      <c r="H1372" s="350"/>
    </row>
    <row r="1373" spans="2:8" s="324" customFormat="1" x14ac:dyDescent="0.35">
      <c r="B1373" s="8"/>
      <c r="C1373" s="106"/>
      <c r="D1373" s="106"/>
      <c r="E1373" s="106"/>
      <c r="F1373" s="106"/>
      <c r="G1373" s="680"/>
      <c r="H1373" s="356"/>
    </row>
    <row r="1374" spans="2:8" s="324" customFormat="1" ht="15.65" customHeight="1" x14ac:dyDescent="0.35">
      <c r="B1374" s="8"/>
      <c r="C1374" s="106"/>
      <c r="D1374" s="106"/>
      <c r="E1374" s="106"/>
      <c r="F1374" s="106"/>
      <c r="G1374" s="680"/>
    </row>
    <row r="1375" spans="2:8" s="324" customFormat="1" x14ac:dyDescent="0.35">
      <c r="B1375" s="8"/>
      <c r="C1375" s="106"/>
      <c r="D1375" s="106"/>
      <c r="E1375" s="106"/>
      <c r="F1375" s="106"/>
      <c r="G1375" s="680"/>
    </row>
    <row r="1376" spans="2:8" s="324" customFormat="1" x14ac:dyDescent="0.35">
      <c r="B1376" s="8"/>
      <c r="C1376" s="106"/>
      <c r="D1376" s="106"/>
      <c r="E1376" s="106"/>
      <c r="F1376" s="106"/>
      <c r="G1376" s="680"/>
    </row>
    <row r="1377" spans="2:7" s="324" customFormat="1" x14ac:dyDescent="0.35">
      <c r="B1377" s="8"/>
      <c r="C1377" s="106"/>
      <c r="D1377" s="106"/>
      <c r="E1377" s="106"/>
      <c r="F1377" s="106"/>
      <c r="G1377" s="680"/>
    </row>
    <row r="1378" spans="2:7" s="324" customFormat="1" x14ac:dyDescent="0.35">
      <c r="B1378" s="8"/>
      <c r="C1378" s="106"/>
      <c r="D1378" s="106"/>
      <c r="E1378" s="106"/>
      <c r="F1378" s="106"/>
      <c r="G1378" s="680"/>
    </row>
    <row r="1379" spans="2:7" s="324" customFormat="1" x14ac:dyDescent="0.35">
      <c r="B1379" s="8"/>
      <c r="C1379" s="106"/>
      <c r="D1379" s="106"/>
      <c r="E1379" s="106"/>
      <c r="F1379" s="106"/>
      <c r="G1379" s="680"/>
    </row>
    <row r="1380" spans="2:7" s="324" customFormat="1" x14ac:dyDescent="0.35">
      <c r="B1380" s="8"/>
      <c r="C1380" s="106"/>
      <c r="D1380" s="106"/>
      <c r="E1380" s="106"/>
      <c r="F1380" s="106"/>
      <c r="G1380" s="680"/>
    </row>
    <row r="1381" spans="2:7" s="324" customFormat="1" x14ac:dyDescent="0.35">
      <c r="B1381" s="8"/>
      <c r="C1381" s="106"/>
      <c r="D1381" s="106"/>
      <c r="E1381" s="106"/>
      <c r="F1381" s="106"/>
      <c r="G1381" s="680"/>
    </row>
    <row r="1382" spans="2:7" s="324" customFormat="1" x14ac:dyDescent="0.35">
      <c r="B1382" s="8"/>
      <c r="C1382" s="106"/>
      <c r="D1382" s="106"/>
      <c r="E1382" s="106"/>
      <c r="F1382" s="106"/>
      <c r="G1382" s="680"/>
    </row>
    <row r="1383" spans="2:7" s="324" customFormat="1" x14ac:dyDescent="0.35">
      <c r="B1383" s="8"/>
      <c r="C1383" s="106"/>
      <c r="D1383" s="106"/>
      <c r="E1383" s="106"/>
      <c r="F1383" s="106"/>
      <c r="G1383" s="680"/>
    </row>
    <row r="1384" spans="2:7" s="324" customFormat="1" x14ac:dyDescent="0.35">
      <c r="B1384" s="8"/>
      <c r="C1384" s="106"/>
      <c r="D1384" s="106"/>
      <c r="E1384" s="106"/>
      <c r="F1384" s="106"/>
      <c r="G1384" s="680"/>
    </row>
    <row r="1385" spans="2:7" s="324" customFormat="1" x14ac:dyDescent="0.35">
      <c r="B1385" s="8"/>
      <c r="C1385" s="106"/>
      <c r="D1385" s="106"/>
      <c r="E1385" s="106"/>
      <c r="F1385" s="106"/>
      <c r="G1385" s="680"/>
    </row>
    <row r="1386" spans="2:7" s="324" customFormat="1" x14ac:dyDescent="0.35">
      <c r="B1386" s="8"/>
      <c r="C1386" s="106"/>
      <c r="D1386" s="106"/>
      <c r="E1386" s="106"/>
      <c r="F1386" s="106"/>
      <c r="G1386" s="680"/>
    </row>
    <row r="1387" spans="2:7" s="324" customFormat="1" x14ac:dyDescent="0.35">
      <c r="B1387" s="8"/>
      <c r="C1387" s="106"/>
      <c r="D1387" s="106"/>
      <c r="E1387" s="106"/>
      <c r="F1387" s="106"/>
      <c r="G1387" s="680"/>
    </row>
    <row r="1388" spans="2:7" s="324" customFormat="1" x14ac:dyDescent="0.35">
      <c r="B1388" s="8"/>
      <c r="C1388" s="106"/>
      <c r="D1388" s="106"/>
      <c r="E1388" s="106"/>
      <c r="F1388" s="106"/>
      <c r="G1388" s="680"/>
    </row>
    <row r="1389" spans="2:7" s="324" customFormat="1" x14ac:dyDescent="0.35">
      <c r="B1389" s="8"/>
      <c r="C1389" s="106"/>
      <c r="D1389" s="106"/>
      <c r="E1389" s="106"/>
      <c r="F1389" s="106"/>
      <c r="G1389" s="680"/>
    </row>
    <row r="1390" spans="2:7" s="324" customFormat="1" x14ac:dyDescent="0.35">
      <c r="B1390" s="8"/>
      <c r="C1390" s="106"/>
      <c r="D1390" s="106"/>
      <c r="E1390" s="106"/>
      <c r="F1390" s="106"/>
      <c r="G1390" s="680"/>
    </row>
    <row r="1391" spans="2:7" s="324" customFormat="1" x14ac:dyDescent="0.35">
      <c r="B1391" s="8"/>
      <c r="C1391" s="106"/>
      <c r="D1391" s="106"/>
      <c r="E1391" s="106"/>
      <c r="F1391" s="106"/>
      <c r="G1391" s="680"/>
    </row>
    <row r="1392" spans="2:7" s="324" customFormat="1" x14ac:dyDescent="0.35">
      <c r="B1392" s="8"/>
      <c r="C1392" s="106"/>
      <c r="D1392" s="106"/>
      <c r="E1392" s="106"/>
      <c r="F1392" s="106"/>
      <c r="G1392" s="680"/>
    </row>
    <row r="1393" spans="1:7" s="324" customFormat="1" x14ac:dyDescent="0.35">
      <c r="B1393" s="8"/>
      <c r="C1393" s="106"/>
      <c r="D1393" s="106"/>
      <c r="E1393" s="106"/>
      <c r="F1393" s="106"/>
      <c r="G1393" s="680"/>
    </row>
    <row r="1394" spans="1:7" s="324" customFormat="1" x14ac:dyDescent="0.35">
      <c r="B1394" s="8"/>
      <c r="C1394" s="106"/>
      <c r="D1394" s="106"/>
      <c r="E1394" s="106"/>
      <c r="F1394" s="106"/>
      <c r="G1394" s="680"/>
    </row>
    <row r="1395" spans="1:7" s="324" customFormat="1" x14ac:dyDescent="0.35">
      <c r="B1395" s="8"/>
      <c r="C1395" s="106"/>
      <c r="D1395" s="106"/>
      <c r="E1395" s="106"/>
      <c r="F1395" s="106"/>
      <c r="G1395" s="680"/>
    </row>
    <row r="1396" spans="1:7" s="324" customFormat="1" x14ac:dyDescent="0.35">
      <c r="B1396" s="8"/>
      <c r="C1396" s="106"/>
      <c r="D1396" s="106"/>
      <c r="E1396" s="106"/>
      <c r="F1396" s="106"/>
      <c r="G1396" s="680"/>
    </row>
    <row r="1397" spans="1:7" s="324" customFormat="1" x14ac:dyDescent="0.35">
      <c r="B1397" s="8"/>
      <c r="C1397" s="106"/>
      <c r="D1397" s="106"/>
      <c r="E1397" s="106"/>
      <c r="F1397" s="106"/>
      <c r="G1397" s="680"/>
    </row>
    <row r="1398" spans="1:7" s="324" customFormat="1" x14ac:dyDescent="0.35">
      <c r="B1398" s="8"/>
      <c r="C1398" s="106"/>
      <c r="D1398" s="106"/>
      <c r="E1398" s="106"/>
      <c r="F1398" s="106"/>
      <c r="G1398" s="680"/>
    </row>
    <row r="1399" spans="1:7" s="324" customFormat="1" x14ac:dyDescent="0.35">
      <c r="B1399" s="8"/>
      <c r="C1399" s="106"/>
      <c r="D1399" s="106"/>
      <c r="E1399" s="106"/>
      <c r="F1399" s="106"/>
      <c r="G1399" s="680"/>
    </row>
    <row r="1400" spans="1:7" s="324" customFormat="1" x14ac:dyDescent="0.35">
      <c r="B1400" s="8"/>
      <c r="C1400" s="106"/>
      <c r="D1400" s="106"/>
      <c r="E1400" s="106"/>
      <c r="F1400" s="106"/>
      <c r="G1400" s="680"/>
    </row>
    <row r="1401" spans="1:7" s="324" customFormat="1" x14ac:dyDescent="0.35">
      <c r="B1401" s="8"/>
      <c r="C1401" s="106"/>
      <c r="D1401" s="106"/>
      <c r="E1401" s="106"/>
      <c r="F1401" s="106"/>
      <c r="G1401" s="680"/>
    </row>
    <row r="1402" spans="1:7" s="324" customFormat="1" x14ac:dyDescent="0.35">
      <c r="B1402" s="8"/>
      <c r="C1402" s="106"/>
      <c r="D1402" s="106"/>
      <c r="E1402" s="106"/>
      <c r="F1402" s="106"/>
      <c r="G1402" s="680"/>
    </row>
    <row r="1403" spans="1:7" s="324" customFormat="1" x14ac:dyDescent="0.35">
      <c r="B1403" s="8"/>
      <c r="C1403" s="106"/>
      <c r="D1403" s="106"/>
      <c r="E1403" s="106"/>
      <c r="F1403" s="106"/>
      <c r="G1403" s="680"/>
    </row>
    <row r="1404" spans="1:7" s="324" customFormat="1" x14ac:dyDescent="0.35">
      <c r="B1404" s="8"/>
      <c r="C1404" s="106"/>
      <c r="D1404" s="106"/>
      <c r="E1404" s="106"/>
      <c r="F1404" s="106"/>
      <c r="G1404" s="680"/>
    </row>
    <row r="1405" spans="1:7" s="324" customFormat="1" x14ac:dyDescent="0.35">
      <c r="B1405" s="8"/>
      <c r="C1405" s="106"/>
      <c r="D1405" s="106"/>
      <c r="E1405" s="106"/>
      <c r="F1405" s="106"/>
      <c r="G1405" s="680"/>
    </row>
    <row r="1406" spans="1:7" s="324" customFormat="1" x14ac:dyDescent="0.35">
      <c r="B1406" s="8"/>
      <c r="C1406" s="106"/>
      <c r="D1406" s="106"/>
      <c r="E1406" s="106"/>
      <c r="F1406" s="106"/>
      <c r="G1406" s="680"/>
    </row>
    <row r="1407" spans="1:7" s="324" customFormat="1" x14ac:dyDescent="0.35">
      <c r="B1407" s="8"/>
      <c r="C1407" s="106"/>
      <c r="D1407" s="106"/>
      <c r="E1407" s="106"/>
      <c r="F1407" s="106"/>
      <c r="G1407" s="680"/>
    </row>
    <row r="1408" spans="1:7" s="324" customFormat="1" x14ac:dyDescent="0.35">
      <c r="A1408" s="324" t="s">
        <v>11</v>
      </c>
      <c r="B1408" s="8"/>
      <c r="C1408" s="106"/>
      <c r="D1408" s="106"/>
      <c r="E1408" s="106"/>
      <c r="F1408" s="106"/>
      <c r="G1408" s="680"/>
    </row>
    <row r="1409" spans="2:10" s="324" customFormat="1" x14ac:dyDescent="0.35">
      <c r="B1409" s="8"/>
      <c r="C1409" s="106"/>
      <c r="D1409" s="106"/>
      <c r="E1409" s="106"/>
      <c r="F1409" s="106"/>
      <c r="G1409" s="680"/>
    </row>
    <row r="1410" spans="2:10" s="324" customFormat="1" x14ac:dyDescent="0.35">
      <c r="B1410" s="8"/>
      <c r="C1410" s="106"/>
      <c r="D1410" s="106"/>
      <c r="E1410" s="106"/>
      <c r="F1410" s="106"/>
      <c r="G1410" s="680"/>
    </row>
    <row r="1411" spans="2:10" s="324" customFormat="1" x14ac:dyDescent="0.35">
      <c r="B1411" s="8"/>
      <c r="C1411" s="106"/>
      <c r="D1411" s="106"/>
      <c r="E1411" s="106"/>
      <c r="F1411" s="106"/>
      <c r="G1411" s="680"/>
    </row>
    <row r="1412" spans="2:10" s="324" customFormat="1" x14ac:dyDescent="0.35">
      <c r="B1412" s="8"/>
      <c r="C1412" s="106"/>
      <c r="D1412" s="106"/>
      <c r="E1412" s="106"/>
      <c r="F1412" s="106"/>
      <c r="G1412" s="680"/>
    </row>
    <row r="1413" spans="2:10" s="324" customFormat="1" x14ac:dyDescent="0.35">
      <c r="B1413" s="8"/>
      <c r="C1413" s="106"/>
      <c r="D1413" s="106"/>
      <c r="E1413" s="106"/>
      <c r="F1413" s="106"/>
      <c r="G1413" s="680"/>
    </row>
    <row r="1414" spans="2:10" s="324" customFormat="1" x14ac:dyDescent="0.35">
      <c r="B1414" s="8"/>
      <c r="C1414" s="106"/>
      <c r="D1414" s="106"/>
      <c r="E1414" s="106"/>
      <c r="F1414" s="106"/>
      <c r="G1414" s="680"/>
    </row>
    <row r="1415" spans="2:10" s="324" customFormat="1" x14ac:dyDescent="0.35">
      <c r="B1415" s="8"/>
      <c r="C1415" s="106"/>
      <c r="D1415" s="106"/>
      <c r="E1415" s="106"/>
      <c r="F1415" s="106"/>
      <c r="G1415" s="680"/>
    </row>
    <row r="1416" spans="2:10" s="324" customFormat="1" x14ac:dyDescent="0.35">
      <c r="B1416" s="8"/>
      <c r="C1416" s="106"/>
      <c r="D1416" s="106"/>
      <c r="E1416" s="106"/>
      <c r="F1416" s="106"/>
      <c r="G1416" s="680"/>
    </row>
    <row r="1417" spans="2:10" s="324" customFormat="1" x14ac:dyDescent="0.35">
      <c r="B1417" s="8"/>
      <c r="C1417" s="106"/>
      <c r="D1417" s="106"/>
      <c r="E1417" s="106"/>
      <c r="F1417" s="106"/>
      <c r="G1417" s="680"/>
    </row>
    <row r="1418" spans="2:10" s="324" customFormat="1" x14ac:dyDescent="0.35">
      <c r="B1418" s="8"/>
      <c r="C1418" s="106"/>
      <c r="D1418" s="106"/>
      <c r="E1418" s="106"/>
      <c r="F1418" s="106"/>
      <c r="G1418" s="680"/>
    </row>
    <row r="1419" spans="2:10" s="324" customFormat="1" x14ac:dyDescent="0.35">
      <c r="B1419" s="8"/>
      <c r="C1419" s="106"/>
      <c r="D1419" s="106"/>
      <c r="E1419" s="106"/>
      <c r="F1419" s="106"/>
      <c r="G1419" s="680"/>
    </row>
    <row r="1420" spans="2:10" s="324" customFormat="1" x14ac:dyDescent="0.35">
      <c r="B1420" s="8"/>
      <c r="C1420" s="106"/>
      <c r="D1420" s="106"/>
      <c r="E1420" s="106"/>
      <c r="F1420" s="106"/>
      <c r="G1420" s="680"/>
    </row>
    <row r="1421" spans="2:10" s="324" customFormat="1" x14ac:dyDescent="0.35">
      <c r="B1421" s="8"/>
      <c r="C1421" s="106"/>
      <c r="D1421" s="106"/>
      <c r="E1421" s="106"/>
      <c r="F1421" s="106"/>
      <c r="G1421" s="680"/>
    </row>
    <row r="1422" spans="2:10" s="324" customFormat="1" x14ac:dyDescent="0.35">
      <c r="B1422" s="8"/>
      <c r="C1422" s="106"/>
      <c r="D1422" s="106"/>
      <c r="E1422" s="106"/>
      <c r="F1422" s="106"/>
      <c r="G1422" s="680"/>
    </row>
    <row r="1423" spans="2:10" s="324" customFormat="1" x14ac:dyDescent="0.35">
      <c r="B1423" s="8"/>
      <c r="C1423" s="106"/>
      <c r="D1423" s="106"/>
      <c r="E1423" s="106"/>
      <c r="F1423" s="106"/>
      <c r="G1423" s="680"/>
    </row>
    <row r="1424" spans="2:10" s="324" customFormat="1" x14ac:dyDescent="0.35">
      <c r="B1424" s="8"/>
      <c r="C1424" s="106"/>
      <c r="D1424" s="106"/>
      <c r="E1424" s="106"/>
      <c r="F1424" s="106"/>
      <c r="G1424" s="680"/>
      <c r="J1424" s="324" t="s">
        <v>11</v>
      </c>
    </row>
    <row r="1425" spans="2:9" s="324" customFormat="1" x14ac:dyDescent="0.35">
      <c r="B1425" s="8"/>
      <c r="C1425" s="106"/>
      <c r="D1425" s="106"/>
      <c r="E1425" s="106"/>
      <c r="F1425" s="106"/>
      <c r="G1425" s="680"/>
    </row>
    <row r="1426" spans="2:9" s="324" customFormat="1" x14ac:dyDescent="0.35">
      <c r="B1426" s="8"/>
      <c r="C1426" s="106"/>
      <c r="D1426" s="106"/>
      <c r="E1426" s="106"/>
      <c r="F1426" s="106"/>
      <c r="G1426" s="680"/>
      <c r="I1426" s="324" t="s">
        <v>11</v>
      </c>
    </row>
    <row r="1427" spans="2:9" s="324" customFormat="1" x14ac:dyDescent="0.35">
      <c r="B1427" s="8"/>
      <c r="C1427" s="106"/>
      <c r="D1427" s="106"/>
      <c r="E1427" s="106"/>
      <c r="F1427" s="106"/>
      <c r="G1427" s="680"/>
    </row>
    <row r="1428" spans="2:9" s="324" customFormat="1" x14ac:dyDescent="0.35">
      <c r="B1428" s="8"/>
      <c r="C1428" s="106"/>
      <c r="D1428" s="106"/>
      <c r="E1428" s="106"/>
      <c r="F1428" s="106"/>
      <c r="G1428" s="680"/>
    </row>
    <row r="1429" spans="2:9" s="324" customFormat="1" x14ac:dyDescent="0.35">
      <c r="B1429" s="8"/>
      <c r="C1429" s="106"/>
      <c r="D1429" s="106"/>
      <c r="E1429" s="106"/>
      <c r="F1429" s="106"/>
      <c r="G1429" s="680"/>
    </row>
    <row r="1430" spans="2:9" s="324" customFormat="1" x14ac:dyDescent="0.35">
      <c r="B1430" s="8"/>
      <c r="C1430" s="106"/>
      <c r="D1430" s="106"/>
      <c r="E1430" s="106"/>
      <c r="F1430" s="106"/>
      <c r="G1430" s="680"/>
    </row>
    <row r="1431" spans="2:9" s="324" customFormat="1" x14ac:dyDescent="0.35">
      <c r="B1431" s="8"/>
      <c r="C1431" s="106"/>
      <c r="D1431" s="106"/>
      <c r="E1431" s="106"/>
      <c r="F1431" s="106"/>
      <c r="G1431" s="680"/>
    </row>
    <row r="1432" spans="2:9" s="324" customFormat="1" x14ac:dyDescent="0.35">
      <c r="B1432" s="8"/>
      <c r="C1432" s="106"/>
      <c r="D1432" s="106"/>
      <c r="E1432" s="106"/>
      <c r="F1432" s="106"/>
      <c r="G1432" s="680"/>
      <c r="I1432" s="324" t="s">
        <v>183</v>
      </c>
    </row>
    <row r="1433" spans="2:9" s="324" customFormat="1" x14ac:dyDescent="0.35">
      <c r="B1433" s="8"/>
      <c r="C1433" s="106"/>
      <c r="D1433" s="106"/>
      <c r="E1433" s="106"/>
      <c r="F1433" s="106"/>
      <c r="G1433" s="680"/>
    </row>
    <row r="1434" spans="2:9" s="324" customFormat="1" x14ac:dyDescent="0.35">
      <c r="B1434" s="8"/>
      <c r="C1434" s="106"/>
      <c r="D1434" s="106"/>
      <c r="E1434" s="106"/>
      <c r="F1434" s="106"/>
      <c r="G1434" s="680"/>
    </row>
    <row r="1435" spans="2:9" s="324" customFormat="1" x14ac:dyDescent="0.35">
      <c r="B1435" s="8"/>
      <c r="C1435" s="106"/>
      <c r="D1435" s="106"/>
      <c r="E1435" s="106"/>
      <c r="F1435" s="106"/>
      <c r="G1435" s="680"/>
    </row>
    <row r="1436" spans="2:9" s="324" customFormat="1" x14ac:dyDescent="0.35">
      <c r="B1436" s="8"/>
      <c r="C1436" s="106"/>
      <c r="D1436" s="106"/>
      <c r="E1436" s="106"/>
      <c r="F1436" s="106"/>
      <c r="G1436" s="680"/>
    </row>
    <row r="1437" spans="2:9" s="324" customFormat="1" x14ac:dyDescent="0.35">
      <c r="B1437" s="8"/>
      <c r="C1437" s="106"/>
      <c r="D1437" s="106"/>
      <c r="E1437" s="106"/>
      <c r="F1437" s="106"/>
      <c r="G1437" s="680"/>
    </row>
    <row r="1438" spans="2:9" s="324" customFormat="1" x14ac:dyDescent="0.35">
      <c r="B1438" s="8"/>
      <c r="C1438" s="106"/>
      <c r="D1438" s="106"/>
      <c r="E1438" s="106"/>
      <c r="F1438" s="106"/>
      <c r="G1438" s="680"/>
    </row>
    <row r="1439" spans="2:9" s="324" customFormat="1" x14ac:dyDescent="0.35">
      <c r="B1439" s="8"/>
      <c r="C1439" s="106"/>
      <c r="D1439" s="106"/>
      <c r="E1439" s="106"/>
      <c r="F1439" s="106"/>
      <c r="G1439" s="680"/>
    </row>
    <row r="1440" spans="2:9" s="324" customFormat="1" x14ac:dyDescent="0.35">
      <c r="B1440" s="8"/>
      <c r="C1440" s="106"/>
      <c r="D1440" s="106"/>
      <c r="E1440" s="106"/>
      <c r="F1440" s="106"/>
      <c r="G1440" s="680"/>
    </row>
    <row r="1441" spans="2:7" s="324" customFormat="1" x14ac:dyDescent="0.35">
      <c r="B1441" s="8"/>
      <c r="C1441" s="106"/>
      <c r="D1441" s="106"/>
      <c r="E1441" s="106"/>
      <c r="F1441" s="106"/>
      <c r="G1441" s="680"/>
    </row>
    <row r="1442" spans="2:7" s="324" customFormat="1" x14ac:dyDescent="0.35">
      <c r="B1442" s="8"/>
      <c r="C1442" s="106"/>
      <c r="D1442" s="106"/>
      <c r="E1442" s="106"/>
      <c r="F1442" s="106"/>
      <c r="G1442" s="680"/>
    </row>
    <row r="1443" spans="2:7" s="324" customFormat="1" x14ac:dyDescent="0.35">
      <c r="B1443" s="8"/>
      <c r="C1443" s="106"/>
      <c r="D1443" s="106"/>
      <c r="E1443" s="106"/>
      <c r="F1443" s="106"/>
      <c r="G1443" s="680"/>
    </row>
    <row r="1444" spans="2:7" s="324" customFormat="1" x14ac:dyDescent="0.35">
      <c r="B1444" s="8"/>
      <c r="C1444" s="106"/>
      <c r="D1444" s="106"/>
      <c r="E1444" s="106"/>
      <c r="F1444" s="106"/>
      <c r="G1444" s="680"/>
    </row>
    <row r="1445" spans="2:7" s="324" customFormat="1" x14ac:dyDescent="0.35">
      <c r="B1445" s="8"/>
      <c r="C1445" s="106"/>
      <c r="D1445" s="106"/>
      <c r="E1445" s="106"/>
      <c r="F1445" s="106"/>
      <c r="G1445" s="680"/>
    </row>
    <row r="1446" spans="2:7" s="324" customFormat="1" x14ac:dyDescent="0.35">
      <c r="B1446" s="8"/>
      <c r="C1446" s="106"/>
      <c r="D1446" s="106"/>
      <c r="E1446" s="106"/>
      <c r="F1446" s="106"/>
      <c r="G1446" s="680"/>
    </row>
    <row r="1447" spans="2:7" s="324" customFormat="1" x14ac:dyDescent="0.35">
      <c r="B1447" s="8"/>
      <c r="C1447" s="106"/>
      <c r="D1447" s="106"/>
      <c r="E1447" s="106"/>
      <c r="F1447" s="106"/>
      <c r="G1447" s="680"/>
    </row>
    <row r="1448" spans="2:7" s="324" customFormat="1" x14ac:dyDescent="0.35">
      <c r="B1448" s="8"/>
      <c r="C1448" s="106"/>
      <c r="D1448" s="106"/>
      <c r="E1448" s="106"/>
      <c r="F1448" s="106"/>
      <c r="G1448" s="680"/>
    </row>
  </sheetData>
  <mergeCells count="34">
    <mergeCell ref="B45:E45"/>
    <mergeCell ref="F47:G47"/>
    <mergeCell ref="B2:G2"/>
    <mergeCell ref="B5:B6"/>
    <mergeCell ref="C5:E5"/>
    <mergeCell ref="B3:F3"/>
    <mergeCell ref="F5:G5"/>
    <mergeCell ref="B66:E66"/>
    <mergeCell ref="F68:G68"/>
    <mergeCell ref="B90:F90"/>
    <mergeCell ref="F92:G92"/>
    <mergeCell ref="B47:B48"/>
    <mergeCell ref="C47:E47"/>
    <mergeCell ref="B122:F122"/>
    <mergeCell ref="F124:G124"/>
    <mergeCell ref="B149:F149"/>
    <mergeCell ref="B68:B69"/>
    <mergeCell ref="C68:E68"/>
    <mergeCell ref="B92:B93"/>
    <mergeCell ref="C92:E92"/>
    <mergeCell ref="B124:B125"/>
    <mergeCell ref="C124:E124"/>
    <mergeCell ref="B151:B152"/>
    <mergeCell ref="C151:E151"/>
    <mergeCell ref="B211:G211"/>
    <mergeCell ref="F151:G151"/>
    <mergeCell ref="B213:E213"/>
    <mergeCell ref="F215:G215"/>
    <mergeCell ref="B234:F234"/>
    <mergeCell ref="F236:G236"/>
    <mergeCell ref="B236:B237"/>
    <mergeCell ref="C236:E236"/>
    <mergeCell ref="B215:B216"/>
    <mergeCell ref="C215:E215"/>
  </mergeCells>
  <printOptions horizontalCentered="1"/>
  <pageMargins left="0.15748031496062992" right="0.11811023622047245" top="0.27559055118110237" bottom="0.27559055118110237" header="0.11811023622047245" footer="0.15748031496062992"/>
  <pageSetup paperSize="9" scale="63" firstPageNumber="16" orientation="portrait" r:id="rId1"/>
  <headerFooter alignWithMargins="0">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9</vt:i4>
      </vt:variant>
      <vt:variant>
        <vt:lpstr>Plages nommées</vt:lpstr>
      </vt:variant>
      <vt:variant>
        <vt:i4>3</vt:i4>
      </vt:variant>
    </vt:vector>
  </HeadingPairs>
  <TitlesOfParts>
    <vt:vector size="12" baseType="lpstr">
      <vt:lpstr>ANNUEL_DCAQ_AVEC_TC2_Option2</vt:lpstr>
      <vt:lpstr>NON-RESPECT_ENGA_TRANSBO_TC2</vt:lpstr>
      <vt:lpstr>REPARTITION</vt:lpstr>
      <vt:lpstr>ANNUEL</vt:lpstr>
      <vt:lpstr>CALC. PREV</vt:lpstr>
      <vt:lpstr>COEFFICIENTS_SAISONNIERS_2026</vt:lpstr>
      <vt:lpstr>Trafic mens2026</vt:lpstr>
      <vt:lpstr>Trafic mens2025</vt:lpstr>
      <vt:lpstr>Stats exo 2025brute</vt:lpstr>
      <vt:lpstr>COEFFICIENTS_SAISONNIERS_2026!Zone_d_impression</vt:lpstr>
      <vt:lpstr>'Stats exo 2025brute'!Zone_d_impression</vt:lpstr>
      <vt:lpstr>'Trafic mens2026'!Zone_d_impression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KAUPHY Elisabeth Nadege Epse EFFI [DEESP/PAA]</dc:creator>
  <cp:lastModifiedBy>KONE Issaka Wilfred [DEESP]</cp:lastModifiedBy>
  <cp:lastPrinted>2025-02-05T10:12:16Z</cp:lastPrinted>
  <dcterms:created xsi:type="dcterms:W3CDTF">2020-03-11T14:27:48Z</dcterms:created>
  <dcterms:modified xsi:type="dcterms:W3CDTF">2026-08-26T11:20:22Z</dcterms:modified>
</cp:coreProperties>
</file>